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資產表" sheetId="1" r:id="rId5"/>
    <sheet state="visible" name="Spot Holdings" sheetId="2" r:id="rId6"/>
    <sheet state="visible" name="Futrures Holdings" sheetId="3" r:id="rId7"/>
    <sheet state="hidden" name="Holding Funds" sheetId="4" r:id="rId8"/>
    <sheet state="visible" name="Option Tracker" sheetId="5" r:id="rId9"/>
    <sheet state="visible" name="VTI" sheetId="6" r:id="rId10"/>
    <sheet state="visible" name="2330 台積電" sheetId="7" r:id="rId11"/>
    <sheet state="visible" name="00692 富邦公司治理" sheetId="8" r:id="rId12"/>
    <sheet state="hidden" name="US Stocks" sheetId="9" r:id="rId13"/>
    <sheet state="hidden" name="Stock analysis" sheetId="10" r:id="rId14"/>
    <sheet state="visible" name="00878 國泰永續" sheetId="11" r:id="rId15"/>
    <sheet state="visible" name="2887 台新金" sheetId="12" r:id="rId16"/>
    <sheet state="visible" name="2834 臺企銀" sheetId="13" r:id="rId17"/>
    <sheet state="visible" name="BTC Rainbow" sheetId="14" r:id="rId18"/>
    <sheet state="hidden" name="9945 潤泰新" sheetId="15" r:id="rId19"/>
    <sheet state="hidden" name="ITOT" sheetId="16" r:id="rId20"/>
    <sheet state="hidden" name="QYLD" sheetId="17" r:id="rId21"/>
    <sheet state="hidden" name="0050 元大台50" sheetId="18" r:id="rId22"/>
  </sheets>
  <definedNames>
    <definedName hidden="1" localSheetId="1" name="_xlnm._FilterDatabase">'Spot Holdings'!$B$5:$W$39</definedName>
    <definedName hidden="1" localSheetId="4" name="_xlnm._FilterDatabase">'Option Tracker'!$A$1:$AB$26</definedName>
    <definedName hidden="1" localSheetId="8" name="_xlnm._FilterDatabase">'US Stocks'!$B$6:$X$20</definedName>
    <definedName hidden="1" localSheetId="9" name="_xlnm._FilterDatabase">'Stock analysis'!$A$3:$U$35</definedName>
    <definedName hidden="1" localSheetId="1" name="Z_211266BA_7D4F_434C_A6B9_08541D97D023_.wvu.FilterData">'Spot Holdings'!$B$5:$W$39</definedName>
    <definedName hidden="1" localSheetId="8" name="Z_211266BA_7D4F_434C_A6B9_08541D97D023_.wvu.FilterData">'US Stocks'!$B$6:$X$20</definedName>
    <definedName hidden="1" localSheetId="9" name="Z_211266BA_7D4F_434C_A6B9_08541D97D023_.wvu.FilterData">'Stock analysis'!$A$3:$F$35</definedName>
    <definedName hidden="1" localSheetId="1" name="Z_F856818F_A058_4EE9_87F4_CF4D29DD3AFB_.wvu.FilterData">'Spot Holdings'!$B$5:$W$39</definedName>
    <definedName hidden="1" localSheetId="8" name="Z_F856818F_A058_4EE9_87F4_CF4D29DD3AFB_.wvu.FilterData">'US Stocks'!$B$6:$X$20</definedName>
    <definedName hidden="1" localSheetId="9" name="Z_F856818F_A058_4EE9_87F4_CF4D29DD3AFB_.wvu.FilterData">'Stock analysis'!$A$3:$F$35</definedName>
  </definedNames>
  <calcPr/>
  <customWorkbookViews>
    <customWorkbookView activeSheetId="0" maximized="1" windowHeight="0" windowWidth="0" guid="{211266BA-7D4F-434C-A6B9-08541D97D023}" name="Filter 2"/>
    <customWorkbookView activeSheetId="0" maximized="1" windowHeight="0" windowWidth="0" guid="{F856818F-A058-4EE9-87F4-CF4D29DD3AFB}" name="Filter 1"/>
  </customWorkbookViews>
</workbook>
</file>

<file path=xl/sharedStrings.xml><?xml version="1.0" encoding="utf-8"?>
<sst xmlns="http://schemas.openxmlformats.org/spreadsheetml/2006/main" count="860" uniqueCount="341">
  <si>
    <t>TW Stock</t>
  </si>
  <si>
    <t>US Stock</t>
  </si>
  <si>
    <t>TW Fund</t>
  </si>
  <si>
    <t>US Fund</t>
  </si>
  <si>
    <t>Cash</t>
  </si>
  <si>
    <t>Real Estate</t>
  </si>
  <si>
    <t>Crypto</t>
  </si>
  <si>
    <t>資產</t>
  </si>
  <si>
    <t>負債</t>
  </si>
  <si>
    <t>即時匯率(USD)</t>
  </si>
  <si>
    <t>收入</t>
  </si>
  <si>
    <t>月總收入(薪資+業外)</t>
  </si>
  <si>
    <t>淨資產
(不含斜槓)</t>
  </si>
  <si>
    <t>資產mom</t>
  </si>
  <si>
    <t>資產yoy</t>
  </si>
  <si>
    <t>銀行存款</t>
  </si>
  <si>
    <t>基金現值</t>
  </si>
  <si>
    <t>證券現值</t>
  </si>
  <si>
    <t>加密貨幣現值</t>
  </si>
  <si>
    <t>斜槓資本</t>
  </si>
  <si>
    <t>房屋累積投入資金</t>
  </si>
  <si>
    <t>貸款餘額</t>
  </si>
  <si>
    <t>統計日期</t>
  </si>
  <si>
    <t>月份</t>
  </si>
  <si>
    <t>薪資</t>
  </si>
  <si>
    <t>利息/回饋/投資</t>
  </si>
  <si>
    <t>國泰世華</t>
  </si>
  <si>
    <t>台新Richart</t>
  </si>
  <si>
    <t>永豐DAWHO</t>
  </si>
  <si>
    <t>郵局</t>
  </si>
  <si>
    <t>富邦網銀</t>
  </si>
  <si>
    <t>臺企銀</t>
  </si>
  <si>
    <t>國泰世華(美金)</t>
  </si>
  <si>
    <t>富邦網銀(美金)</t>
  </si>
  <si>
    <t>總現金存款</t>
  </si>
  <si>
    <t>現金比例</t>
  </si>
  <si>
    <t>統一投信</t>
  </si>
  <si>
    <t>國泰投信(美金)</t>
  </si>
  <si>
    <t>總基金現值</t>
  </si>
  <si>
    <t>基金比例</t>
  </si>
  <si>
    <t>美元基金比例</t>
  </si>
  <si>
    <t>臺企銀證券</t>
  </si>
  <si>
    <t>國泰證券</t>
  </si>
  <si>
    <t>富邦證券(美金)</t>
  </si>
  <si>
    <t>國泰證券(美金)</t>
  </si>
  <si>
    <t>嘉信 (美金)</t>
  </si>
  <si>
    <t>總證券現值</t>
  </si>
  <si>
    <t>證券比例</t>
  </si>
  <si>
    <t>美股占證券比例</t>
  </si>
  <si>
    <t>台灣交易所(MaicoinMax/ Hoyabit)</t>
  </si>
  <si>
    <t>海外交易所/錢包</t>
  </si>
  <si>
    <t>總加密貨幣現值</t>
  </si>
  <si>
    <t>加密貨幣比例</t>
  </si>
  <si>
    <t>MoleculeX</t>
  </si>
  <si>
    <t>Relifetek</t>
  </si>
  <si>
    <t>總斜槓資本額</t>
  </si>
  <si>
    <t>睿來股權</t>
  </si>
  <si>
    <t>聚動股權</t>
  </si>
  <si>
    <t>聚動股價 元/股</t>
  </si>
  <si>
    <t>聚動股權現值</t>
  </si>
  <si>
    <t>匯率 TWD/USD</t>
  </si>
  <si>
    <t>Richart卡費</t>
  </si>
  <si>
    <t>三信房貸</t>
  </si>
  <si>
    <t>-</t>
  </si>
  <si>
    <t>聚動增資 +50000 (50000)</t>
  </si>
  <si>
    <t>基金贖回1/3</t>
  </si>
  <si>
    <t>交屋 4/26貸款撥款</t>
  </si>
  <si>
    <t>裝潢 傢具支出</t>
  </si>
  <si>
    <t>裝潢 傢具 電器支出</t>
  </si>
  <si>
    <t>台幣升值美元資產減損，故較上月少~10000資產</t>
  </si>
  <si>
    <t>Holding Assets</t>
  </si>
  <si>
    <t>VIX INDEX</t>
  </si>
  <si>
    <t>SKEW INDEX</t>
  </si>
  <si>
    <t>Current Holdiing Value</t>
  </si>
  <si>
    <t>USD/TWD</t>
  </si>
  <si>
    <t>Total P/L Day</t>
  </si>
  <si>
    <t>Total P/L Day%</t>
  </si>
  <si>
    <t>Total Holding</t>
  </si>
  <si>
    <t>Cost Basis</t>
  </si>
  <si>
    <t>Total P/L</t>
  </si>
  <si>
    <t>Total P/L%</t>
  </si>
  <si>
    <t>總報酬率(含息)</t>
  </si>
  <si>
    <t>Symbol</t>
  </si>
  <si>
    <t>Exchange
(Optional)</t>
  </si>
  <si>
    <t>Stock Name</t>
  </si>
  <si>
    <t>Current Price</t>
  </si>
  <si>
    <t>P/L Day</t>
  </si>
  <si>
    <t>P/L Day%</t>
  </si>
  <si>
    <t>Shares</t>
  </si>
  <si>
    <t>預估現值</t>
  </si>
  <si>
    <t>持有現值比例</t>
  </si>
  <si>
    <t>Trade Price</t>
  </si>
  <si>
    <t>買進成本</t>
  </si>
  <si>
    <t>P/L Open</t>
  </si>
  <si>
    <t>含息報酬率</t>
  </si>
  <si>
    <t>產業類型</t>
  </si>
  <si>
    <t>2021年股息</t>
  </si>
  <si>
    <t>2022年股息</t>
  </si>
  <si>
    <t>2023年股息</t>
  </si>
  <si>
    <t>2024年股息</t>
  </si>
  <si>
    <t>2025年股息</t>
  </si>
  <si>
    <t>2026年股息</t>
  </si>
  <si>
    <t>開始買進日</t>
  </si>
  <si>
    <t>持有天數</t>
  </si>
  <si>
    <t>TPE:00692</t>
  </si>
  <si>
    <t>00692</t>
  </si>
  <si>
    <t>指數型ETF</t>
  </si>
  <si>
    <t>TPE:00878</t>
  </si>
  <si>
    <t>00878</t>
  </si>
  <si>
    <t>高股息型ETF</t>
  </si>
  <si>
    <t>TPE:2330</t>
  </si>
  <si>
    <t>台積電</t>
  </si>
  <si>
    <t>電子/科技</t>
  </si>
  <si>
    <t>TSLA</t>
  </si>
  <si>
    <t>NASDAQ</t>
  </si>
  <si>
    <t>耐用消費品</t>
  </si>
  <si>
    <t>RKLB</t>
  </si>
  <si>
    <t>TPE:2890</t>
  </si>
  <si>
    <t>永豐金</t>
  </si>
  <si>
    <t>金融</t>
  </si>
  <si>
    <t>VTI</t>
  </si>
  <si>
    <t>TPE:2885</t>
  </si>
  <si>
    <t>元大金</t>
  </si>
  <si>
    <t>TPE:00881</t>
  </si>
  <si>
    <t>00881</t>
  </si>
  <si>
    <t>科技主題型ETF</t>
  </si>
  <si>
    <t>TPE:2480</t>
  </si>
  <si>
    <t>敦陽科</t>
  </si>
  <si>
    <t>科技服務</t>
  </si>
  <si>
    <t>TPE:2327</t>
  </si>
  <si>
    <t>國巨*</t>
  </si>
  <si>
    <t>GOOGL</t>
  </si>
  <si>
    <t>CURRENCY:BTC/USD</t>
  </si>
  <si>
    <t>$Bitcoin</t>
  </si>
  <si>
    <t>TPE:2887</t>
  </si>
  <si>
    <t>台新新光金</t>
  </si>
  <si>
    <t>NVDA</t>
  </si>
  <si>
    <t>TPE:2834</t>
  </si>
  <si>
    <t>ASTS</t>
  </si>
  <si>
    <t>UNCY</t>
  </si>
  <si>
    <t>健康科技</t>
  </si>
  <si>
    <t>CRCL</t>
  </si>
  <si>
    <t>GRAB</t>
  </si>
  <si>
    <t>NVO</t>
  </si>
  <si>
    <t>AMZN</t>
  </si>
  <si>
    <t>TPE:2002</t>
  </si>
  <si>
    <t>工業</t>
  </si>
  <si>
    <t>SCHD</t>
  </si>
  <si>
    <t>TPE:00713</t>
  </si>
  <si>
    <t>00713</t>
  </si>
  <si>
    <t>PL</t>
  </si>
  <si>
    <t>TPE:2317</t>
  </si>
  <si>
    <t>鴻海</t>
  </si>
  <si>
    <t>TPE:2301</t>
  </si>
  <si>
    <t>947天 2024/03/29平倉</t>
  </si>
  <si>
    <t>TSLY</t>
  </si>
  <si>
    <t>高股息ETF</t>
  </si>
  <si>
    <t>TPE:2891</t>
  </si>
  <si>
    <t>金控</t>
  </si>
  <si>
    <t>TPE:6257</t>
  </si>
  <si>
    <t>QYLD</t>
  </si>
  <si>
    <t>ITOT</t>
  </si>
  <si>
    <t>TPE:0050</t>
  </si>
  <si>
    <t>指數ETF</t>
  </si>
  <si>
    <t>Asset Type</t>
  </si>
  <si>
    <t>Underlying</t>
  </si>
  <si>
    <t>Futures Symbol</t>
  </si>
  <si>
    <t>Market</t>
  </si>
  <si>
    <t>Direction</t>
  </si>
  <si>
    <t>Contracts</t>
  </si>
  <si>
    <t>Multiplier</t>
  </si>
  <si>
    <t>Entry Price</t>
  </si>
  <si>
    <t>Notional Exposure</t>
  </si>
  <si>
    <t>Margin Used</t>
  </si>
  <si>
    <t>Unrealized P/L</t>
  </si>
  <si>
    <t>Realized P/L</t>
  </si>
  <si>
    <t>Net Exposure</t>
  </si>
  <si>
    <t>Expiry</t>
  </si>
  <si>
    <t>Strategy Tag</t>
  </si>
  <si>
    <t>Currency</t>
  </si>
  <si>
    <t>FX Rate</t>
  </si>
  <si>
    <t>Notional Exposure (TWD)</t>
  </si>
  <si>
    <t>Margin Used (TWD)</t>
  </si>
  <si>
    <t>Unrealized P/L (TWD)</t>
  </si>
  <si>
    <t>Notes</t>
  </si>
  <si>
    <t>Type</t>
  </si>
  <si>
    <t>Open</t>
  </si>
  <si>
    <t>Expire</t>
  </si>
  <si>
    <t>Close</t>
  </si>
  <si>
    <t>Ticker</t>
  </si>
  <si>
    <t>Event</t>
  </si>
  <si>
    <t>Strike</t>
  </si>
  <si>
    <t>IV</t>
  </si>
  <si>
    <t>Qty</t>
  </si>
  <si>
    <t>Fill$</t>
  </si>
  <si>
    <t>Close$</t>
  </si>
  <si>
    <t>P/L</t>
  </si>
  <si>
    <t>Days</t>
  </si>
  <si>
    <t>ROI</t>
  </si>
  <si>
    <t>AROI</t>
  </si>
  <si>
    <t>Sell</t>
  </si>
  <si>
    <t>Put Spread</t>
  </si>
  <si>
    <t>62/61</t>
  </si>
  <si>
    <t>?</t>
  </si>
  <si>
    <t>SPY</t>
  </si>
  <si>
    <t>578/577</t>
  </si>
  <si>
    <t>580/579</t>
  </si>
  <si>
    <t>PEP</t>
  </si>
  <si>
    <t>IC</t>
  </si>
  <si>
    <t>135/136|125/124</t>
  </si>
  <si>
    <t>https://www.reddit.com/r/thetagang/s/r3P8jUIPaV</t>
  </si>
  <si>
    <t>601/602|588/587</t>
  </si>
  <si>
    <t>不該在世界局勢不穩時(以伊戰爭停火)賣IC 容易被穿</t>
  </si>
  <si>
    <t>615/614</t>
  </si>
  <si>
    <t>點位Delta 20%</t>
  </si>
  <si>
    <t>65/64</t>
  </si>
  <si>
    <t>620/619</t>
  </si>
  <si>
    <t>SPY打到震盪區間(620~625)故開倉</t>
  </si>
  <si>
    <t>626/625</t>
  </si>
  <si>
    <t>SPY碰觸上升線上緣有撐(636)故開倉</t>
  </si>
  <si>
    <t>637/636</t>
  </si>
  <si>
    <t>625/624</t>
  </si>
  <si>
    <t>653/654</t>
  </si>
  <si>
    <t>667/666</t>
  </si>
  <si>
    <t>盤跌開倉</t>
  </si>
  <si>
    <t>CSP</t>
  </si>
  <si>
    <t>Option Assigned</t>
  </si>
  <si>
    <t>658/656</t>
  </si>
  <si>
    <t>48/47</t>
  </si>
  <si>
    <t>Covered Call</t>
  </si>
  <si>
    <t>STX</t>
  </si>
  <si>
    <t>395/392.5</t>
  </si>
  <si>
    <t>679/677</t>
  </si>
  <si>
    <t>99/98</t>
  </si>
  <si>
    <t>&lt;&lt; enter a symbol</t>
  </si>
  <si>
    <t>&lt;&lt; optionally, enter an exchange (ex: NASDAQ, NYSE)</t>
  </si>
  <si>
    <t>定期定額</t>
  </si>
  <si>
    <t>Change</t>
  </si>
  <si>
    <t>% Change</t>
  </si>
  <si>
    <t>持有股數</t>
  </si>
  <si>
    <t>持有成本</t>
  </si>
  <si>
    <t>平均股價</t>
  </si>
  <si>
    <t>類型</t>
  </si>
  <si>
    <t>Market Cap</t>
  </si>
  <si>
    <t>P/E Ratio</t>
  </si>
  <si>
    <t>Beta</t>
  </si>
  <si>
    <t>6 Months</t>
  </si>
  <si>
    <t>Transaction detail list</t>
  </si>
  <si>
    <t>Date</t>
  </si>
  <si>
    <t>Prices</t>
  </si>
  <si>
    <t>Fee</t>
  </si>
  <si>
    <t>Cost</t>
  </si>
  <si>
    <t>Average Cost</t>
  </si>
  <si>
    <t>Note</t>
  </si>
  <si>
    <t>BUY</t>
  </si>
  <si>
    <t>36 Months</t>
  </si>
  <si>
    <t>Holding Stocks</t>
  </si>
  <si>
    <t>台幣現值：</t>
  </si>
  <si>
    <t>Current Holdiing Value (USD)</t>
  </si>
  <si>
    <t>今日損益</t>
  </si>
  <si>
    <t>%損益</t>
  </si>
  <si>
    <t>持股市值</t>
  </si>
  <si>
    <t>持股成本</t>
  </si>
  <si>
    <t>總損益</t>
  </si>
  <si>
    <t>總報酬率(不含息)</t>
  </si>
  <si>
    <t>Price Change</t>
  </si>
  <si>
    <t>目標持股比例</t>
  </si>
  <si>
    <t>目標金額</t>
  </si>
  <si>
    <t>目標股數</t>
  </si>
  <si>
    <t>平均買進價</t>
  </si>
  <si>
    <t>損益</t>
  </si>
  <si>
    <t>TMF</t>
  </si>
  <si>
    <t>債券ETF</t>
  </si>
  <si>
    <t>BTI</t>
  </si>
  <si>
    <t>傳產</t>
  </si>
  <si>
    <t>O</t>
  </si>
  <si>
    <t>房產</t>
  </si>
  <si>
    <t>PFE</t>
  </si>
  <si>
    <t>生技</t>
  </si>
  <si>
    <t>UBT</t>
  </si>
  <si>
    <t>URA</t>
  </si>
  <si>
    <t>AAPL</t>
  </si>
  <si>
    <t>TYPE</t>
  </si>
  <si>
    <t>111Q1</t>
  </si>
  <si>
    <t>111Q2</t>
  </si>
  <si>
    <t>111Q3</t>
  </si>
  <si>
    <t>111Q4</t>
  </si>
  <si>
    <t>預估EPS</t>
  </si>
  <si>
    <t>110EPS</t>
  </si>
  <si>
    <t>預估P/E</t>
  </si>
  <si>
    <t>近10年盈餘分配率</t>
  </si>
  <si>
    <t>預估配息</t>
  </si>
  <si>
    <t>預估殖利率</t>
  </si>
  <si>
    <t>目標 (殖利率換算)</t>
  </si>
  <si>
    <t>目標價</t>
  </si>
  <si>
    <t>潛在損益</t>
  </si>
  <si>
    <t>加倉</t>
  </si>
  <si>
    <t>金融-銀行</t>
  </si>
  <si>
    <t>台新金</t>
  </si>
  <si>
    <t>TPE:1303</t>
  </si>
  <si>
    <t>傳產-化工</t>
  </si>
  <si>
    <t>南亞</t>
  </si>
  <si>
    <t>TPE:1101</t>
  </si>
  <si>
    <t>傳產-水泥</t>
  </si>
  <si>
    <t>台泥</t>
  </si>
  <si>
    <t>TPE:00757</t>
  </si>
  <si>
    <t>資訊股務</t>
  </si>
  <si>
    <t>V</t>
  </si>
  <si>
    <t>電腦週邊</t>
  </si>
  <si>
    <t>光寶科</t>
  </si>
  <si>
    <t>TPE:9907</t>
  </si>
  <si>
    <t>傳產-包材</t>
  </si>
  <si>
    <t>統一實</t>
  </si>
  <si>
    <t>中鋼</t>
  </si>
  <si>
    <t>TPE:9945</t>
  </si>
  <si>
    <t>股息再投資</t>
  </si>
  <si>
    <t>智慧加碼</t>
  </si>
  <si>
    <t>HOLD</t>
  </si>
  <si>
    <t>2021/09/07除權0.45 (2000股)</t>
  </si>
  <si>
    <t>2024/08/06除權0.4 (20000股)</t>
  </si>
  <si>
    <t>銀行/證券</t>
  </si>
  <si>
    <t>2020除權 0.5元 (2000股)</t>
  </si>
  <si>
    <t>2021除權 0.34元 (3100股)</t>
  </si>
  <si>
    <t>換股1張福邦證賣出 9.49元 (2000股)；損-5686元</t>
  </si>
  <si>
    <t>2022除權 0.37元 (4000股)</t>
  </si>
  <si>
    <t>2023除權0.24元 (4148股)</t>
  </si>
  <si>
    <t>2024除權1.15元 (4247股)</t>
  </si>
  <si>
    <t>2025除權0.6元 (4735股)</t>
  </si>
  <si>
    <t>Days Since Launch</t>
  </si>
  <si>
    <t>Fire Sale</t>
  </si>
  <si>
    <t>BUY!</t>
  </si>
  <si>
    <t>Accumulate</t>
  </si>
  <si>
    <t>HODL!</t>
  </si>
  <si>
    <t>FOMO</t>
  </si>
  <si>
    <t>Bubble</t>
  </si>
  <si>
    <t>20210923除權4元 (1000股) 除權參考價: 58.8</t>
  </si>
  <si>
    <t>20220720 出清2000股 (68) 獲利29719</t>
  </si>
  <si>
    <t>平倉</t>
  </si>
  <si>
    <t>12 Months</t>
  </si>
  <si>
    <t>Sell 40 shares @ 17.02</t>
  </si>
  <si>
    <t>暫時平倉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</si>
</sst>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5">
    <numFmt numFmtId="164" formatCode="&quot;$&quot;#,##0.00"/>
    <numFmt numFmtId="165" formatCode="M/d/yyyy"/>
    <numFmt numFmtId="166" formatCode="yyyy&quot;/&quot;m"/>
    <numFmt numFmtId="167" formatCode="0.0"/>
    <numFmt numFmtId="168" formatCode="0.0000"/>
    <numFmt numFmtId="169" formatCode="yyyy/m/d"/>
    <numFmt numFmtId="170" formatCode="yyyy/mm/dd"/>
    <numFmt numFmtId="171" formatCode="yyyy/m"/>
    <numFmt numFmtId="172" formatCode="yyyy/mm"/>
    <numFmt numFmtId="173" formatCode="#,##0;#,-##0;-"/>
    <numFmt numFmtId="174" formatCode="#,##0;-#,##0;-"/>
    <numFmt numFmtId="175" formatCode="#,##0.00;-#,##0.00;-"/>
    <numFmt numFmtId="176" formatCode="+0.00;-0.00;&quot;-&quot;"/>
    <numFmt numFmtId="177" formatCode="+0.00%;-0.00%;-"/>
    <numFmt numFmtId="178" formatCode="#,##0.00;#,-##0.00;-"/>
    <numFmt numFmtId="179" formatCode="0.0%"/>
    <numFmt numFmtId="180" formatCode="#,##0.000"/>
    <numFmt numFmtId="181" formatCode="#,##0.00000"/>
    <numFmt numFmtId="182" formatCode="&quot; &quot;yyyy&quot;/&quot;mm&quot;/&quot;dd"/>
    <numFmt numFmtId="183" formatCode="+0;-0;&quot;-&quot;"/>
    <numFmt numFmtId="184" formatCode="yyyy-mm"/>
    <numFmt numFmtId="185" formatCode="+#,##0.00;#,-##0.00;#,-"/>
    <numFmt numFmtId="186" formatCode="#,##0,,&quot;M&quot;"/>
    <numFmt numFmtId="187" formatCode="mmm&quot; &quot;d&quot;, &quot;yyyy"/>
    <numFmt numFmtId="188" formatCode="m/d/yyyy h:mm:ss"/>
  </numFmts>
  <fonts count="3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sz val="36.0"/>
      <color theme="1"/>
      <name val="Arial"/>
      <scheme val="minor"/>
    </font>
    <font>
      <b/>
      <color theme="1"/>
      <name val="Arial"/>
      <scheme val="minor"/>
    </font>
    <font>
      <color theme="1"/>
      <name val="Roboto"/>
    </font>
    <font>
      <sz val="18.0"/>
      <color theme="1"/>
      <name val="Roboto"/>
    </font>
    <font>
      <b/>
      <color theme="1"/>
      <name val="Roboto"/>
    </font>
    <font>
      <sz val="9.0"/>
      <color rgb="FF666666"/>
      <name val="Roboto"/>
    </font>
    <font>
      <b/>
      <color theme="7"/>
      <name val="Roboto"/>
    </font>
    <font>
      <b/>
      <color rgb="FF000000"/>
      <name val="Roboto"/>
    </font>
    <font>
      <sz val="24.0"/>
      <color theme="1"/>
      <name val="Roboto"/>
    </font>
    <font>
      <color theme="7"/>
      <name val="Roboto"/>
    </font>
    <font>
      <b/>
      <sz val="11.0"/>
      <color theme="7"/>
      <name val="Roboto"/>
    </font>
    <font>
      <b/>
      <sz val="11.0"/>
      <color theme="1"/>
      <name val="Roboto"/>
    </font>
    <font>
      <b/>
      <sz val="10.0"/>
      <color theme="1"/>
      <name val="Roboto"/>
    </font>
    <font>
      <sz val="10.0"/>
      <color theme="1"/>
      <name val="Roboto"/>
    </font>
    <font>
      <b/>
      <sz val="10.0"/>
      <color rgb="FF000000"/>
      <name val="Roboto"/>
    </font>
    <font>
      <b/>
      <sz val="10.0"/>
      <color rgb="FF9900FF"/>
      <name val="Roboto"/>
    </font>
    <font>
      <b/>
      <sz val="11.0"/>
      <color rgb="FFFFFFFF"/>
      <name val="Carlito"/>
    </font>
    <font>
      <sz val="11.0"/>
      <color theme="1"/>
      <name val="Carlito"/>
    </font>
    <font>
      <sz val="11.0"/>
      <color rgb="FF166534"/>
      <name val="Carlito"/>
    </font>
    <font>
      <u/>
      <color rgb="FF0000FF"/>
    </font>
    <font>
      <color rgb="FFB7B7B7"/>
      <name val="Roboto"/>
    </font>
    <font>
      <sz val="36.0"/>
      <color theme="1"/>
      <name val="Roboto"/>
    </font>
    <font>
      <b/>
      <sz val="22.0"/>
      <color rgb="FF0000FF"/>
      <name val="Roboto"/>
    </font>
    <font>
      <b/>
      <sz val="30.0"/>
      <color rgb="FFFF0000"/>
      <name val="Roboto"/>
    </font>
    <font>
      <sz val="10.0"/>
      <color rgb="FF38761D"/>
      <name val="Roboto"/>
    </font>
    <font>
      <sz val="9.0"/>
      <color rgb="FF38761D"/>
      <name val="Roboto"/>
    </font>
    <font>
      <sz val="14.0"/>
      <color theme="1"/>
      <name val="Roboto"/>
    </font>
    <font>
      <b/>
      <sz val="14.0"/>
      <color theme="7"/>
      <name val="Roboto"/>
    </font>
    <font>
      <sz val="12.0"/>
      <color theme="1"/>
      <name val="Roboto"/>
    </font>
    <font>
      <color rgb="FFFFFFFF"/>
      <name val="Roboto"/>
    </font>
    <font>
      <sz val="12.0"/>
      <color rgb="FF000000"/>
      <name val="Calibri"/>
    </font>
    <font>
      <b/>
      <sz val="22.0"/>
      <color theme="7"/>
      <name val="Roboto"/>
    </font>
    <font>
      <b/>
      <sz val="22.0"/>
      <color rgb="FFFBBC04"/>
      <name val="Roboto"/>
    </font>
    <font>
      <b/>
      <sz val="22.0"/>
      <color theme="6"/>
      <name val="Roboto"/>
    </font>
    <font>
      <sz val="10.0"/>
      <color theme="5"/>
      <name val="Roboto"/>
    </font>
  </fonts>
  <fills count="3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1F4E78"/>
        <bgColor rgb="FF1F4E78"/>
      </patternFill>
    </fill>
    <fill>
      <patternFill patternType="solid">
        <fgColor rgb="FFDCFCE7"/>
        <bgColor rgb="FFDCFCE7"/>
      </patternFill>
    </fill>
    <fill>
      <patternFill patternType="solid">
        <fgColor rgb="FFE8F0FE"/>
        <bgColor rgb="FFE8F0FE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45818E"/>
        <bgColor rgb="FF45818E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</fills>
  <borders count="6">
    <border/>
    <border>
      <bottom style="medium">
        <color rgb="FF000000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/>
    </border>
    <border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9" xfId="0" applyFont="1" applyNumberFormat="1"/>
    <xf borderId="0" fillId="0" fontId="2" numFmtId="10" xfId="0" applyFont="1" applyNumberFormat="1"/>
    <xf borderId="0" fillId="2" fontId="1" numFmtId="0" xfId="0" applyFill="1" applyFont="1"/>
    <xf borderId="0" fillId="3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2" fontId="1" numFmtId="0" xfId="0" applyAlignment="1" applyFont="1">
      <alignment readingOrder="0"/>
    </xf>
    <xf borderId="0" fillId="5" fontId="1" numFmtId="0" xfId="0" applyFill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/>
    </xf>
    <xf borderId="0" fillId="6" fontId="1" numFmtId="0" xfId="0" applyAlignment="1" applyFont="1">
      <alignment horizontal="center"/>
    </xf>
    <xf borderId="0" fillId="7" fontId="1" numFmtId="0" xfId="0" applyAlignment="1" applyFill="1" applyFont="1">
      <alignment horizontal="center" readingOrder="0"/>
    </xf>
    <xf borderId="0" fillId="7" fontId="1" numFmtId="0" xfId="0" applyAlignment="1" applyFont="1">
      <alignment horizontal="center"/>
    </xf>
    <xf borderId="0" fillId="8" fontId="1" numFmtId="0" xfId="0" applyAlignment="1" applyFill="1" applyFont="1">
      <alignment horizontal="center" readingOrder="0"/>
    </xf>
    <xf borderId="0" fillId="8" fontId="1" numFmtId="0" xfId="0" applyAlignment="1" applyFont="1">
      <alignment horizontal="center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0" fontId="1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12" fontId="4" numFmtId="0" xfId="0" applyAlignment="1" applyFill="1" applyFont="1">
      <alignment horizontal="center" readingOrder="0"/>
    </xf>
    <xf borderId="0" fillId="12" fontId="4" numFmtId="164" xfId="0" applyAlignment="1" applyFont="1" applyNumberFormat="1">
      <alignment horizontal="center" readingOrder="0"/>
    </xf>
    <xf borderId="0" fillId="9" fontId="1" numFmtId="0" xfId="0" applyAlignment="1" applyFont="1">
      <alignment horizontal="left" readingOrder="0"/>
    </xf>
    <xf borderId="0" fillId="13" fontId="4" numFmtId="164" xfId="0" applyAlignment="1" applyFill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5" fontId="1" numFmtId="1" xfId="0" applyAlignment="1" applyFont="1" applyNumberFormat="1">
      <alignment readingOrder="0"/>
    </xf>
    <xf borderId="0" fillId="15" fontId="1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0" fontId="4" numFmtId="167" xfId="0" applyFont="1" applyNumberFormat="1"/>
    <xf borderId="0" fillId="0" fontId="1" numFmtId="10" xfId="0" applyAlignment="1" applyFont="1" applyNumberForma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8" fontId="1" numFmtId="0" xfId="0" applyFont="1"/>
    <xf borderId="0" fillId="9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0" fontId="4" numFmtId="0" xfId="0" applyFont="1"/>
    <xf borderId="0" fillId="13" fontId="4" numFmtId="0" xfId="0" applyFont="1"/>
    <xf borderId="0" fillId="14" fontId="1" numFmtId="0" xfId="0" applyFont="1"/>
    <xf borderId="0" fillId="15" fontId="1" numFmtId="10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7" fontId="1" numFmtId="2" xfId="0" applyAlignment="1" applyFont="1" applyNumberFormat="1">
      <alignment readingOrder="0"/>
    </xf>
    <xf borderId="0" fillId="5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6" fontId="1" numFmtId="0" xfId="0" applyFont="1"/>
    <xf borderId="0" fillId="0" fontId="1" numFmtId="170" xfId="0" applyAlignment="1" applyFont="1" applyNumberFormat="1">
      <alignment readingOrder="0"/>
    </xf>
    <xf borderId="0" fillId="15" fontId="1" numFmtId="10" xfId="0" applyAlignment="1" applyFont="1" applyNumberFormat="1">
      <alignment horizontal="right" readingOrder="0" vertical="center"/>
    </xf>
    <xf borderId="0" fillId="5" fontId="1" numFmtId="1" xfId="0" applyFont="1" applyNumberFormat="1"/>
    <xf borderId="0" fillId="0" fontId="1" numFmtId="1" xfId="0" applyFont="1" applyNumberFormat="1"/>
    <xf borderId="0" fillId="13" fontId="4" numFmtId="0" xfId="0" applyAlignment="1" applyFont="1">
      <alignment readingOrder="0"/>
    </xf>
    <xf borderId="0" fillId="14" fontId="1" numFmtId="0" xfId="0" applyAlignment="1" applyFon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9" fontId="1" numFmtId="2" xfId="0" applyAlignment="1" applyFont="1" applyNumberForma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5" numFmtId="4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16" fontId="10" numFmtId="0" xfId="0" applyAlignment="1" applyFill="1" applyFont="1">
      <alignment horizontal="center" readingOrder="0"/>
    </xf>
    <xf borderId="0" fillId="0" fontId="7" numFmtId="0" xfId="0" applyAlignment="1" applyFont="1">
      <alignment horizontal="center"/>
    </xf>
    <xf borderId="0" fillId="0" fontId="11" numFmtId="4" xfId="0" applyAlignment="1" applyFont="1" applyNumberFormat="1">
      <alignment horizontal="left"/>
    </xf>
    <xf borderId="0" fillId="0" fontId="9" numFmtId="2" xfId="0" applyAlignment="1" applyFont="1" applyNumberFormat="1">
      <alignment horizontal="center"/>
    </xf>
    <xf borderId="0" fillId="0" fontId="12" numFmtId="2" xfId="0" applyFont="1" applyNumberFormat="1"/>
    <xf borderId="0" fillId="0" fontId="12" numFmtId="10" xfId="0" applyAlignment="1" applyFont="1" applyNumberFormat="1">
      <alignment horizontal="center"/>
    </xf>
    <xf borderId="0" fillId="0" fontId="12" numFmtId="0" xfId="0" applyFont="1"/>
    <xf borderId="0" fillId="0" fontId="13" numFmtId="173" xfId="0" applyFont="1" applyNumberFormat="1"/>
    <xf borderId="0" fillId="0" fontId="13" numFmtId="0" xfId="0" applyFont="1"/>
    <xf borderId="0" fillId="0" fontId="13" numFmtId="174" xfId="0" applyFont="1" applyNumberFormat="1"/>
    <xf borderId="0" fillId="0" fontId="13" numFmtId="3" xfId="0" applyFont="1" applyNumberFormat="1"/>
    <xf borderId="0" fillId="0" fontId="13" numFmtId="10" xfId="0" applyFont="1" applyNumberFormat="1"/>
    <xf borderId="0" fillId="16" fontId="14" numFmtId="10" xfId="0" applyFont="1" applyNumberFormat="1"/>
    <xf borderId="0" fillId="0" fontId="5" numFmtId="174" xfId="0" applyFont="1" applyNumberFormat="1"/>
    <xf borderId="0" fillId="11" fontId="5" numFmtId="174" xfId="0" applyFont="1" applyNumberFormat="1"/>
    <xf borderId="0" fillId="0" fontId="5" numFmtId="1" xfId="0" applyFont="1" applyNumberFormat="1"/>
    <xf borderId="1" fillId="0" fontId="15" numFmtId="0" xfId="0" applyAlignment="1" applyBorder="1" applyFont="1">
      <alignment horizontal="left" readingOrder="0" vertical="bottom"/>
    </xf>
    <xf borderId="1" fillId="0" fontId="15" numFmtId="0" xfId="0" applyAlignment="1" applyBorder="1" applyFont="1">
      <alignment horizontal="right" readingOrder="0" vertical="bottom"/>
    </xf>
    <xf borderId="1" fillId="0" fontId="15" numFmtId="0" xfId="0" applyAlignment="1" applyBorder="1" applyFont="1">
      <alignment horizontal="right" readingOrder="0" shrinkToFit="0" vertical="bottom" wrapText="0"/>
    </xf>
    <xf borderId="1" fillId="0" fontId="15" numFmtId="4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readingOrder="0"/>
    </xf>
    <xf borderId="0" fillId="4" fontId="16" numFmtId="0" xfId="0" applyAlignment="1" applyFont="1">
      <alignment readingOrder="0"/>
    </xf>
    <xf quotePrefix="1" borderId="0" fillId="4" fontId="16" numFmtId="0" xfId="0" applyAlignment="1" applyFont="1">
      <alignment readingOrder="0"/>
    </xf>
    <xf borderId="0" fillId="0" fontId="16" numFmtId="175" xfId="0" applyAlignment="1" applyFont="1" applyNumberFormat="1">
      <alignment horizontal="right"/>
    </xf>
    <xf borderId="0" fillId="0" fontId="16" numFmtId="176" xfId="0" applyAlignment="1" applyFont="1" applyNumberFormat="1">
      <alignment horizontal="right"/>
    </xf>
    <xf borderId="0" fillId="0" fontId="16" numFmtId="177" xfId="0" applyAlignment="1" applyFont="1" applyNumberFormat="1">
      <alignment horizontal="right"/>
    </xf>
    <xf borderId="0" fillId="0" fontId="16" numFmtId="3" xfId="0" applyAlignment="1" applyFont="1" applyNumberFormat="1">
      <alignment horizontal="right" readingOrder="0"/>
    </xf>
    <xf borderId="0" fillId="0" fontId="16" numFmtId="178" xfId="0" applyAlignment="1" applyFont="1" applyNumberFormat="1">
      <alignment horizontal="right"/>
    </xf>
    <xf borderId="0" fillId="0" fontId="16" numFmtId="10" xfId="0" applyAlignment="1" applyFont="1" applyNumberFormat="1">
      <alignment horizontal="right"/>
    </xf>
    <xf borderId="0" fillId="0" fontId="16" numFmtId="179" xfId="0" applyAlignment="1" applyFont="1" applyNumberFormat="1">
      <alignment horizontal="right"/>
    </xf>
    <xf borderId="0" fillId="0" fontId="16" numFmtId="175" xfId="0" applyAlignment="1" applyFont="1" applyNumberFormat="1">
      <alignment horizontal="right" readingOrder="0"/>
    </xf>
    <xf borderId="0" fillId="0" fontId="16" numFmtId="170" xfId="0" applyAlignment="1" applyFont="1" applyNumberFormat="1">
      <alignment horizontal="right" readingOrder="0"/>
    </xf>
    <xf borderId="0" fillId="0" fontId="16" numFmtId="174" xfId="0" applyAlignment="1" applyFont="1" applyNumberFormat="1">
      <alignment horizontal="right"/>
    </xf>
    <xf borderId="0" fillId="0" fontId="16" numFmtId="0" xfId="0" applyAlignment="1" applyFont="1">
      <alignment horizontal="right"/>
    </xf>
    <xf borderId="0" fillId="10" fontId="16" numFmtId="0" xfId="0" applyAlignment="1" applyFont="1">
      <alignment readingOrder="0"/>
    </xf>
    <xf quotePrefix="1" borderId="0" fillId="10" fontId="16" numFmtId="0" xfId="0" applyAlignment="1" applyFont="1">
      <alignment readingOrder="0"/>
    </xf>
    <xf borderId="0" fillId="0" fontId="16" numFmtId="0" xfId="0" applyAlignment="1" applyFont="1">
      <alignment horizontal="right" readingOrder="0"/>
    </xf>
    <xf borderId="0" fillId="0" fontId="16" numFmtId="4" xfId="0" applyAlignment="1" applyFont="1" applyNumberFormat="1">
      <alignment horizontal="right" readingOrder="0"/>
    </xf>
    <xf borderId="0" fillId="0" fontId="16" numFmtId="0" xfId="0" applyFont="1"/>
    <xf borderId="0" fillId="17" fontId="16" numFmtId="0" xfId="0" applyAlignment="1" applyFill="1" applyFont="1">
      <alignment readingOrder="0"/>
    </xf>
    <xf borderId="0" fillId="0" fontId="16" numFmtId="3" xfId="0" applyAlignment="1" applyFont="1" applyNumberFormat="1">
      <alignment horizontal="right"/>
    </xf>
    <xf borderId="0" fillId="0" fontId="16" numFmtId="180" xfId="0" applyAlignment="1" applyFont="1" applyNumberFormat="1">
      <alignment horizontal="right" readingOrder="0"/>
    </xf>
    <xf borderId="0" fillId="3" fontId="16" numFmtId="0" xfId="0" applyAlignment="1" applyFont="1">
      <alignment readingOrder="0"/>
    </xf>
    <xf borderId="0" fillId="3" fontId="17" numFmtId="0" xfId="0" applyAlignment="1" applyFont="1">
      <alignment readingOrder="0"/>
    </xf>
    <xf borderId="0" fillId="0" fontId="17" numFmtId="2" xfId="0" applyFont="1" applyNumberFormat="1"/>
    <xf borderId="0" fillId="0" fontId="18" numFmtId="0" xfId="0" applyFont="1"/>
    <xf borderId="0" fillId="0" fontId="16" numFmtId="181" xfId="0" applyAlignment="1" applyFont="1" applyNumberFormat="1">
      <alignment horizontal="right" readingOrder="0"/>
    </xf>
    <xf borderId="0" fillId="10" fontId="16" numFmtId="0" xfId="0" applyFont="1"/>
    <xf borderId="0" fillId="0" fontId="16" numFmtId="169" xfId="0" applyAlignment="1" applyFont="1" applyNumberFormat="1">
      <alignment horizontal="right" readingOrder="0"/>
    </xf>
    <xf borderId="0" fillId="0" fontId="16" numFmtId="2" xfId="0" applyAlignment="1" applyFont="1" applyNumberFormat="1">
      <alignment horizontal="right" readingOrder="0"/>
    </xf>
    <xf borderId="0" fillId="18" fontId="16" numFmtId="0" xfId="0" applyAlignment="1" applyFill="1" applyFont="1">
      <alignment readingOrder="0"/>
    </xf>
    <xf borderId="0" fillId="0" fontId="16" numFmtId="174" xfId="0" applyAlignment="1" applyFont="1" applyNumberFormat="1">
      <alignment horizontal="right" readingOrder="0"/>
    </xf>
    <xf borderId="0" fillId="17" fontId="16" numFmtId="0" xfId="0" applyFont="1"/>
    <xf borderId="0" fillId="9" fontId="16" numFmtId="0" xfId="0" applyFont="1"/>
    <xf borderId="0" fillId="0" fontId="16" numFmtId="182" xfId="0" applyAlignment="1" applyFont="1" applyNumberFormat="1">
      <alignment horizontal="right" readingOrder="0"/>
    </xf>
    <xf borderId="0" fillId="0" fontId="16" numFmtId="4" xfId="0" applyAlignment="1" applyFont="1" applyNumberFormat="1">
      <alignment horizontal="right"/>
    </xf>
    <xf borderId="0" fillId="0" fontId="15" numFmtId="0" xfId="0" applyFont="1"/>
    <xf borderId="0" fillId="19" fontId="19" numFmtId="0" xfId="0" applyAlignment="1" applyFill="1" applyFont="1">
      <alignment horizontal="center" readingOrder="0"/>
    </xf>
    <xf borderId="0" fillId="19" fontId="19" numFmtId="4" xfId="0" applyAlignment="1" applyFont="1" applyNumberFormat="1">
      <alignment horizontal="center" readingOrder="0"/>
    </xf>
    <xf borderId="0" fillId="0" fontId="20" numFmtId="0" xfId="0" applyAlignment="1" applyFont="1">
      <alignment readingOrder="0" shrinkToFit="0" vertical="bottom" wrapText="0"/>
    </xf>
    <xf borderId="0" fillId="0" fontId="20" numFmtId="175" xfId="0" applyAlignment="1" applyFont="1" applyNumberFormat="1">
      <alignment readingOrder="0" shrinkToFit="0" vertical="bottom" wrapText="0"/>
    </xf>
    <xf borderId="0" fillId="0" fontId="20" numFmtId="183" xfId="0" applyAlignment="1" applyFont="1" applyNumberFormat="1">
      <alignment horizontal="right" readingOrder="0" shrinkToFit="0" vertical="bottom" wrapText="0"/>
    </xf>
    <xf borderId="0" fillId="0" fontId="20" numFmtId="3" xfId="0" applyAlignment="1" applyFont="1" applyNumberFormat="1">
      <alignment horizontal="right" readingOrder="0" shrinkToFit="0" vertical="bottom" wrapText="0"/>
    </xf>
    <xf borderId="0" fillId="0" fontId="20" numFmtId="178" xfId="0" applyAlignment="1" applyFont="1" applyNumberFormat="1">
      <alignment horizontal="right"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175" xfId="0" applyAlignment="1" applyFont="1" applyNumberFormat="1">
      <alignment horizontal="right" readingOrder="0" shrinkToFit="0" vertical="bottom" wrapText="0"/>
    </xf>
    <xf borderId="0" fillId="20" fontId="21" numFmtId="175" xfId="0" applyAlignment="1" applyFill="1" applyFont="1" applyNumberFormat="1">
      <alignment horizontal="right" readingOrder="0" shrinkToFit="0" vertical="bottom" wrapText="0"/>
    </xf>
    <xf borderId="0" fillId="0" fontId="20" numFmtId="184" xfId="0" applyAlignment="1" applyFont="1" applyNumberFormat="1">
      <alignment readingOrder="0" shrinkToFit="0" vertical="bottom" wrapText="0"/>
    </xf>
    <xf borderId="0" fillId="0" fontId="20" numFmtId="3" xfId="0" applyAlignment="1" applyFont="1" applyNumberFormat="1">
      <alignment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175" xfId="0" applyAlignment="1" applyFont="1" applyNumberFormat="1">
      <alignment shrinkToFit="0" vertical="bottom" wrapText="0"/>
    </xf>
    <xf borderId="0" fillId="0" fontId="20" numFmtId="176" xfId="0" applyAlignment="1" applyFont="1" applyNumberFormat="1">
      <alignment shrinkToFit="0" vertical="bottom" wrapText="0"/>
    </xf>
    <xf borderId="0" fillId="0" fontId="20" numFmtId="177" xfId="0" applyAlignment="1" applyFont="1" applyNumberFormat="1">
      <alignment shrinkToFit="0" vertical="bottom" wrapText="0"/>
    </xf>
    <xf borderId="0" fillId="0" fontId="20" numFmtId="3" xfId="0" applyAlignment="1" applyFont="1" applyNumberFormat="1">
      <alignment shrinkToFit="0" vertical="bottom" wrapText="0"/>
    </xf>
    <xf borderId="0" fillId="0" fontId="20" numFmtId="178" xfId="0" applyAlignment="1" applyFont="1" applyNumberFormat="1">
      <alignment shrinkToFit="0" vertical="bottom" wrapText="0"/>
    </xf>
    <xf borderId="0" fillId="0" fontId="20" numFmtId="170" xfId="0" applyAlignment="1" applyFont="1" applyNumberFormat="1">
      <alignment shrinkToFit="0" vertical="bottom" wrapText="0"/>
    </xf>
    <xf borderId="0" fillId="0" fontId="20" numFmtId="4" xfId="0" applyAlignment="1" applyFont="1" applyNumberForma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180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wrapText="0"/>
    </xf>
    <xf borderId="0" fillId="0" fontId="2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2" fillId="21" fontId="5" numFmtId="0" xfId="0" applyAlignment="1" applyBorder="1" applyFill="1" applyFont="1">
      <alignment horizontal="center" readingOrder="0" vertical="bottom"/>
    </xf>
    <xf borderId="3" fillId="0" fontId="23" numFmtId="0" xfId="0" applyAlignment="1" applyBorder="1" applyFont="1">
      <alignment readingOrder="0" shrinkToFit="0" vertical="bottom" wrapText="0"/>
    </xf>
    <xf borderId="2" fillId="18" fontId="5" numFmtId="0" xfId="0" applyAlignment="1" applyBorder="1" applyFont="1">
      <alignment horizontal="center" readingOrder="0" vertical="bottom"/>
    </xf>
    <xf borderId="0" fillId="0" fontId="23" numFmtId="0" xfId="0" applyAlignment="1" applyFont="1">
      <alignment readingOrder="0" shrinkToFit="0" vertical="bottom" wrapText="0"/>
    </xf>
    <xf borderId="0" fillId="0" fontId="24" numFmtId="0" xfId="0" applyAlignment="1" applyFont="1">
      <alignment shrinkToFit="0" wrapText="1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28" numFmtId="0" xfId="0" applyAlignment="1" applyFont="1">
      <alignment horizontal="center" readingOrder="0" vertical="bottom"/>
    </xf>
    <xf borderId="0" fillId="0" fontId="28" numFmtId="0" xfId="0" applyAlignment="1" applyFont="1">
      <alignment horizontal="center" readingOrder="0" vertical="bottom"/>
    </xf>
    <xf borderId="0" fillId="0" fontId="27" numFmtId="0" xfId="0" applyAlignment="1" applyFont="1">
      <alignment horizontal="center" readingOrder="0" vertical="bottom"/>
    </xf>
    <xf borderId="0" fillId="0" fontId="11" numFmtId="4" xfId="0" applyAlignment="1" applyFont="1" applyNumberFormat="1">
      <alignment horizontal="left" vertical="center"/>
    </xf>
    <xf borderId="0" fillId="0" fontId="29" numFmtId="185" xfId="0" applyAlignment="1" applyFont="1" applyNumberFormat="1">
      <alignment horizontal="left" vertical="center"/>
    </xf>
    <xf borderId="0" fillId="0" fontId="29" numFmtId="177" xfId="0" applyAlignment="1" applyFont="1" applyNumberFormat="1">
      <alignment horizontal="left" vertical="center"/>
    </xf>
    <xf borderId="0" fillId="0" fontId="30" numFmtId="180" xfId="0" applyAlignment="1" applyFont="1" applyNumberFormat="1">
      <alignment horizontal="center" vertical="center"/>
    </xf>
    <xf borderId="0" fillId="0" fontId="30" numFmtId="167" xfId="0" applyAlignment="1" applyFont="1" applyNumberFormat="1">
      <alignment horizontal="center" vertical="center"/>
    </xf>
    <xf borderId="0" fillId="0" fontId="30" numFmtId="2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4" fillId="0" fontId="5" numFmtId="0" xfId="0" applyBorder="1" applyFont="1"/>
    <xf borderId="0" fillId="0" fontId="28" numFmtId="0" xfId="0" applyFont="1"/>
    <xf borderId="0" fillId="0" fontId="31" numFmtId="0" xfId="0" applyAlignment="1" applyFont="1">
      <alignment horizontal="left" vertical="center"/>
    </xf>
    <xf borderId="0" fillId="0" fontId="31" numFmtId="186" xfId="0" applyAlignment="1" applyFont="1" applyNumberFormat="1">
      <alignment horizontal="left" vertical="center"/>
    </xf>
    <xf borderId="0" fillId="0" fontId="31" numFmtId="4" xfId="0" applyAlignment="1" applyFont="1" applyNumberFormat="1">
      <alignment horizontal="left" vertical="center"/>
    </xf>
    <xf borderId="5" fillId="0" fontId="5" numFmtId="0" xfId="0" applyAlignment="1" applyBorder="1" applyFont="1">
      <alignment readingOrder="0"/>
    </xf>
    <xf borderId="0" fillId="0" fontId="32" numFmtId="0" xfId="0" applyFont="1"/>
    <xf borderId="0" fillId="0" fontId="7" numFmtId="0" xfId="0" applyFont="1"/>
    <xf borderId="0" fillId="0" fontId="7" numFmtId="0" xfId="0" applyAlignment="1" applyFont="1">
      <alignment horizontal="right" readingOrder="0"/>
    </xf>
    <xf borderId="0" fillId="0" fontId="7" numFmtId="2" xfId="0" applyFont="1" applyNumberFormat="1"/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right" readingOrder="0"/>
    </xf>
    <xf borderId="0" fillId="0" fontId="16" numFmtId="187" xfId="0" applyAlignment="1" applyFont="1" applyNumberFormat="1">
      <alignment horizontal="left"/>
    </xf>
    <xf borderId="0" fillId="0" fontId="16" numFmtId="4" xfId="0" applyFont="1" applyNumberFormat="1"/>
    <xf borderId="0" fillId="0" fontId="16" numFmtId="3" xfId="0" applyFont="1" applyNumberFormat="1"/>
    <xf borderId="0" fillId="0" fontId="33" numFmtId="170" xfId="0" applyAlignment="1" applyFont="1" applyNumberFormat="1">
      <alignment horizontal="right" readingOrder="0" shrinkToFit="0" wrapText="0"/>
    </xf>
    <xf borderId="0" fillId="0" fontId="33" numFmtId="180" xfId="0" applyAlignment="1" applyFont="1" applyNumberFormat="1">
      <alignment horizontal="right" readingOrder="0" shrinkToFit="0" wrapText="0"/>
    </xf>
    <xf borderId="0" fillId="0" fontId="33" numFmtId="0" xfId="0" applyAlignment="1" applyFont="1">
      <alignment horizontal="right" readingOrder="0" shrinkToFit="0" wrapText="0"/>
    </xf>
    <xf borderId="0" fillId="0" fontId="33" numFmtId="2" xfId="0" applyAlignment="1" applyFont="1" applyNumberFormat="1">
      <alignment horizontal="right" readingOrder="0" shrinkToFit="0" wrapText="0"/>
    </xf>
    <xf borderId="0" fillId="0" fontId="16" numFmtId="2" xfId="0" applyFont="1" applyNumberFormat="1"/>
    <xf borderId="0" fillId="0" fontId="33" numFmtId="169" xfId="0" applyAlignment="1" applyFont="1" applyNumberFormat="1">
      <alignment horizontal="right" readingOrder="0" shrinkToFit="0" wrapText="0"/>
    </xf>
    <xf borderId="0" fillId="0" fontId="33" numFmtId="0" xfId="0" applyAlignment="1" applyFont="1">
      <alignment readingOrder="0" shrinkToFit="0" wrapText="0"/>
    </xf>
    <xf borderId="0" fillId="0" fontId="33" numFmtId="0" xfId="0" applyAlignment="1" applyFont="1">
      <alignment shrinkToFit="0" wrapText="0"/>
    </xf>
    <xf borderId="0" fillId="0" fontId="33" numFmtId="0" xfId="0" applyAlignment="1" applyFont="1">
      <alignment shrinkToFit="0" wrapText="0"/>
    </xf>
    <xf borderId="0" fillId="0" fontId="34" numFmtId="0" xfId="0" applyAlignment="1" applyFont="1">
      <alignment horizontal="center" readingOrder="0" vertical="center"/>
    </xf>
    <xf borderId="0" fillId="0" fontId="30" numFmtId="3" xfId="0" applyAlignment="1" applyFont="1" applyNumberForma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33" numFmtId="3" xfId="0" applyAlignment="1" applyFont="1" applyNumberFormat="1">
      <alignment horizontal="right" readingOrder="0" shrinkToFit="0" wrapText="0"/>
    </xf>
    <xf borderId="0" fillId="0" fontId="16" numFmtId="170" xfId="0" applyAlignment="1" applyFont="1" applyNumberFormat="1">
      <alignment readingOrder="0"/>
    </xf>
    <xf borderId="0" fillId="0" fontId="16" numFmtId="14" xfId="0" applyFont="1" applyNumberFormat="1"/>
    <xf borderId="0" fillId="0" fontId="33" numFmtId="4" xfId="0" applyAlignment="1" applyFont="1" applyNumberFormat="1">
      <alignment horizontal="right" readingOrder="0" shrinkToFit="0" wrapText="0"/>
    </xf>
    <xf borderId="0" fillId="9" fontId="31" numFmtId="0" xfId="0" applyAlignment="1" applyFont="1">
      <alignment horizontal="right" readingOrder="0" vertical="center"/>
    </xf>
    <xf borderId="0" fillId="9" fontId="31" numFmtId="1" xfId="0" applyAlignment="1" applyFont="1" applyNumberFormat="1">
      <alignment vertical="center"/>
    </xf>
    <xf borderId="0" fillId="16" fontId="7" numFmtId="0" xfId="0" applyAlignment="1" applyFont="1">
      <alignment horizontal="center" readingOrder="0"/>
    </xf>
    <xf borderId="0" fillId="0" fontId="5" numFmtId="2" xfId="0" applyFont="1" applyNumberFormat="1"/>
    <xf borderId="0" fillId="0" fontId="5" numFmtId="10" xfId="0" applyAlignment="1" applyFont="1" applyNumberFormat="1">
      <alignment horizontal="center"/>
    </xf>
    <xf borderId="0" fillId="0" fontId="14" numFmtId="173" xfId="0" applyFont="1" applyNumberFormat="1"/>
    <xf borderId="0" fillId="0" fontId="14" numFmtId="0" xfId="0" applyFont="1"/>
    <xf borderId="0" fillId="0" fontId="14" numFmtId="0" xfId="0" applyAlignment="1" applyFont="1">
      <alignment readingOrder="0"/>
    </xf>
    <xf borderId="0" fillId="0" fontId="14" numFmtId="174" xfId="0" applyFont="1" applyNumberFormat="1"/>
    <xf borderId="0" fillId="0" fontId="14" numFmtId="3" xfId="0" applyFont="1" applyNumberFormat="1"/>
    <xf borderId="0" fillId="0" fontId="14" numFmtId="10" xfId="0" applyFont="1" applyNumberFormat="1"/>
    <xf borderId="0" fillId="0" fontId="5" numFmtId="175" xfId="0" applyFont="1" applyNumberFormat="1"/>
    <xf borderId="0" fillId="0" fontId="5" numFmtId="3" xfId="0" applyFont="1" applyNumberFormat="1"/>
    <xf borderId="0" fillId="0" fontId="5" numFmtId="179" xfId="0" applyAlignment="1" applyFont="1" applyNumberFormat="1">
      <alignment vertical="center"/>
    </xf>
    <xf borderId="0" fillId="0" fontId="15" numFmtId="0" xfId="0" applyAlignment="1" applyFont="1">
      <alignment horizontal="left" vertical="center"/>
    </xf>
    <xf borderId="1" fillId="22" fontId="15" numFmtId="0" xfId="0" applyAlignment="1" applyBorder="1" applyFill="1" applyFont="1">
      <alignment horizontal="right" readingOrder="0" vertical="bottom"/>
    </xf>
    <xf borderId="1" fillId="23" fontId="15" numFmtId="0" xfId="0" applyAlignment="1" applyBorder="1" applyFill="1" applyFont="1">
      <alignment horizontal="right" readingOrder="0" vertical="bottom"/>
    </xf>
    <xf borderId="0" fillId="24" fontId="16" numFmtId="0" xfId="0" applyAlignment="1" applyFill="1" applyFont="1">
      <alignment readingOrder="0"/>
    </xf>
    <xf borderId="0" fillId="24" fontId="16" numFmtId="0" xfId="0" applyFont="1"/>
    <xf borderId="0" fillId="22" fontId="16" numFmtId="179" xfId="0" applyAlignment="1" applyFont="1" applyNumberFormat="1">
      <alignment horizontal="right" readingOrder="0"/>
    </xf>
    <xf borderId="0" fillId="23" fontId="16" numFmtId="175" xfId="0" applyAlignment="1" applyFont="1" applyNumberFormat="1">
      <alignment horizontal="right" readingOrder="0"/>
    </xf>
    <xf borderId="0" fillId="22" fontId="16" numFmtId="10" xfId="0" applyAlignment="1" applyFont="1" applyNumberFormat="1">
      <alignment horizontal="right" readingOrder="0"/>
    </xf>
    <xf borderId="0" fillId="25" fontId="16" numFmtId="0" xfId="0" applyAlignment="1" applyFill="1" applyFont="1">
      <alignment readingOrder="0"/>
    </xf>
    <xf borderId="0" fillId="25" fontId="16" numFmtId="0" xfId="0" applyFont="1"/>
    <xf borderId="0" fillId="18" fontId="16" numFmtId="0" xfId="0" applyAlignment="1" applyFont="1">
      <alignment horizontal="center" readingOrder="0"/>
    </xf>
    <xf borderId="0" fillId="10" fontId="5" numFmtId="0" xfId="0" applyFont="1"/>
    <xf borderId="0" fillId="26" fontId="5" numFmtId="0" xfId="0" applyFill="1" applyFont="1"/>
    <xf borderId="0" fillId="27" fontId="5" numFmtId="0" xfId="0" applyFill="1" applyFont="1"/>
    <xf borderId="0" fillId="28" fontId="5" numFmtId="0" xfId="0" applyFill="1" applyFont="1"/>
    <xf borderId="0" fillId="14" fontId="5" numFmtId="0" xfId="0" applyFont="1"/>
    <xf borderId="0" fillId="29" fontId="5" numFmtId="0" xfId="0" applyFill="1" applyFont="1"/>
    <xf borderId="1" fillId="0" fontId="15" numFmtId="0" xfId="0" applyAlignment="1" applyBorder="1" applyFont="1">
      <alignment horizontal="center" readingOrder="0" vertical="bottom"/>
    </xf>
    <xf borderId="1" fillId="10" fontId="15" numFmtId="0" xfId="0" applyAlignment="1" applyBorder="1" applyFont="1">
      <alignment horizontal="center" readingOrder="0" vertical="bottom"/>
    </xf>
    <xf borderId="1" fillId="26" fontId="15" numFmtId="0" xfId="0" applyAlignment="1" applyBorder="1" applyFont="1">
      <alignment horizontal="center" readingOrder="0" vertical="bottom"/>
    </xf>
    <xf borderId="1" fillId="27" fontId="15" numFmtId="0" xfId="0" applyAlignment="1" applyBorder="1" applyFont="1">
      <alignment horizontal="center" readingOrder="0" vertical="bottom"/>
    </xf>
    <xf borderId="1" fillId="28" fontId="15" numFmtId="0" xfId="0" applyAlignment="1" applyBorder="1" applyFont="1">
      <alignment horizontal="center" readingOrder="0" vertical="bottom"/>
    </xf>
    <xf borderId="1" fillId="14" fontId="15" numFmtId="0" xfId="0" applyAlignment="1" applyBorder="1" applyFont="1">
      <alignment horizontal="center" readingOrder="0" vertical="bottom"/>
    </xf>
    <xf borderId="1" fillId="29" fontId="15" numFmtId="0" xfId="0" applyAlignment="1" applyBorder="1" applyFont="1">
      <alignment horizontal="center" readingOrder="0" vertical="bottom"/>
    </xf>
    <xf borderId="0" fillId="10" fontId="16" numFmtId="175" xfId="0" applyAlignment="1" applyFont="1" applyNumberFormat="1">
      <alignment horizontal="right"/>
    </xf>
    <xf borderId="0" fillId="26" fontId="16" numFmtId="175" xfId="0" applyAlignment="1" applyFont="1" applyNumberFormat="1">
      <alignment horizontal="right"/>
    </xf>
    <xf borderId="0" fillId="27" fontId="16" numFmtId="175" xfId="0" applyAlignment="1" applyFont="1" applyNumberFormat="1">
      <alignment horizontal="right"/>
    </xf>
    <xf borderId="0" fillId="28" fontId="16" numFmtId="175" xfId="0" applyAlignment="1" applyFont="1" applyNumberFormat="1">
      <alignment horizontal="right"/>
    </xf>
    <xf borderId="0" fillId="14" fontId="16" numFmtId="175" xfId="0" applyAlignment="1" applyFont="1" applyNumberFormat="1">
      <alignment horizontal="right"/>
    </xf>
    <xf borderId="0" fillId="10" fontId="16" numFmtId="10" xfId="0" applyAlignment="1" applyFont="1" applyNumberFormat="1">
      <alignment horizontal="right"/>
    </xf>
    <xf borderId="0" fillId="29" fontId="16" numFmtId="10" xfId="0" applyAlignment="1" applyFont="1" applyNumberFormat="1">
      <alignment horizontal="right" readingOrder="0"/>
    </xf>
    <xf borderId="0" fillId="29" fontId="16" numFmtId="175" xfId="0" applyAlignment="1" applyFont="1" applyNumberFormat="1">
      <alignment horizontal="right"/>
    </xf>
    <xf borderId="0" fillId="29" fontId="16" numFmtId="10" xfId="0" applyAlignment="1" applyFont="1" applyNumberFormat="1">
      <alignment horizontal="right"/>
    </xf>
    <xf borderId="0" fillId="10" fontId="16" numFmtId="175" xfId="0" applyAlignment="1" applyFont="1" applyNumberFormat="1">
      <alignment horizontal="right" readingOrder="0"/>
    </xf>
    <xf borderId="0" fillId="26" fontId="16" numFmtId="175" xfId="0" applyAlignment="1" applyFont="1" applyNumberFormat="1">
      <alignment horizontal="right" readingOrder="0"/>
    </xf>
    <xf borderId="0" fillId="27" fontId="16" numFmtId="175" xfId="0" applyAlignment="1" applyFont="1" applyNumberFormat="1">
      <alignment horizontal="right" readingOrder="0"/>
    </xf>
    <xf borderId="0" fillId="28" fontId="16" numFmtId="175" xfId="0" applyAlignment="1" applyFont="1" applyNumberFormat="1">
      <alignment horizontal="right" readingOrder="0"/>
    </xf>
    <xf borderId="0" fillId="14" fontId="16" numFmtId="10" xfId="0" applyAlignment="1" applyFont="1" applyNumberFormat="1">
      <alignment horizontal="right" readingOrder="0"/>
    </xf>
    <xf borderId="0" fillId="30" fontId="16" numFmtId="10" xfId="0" applyAlignment="1" applyFill="1" applyFont="1" applyNumberFormat="1">
      <alignment horizontal="right" readingOrder="0"/>
    </xf>
    <xf borderId="0" fillId="14" fontId="16" numFmtId="9" xfId="0" applyAlignment="1" applyFont="1" applyNumberFormat="1">
      <alignment horizontal="right" readingOrder="0"/>
    </xf>
    <xf borderId="0" fillId="0" fontId="16" numFmtId="169" xfId="0" applyAlignment="1" applyFont="1" applyNumberFormat="1">
      <alignment readingOrder="0"/>
    </xf>
    <xf borderId="0" fillId="0" fontId="35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31" numFmtId="0" xfId="0" applyAlignment="1" applyFont="1">
      <alignment readingOrder="0"/>
    </xf>
    <xf borderId="0" fillId="0" fontId="1" numFmtId="165" xfId="0" applyFont="1" applyNumberFormat="1"/>
    <xf borderId="0" fillId="0" fontId="1" numFmtId="188" xfId="0" applyFont="1" applyNumberFormat="1"/>
    <xf borderId="0" fillId="0" fontId="37" numFmtId="0" xfId="0" applyAlignment="1" applyFont="1">
      <alignment readingOrder="0"/>
    </xf>
    <xf borderId="0" fillId="0" fontId="30" numFmtId="2" xfId="0" applyAlignment="1" applyFont="1" applyNumberFormat="1">
      <alignment horizontal="center" readingOrder="0" vertical="center"/>
    </xf>
  </cellXfs>
  <cellStyles count="1">
    <cellStyle xfId="0" name="Normal" builtinId="0"/>
  </cellStyles>
  <dxfs count="12">
    <dxf>
      <font/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137333"/>
      </font>
      <fill>
        <patternFill patternType="solid">
          <fgColor rgb="FFE6F4EA"/>
          <bgColor rgb="FFE6F4EA"/>
        </patternFill>
      </fill>
      <border/>
    </dxf>
    <dxf>
      <font>
        <color rgb="FFCC0000"/>
      </font>
      <fill>
        <patternFill patternType="solid">
          <fgColor rgb="FFFCE8E6"/>
          <bgColor rgb="FFFCE8E6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>
        <color rgb="FFFFFFFF"/>
      </font>
      <fill>
        <patternFill patternType="solid">
          <fgColor rgb="FF137333"/>
          <bgColor rgb="FF137333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85200C"/>
      </font>
      <fill>
        <patternFill patternType="solid">
          <fgColor rgb="FFFFFFFF"/>
          <bgColor rgb="FFFFFFFF"/>
        </patternFill>
      </fill>
      <border/>
    </dxf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資產項目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'資產表'!$Q$19</c:f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'資產表'!$B$20:$B$100</c:f>
            </c:strRef>
          </c:cat>
          <c:val>
            <c:numRef>
              <c:f>'資產表'!$Q$20:$Q$100</c:f>
              <c:numCache/>
            </c:numRef>
          </c:val>
        </c:ser>
        <c:ser>
          <c:idx val="1"/>
          <c:order val="1"/>
          <c:tx>
            <c:strRef>
              <c:f>'資產表'!$V$19</c:f>
            </c:strRef>
          </c:tx>
          <c:spPr>
            <a:solidFill>
              <a:srgbClr val="EA4335">
                <a:alpha val="1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'資產表'!$B$20:$B$100</c:f>
            </c:strRef>
          </c:cat>
          <c:val>
            <c:numRef>
              <c:f>'資產表'!$V$20:$V$100</c:f>
              <c:numCache/>
            </c:numRef>
          </c:val>
        </c:ser>
        <c:ser>
          <c:idx val="2"/>
          <c:order val="2"/>
          <c:tx>
            <c:strRef>
              <c:f>'資產表'!$AD$19</c:f>
            </c:strRef>
          </c:tx>
          <c:spPr>
            <a:solidFill>
              <a:srgbClr val="FBBC04">
                <a:alpha val="1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'資產表'!$B$20:$B$100</c:f>
            </c:strRef>
          </c:cat>
          <c:val>
            <c:numRef>
              <c:f>'資產表'!$AD$20:$AD$100</c:f>
              <c:numCache/>
            </c:numRef>
          </c:val>
        </c:ser>
        <c:ser>
          <c:idx val="3"/>
          <c:order val="3"/>
          <c:tx>
            <c:strRef>
              <c:f>'資產表'!$AM$19</c:f>
            </c:strRef>
          </c:tx>
          <c:spPr>
            <a:solidFill>
              <a:srgbClr val="34A853">
                <a:alpha val="1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'資產表'!$B$20:$B$100</c:f>
            </c:strRef>
          </c:cat>
          <c:val>
            <c:numRef>
              <c:f>'資產表'!$AM$20:$AM$100</c:f>
              <c:numCache/>
            </c:numRef>
          </c:val>
        </c:ser>
        <c:ser>
          <c:idx val="5"/>
          <c:order val="5"/>
          <c:tx>
            <c:strRef>
              <c:f>'資產表'!$AI$19</c:f>
            </c:strRef>
          </c:tx>
          <c:spPr>
            <a:solidFill>
              <a:srgbClr val="FFFF00">
                <a:alpha val="30000"/>
              </a:srgbClr>
            </a:solidFill>
            <a:ln cmpd="sng">
              <a:solidFill>
                <a:srgbClr val="FFFF00">
                  <a:alpha val="100000"/>
                </a:srgbClr>
              </a:solidFill>
            </a:ln>
          </c:spPr>
          <c:cat>
            <c:strRef>
              <c:f>'資產表'!$B$20:$B$100</c:f>
            </c:strRef>
          </c:cat>
          <c:val>
            <c:numRef>
              <c:f>'資產表'!$AI$20:$AI$100</c:f>
              <c:numCache/>
            </c:numRef>
          </c:val>
        </c:ser>
        <c:axId val="635551626"/>
        <c:axId val="607231227"/>
      </c:areaChart>
      <c:catAx>
        <c:axId val="635551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231227"/>
      </c:catAx>
      <c:valAx>
        <c:axId val="607231227"/>
        <c:scaling>
          <c:orientation val="minMax"/>
          <c:max val="4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551626"/>
      </c:valAx>
      <c:areaChart>
        <c:ser>
          <c:idx val="4"/>
          <c:order val="4"/>
          <c:tx>
            <c:strRef>
              <c:f>'資產表'!$R$19</c:f>
            </c:strRef>
          </c:tx>
          <c:spPr>
            <a:solidFill>
              <a:schemeClr val="accent1">
                <a:alpha val="0"/>
              </a:schemeClr>
            </a:solidFill>
            <a:ln cmpd="sng" w="19050">
              <a:solidFill>
                <a:schemeClr val="accent1"/>
              </a:solidFill>
              <a:prstDash val="sysDot"/>
            </a:ln>
          </c:spPr>
          <c:cat>
            <c:strRef>
              <c:f>'資產表'!$B$20:$B$100</c:f>
            </c:strRef>
          </c:cat>
          <c:val>
            <c:numRef>
              <c:f>'資產表'!$R$20:$R$100</c:f>
              <c:numCache/>
            </c:numRef>
          </c:val>
        </c:ser>
        <c:axId val="807087683"/>
        <c:axId val="278289948"/>
      </c:areaChart>
      <c:catAx>
        <c:axId val="80708768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289948"/>
      </c:catAx>
      <c:valAx>
        <c:axId val="278289948"/>
        <c:scaling>
          <c:orientation val="minMax"/>
          <c:max val="0.4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0876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'資產表'!$Q$6:$Q$12</c:f>
            </c:strRef>
          </c:cat>
          <c:val>
            <c:numRef>
              <c:f>'資產表'!$R$6:$R$12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當月收入 and 當月淨資產(不含斜槓)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strRef>
              <c:f>'資產表'!$F$18:$F$19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'資產表'!$B$20:$B$100</c:f>
            </c:strRef>
          </c:cat>
          <c:val>
            <c:numRef>
              <c:f>'資產表'!$F$20:$F$100</c:f>
              <c:numCache/>
            </c:numRef>
          </c:val>
          <c:smooth val="0"/>
        </c:ser>
        <c:axId val="1481063955"/>
        <c:axId val="1021248443"/>
      </c:lineChart>
      <c:catAx>
        <c:axId val="1481063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248443"/>
      </c:catAx>
      <c:valAx>
        <c:axId val="1021248443"/>
        <c:scaling>
          <c:orientation val="minMax"/>
          <c:max val="6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063955"/>
      </c:valAx>
      <c:barChart>
        <c:barDir val="col"/>
        <c:grouping val="stacked"/>
        <c:ser>
          <c:idx val="0"/>
          <c:order val="0"/>
          <c:tx>
            <c:strRef>
              <c:f>'資產表'!$E$18:$E$19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'資產表'!$B$20:$B$100</c:f>
            </c:strRef>
          </c:cat>
          <c:val>
            <c:numRef>
              <c:f>'資產表'!$E$20:$E$100</c:f>
              <c:numCache/>
            </c:numRef>
          </c:val>
        </c:ser>
        <c:overlap val="100"/>
        <c:axId val="1646735058"/>
        <c:axId val="993888844"/>
      </c:barChart>
      <c:catAx>
        <c:axId val="164673505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888844"/>
      </c:catAx>
      <c:valAx>
        <c:axId val="993888844"/>
        <c:scaling>
          <c:orientation val="minMax"/>
          <c:max val="2800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7350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Portfolio Allocation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'Spot Holdings'!$J$5</c:f>
            </c:strRef>
          </c:tx>
          <c:dPt>
            <c:idx val="0"/>
            <c:spPr>
              <a:solidFill>
                <a:srgbClr val="4285F4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"/>
            <c:spPr>
              <a:solidFill>
                <a:srgbClr val="00FF00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6"/>
            <c:spPr>
              <a:solidFill>
                <a:srgbClr val="93C47D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7"/>
            <c:spPr>
              <a:solidFill>
                <a:srgbClr val="F07B72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8"/>
            <c:spPr>
              <a:solidFill>
                <a:srgbClr val="FCD04F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9"/>
            <c:spPr>
              <a:solidFill>
                <a:srgbClr val="434343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0"/>
            <c:spPr>
              <a:solidFill>
                <a:srgbClr val="F6B26B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1"/>
            <c:spPr>
              <a:solidFill>
                <a:srgbClr val="7ED1D7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2"/>
            <c:spPr>
              <a:solidFill>
                <a:srgbClr val="B3CEFB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3"/>
            <c:spPr>
              <a:solidFill>
                <a:srgbClr val="F7B4AE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4"/>
            <c:spPr>
              <a:solidFill>
                <a:srgbClr val="FDE49B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5"/>
            <c:spPr>
              <a:solidFill>
                <a:srgbClr val="AEDCBA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rgbClr val="434343"/>
                </a:solidFill>
              </a:ln>
            </c:spPr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'Spot Holdings'!$D$6:$D$39</c:f>
            </c:strRef>
          </c:cat>
          <c:val>
            <c:numRef>
              <c:f>'Spot Holdings'!$J$6:$J$39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VTI!$F$25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VTI!$B$26:$B$998</c:f>
            </c:strRef>
          </c:cat>
          <c:val>
            <c:numRef>
              <c:f>VTI!$F$26:$F$998</c:f>
              <c:numCache/>
            </c:numRef>
          </c:val>
          <c:smooth val="0"/>
        </c:ser>
        <c:axId val="225569242"/>
        <c:axId val="266234928"/>
      </c:lineChart>
      <c:catAx>
        <c:axId val="225569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266234928"/>
      </c:catAx>
      <c:valAx>
        <c:axId val="266234928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55692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VTI!$O$24:$O$25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VTI!$J$26:$J$117</c:f>
            </c:strRef>
          </c:cat>
          <c:val>
            <c:numRef>
              <c:f>VTI!$O$26:$O$117</c:f>
              <c:numCache/>
            </c:numRef>
          </c:val>
          <c:smooth val="0"/>
        </c:ser>
        <c:ser>
          <c:idx val="2"/>
          <c:order val="2"/>
          <c:tx>
            <c:strRef>
              <c:f>VTI!$L$24:$L$25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VTI!$J$26:$J$117</c:f>
            </c:strRef>
          </c:cat>
          <c:val>
            <c:numRef>
              <c:f>VTI!$L$26:$L$117</c:f>
              <c:numCache/>
            </c:numRef>
          </c:val>
          <c:smooth val="0"/>
        </c:ser>
        <c:axId val="96541281"/>
        <c:axId val="998010237"/>
      </c:lineChart>
      <c:catAx>
        <c:axId val="96541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010237"/>
      </c:catAx>
      <c:valAx>
        <c:axId val="998010237"/>
        <c:scaling>
          <c:orientation val="minMax"/>
          <c:max val="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41281"/>
      </c:valAx>
      <c:lineChart>
        <c:varyColors val="0"/>
        <c:ser>
          <c:idx val="0"/>
          <c:order val="0"/>
          <c:tx>
            <c:strRef>
              <c:f>VTI!$K$24:$K$25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VTI!$J$26:$J$117</c:f>
            </c:strRef>
          </c:cat>
          <c:val>
            <c:numRef>
              <c:f>VTI!$K$26:$K$117</c:f>
              <c:numCache/>
            </c:numRef>
          </c:val>
          <c:smooth val="0"/>
        </c:ser>
        <c:axId val="1669529345"/>
        <c:axId val="795028237"/>
      </c:lineChart>
      <c:catAx>
        <c:axId val="166952934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028237"/>
      </c:catAx>
      <c:valAx>
        <c:axId val="795028237"/>
        <c:scaling>
          <c:orientation val="minMax"/>
          <c:max val="2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5293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'2330 台積電'!$F$25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'2330 台積電'!$B$26:$B$998</c:f>
            </c:strRef>
          </c:cat>
          <c:val>
            <c:numRef>
              <c:f>'2330 台積電'!$F$26:$F$998</c:f>
              <c:numCache/>
            </c:numRef>
          </c:val>
          <c:smooth val="0"/>
        </c:ser>
        <c:axId val="875143373"/>
        <c:axId val="349598189"/>
      </c:lineChart>
      <c:catAx>
        <c:axId val="875143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349598189"/>
      </c:catAx>
      <c:valAx>
        <c:axId val="349598189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5143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'2330 台積電'!$O$24:$O$25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'2330 台積電'!$J$26:$J$50</c:f>
            </c:strRef>
          </c:cat>
          <c:val>
            <c:numRef>
              <c:f>'2330 台積電'!$O$26:$O$50</c:f>
              <c:numCache/>
            </c:numRef>
          </c:val>
          <c:smooth val="0"/>
        </c:ser>
        <c:ser>
          <c:idx val="2"/>
          <c:order val="2"/>
          <c:tx>
            <c:strRef>
              <c:f>'2330 台積電'!$L$24:$L$25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'2330 台積電'!$J$26:$J$50</c:f>
            </c:strRef>
          </c:cat>
          <c:val>
            <c:numRef>
              <c:f>'2330 台積電'!$L$26:$L$50</c:f>
              <c:numCache/>
            </c:numRef>
          </c:val>
          <c:smooth val="0"/>
        </c:ser>
        <c:axId val="1331409380"/>
        <c:axId val="1243592917"/>
      </c:lineChart>
      <c:catAx>
        <c:axId val="1331409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592917"/>
      </c:catAx>
      <c:valAx>
        <c:axId val="1243592917"/>
        <c:scaling>
          <c:orientation val="minMax"/>
          <c:max val="3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409380"/>
      </c:valAx>
      <c:lineChart>
        <c:varyColors val="0"/>
        <c:ser>
          <c:idx val="0"/>
          <c:order val="0"/>
          <c:tx>
            <c:strRef>
              <c:f>'2330 台積電'!$K$24:$K$25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'2330 台積電'!$J$26:$J$50</c:f>
            </c:strRef>
          </c:cat>
          <c:val>
            <c:numRef>
              <c:f>'2330 台積電'!$K$26:$K$50</c:f>
              <c:numCache/>
            </c:numRef>
          </c:val>
          <c:smooth val="0"/>
        </c:ser>
        <c:axId val="1239806852"/>
        <c:axId val="609324686"/>
      </c:lineChart>
      <c:catAx>
        <c:axId val="12398068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324686"/>
      </c:catAx>
      <c:valAx>
        <c:axId val="609324686"/>
        <c:scaling>
          <c:orientation val="minMax"/>
          <c:max val="2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8068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'00692 富邦公司治理'!$F$25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'00692 富邦公司治理'!$B$26:$B$998</c:f>
            </c:strRef>
          </c:cat>
          <c:val>
            <c:numRef>
              <c:f>'00692 富邦公司治理'!$F$26:$F$998</c:f>
              <c:numCache/>
            </c:numRef>
          </c:val>
          <c:smooth val="0"/>
        </c:ser>
        <c:axId val="657625533"/>
        <c:axId val="1283120391"/>
      </c:lineChart>
      <c:catAx>
        <c:axId val="657625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1283120391"/>
      </c:catAx>
      <c:valAx>
        <c:axId val="1283120391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7625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'00692 富邦公司治理'!$O$24:$O$25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'00692 富邦公司治理'!$J$26:$J$41</c:f>
            </c:strRef>
          </c:cat>
          <c:val>
            <c:numRef>
              <c:f>'00692 富邦公司治理'!$O$26:$O$41</c:f>
              <c:numCache/>
            </c:numRef>
          </c:val>
          <c:smooth val="0"/>
        </c:ser>
        <c:ser>
          <c:idx val="2"/>
          <c:order val="2"/>
          <c:tx>
            <c:strRef>
              <c:f>'00692 富邦公司治理'!$L$24:$L$25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'00692 富邦公司治理'!$J$26:$J$41</c:f>
            </c:strRef>
          </c:cat>
          <c:val>
            <c:numRef>
              <c:f>'00692 富邦公司治理'!$L$26:$L$41</c:f>
              <c:numCache/>
            </c:numRef>
          </c:val>
          <c:smooth val="0"/>
        </c:ser>
        <c:axId val="912192712"/>
        <c:axId val="344363458"/>
      </c:lineChart>
      <c:catAx>
        <c:axId val="912192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363458"/>
      </c:catAx>
      <c:valAx>
        <c:axId val="34436345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192712"/>
      </c:valAx>
      <c:lineChart>
        <c:varyColors val="0"/>
        <c:ser>
          <c:idx val="0"/>
          <c:order val="0"/>
          <c:tx>
            <c:strRef>
              <c:f>'00692 富邦公司治理'!$K$24:$K$25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'00692 富邦公司治理'!$J$26:$J$41</c:f>
            </c:strRef>
          </c:cat>
          <c:val>
            <c:numRef>
              <c:f>'00692 富邦公司治理'!$K$26:$K$41</c:f>
              <c:numCache/>
            </c:numRef>
          </c:val>
          <c:smooth val="0"/>
        </c:ser>
        <c:axId val="847233676"/>
        <c:axId val="216562697"/>
      </c:lineChart>
      <c:catAx>
        <c:axId val="8472336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562697"/>
      </c:catAx>
      <c:valAx>
        <c:axId val="216562697"/>
        <c:scaling>
          <c:orientation val="minMax"/>
          <c:max val="15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2336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 of 持有現值比例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'US Stocks'!$J$6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'US Stocks'!$B$7:$B$18</c:f>
            </c:strRef>
          </c:cat>
          <c:val>
            <c:numRef>
              <c:f>'US Stocks'!$J$7:$J$20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目標持股比例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'US Stocks'!$B$6:$B$20</c:f>
            </c:strRef>
          </c:cat>
          <c:val>
            <c:numRef>
              <c:f>'US Stocks'!$K$6:$K$20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'00878 國泰永續'!$F$25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'00878 國泰永續'!$B$26:$B$998</c:f>
            </c:strRef>
          </c:cat>
          <c:val>
            <c:numRef>
              <c:f>'00878 國泰永續'!$F$26:$F$998</c:f>
              <c:numCache/>
            </c:numRef>
          </c:val>
          <c:smooth val="0"/>
        </c:ser>
        <c:axId val="56866667"/>
        <c:axId val="941552481"/>
      </c:lineChart>
      <c:catAx>
        <c:axId val="56866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941552481"/>
      </c:catAx>
      <c:valAx>
        <c:axId val="941552481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866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'00878 國泰永續'!$O$24:$O$25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'00878 國泰永續'!$J$26:$J$200</c:f>
            </c:strRef>
          </c:cat>
          <c:val>
            <c:numRef>
              <c:f>'00878 國泰永續'!$O$26:$O$200</c:f>
              <c:numCache/>
            </c:numRef>
          </c:val>
          <c:smooth val="0"/>
        </c:ser>
        <c:ser>
          <c:idx val="2"/>
          <c:order val="2"/>
          <c:tx>
            <c:strRef>
              <c:f>'00878 國泰永續'!$L$24:$L$25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'00878 國泰永續'!$J$26:$J$200</c:f>
            </c:strRef>
          </c:cat>
          <c:val>
            <c:numRef>
              <c:f>'00878 國泰永續'!$L$26:$L$200</c:f>
              <c:numCache/>
            </c:numRef>
          </c:val>
          <c:smooth val="0"/>
        </c:ser>
        <c:axId val="1657647345"/>
        <c:axId val="579962372"/>
      </c:lineChart>
      <c:catAx>
        <c:axId val="1657647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962372"/>
      </c:catAx>
      <c:valAx>
        <c:axId val="579962372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647345"/>
      </c:valAx>
      <c:lineChart>
        <c:varyColors val="0"/>
        <c:ser>
          <c:idx val="0"/>
          <c:order val="0"/>
          <c:tx>
            <c:strRef>
              <c:f>'00878 國泰永續'!$K$24:$K$25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'00878 國泰永續'!$J$26:$J$200</c:f>
            </c:strRef>
          </c:cat>
          <c:val>
            <c:numRef>
              <c:f>'00878 國泰永續'!$K$26:$K$200</c:f>
              <c:numCache/>
            </c:numRef>
          </c:val>
          <c:smooth val="0"/>
        </c:ser>
        <c:axId val="1240512987"/>
        <c:axId val="254422162"/>
      </c:lineChart>
      <c:catAx>
        <c:axId val="12405129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422162"/>
      </c:catAx>
      <c:valAx>
        <c:axId val="254422162"/>
        <c:scaling>
          <c:orientation val="minMax"/>
          <c:max val="15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5129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'2887 台新金'!$F$25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'2887 台新金'!$B$26:$B$998</c:f>
            </c:strRef>
          </c:cat>
          <c:val>
            <c:numRef>
              <c:f>'2887 台新金'!$F$26:$F$998</c:f>
              <c:numCache/>
            </c:numRef>
          </c:val>
          <c:smooth val="0"/>
        </c:ser>
        <c:axId val="744027737"/>
        <c:axId val="571731686"/>
      </c:lineChart>
      <c:catAx>
        <c:axId val="744027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571731686"/>
      </c:catAx>
      <c:valAx>
        <c:axId val="571731686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4027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'2887 台新金'!$O$24:$O$25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'2887 台新金'!$J$26:$J$73</c:f>
            </c:strRef>
          </c:cat>
          <c:val>
            <c:numRef>
              <c:f>'2887 台新金'!$O$26:$O$73</c:f>
              <c:numCache/>
            </c:numRef>
          </c:val>
          <c:smooth val="0"/>
        </c:ser>
        <c:ser>
          <c:idx val="2"/>
          <c:order val="2"/>
          <c:tx>
            <c:strRef>
              <c:f>'2887 台新金'!$L$24:$L$25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'2887 台新金'!$J$26:$J$73</c:f>
            </c:strRef>
          </c:cat>
          <c:val>
            <c:numRef>
              <c:f>'2887 台新金'!$L$26:$L$73</c:f>
              <c:numCache/>
            </c:numRef>
          </c:val>
          <c:smooth val="0"/>
        </c:ser>
        <c:axId val="1105505900"/>
        <c:axId val="1797160880"/>
      </c:lineChart>
      <c:catAx>
        <c:axId val="1105505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7160880"/>
      </c:catAx>
      <c:valAx>
        <c:axId val="1797160880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505900"/>
      </c:valAx>
      <c:lineChart>
        <c:varyColors val="0"/>
        <c:ser>
          <c:idx val="0"/>
          <c:order val="0"/>
          <c:tx>
            <c:strRef>
              <c:f>'2887 台新金'!$K$24:$K$25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'2887 台新金'!$J$26:$J$73</c:f>
            </c:strRef>
          </c:cat>
          <c:val>
            <c:numRef>
              <c:f>'2887 台新金'!$K$26:$K$73</c:f>
              <c:numCache/>
            </c:numRef>
          </c:val>
          <c:smooth val="0"/>
        </c:ser>
        <c:axId val="1518084369"/>
        <c:axId val="433711482"/>
      </c:lineChart>
      <c:catAx>
        <c:axId val="15180843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711482"/>
      </c:catAx>
      <c:valAx>
        <c:axId val="433711482"/>
        <c:scaling>
          <c:orientation val="minMax"/>
          <c:max val="20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0843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'2834 臺企銀'!$F$25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'2834 臺企銀'!$B$26:$B$998</c:f>
            </c:strRef>
          </c:cat>
          <c:val>
            <c:numRef>
              <c:f>'2834 臺企銀'!$F$26:$F$998</c:f>
              <c:numCache/>
            </c:numRef>
          </c:val>
          <c:smooth val="0"/>
        </c:ser>
        <c:axId val="1870958513"/>
        <c:axId val="330839709"/>
      </c:lineChart>
      <c:catAx>
        <c:axId val="1870958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330839709"/>
      </c:catAx>
      <c:valAx>
        <c:axId val="330839709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0958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'2834 臺企銀'!$O$24:$O$25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'2834 臺企銀'!$J$26:$J$41</c:f>
            </c:strRef>
          </c:cat>
          <c:val>
            <c:numRef>
              <c:f>'2834 臺企銀'!$O$26:$O$41</c:f>
              <c:numCache/>
            </c:numRef>
          </c:val>
          <c:smooth val="0"/>
        </c:ser>
        <c:ser>
          <c:idx val="2"/>
          <c:order val="2"/>
          <c:tx>
            <c:strRef>
              <c:f>'2834 臺企銀'!$L$24:$L$25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'2834 臺企銀'!$J$26:$J$41</c:f>
            </c:strRef>
          </c:cat>
          <c:val>
            <c:numRef>
              <c:f>'2834 臺企銀'!$L$26:$L$41</c:f>
              <c:numCache/>
            </c:numRef>
          </c:val>
          <c:smooth val="0"/>
        </c:ser>
        <c:axId val="2080519535"/>
        <c:axId val="1501713664"/>
      </c:lineChart>
      <c:catAx>
        <c:axId val="2080519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713664"/>
      </c:catAx>
      <c:valAx>
        <c:axId val="1501713664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519535"/>
      </c:valAx>
      <c:lineChart>
        <c:varyColors val="0"/>
        <c:ser>
          <c:idx val="0"/>
          <c:order val="0"/>
          <c:tx>
            <c:strRef>
              <c:f>'2834 臺企銀'!$K$24:$K$25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'2834 臺企銀'!$J$26:$J$41</c:f>
            </c:strRef>
          </c:cat>
          <c:val>
            <c:numRef>
              <c:f>'2834 臺企銀'!$K$26:$K$41</c:f>
              <c:numCache/>
            </c:numRef>
          </c:val>
          <c:smooth val="0"/>
        </c:ser>
        <c:axId val="1786016957"/>
        <c:axId val="260892384"/>
      </c:lineChart>
      <c:catAx>
        <c:axId val="178601695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892384"/>
      </c:catAx>
      <c:valAx>
        <c:axId val="260892384"/>
        <c:scaling>
          <c:orientation val="minMax"/>
          <c:max val="15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0169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Bitcoin Rainbow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'BTC Rainbow'!$B$1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'BTC Rainbow'!$A$2:$A$3741</c:f>
            </c:strRef>
          </c:cat>
          <c:val>
            <c:numRef>
              <c:f>'BTC Rainbow'!$B$2:$B$3741</c:f>
              <c:numCache/>
            </c:numRef>
          </c:val>
          <c:smooth val="0"/>
        </c:ser>
        <c:ser>
          <c:idx val="1"/>
          <c:order val="1"/>
          <c:tx>
            <c:strRef>
              <c:f>'BTC Rainbow'!$D$1</c:f>
            </c:strRef>
          </c:tx>
          <c:spPr>
            <a:ln cmpd="sng" w="76200">
              <a:solidFill>
                <a:srgbClr val="0000FF">
                  <a:alpha val="50196"/>
                </a:srgbClr>
              </a:solidFill>
              <a:prstDash val="solid"/>
            </a:ln>
          </c:spPr>
          <c:marker>
            <c:symbol val="none"/>
          </c:marker>
          <c:dPt>
            <c:idx val="1681"/>
            <c:marker>
              <c:symbol val="none"/>
            </c:marker>
          </c:dPt>
          <c:cat>
            <c:strRef>
              <c:f>'BTC Rainbow'!$A$2:$A$3741</c:f>
            </c:strRef>
          </c:cat>
          <c:val>
            <c:numRef>
              <c:f>'BTC Rainbow'!$D$2:$D$3741</c:f>
              <c:numCache/>
            </c:numRef>
          </c:val>
          <c:smooth val="0"/>
        </c:ser>
        <c:ser>
          <c:idx val="2"/>
          <c:order val="2"/>
          <c:tx>
            <c:strRef>
              <c:f>'BTC Rainbow'!$E$1</c:f>
            </c:strRef>
          </c:tx>
          <c:spPr>
            <a:ln cmpd="sng" w="76200">
              <a:solidFill>
                <a:srgbClr val="00FFFF">
                  <a:alpha val="50196"/>
                </a:srgbClr>
              </a:solidFill>
            </a:ln>
          </c:spPr>
          <c:marker>
            <c:symbol val="none"/>
          </c:marker>
          <c:dPt>
            <c:idx val="1706"/>
            <c:marker>
              <c:symbol val="none"/>
            </c:marker>
          </c:dPt>
          <c:dPt>
            <c:idx val="1737"/>
            <c:marker>
              <c:symbol val="none"/>
            </c:marker>
          </c:dPt>
          <c:cat>
            <c:strRef>
              <c:f>'BTC Rainbow'!$A$2:$A$3741</c:f>
            </c:strRef>
          </c:cat>
          <c:val>
            <c:numRef>
              <c:f>'BTC Rainbow'!$E$2:$E$3741</c:f>
              <c:numCache/>
            </c:numRef>
          </c:val>
          <c:smooth val="0"/>
        </c:ser>
        <c:ser>
          <c:idx val="3"/>
          <c:order val="3"/>
          <c:tx>
            <c:strRef>
              <c:f>'BTC Rainbow'!$F$1</c:f>
            </c:strRef>
          </c:tx>
          <c:spPr>
            <a:ln cmpd="sng" w="76200">
              <a:solidFill>
                <a:srgbClr val="00FF00">
                  <a:alpha val="50196"/>
                </a:srgbClr>
              </a:solidFill>
            </a:ln>
          </c:spPr>
          <c:marker>
            <c:symbol val="none"/>
          </c:marker>
          <c:cat>
            <c:strRef>
              <c:f>'BTC Rainbow'!$A$2:$A$3741</c:f>
            </c:strRef>
          </c:cat>
          <c:val>
            <c:numRef>
              <c:f>'BTC Rainbow'!$F$2:$F$3741</c:f>
              <c:numCache/>
            </c:numRef>
          </c:val>
          <c:smooth val="0"/>
        </c:ser>
        <c:ser>
          <c:idx val="4"/>
          <c:order val="4"/>
          <c:tx>
            <c:strRef>
              <c:f>'BTC Rainbow'!$G$1</c:f>
            </c:strRef>
          </c:tx>
          <c:spPr>
            <a:ln cmpd="sng" w="76200">
              <a:solidFill>
                <a:srgbClr val="FFFF00">
                  <a:alpha val="50196"/>
                </a:srgbClr>
              </a:solidFill>
            </a:ln>
          </c:spPr>
          <c:marker>
            <c:symbol val="none"/>
          </c:marker>
          <c:cat>
            <c:strRef>
              <c:f>'BTC Rainbow'!$A$2:$A$3741</c:f>
            </c:strRef>
          </c:cat>
          <c:val>
            <c:numRef>
              <c:f>'BTC Rainbow'!$G$2:$G$3741</c:f>
              <c:numCache/>
            </c:numRef>
          </c:val>
          <c:smooth val="0"/>
        </c:ser>
        <c:ser>
          <c:idx val="5"/>
          <c:order val="5"/>
          <c:tx>
            <c:strRef>
              <c:f>'BTC Rainbow'!$H$1</c:f>
            </c:strRef>
          </c:tx>
          <c:spPr>
            <a:ln cmpd="sng" w="76200">
              <a:solidFill>
                <a:srgbClr val="FF9900">
                  <a:alpha val="50196"/>
                </a:srgbClr>
              </a:solidFill>
            </a:ln>
          </c:spPr>
          <c:marker>
            <c:symbol val="none"/>
          </c:marker>
          <c:cat>
            <c:strRef>
              <c:f>'BTC Rainbow'!$A$2:$A$3741</c:f>
            </c:strRef>
          </c:cat>
          <c:val>
            <c:numRef>
              <c:f>'BTC Rainbow'!$H$2:$H$3741</c:f>
              <c:numCache/>
            </c:numRef>
          </c:val>
          <c:smooth val="0"/>
        </c:ser>
        <c:ser>
          <c:idx val="6"/>
          <c:order val="6"/>
          <c:tx>
            <c:strRef>
              <c:f>'BTC Rainbow'!$I$1</c:f>
            </c:strRef>
          </c:tx>
          <c:spPr>
            <a:ln cmpd="sng" w="76200">
              <a:solidFill>
                <a:srgbClr val="FF0000">
                  <a:alpha val="50196"/>
                </a:srgbClr>
              </a:solidFill>
            </a:ln>
          </c:spPr>
          <c:marker>
            <c:symbol val="none"/>
          </c:marker>
          <c:cat>
            <c:strRef>
              <c:f>'BTC Rainbow'!$A$2:$A$3741</c:f>
            </c:strRef>
          </c:cat>
          <c:val>
            <c:numRef>
              <c:f>'BTC Rainbow'!$I$2:$I$3741</c:f>
              <c:numCache/>
            </c:numRef>
          </c:val>
          <c:smooth val="0"/>
        </c:ser>
        <c:axId val="1311481930"/>
        <c:axId val="514981187"/>
      </c:lineChart>
      <c:catAx>
        <c:axId val="1311481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981187"/>
      </c:catAx>
      <c:valAx>
        <c:axId val="514981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481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'9945 潤泰新'!$F$25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'9945 潤泰新'!$B$26:$B$998</c:f>
            </c:strRef>
          </c:cat>
          <c:val>
            <c:numRef>
              <c:f>'9945 潤泰新'!$F$26:$F$998</c:f>
              <c:numCache/>
            </c:numRef>
          </c:val>
          <c:smooth val="0"/>
        </c:ser>
        <c:axId val="1680860037"/>
        <c:axId val="304726924"/>
      </c:lineChart>
      <c:catAx>
        <c:axId val="1680860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304726924"/>
      </c:catAx>
      <c:valAx>
        <c:axId val="304726924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08600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'9945 潤泰新'!$O$24:$O$25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'9945 潤泰新'!$J$26:$J$41</c:f>
            </c:strRef>
          </c:cat>
          <c:val>
            <c:numRef>
              <c:f>'9945 潤泰新'!$O$26:$O$41</c:f>
              <c:numCache/>
            </c:numRef>
          </c:val>
          <c:smooth val="0"/>
        </c:ser>
        <c:ser>
          <c:idx val="2"/>
          <c:order val="2"/>
          <c:tx>
            <c:strRef>
              <c:f>'9945 潤泰新'!$L$24:$L$25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'9945 潤泰新'!$J$26:$J$41</c:f>
            </c:strRef>
          </c:cat>
          <c:val>
            <c:numRef>
              <c:f>'9945 潤泰新'!$L$26:$L$41</c:f>
              <c:numCache/>
            </c:numRef>
          </c:val>
          <c:smooth val="0"/>
        </c:ser>
        <c:axId val="669795755"/>
        <c:axId val="2113442161"/>
      </c:lineChart>
      <c:catAx>
        <c:axId val="669795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442161"/>
      </c:catAx>
      <c:valAx>
        <c:axId val="2113442161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795755"/>
      </c:valAx>
      <c:lineChart>
        <c:varyColors val="0"/>
        <c:ser>
          <c:idx val="0"/>
          <c:order val="0"/>
          <c:tx>
            <c:strRef>
              <c:f>'9945 潤泰新'!$K$24:$K$25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'9945 潤泰新'!$J$26:$J$41</c:f>
            </c:strRef>
          </c:cat>
          <c:val>
            <c:numRef>
              <c:f>'9945 潤泰新'!$K$26:$K$41</c:f>
              <c:numCache/>
            </c:numRef>
          </c:val>
          <c:smooth val="0"/>
        </c:ser>
        <c:axId val="754713739"/>
        <c:axId val="469851546"/>
      </c:lineChart>
      <c:catAx>
        <c:axId val="7547137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851546"/>
      </c:catAx>
      <c:valAx>
        <c:axId val="469851546"/>
        <c:scaling>
          <c:orientation val="minMax"/>
          <c:max val="15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7137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ITOT!$F$25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ITOT!$B$26:$B$998</c:f>
            </c:strRef>
          </c:cat>
          <c:val>
            <c:numRef>
              <c:f>ITOT!$F$26:$F$998</c:f>
              <c:numCache/>
            </c:numRef>
          </c:val>
          <c:smooth val="0"/>
        </c:ser>
        <c:axId val="570545803"/>
        <c:axId val="982778671"/>
      </c:lineChart>
      <c:catAx>
        <c:axId val="570545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982778671"/>
      </c:catAx>
      <c:valAx>
        <c:axId val="982778671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70545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ITOT!$O$24:$O$25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ITOT!$J$26:$J$41</c:f>
            </c:strRef>
          </c:cat>
          <c:val>
            <c:numRef>
              <c:f>ITOT!$O$26:$O$41</c:f>
              <c:numCache/>
            </c:numRef>
          </c:val>
          <c:smooth val="0"/>
        </c:ser>
        <c:ser>
          <c:idx val="2"/>
          <c:order val="2"/>
          <c:tx>
            <c:strRef>
              <c:f>ITOT!$L$24:$L$25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ITOT!$J$26:$J$41</c:f>
            </c:strRef>
          </c:cat>
          <c:val>
            <c:numRef>
              <c:f>ITOT!$L$26:$L$41</c:f>
              <c:numCache/>
            </c:numRef>
          </c:val>
          <c:smooth val="0"/>
        </c:ser>
        <c:axId val="704059778"/>
        <c:axId val="881075583"/>
      </c:lineChart>
      <c:catAx>
        <c:axId val="704059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075583"/>
      </c:catAx>
      <c:valAx>
        <c:axId val="881075583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059778"/>
      </c:valAx>
      <c:lineChart>
        <c:varyColors val="0"/>
        <c:ser>
          <c:idx val="0"/>
          <c:order val="0"/>
          <c:tx>
            <c:strRef>
              <c:f>ITOT!$K$24:$K$25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ITOT!$J$26:$J$41</c:f>
            </c:strRef>
          </c:cat>
          <c:val>
            <c:numRef>
              <c:f>ITOT!$K$26:$K$41</c:f>
              <c:numCache/>
            </c:numRef>
          </c:val>
          <c:smooth val="0"/>
        </c:ser>
        <c:axId val="1385951168"/>
        <c:axId val="1551700767"/>
      </c:lineChart>
      <c:catAx>
        <c:axId val="1385951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700767"/>
      </c:catAx>
      <c:valAx>
        <c:axId val="1551700767"/>
        <c:scaling>
          <c:orientation val="minMax"/>
          <c:max val="1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9511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QYLD!$F$25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QYLD!$B$26:$B$998</c:f>
            </c:strRef>
          </c:cat>
          <c:val>
            <c:numRef>
              <c:f>QYLD!$F$26:$F$998</c:f>
              <c:numCache/>
            </c:numRef>
          </c:val>
          <c:smooth val="0"/>
        </c:ser>
        <c:axId val="1099696410"/>
        <c:axId val="576891782"/>
      </c:lineChart>
      <c:catAx>
        <c:axId val="1099696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576891782"/>
      </c:catAx>
      <c:valAx>
        <c:axId val="576891782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9696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QYLD!$O$24:$O$25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QYLD!$J$26:$J$41</c:f>
            </c:strRef>
          </c:cat>
          <c:val>
            <c:numRef>
              <c:f>QYLD!$O$26:$O$41</c:f>
              <c:numCache/>
            </c:numRef>
          </c:val>
          <c:smooth val="0"/>
        </c:ser>
        <c:ser>
          <c:idx val="2"/>
          <c:order val="2"/>
          <c:tx>
            <c:strRef>
              <c:f>QYLD!$L$24:$L$25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QYLD!$J$26:$J$41</c:f>
            </c:strRef>
          </c:cat>
          <c:val>
            <c:numRef>
              <c:f>QYLD!$L$26:$L$41</c:f>
              <c:numCache/>
            </c:numRef>
          </c:val>
          <c:smooth val="0"/>
        </c:ser>
        <c:axId val="953531013"/>
        <c:axId val="1849893250"/>
      </c:lineChart>
      <c:catAx>
        <c:axId val="953531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893250"/>
      </c:catAx>
      <c:valAx>
        <c:axId val="1849893250"/>
        <c:scaling>
          <c:orientation val="minMax"/>
          <c:max val="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531013"/>
      </c:valAx>
      <c:lineChart>
        <c:varyColors val="0"/>
        <c:ser>
          <c:idx val="0"/>
          <c:order val="0"/>
          <c:tx>
            <c:strRef>
              <c:f>QYLD!$K$24:$K$25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QYLD!$J$26:$J$41</c:f>
            </c:strRef>
          </c:cat>
          <c:val>
            <c:numRef>
              <c:f>QYLD!$K$26:$K$41</c:f>
              <c:numCache/>
            </c:numRef>
          </c:val>
          <c:smooth val="0"/>
        </c:ser>
        <c:axId val="217169736"/>
        <c:axId val="258785823"/>
      </c:lineChart>
      <c:catAx>
        <c:axId val="217169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785823"/>
      </c:catAx>
      <c:valAx>
        <c:axId val="258785823"/>
        <c:scaling>
          <c:orientation val="minMax"/>
          <c:max val="1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1697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'0050 元大台50'!$F$25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'0050 元大台50'!$B$26:$B$998</c:f>
            </c:strRef>
          </c:cat>
          <c:val>
            <c:numRef>
              <c:f>'0050 元大台50'!$F$26:$F$998</c:f>
              <c:numCache/>
            </c:numRef>
          </c:val>
          <c:smooth val="0"/>
        </c:ser>
        <c:axId val="2131284832"/>
        <c:axId val="766355630"/>
      </c:lineChart>
      <c:catAx>
        <c:axId val="213128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766355630"/>
      </c:catAx>
      <c:valAx>
        <c:axId val="766355630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1284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Transaction detail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'0050 元大台50'!$O$24:$O$25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'0050 元大台50'!$J$26:$J$44</c:f>
            </c:strRef>
          </c:cat>
          <c:val>
            <c:numRef>
              <c:f>'0050 元大台50'!$O$26:$O$41</c:f>
              <c:numCache/>
            </c:numRef>
          </c:val>
          <c:smooth val="0"/>
        </c:ser>
        <c:ser>
          <c:idx val="2"/>
          <c:order val="2"/>
          <c:tx>
            <c:strRef>
              <c:f>'0050 元大台50'!$L$24:$L$25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'0050 元大台50'!$J$26:$J$44</c:f>
            </c:strRef>
          </c:cat>
          <c:val>
            <c:numRef>
              <c:f>'0050 元大台50'!$L$26:$L$44</c:f>
              <c:numCache/>
            </c:numRef>
          </c:val>
          <c:smooth val="0"/>
        </c:ser>
        <c:axId val="13991964"/>
        <c:axId val="731065204"/>
      </c:lineChart>
      <c:catAx>
        <c:axId val="13991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065204"/>
      </c:catAx>
      <c:valAx>
        <c:axId val="731065204"/>
        <c:scaling>
          <c:orientation val="minMax"/>
          <c:max val="1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1964"/>
      </c:valAx>
      <c:lineChart>
        <c:varyColors val="0"/>
        <c:ser>
          <c:idx val="0"/>
          <c:order val="0"/>
          <c:tx>
            <c:strRef>
              <c:f>'0050 元大台50'!$K$24:$K$25</c:f>
            </c:strRef>
          </c:tx>
          <c:spPr>
            <a:ln cmpd="sng" w="9525">
              <a:solidFill>
                <a:srgbClr val="4285F4">
                  <a:alpha val="50196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285F4">
                  <a:alpha val="50196"/>
                </a:srgbClr>
              </a:solidFill>
              <a:ln cmpd="sng">
                <a:solidFill>
                  <a:srgbClr val="4285F4">
                    <a:alpha val="50196"/>
                  </a:srgbClr>
                </a:solidFill>
              </a:ln>
            </c:spPr>
          </c:marker>
          <c:cat>
            <c:strRef>
              <c:f>'0050 元大台50'!$J$26:$J$44</c:f>
            </c:strRef>
          </c:cat>
          <c:val>
            <c:numRef>
              <c:f>'0050 元大台50'!$K$26:$K$43</c:f>
              <c:numCache/>
            </c:numRef>
          </c:val>
          <c:smooth val="0"/>
        </c:ser>
        <c:axId val="872429725"/>
        <c:axId val="944041551"/>
      </c:lineChart>
      <c:catAx>
        <c:axId val="8724297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041551"/>
      </c:catAx>
      <c:valAx>
        <c:axId val="944041551"/>
        <c:scaling>
          <c:orientation val="minMax"/>
          <c:max val="3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4297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904875</xdr:colOff>
      <xdr:row>0</xdr:row>
      <xdr:rowOff>0</xdr:rowOff>
    </xdr:from>
    <xdr:ext cx="6915150" cy="251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123825</xdr:colOff>
      <xdr:row>0</xdr:row>
      <xdr:rowOff>0</xdr:rowOff>
    </xdr:from>
    <xdr:ext cx="4114800" cy="2514600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0</xdr:row>
      <xdr:rowOff>0</xdr:rowOff>
    </xdr:from>
    <xdr:ext cx="5715000" cy="2514600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40</xdr:row>
      <xdr:rowOff>123825</xdr:rowOff>
    </xdr:from>
    <xdr:ext cx="8801100" cy="5105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57850" cy="2057400"/>
    <xdr:graphicFrame>
      <xdr:nvGraphicFramePr>
        <xdr:cNvPr descr="Line chart showing stock changes over time." id="5" name="Chart 5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57850" cy="2057400"/>
    <xdr:graphicFrame>
      <xdr:nvGraphicFramePr>
        <xdr:cNvPr descr="Line chart showing stock changes over time." id="7" name="Chart 7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57850" cy="2057400"/>
    <xdr:graphicFrame>
      <xdr:nvGraphicFramePr>
        <xdr:cNvPr descr="Line chart showing stock changes over time." id="9" name="Chart 9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20</xdr:row>
      <xdr:rowOff>190500</xdr:rowOff>
    </xdr:from>
    <xdr:ext cx="6048375" cy="33528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419100</xdr:colOff>
      <xdr:row>20</xdr:row>
      <xdr:rowOff>190500</xdr:rowOff>
    </xdr:from>
    <xdr:ext cx="5715000" cy="34385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57850" cy="2057400"/>
    <xdr:graphicFrame>
      <xdr:nvGraphicFramePr>
        <xdr:cNvPr descr="Line chart showing stock changes over time." id="13" name="Chart 13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57850" cy="2057400"/>
    <xdr:graphicFrame>
      <xdr:nvGraphicFramePr>
        <xdr:cNvPr descr="Line chart showing stock changes over time." id="15" name="Chart 15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57850" cy="2057400"/>
    <xdr:graphicFrame>
      <xdr:nvGraphicFramePr>
        <xdr:cNvPr descr="Line chart showing stock changes over time." id="17" name="Chart 17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3241</xdr:row>
      <xdr:rowOff>0</xdr:rowOff>
    </xdr:from>
    <xdr:ext cx="5715000" cy="3533775"/>
    <xdr:graphicFrame>
      <xdr:nvGraphicFramePr>
        <xdr:cNvPr id="19" name="Chart 19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57850" cy="2057400"/>
    <xdr:graphicFrame>
      <xdr:nvGraphicFramePr>
        <xdr:cNvPr descr="Line chart showing stock changes over time." id="20" name="Chart 20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57850" cy="2057400"/>
    <xdr:graphicFrame>
      <xdr:nvGraphicFramePr>
        <xdr:cNvPr descr="Line chart showing stock changes over time." id="22" name="Chart 22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76900" cy="2057400"/>
    <xdr:graphicFrame>
      <xdr:nvGraphicFramePr>
        <xdr:cNvPr descr="Line chart showing stock changes over time." id="24" name="Chart 24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13</xdr:row>
      <xdr:rowOff>95250</xdr:rowOff>
    </xdr:from>
    <xdr:ext cx="5657850" cy="2057400"/>
    <xdr:graphicFrame>
      <xdr:nvGraphicFramePr>
        <xdr:cNvPr descr="Line chart showing stock changes over time." id="26" name="Chart 26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9</xdr:row>
      <xdr:rowOff>133350</xdr:rowOff>
    </xdr:from>
    <xdr:ext cx="6600825" cy="24955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dit.com/r/thetagang/s/r3P8jUIPaV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47" max="47" width="16.88"/>
  </cols>
  <sheetData>
    <row r="3">
      <c r="Q3" s="1" t="str">
        <f>R19</f>
        <v>現金比例</v>
      </c>
      <c r="R3" s="2">
        <f t="array" ref="R3">index(R20:R1012,Counta(R20:R1012))</f>
        <v>0.1332550888</v>
      </c>
    </row>
    <row r="4">
      <c r="Q4" s="1" t="str">
        <f>W19</f>
        <v>基金比例</v>
      </c>
      <c r="R4" s="2">
        <f t="array" ref="R4">index(W20:W1012,Counta(W20:W1012))</f>
        <v>0.1128163179</v>
      </c>
    </row>
    <row r="5">
      <c r="Q5" s="3" t="str">
        <f>AE19</f>
        <v>證券比例</v>
      </c>
      <c r="R5" s="2">
        <f t="array" ref="R5">index(AE20:AE1012,Counta(AE20:AE1012))</f>
        <v>0.6442691198</v>
      </c>
    </row>
    <row r="6">
      <c r="Q6" s="4" t="s">
        <v>0</v>
      </c>
      <c r="R6" s="2">
        <f>R5-R7</f>
        <v>0.4466976804</v>
      </c>
    </row>
    <row r="7">
      <c r="Q7" s="4" t="s">
        <v>1</v>
      </c>
      <c r="R7" s="5">
        <f t="array" ref="R7">index(AF20:AF1012,Counta(AF20:AF1012))*R5</f>
        <v>0.1975714394</v>
      </c>
    </row>
    <row r="8">
      <c r="Q8" s="4" t="s">
        <v>2</v>
      </c>
      <c r="R8" s="2">
        <f>R4-R9</f>
        <v>0.07819165628</v>
      </c>
    </row>
    <row r="9">
      <c r="Q9" s="4" t="s">
        <v>3</v>
      </c>
      <c r="R9" s="5">
        <f t="array" ref="R9">index(X20:X1012,Counta(X20:X1012))*R4</f>
        <v>0.03462466164</v>
      </c>
    </row>
    <row r="10">
      <c r="Q10" s="4" t="s">
        <v>4</v>
      </c>
      <c r="R10" s="2">
        <f>R3</f>
        <v>0.1332550888</v>
      </c>
    </row>
    <row r="11">
      <c r="Q11" s="4" t="s">
        <v>5</v>
      </c>
      <c r="R11" s="6">
        <f t="array" ref="R11">(index(AN42:AN1012,Counta(AN42:AN1012))-index(AV42:AV1012,Counta(AV42:AV1012)))/index(F42:F1012,Counta(F42:F1012))</f>
        <v>0.08363777564</v>
      </c>
    </row>
    <row r="12">
      <c r="Q12" s="4" t="s">
        <v>6</v>
      </c>
      <c r="R12" s="2">
        <f t="array" ref="R12">index(AJ20:AJ1012,Counta(AJ20:AJ1012))</f>
        <v>0.02602169785</v>
      </c>
    </row>
    <row r="14">
      <c r="A14" s="7"/>
      <c r="B14" s="7"/>
      <c r="C14" s="7"/>
      <c r="D14" s="7"/>
      <c r="E14" s="7"/>
      <c r="F14" s="8" t="s">
        <v>7</v>
      </c>
      <c r="AN14" s="8"/>
      <c r="AO14" s="8"/>
      <c r="AP14" s="8"/>
      <c r="AQ14" s="8"/>
      <c r="AR14" s="8"/>
      <c r="AS14" s="8"/>
      <c r="AV14" s="9" t="s">
        <v>8</v>
      </c>
    </row>
    <row r="15">
      <c r="A15" s="7"/>
      <c r="B15" s="7"/>
      <c r="C15" s="7"/>
      <c r="D15" s="7"/>
      <c r="E15" s="7"/>
      <c r="AN15" s="8"/>
      <c r="AO15" s="8"/>
      <c r="AP15" s="8"/>
      <c r="AQ15" s="8"/>
      <c r="AR15" s="8"/>
      <c r="AS15" s="8"/>
    </row>
    <row r="16">
      <c r="A16" s="7"/>
      <c r="B16" s="7"/>
      <c r="C16" s="10"/>
      <c r="D16" s="10"/>
      <c r="E16" s="10"/>
      <c r="AN16" s="8"/>
      <c r="AO16" s="8"/>
      <c r="AP16" s="8"/>
      <c r="AQ16" s="8"/>
      <c r="AR16" s="8"/>
      <c r="AS16" s="8"/>
    </row>
    <row r="17">
      <c r="AR17" s="4" t="s">
        <v>9</v>
      </c>
      <c r="AS17" s="11">
        <f>IFERROR(__xludf.DUMMYFUNCTION("GOOGLEFINANCE(""Currency:USDTWD"")"),31.426800000000004)</f>
        <v>31.4268</v>
      </c>
    </row>
    <row r="18">
      <c r="A18" s="12"/>
      <c r="B18" s="12"/>
      <c r="C18" s="13" t="s">
        <v>10</v>
      </c>
      <c r="E18" s="14" t="s">
        <v>11</v>
      </c>
      <c r="F18" s="14" t="s">
        <v>12</v>
      </c>
      <c r="G18" s="14" t="s">
        <v>13</v>
      </c>
      <c r="H18" s="14" t="s">
        <v>14</v>
      </c>
      <c r="I18" s="15" t="s">
        <v>15</v>
      </c>
      <c r="J18" s="16"/>
      <c r="K18" s="16"/>
      <c r="L18" s="16"/>
      <c r="M18" s="16"/>
      <c r="N18" s="16"/>
      <c r="O18" s="16"/>
      <c r="P18" s="16"/>
      <c r="Q18" s="16"/>
      <c r="R18" s="16"/>
      <c r="S18" s="17" t="s">
        <v>16</v>
      </c>
      <c r="T18" s="18"/>
      <c r="U18" s="18"/>
      <c r="V18" s="18"/>
      <c r="W18" s="18"/>
      <c r="X18" s="18"/>
      <c r="Y18" s="19" t="s">
        <v>17</v>
      </c>
      <c r="Z18" s="20"/>
      <c r="AA18" s="20"/>
      <c r="AB18" s="20"/>
      <c r="AC18" s="20"/>
      <c r="AD18" s="20"/>
      <c r="AE18" s="20"/>
      <c r="AF18" s="20"/>
      <c r="AG18" s="21" t="s">
        <v>18</v>
      </c>
      <c r="AH18" s="21"/>
      <c r="AI18" s="21"/>
      <c r="AJ18" s="21"/>
      <c r="AK18" s="22" t="s">
        <v>19</v>
      </c>
      <c r="AL18" s="23"/>
      <c r="AM18" s="23"/>
      <c r="AN18" s="24" t="s">
        <v>20</v>
      </c>
      <c r="AO18" s="12"/>
      <c r="AP18" s="12"/>
      <c r="AQ18" s="12"/>
      <c r="AR18" s="12"/>
      <c r="AS18" s="12"/>
      <c r="AT18" s="12"/>
      <c r="AU18" s="12"/>
      <c r="AV18" s="25" t="s">
        <v>21</v>
      </c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>
      <c r="A19" s="26" t="s">
        <v>22</v>
      </c>
      <c r="B19" s="26" t="s">
        <v>23</v>
      </c>
      <c r="C19" s="26" t="s">
        <v>24</v>
      </c>
      <c r="D19" s="26" t="s">
        <v>25</v>
      </c>
      <c r="I19" s="15" t="s">
        <v>26</v>
      </c>
      <c r="J19" s="15" t="s">
        <v>27</v>
      </c>
      <c r="K19" s="15" t="s">
        <v>28</v>
      </c>
      <c r="L19" s="15" t="s">
        <v>29</v>
      </c>
      <c r="M19" s="15" t="s">
        <v>30</v>
      </c>
      <c r="N19" s="15" t="s">
        <v>31</v>
      </c>
      <c r="O19" s="15" t="s">
        <v>32</v>
      </c>
      <c r="P19" s="15" t="s">
        <v>33</v>
      </c>
      <c r="Q19" s="27" t="s">
        <v>34</v>
      </c>
      <c r="R19" s="27" t="s">
        <v>35</v>
      </c>
      <c r="S19" s="17" t="s">
        <v>36</v>
      </c>
      <c r="T19" s="17" t="s">
        <v>27</v>
      </c>
      <c r="U19" s="17" t="s">
        <v>37</v>
      </c>
      <c r="V19" s="27" t="s">
        <v>38</v>
      </c>
      <c r="W19" s="27" t="s">
        <v>39</v>
      </c>
      <c r="X19" s="27" t="s">
        <v>40</v>
      </c>
      <c r="Y19" s="19" t="s">
        <v>41</v>
      </c>
      <c r="Z19" s="19" t="s">
        <v>42</v>
      </c>
      <c r="AA19" s="19" t="s">
        <v>43</v>
      </c>
      <c r="AB19" s="19" t="s">
        <v>44</v>
      </c>
      <c r="AC19" s="19" t="s">
        <v>45</v>
      </c>
      <c r="AD19" s="28" t="s">
        <v>46</v>
      </c>
      <c r="AE19" s="28" t="s">
        <v>47</v>
      </c>
      <c r="AF19" s="28" t="s">
        <v>48</v>
      </c>
      <c r="AG19" s="29" t="s">
        <v>49</v>
      </c>
      <c r="AH19" s="29" t="s">
        <v>50</v>
      </c>
      <c r="AI19" s="28" t="s">
        <v>51</v>
      </c>
      <c r="AJ19" s="28" t="s">
        <v>52</v>
      </c>
      <c r="AK19" s="22" t="s">
        <v>53</v>
      </c>
      <c r="AL19" s="22" t="s">
        <v>54</v>
      </c>
      <c r="AM19" s="28" t="s">
        <v>55</v>
      </c>
      <c r="AN19" s="30"/>
      <c r="AO19" s="26" t="s">
        <v>56</v>
      </c>
      <c r="AP19" s="26" t="s">
        <v>57</v>
      </c>
      <c r="AQ19" s="26" t="s">
        <v>58</v>
      </c>
      <c r="AR19" s="26" t="s">
        <v>59</v>
      </c>
      <c r="AS19" s="31" t="s">
        <v>60</v>
      </c>
      <c r="AT19" s="12"/>
      <c r="AU19" s="26" t="s">
        <v>61</v>
      </c>
      <c r="AV19" s="32" t="s">
        <v>62</v>
      </c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>
      <c r="A20" s="33">
        <v>44766.0</v>
      </c>
      <c r="B20" s="34">
        <v>44766.0</v>
      </c>
      <c r="C20" s="4">
        <v>162321.0</v>
      </c>
      <c r="D20" s="35">
        <v>4319.21</v>
      </c>
      <c r="E20" s="36">
        <f t="shared" ref="E20:E65" si="1">SUM(C20:D20)</f>
        <v>166640.21</v>
      </c>
      <c r="F20" s="36">
        <f t="shared" ref="F20:F55" si="2">SUM(Q20,V20,AD20,AN20)-AV20</f>
        <v>1592820.553</v>
      </c>
      <c r="G20" s="37" t="s">
        <v>63</v>
      </c>
      <c r="H20" s="37" t="s">
        <v>63</v>
      </c>
      <c r="I20" s="38">
        <v>317657.0</v>
      </c>
      <c r="J20" s="38">
        <v>5538.0</v>
      </c>
      <c r="K20" s="38" t="s">
        <v>63</v>
      </c>
      <c r="L20" s="38">
        <v>9023.0</v>
      </c>
      <c r="M20" s="38">
        <v>51239.0</v>
      </c>
      <c r="N20" s="38">
        <v>111823.0</v>
      </c>
      <c r="O20" s="38">
        <v>700.53</v>
      </c>
      <c r="P20" s="38">
        <v>125.58</v>
      </c>
      <c r="Q20" s="39">
        <f t="shared" ref="Q20:Q65" si="3">SUM(I20:N20)+SUM(O20:P20)*$AS20</f>
        <v>519907.413</v>
      </c>
      <c r="R20" s="40">
        <f t="shared" ref="R20:R65" si="4">Q20/F20</f>
        <v>0.3264067707</v>
      </c>
      <c r="S20" s="41">
        <v>168939.0</v>
      </c>
      <c r="T20" s="41">
        <v>5658.0</v>
      </c>
      <c r="U20" s="41">
        <v>889.69</v>
      </c>
      <c r="V20" s="39">
        <f t="shared" ref="V20:V65" si="5">SUM(S20:T20)+U20*$AS20</f>
        <v>201119.8155</v>
      </c>
      <c r="W20" s="40">
        <f t="shared" ref="W20:W65" si="6">V20/F20</f>
        <v>0.1262664618</v>
      </c>
      <c r="X20" s="40">
        <f t="shared" ref="X20:X65" si="7">sum(T20,U20*AS20)/V20</f>
        <v>0.1600081793</v>
      </c>
      <c r="Y20" s="42">
        <v>651576.0</v>
      </c>
      <c r="Z20" s="42">
        <v>187740.0</v>
      </c>
      <c r="AA20" s="43">
        <f>272.7+816.73</f>
        <v>1089.43</v>
      </c>
      <c r="AB20" s="43"/>
      <c r="AC20" s="42" t="s">
        <v>63</v>
      </c>
      <c r="AD20" s="39">
        <f t="shared" ref="AD20:AD29" si="8">SUM(Y20:Z20)+AA20*$AS20</f>
        <v>871793.3246</v>
      </c>
      <c r="AE20" s="40">
        <f t="shared" ref="AE20:AE65" si="9">AD20/F20</f>
        <v>0.5473267675</v>
      </c>
      <c r="AF20" s="40">
        <f t="shared" ref="AF20:AF65" si="10">SUM(AA20:AC20)*AS20/AD20</f>
        <v>0.03725346782</v>
      </c>
      <c r="AG20" s="44" t="s">
        <v>63</v>
      </c>
      <c r="AH20" s="44" t="s">
        <v>63</v>
      </c>
      <c r="AJ20" s="4" t="s">
        <v>63</v>
      </c>
      <c r="AK20" s="45">
        <v>250000.0</v>
      </c>
      <c r="AL20" s="45">
        <v>250000.0</v>
      </c>
      <c r="AM20" s="46">
        <f t="shared" ref="AM20:AM65" si="11">SUM(AK20:AL20)</f>
        <v>500000</v>
      </c>
      <c r="AN20" s="47"/>
      <c r="AO20" s="4">
        <v>250000.0</v>
      </c>
      <c r="AP20" s="4">
        <v>250000.0</v>
      </c>
      <c r="AQ20" s="4">
        <v>1.0</v>
      </c>
      <c r="AR20" s="1">
        <f t="shared" ref="AR20:AR65" si="12">AP20*AQ20</f>
        <v>250000</v>
      </c>
      <c r="AS20" s="11">
        <v>29.811300000000003</v>
      </c>
      <c r="AU20" s="4">
        <v>17737.0</v>
      </c>
      <c r="AV20" s="48"/>
    </row>
    <row r="21">
      <c r="A21" s="33">
        <v>44807.0</v>
      </c>
      <c r="B21" s="34">
        <v>44804.0</v>
      </c>
      <c r="C21" s="4">
        <v>58076.0</v>
      </c>
      <c r="D21" s="35">
        <v>14540.0</v>
      </c>
      <c r="E21" s="36">
        <f t="shared" si="1"/>
        <v>72616</v>
      </c>
      <c r="F21" s="36">
        <f t="shared" si="2"/>
        <v>1597795.86</v>
      </c>
      <c r="G21" s="49">
        <f t="shared" ref="G21:G65" si="13">(F21-F20)/F20</f>
        <v>0.003123582543</v>
      </c>
      <c r="H21" s="37" t="s">
        <v>63</v>
      </c>
      <c r="I21" s="38">
        <v>343132.0</v>
      </c>
      <c r="J21" s="38">
        <v>1715.0</v>
      </c>
      <c r="K21" s="38" t="s">
        <v>63</v>
      </c>
      <c r="L21" s="38">
        <v>2874.0</v>
      </c>
      <c r="M21" s="38">
        <v>21228.0</v>
      </c>
      <c r="N21" s="38">
        <v>20590.0</v>
      </c>
      <c r="O21" s="38">
        <v>600.53</v>
      </c>
      <c r="P21" s="38">
        <v>221.66</v>
      </c>
      <c r="Q21" s="39">
        <f t="shared" si="3"/>
        <v>414719.9665</v>
      </c>
      <c r="R21" s="40">
        <f t="shared" si="4"/>
        <v>0.2595575423</v>
      </c>
      <c r="S21" s="41">
        <v>180785.0</v>
      </c>
      <c r="T21" s="41">
        <v>6364.0</v>
      </c>
      <c r="U21" s="41">
        <v>923.66</v>
      </c>
      <c r="V21" s="39">
        <f t="shared" si="5"/>
        <v>215437.6577</v>
      </c>
      <c r="W21" s="40">
        <f t="shared" si="6"/>
        <v>0.1348342821</v>
      </c>
      <c r="X21" s="40">
        <f t="shared" si="7"/>
        <v>0.1608477278</v>
      </c>
      <c r="Y21" s="42">
        <v>711110.0</v>
      </c>
      <c r="Z21" s="42">
        <v>200380.0</v>
      </c>
      <c r="AA21" s="43">
        <f>349.08+673.6+810.63</f>
        <v>1833.31</v>
      </c>
      <c r="AB21" s="43"/>
      <c r="AC21" s="42" t="s">
        <v>63</v>
      </c>
      <c r="AD21" s="39">
        <f t="shared" si="8"/>
        <v>967638.2354</v>
      </c>
      <c r="AE21" s="40">
        <f t="shared" si="9"/>
        <v>0.6056081755</v>
      </c>
      <c r="AF21" s="40">
        <f t="shared" si="10"/>
        <v>0.05802606111</v>
      </c>
      <c r="AG21" s="44" t="s">
        <v>63</v>
      </c>
      <c r="AH21" s="44" t="s">
        <v>63</v>
      </c>
      <c r="AJ21" s="4" t="s">
        <v>63</v>
      </c>
      <c r="AK21" s="45">
        <v>250000.0</v>
      </c>
      <c r="AL21" s="45">
        <v>250000.0</v>
      </c>
      <c r="AM21" s="46">
        <f t="shared" si="11"/>
        <v>500000</v>
      </c>
      <c r="AN21" s="47"/>
      <c r="AO21" s="4">
        <v>250000.0</v>
      </c>
      <c r="AP21" s="4">
        <v>250000.0</v>
      </c>
      <c r="AQ21" s="4">
        <v>1.0</v>
      </c>
      <c r="AR21" s="1">
        <f t="shared" si="12"/>
        <v>250000</v>
      </c>
      <c r="AS21" s="50">
        <v>30.6267</v>
      </c>
      <c r="AU21" s="4">
        <v>17245.0</v>
      </c>
      <c r="AV21" s="48"/>
    </row>
    <row r="22">
      <c r="A22" s="33">
        <v>44828.0</v>
      </c>
      <c r="B22" s="34">
        <v>44828.0</v>
      </c>
      <c r="C22" s="4">
        <v>69273.0</v>
      </c>
      <c r="D22" s="35">
        <v>21763.0</v>
      </c>
      <c r="E22" s="36">
        <f t="shared" si="1"/>
        <v>91036</v>
      </c>
      <c r="F22" s="36">
        <f t="shared" si="2"/>
        <v>1668736.566</v>
      </c>
      <c r="G22" s="49">
        <f t="shared" si="13"/>
        <v>0.04439910493</v>
      </c>
      <c r="H22" s="37" t="s">
        <v>63</v>
      </c>
      <c r="I22" s="38">
        <f>364133+25917</f>
        <v>390050</v>
      </c>
      <c r="J22" s="38">
        <v>3944.0</v>
      </c>
      <c r="K22" s="38" t="s">
        <v>63</v>
      </c>
      <c r="L22" s="38">
        <v>1720.0</v>
      </c>
      <c r="M22" s="38">
        <v>2221.0</v>
      </c>
      <c r="N22" s="38">
        <v>34212.0</v>
      </c>
      <c r="O22" s="38">
        <v>500.53</v>
      </c>
      <c r="P22" s="38">
        <v>821.66</v>
      </c>
      <c r="Q22" s="39">
        <f t="shared" si="3"/>
        <v>474199.253</v>
      </c>
      <c r="R22" s="40">
        <f t="shared" si="4"/>
        <v>0.284166634</v>
      </c>
      <c r="S22" s="41">
        <v>188988.0</v>
      </c>
      <c r="T22" s="41">
        <v>6844.0</v>
      </c>
      <c r="U22" s="51">
        <v>988.9</v>
      </c>
      <c r="V22" s="39">
        <f t="shared" si="5"/>
        <v>227283.9645</v>
      </c>
      <c r="W22" s="40">
        <f t="shared" si="6"/>
        <v>0.136201225</v>
      </c>
      <c r="X22" s="40">
        <f t="shared" si="7"/>
        <v>0.1684939128</v>
      </c>
      <c r="Y22" s="42">
        <v>701640.0</v>
      </c>
      <c r="Z22" s="42">
        <v>208656.0</v>
      </c>
      <c r="AA22" s="43">
        <f>328.04+636.8+825.99</f>
        <v>1790.83</v>
      </c>
      <c r="AB22" s="43"/>
      <c r="AC22" s="42" t="s">
        <v>63</v>
      </c>
      <c r="AD22" s="39">
        <f t="shared" si="8"/>
        <v>967253.3482</v>
      </c>
      <c r="AE22" s="40">
        <f t="shared" si="9"/>
        <v>0.5796321409</v>
      </c>
      <c r="AF22" s="40">
        <f t="shared" si="10"/>
        <v>0.05888565623</v>
      </c>
      <c r="AG22" s="44" t="s">
        <v>63</v>
      </c>
      <c r="AH22" s="44" t="s">
        <v>63</v>
      </c>
      <c r="AJ22" s="4" t="s">
        <v>63</v>
      </c>
      <c r="AK22" s="45">
        <v>250000.0</v>
      </c>
      <c r="AL22" s="45">
        <v>250000.0</v>
      </c>
      <c r="AM22" s="46">
        <f t="shared" si="11"/>
        <v>500000</v>
      </c>
      <c r="AN22" s="47"/>
      <c r="AO22" s="4">
        <v>250000.0</v>
      </c>
      <c r="AP22" s="4">
        <v>250000.0</v>
      </c>
      <c r="AQ22" s="4">
        <v>1.0</v>
      </c>
      <c r="AR22" s="1">
        <f t="shared" si="12"/>
        <v>250000</v>
      </c>
      <c r="AS22" s="52">
        <v>31.805000000000003</v>
      </c>
      <c r="AU22" s="4">
        <v>4957.0</v>
      </c>
      <c r="AV22" s="48"/>
    </row>
    <row r="23">
      <c r="A23" s="53">
        <v>44860.0</v>
      </c>
      <c r="B23" s="34">
        <v>44860.0</v>
      </c>
      <c r="C23" s="4">
        <v>51743.0</v>
      </c>
      <c r="D23" s="35">
        <v>22546.54</v>
      </c>
      <c r="E23" s="36">
        <f t="shared" si="1"/>
        <v>74289.54</v>
      </c>
      <c r="F23" s="36">
        <f t="shared" si="2"/>
        <v>1580257.924</v>
      </c>
      <c r="G23" s="49">
        <f t="shared" si="13"/>
        <v>-0.0530213356</v>
      </c>
      <c r="H23" s="37" t="s">
        <v>63</v>
      </c>
      <c r="I23" s="38">
        <f>441659+50388</f>
        <v>492047</v>
      </c>
      <c r="J23" s="38">
        <v>4991.0</v>
      </c>
      <c r="K23" s="38" t="s">
        <v>63</v>
      </c>
      <c r="L23" s="38">
        <v>3695.0</v>
      </c>
      <c r="M23" s="38">
        <v>2221.0</v>
      </c>
      <c r="N23" s="54">
        <f>27860-13020</f>
        <v>14840</v>
      </c>
      <c r="O23" s="38">
        <v>400.53</v>
      </c>
      <c r="P23" s="38">
        <v>743.81</v>
      </c>
      <c r="Q23" s="39">
        <f t="shared" si="3"/>
        <v>554834.5693</v>
      </c>
      <c r="R23" s="40">
        <f t="shared" si="4"/>
        <v>0.3511038045</v>
      </c>
      <c r="S23" s="41">
        <v>167769.0</v>
      </c>
      <c r="T23" s="41">
        <v>7123.0</v>
      </c>
      <c r="U23" s="41">
        <v>1033.66</v>
      </c>
      <c r="V23" s="39">
        <f t="shared" si="5"/>
        <v>208350.0237</v>
      </c>
      <c r="W23" s="40">
        <f t="shared" si="6"/>
        <v>0.1318455807</v>
      </c>
      <c r="X23" s="40">
        <f t="shared" si="7"/>
        <v>0.1947733098</v>
      </c>
      <c r="Y23" s="42">
        <v>678688.0</v>
      </c>
      <c r="Z23" s="42">
        <v>83545.0</v>
      </c>
      <c r="AA23" s="43">
        <f>419.7+640.8+633.75</f>
        <v>1694.25</v>
      </c>
      <c r="AB23" s="43"/>
      <c r="AC23" s="42" t="s">
        <v>63</v>
      </c>
      <c r="AD23" s="39">
        <f t="shared" si="8"/>
        <v>817073.3311</v>
      </c>
      <c r="AE23" s="40">
        <f t="shared" si="9"/>
        <v>0.5170506147</v>
      </c>
      <c r="AF23" s="40">
        <f t="shared" si="10"/>
        <v>0.06711800402</v>
      </c>
      <c r="AG23" s="44" t="s">
        <v>63</v>
      </c>
      <c r="AH23" s="44" t="s">
        <v>63</v>
      </c>
      <c r="AJ23" s="4" t="s">
        <v>63</v>
      </c>
      <c r="AK23" s="45">
        <v>250000.0</v>
      </c>
      <c r="AL23" s="45">
        <v>250000.0</v>
      </c>
      <c r="AM23" s="46">
        <f t="shared" si="11"/>
        <v>500000</v>
      </c>
      <c r="AN23" s="47"/>
      <c r="AO23" s="4">
        <v>250000.0</v>
      </c>
      <c r="AP23" s="4">
        <v>250000.0</v>
      </c>
      <c r="AQ23" s="4">
        <v>1.0</v>
      </c>
      <c r="AR23" s="1">
        <f t="shared" si="12"/>
        <v>250000</v>
      </c>
      <c r="AS23" s="50">
        <v>32.3685</v>
      </c>
      <c r="AV23" s="48"/>
    </row>
    <row r="24">
      <c r="A24" s="55">
        <v>44899.0</v>
      </c>
      <c r="B24" s="34">
        <v>44895.0</v>
      </c>
      <c r="C24" s="4">
        <v>51743.0</v>
      </c>
      <c r="D24" s="35">
        <v>13148.0</v>
      </c>
      <c r="E24" s="36">
        <f t="shared" si="1"/>
        <v>64891</v>
      </c>
      <c r="F24" s="36">
        <f t="shared" si="2"/>
        <v>1735312.06</v>
      </c>
      <c r="G24" s="49">
        <f t="shared" si="13"/>
        <v>0.09811951145</v>
      </c>
      <c r="H24" s="37" t="s">
        <v>63</v>
      </c>
      <c r="I24" s="38">
        <f>419950+47236</f>
        <v>467186</v>
      </c>
      <c r="J24" s="38">
        <v>1030.0</v>
      </c>
      <c r="K24" s="38" t="s">
        <v>63</v>
      </c>
      <c r="L24" s="38">
        <v>566.0</v>
      </c>
      <c r="M24" s="38">
        <v>2221.0</v>
      </c>
      <c r="N24" s="38">
        <v>1570.0</v>
      </c>
      <c r="O24" s="38">
        <v>1300.53</v>
      </c>
      <c r="P24" s="38">
        <v>752.97</v>
      </c>
      <c r="Q24" s="39">
        <f t="shared" si="3"/>
        <v>535313.5855</v>
      </c>
      <c r="R24" s="40">
        <f t="shared" si="4"/>
        <v>0.3084826055</v>
      </c>
      <c r="S24" s="41">
        <v>217486.0</v>
      </c>
      <c r="T24" s="41">
        <v>8168.0</v>
      </c>
      <c r="U24" s="41">
        <v>1178.47</v>
      </c>
      <c r="V24" s="39">
        <f t="shared" si="5"/>
        <v>261659.7939</v>
      </c>
      <c r="W24" s="40">
        <f t="shared" si="6"/>
        <v>0.1507854408</v>
      </c>
      <c r="X24" s="40">
        <f t="shared" si="7"/>
        <v>0.1688214809</v>
      </c>
      <c r="Y24" s="42">
        <v>783954.0</v>
      </c>
      <c r="Z24" s="42">
        <v>102407.0</v>
      </c>
      <c r="AA24" s="43">
        <f>451.85+664.8+584.58</f>
        <v>1701.23</v>
      </c>
      <c r="AB24" s="43"/>
      <c r="AC24" s="42" t="s">
        <v>63</v>
      </c>
      <c r="AD24" s="39">
        <f t="shared" si="8"/>
        <v>938338.6802</v>
      </c>
      <c r="AE24" s="40">
        <f t="shared" si="9"/>
        <v>0.5407319537</v>
      </c>
      <c r="AF24" s="40">
        <f t="shared" si="10"/>
        <v>0.05539330445</v>
      </c>
      <c r="AG24" s="44" t="s">
        <v>63</v>
      </c>
      <c r="AH24" s="44" t="s">
        <v>63</v>
      </c>
      <c r="AJ24" s="4" t="s">
        <v>63</v>
      </c>
      <c r="AK24" s="45">
        <v>250000.0</v>
      </c>
      <c r="AL24" s="45">
        <v>250000.0</v>
      </c>
      <c r="AM24" s="46">
        <f t="shared" si="11"/>
        <v>500000</v>
      </c>
      <c r="AN24" s="47"/>
      <c r="AO24" s="4">
        <v>250000.0</v>
      </c>
      <c r="AP24" s="4">
        <v>250000.0</v>
      </c>
      <c r="AQ24" s="4">
        <v>1.0</v>
      </c>
      <c r="AR24" s="1">
        <f t="shared" si="12"/>
        <v>250000</v>
      </c>
      <c r="AS24" s="50">
        <v>30.553</v>
      </c>
      <c r="AV24" s="48"/>
    </row>
    <row r="25">
      <c r="A25" s="53">
        <v>44925.0</v>
      </c>
      <c r="B25" s="34">
        <v>44925.0</v>
      </c>
      <c r="C25" s="4">
        <f>51743+110190+7000</f>
        <v>168933</v>
      </c>
      <c r="D25" s="35">
        <v>5627.9</v>
      </c>
      <c r="E25" s="36">
        <f t="shared" si="1"/>
        <v>174560.9</v>
      </c>
      <c r="F25" s="36">
        <f t="shared" si="2"/>
        <v>1769795.038</v>
      </c>
      <c r="G25" s="49">
        <f t="shared" si="13"/>
        <v>0.01987134146</v>
      </c>
      <c r="H25" s="37" t="s">
        <v>63</v>
      </c>
      <c r="I25" s="54">
        <f>51964+453119</f>
        <v>505083</v>
      </c>
      <c r="J25" s="38">
        <v>1916.0</v>
      </c>
      <c r="K25" s="38" t="s">
        <v>63</v>
      </c>
      <c r="L25" s="38">
        <v>574.0</v>
      </c>
      <c r="M25" s="38">
        <v>2369.0</v>
      </c>
      <c r="N25" s="38">
        <v>2935.0</v>
      </c>
      <c r="O25" s="38">
        <v>1202.87</v>
      </c>
      <c r="P25" s="38">
        <v>627.38</v>
      </c>
      <c r="Q25" s="39">
        <f t="shared" si="3"/>
        <v>569004.3616</v>
      </c>
      <c r="R25" s="40">
        <f t="shared" si="4"/>
        <v>0.3215086207</v>
      </c>
      <c r="S25" s="41">
        <v>206934.0</v>
      </c>
      <c r="T25" s="41">
        <v>8016.0</v>
      </c>
      <c r="U25" s="41">
        <v>1112.3</v>
      </c>
      <c r="V25" s="39">
        <f t="shared" si="5"/>
        <v>249060.348</v>
      </c>
      <c r="W25" s="40">
        <f t="shared" si="6"/>
        <v>0.140728357</v>
      </c>
      <c r="X25" s="40">
        <f t="shared" si="7"/>
        <v>0.169141127</v>
      </c>
      <c r="Y25" s="42">
        <v>769186.0</v>
      </c>
      <c r="Z25" s="42">
        <v>135041.0</v>
      </c>
      <c r="AA25" s="43">
        <f>424.95+636.8+487.28</f>
        <v>1549.03</v>
      </c>
      <c r="AB25" s="43"/>
      <c r="AC25" s="42" t="s">
        <v>63</v>
      </c>
      <c r="AD25" s="39">
        <f t="shared" si="8"/>
        <v>951730.3285</v>
      </c>
      <c r="AE25" s="40">
        <f t="shared" si="9"/>
        <v>0.5377630223</v>
      </c>
      <c r="AF25" s="40">
        <f t="shared" si="10"/>
        <v>0.04991259296</v>
      </c>
      <c r="AG25" s="44" t="s">
        <v>63</v>
      </c>
      <c r="AH25" s="44" t="s">
        <v>63</v>
      </c>
      <c r="AJ25" s="4" t="s">
        <v>63</v>
      </c>
      <c r="AK25" s="45">
        <v>350000.0</v>
      </c>
      <c r="AL25" s="45">
        <v>250000.0</v>
      </c>
      <c r="AM25" s="46">
        <f t="shared" si="11"/>
        <v>600000</v>
      </c>
      <c r="AN25" s="47"/>
      <c r="AO25" s="4">
        <v>250000.0</v>
      </c>
      <c r="AP25" s="4">
        <v>265625.0</v>
      </c>
      <c r="AQ25" s="4">
        <v>6.4</v>
      </c>
      <c r="AR25" s="1">
        <f t="shared" si="12"/>
        <v>1700000</v>
      </c>
      <c r="AS25" s="50">
        <v>30.6665</v>
      </c>
      <c r="AU25" s="4" t="s">
        <v>64</v>
      </c>
      <c r="AV25" s="48"/>
    </row>
    <row r="26">
      <c r="A26" s="55">
        <v>44956.0</v>
      </c>
      <c r="B26" s="34">
        <v>44956.0</v>
      </c>
      <c r="C26" s="4">
        <v>62193.0</v>
      </c>
      <c r="D26" s="4">
        <v>248.17</v>
      </c>
      <c r="E26" s="36">
        <f t="shared" si="1"/>
        <v>62441.17</v>
      </c>
      <c r="F26" s="36">
        <f t="shared" si="2"/>
        <v>1862470.933</v>
      </c>
      <c r="G26" s="49">
        <f t="shared" si="13"/>
        <v>0.05236532667</v>
      </c>
      <c r="H26" s="37" t="s">
        <v>63</v>
      </c>
      <c r="I26" s="54">
        <f>383774+41996</f>
        <v>425770</v>
      </c>
      <c r="J26" s="38">
        <f>11529-9276</f>
        <v>2253</v>
      </c>
      <c r="K26" s="38" t="s">
        <v>63</v>
      </c>
      <c r="L26" s="38">
        <v>695.0</v>
      </c>
      <c r="M26" s="38">
        <v>2369.0</v>
      </c>
      <c r="N26" s="38">
        <v>2935.0</v>
      </c>
      <c r="O26" s="38">
        <v>2102.87</v>
      </c>
      <c r="P26" s="38">
        <f>426.74+115.29</f>
        <v>542.03</v>
      </c>
      <c r="Q26" s="39">
        <f t="shared" si="3"/>
        <v>513798.7963</v>
      </c>
      <c r="R26" s="40">
        <f t="shared" si="4"/>
        <v>0.2758694308</v>
      </c>
      <c r="S26" s="41">
        <v>220040.0</v>
      </c>
      <c r="T26" s="41">
        <v>9115.0</v>
      </c>
      <c r="U26" s="41">
        <v>1353.41</v>
      </c>
      <c r="V26" s="39">
        <f t="shared" si="5"/>
        <v>269977.2291</v>
      </c>
      <c r="W26" s="40">
        <f t="shared" si="6"/>
        <v>0.1449564792</v>
      </c>
      <c r="X26" s="40">
        <f t="shared" si="7"/>
        <v>0.1849683001</v>
      </c>
      <c r="Y26" s="42">
        <v>828283.0</v>
      </c>
      <c r="Z26" s="42">
        <v>192220.0</v>
      </c>
      <c r="AA26" s="43">
        <f>542.88+674.8+711.6</f>
        <v>1929.28</v>
      </c>
      <c r="AB26" s="43"/>
      <c r="AC26" s="42" t="s">
        <v>63</v>
      </c>
      <c r="AD26" s="39">
        <f t="shared" si="8"/>
        <v>1078694.908</v>
      </c>
      <c r="AE26" s="40">
        <f t="shared" si="9"/>
        <v>0.57917409</v>
      </c>
      <c r="AF26" s="40">
        <f t="shared" si="10"/>
        <v>0.05394658635</v>
      </c>
      <c r="AG26" s="44" t="s">
        <v>63</v>
      </c>
      <c r="AH26" s="44" t="s">
        <v>63</v>
      </c>
      <c r="AJ26" s="4" t="s">
        <v>63</v>
      </c>
      <c r="AK26" s="45">
        <v>350000.0</v>
      </c>
      <c r="AL26" s="45">
        <v>250000.0</v>
      </c>
      <c r="AM26" s="46">
        <f t="shared" si="11"/>
        <v>600000</v>
      </c>
      <c r="AN26" s="47"/>
      <c r="AO26" s="4">
        <v>250000.0</v>
      </c>
      <c r="AP26" s="4">
        <v>265625.0</v>
      </c>
      <c r="AQ26" s="4">
        <v>6.4</v>
      </c>
      <c r="AR26" s="1">
        <f t="shared" si="12"/>
        <v>1700000</v>
      </c>
      <c r="AS26" s="50">
        <v>30.1625</v>
      </c>
      <c r="AV26" s="48"/>
    </row>
    <row r="27">
      <c r="A27" s="55">
        <v>44985.0</v>
      </c>
      <c r="B27" s="34">
        <v>44985.0</v>
      </c>
      <c r="C27" s="4">
        <v>52394.0</v>
      </c>
      <c r="D27" s="1">
        <f>13230+251</f>
        <v>13481</v>
      </c>
      <c r="E27" s="36">
        <f t="shared" si="1"/>
        <v>65875</v>
      </c>
      <c r="F27" s="36">
        <f t="shared" si="2"/>
        <v>1918473.159</v>
      </c>
      <c r="G27" s="49">
        <f t="shared" si="13"/>
        <v>0.03006877818</v>
      </c>
      <c r="H27" s="37" t="s">
        <v>63</v>
      </c>
      <c r="I27" s="38">
        <v>420762.0</v>
      </c>
      <c r="J27" s="38">
        <v>795.0</v>
      </c>
      <c r="K27" s="38" t="s">
        <v>63</v>
      </c>
      <c r="L27" s="38">
        <v>569.0</v>
      </c>
      <c r="M27" s="38">
        <v>2369.0</v>
      </c>
      <c r="N27" s="38">
        <v>2935.0</v>
      </c>
      <c r="O27" s="38">
        <v>2002.87</v>
      </c>
      <c r="P27" s="38">
        <v>352.29</v>
      </c>
      <c r="Q27" s="39">
        <f t="shared" si="3"/>
        <v>499647.4487</v>
      </c>
      <c r="R27" s="40">
        <f t="shared" si="4"/>
        <v>0.260440156</v>
      </c>
      <c r="S27" s="41">
        <v>249010.0</v>
      </c>
      <c r="T27" s="41">
        <v>9821.0</v>
      </c>
      <c r="U27" s="41">
        <v>1489.81</v>
      </c>
      <c r="V27" s="39">
        <f t="shared" si="5"/>
        <v>304513.7889</v>
      </c>
      <c r="W27" s="40">
        <f t="shared" si="6"/>
        <v>0.1587271563</v>
      </c>
      <c r="X27" s="40">
        <f t="shared" si="7"/>
        <v>0.1822701991</v>
      </c>
      <c r="Y27" s="42">
        <v>831701.0</v>
      </c>
      <c r="Z27" s="42">
        <v>214323.0</v>
      </c>
      <c r="AA27" s="43">
        <f>532.86+656+1038.15</f>
        <v>2227.01</v>
      </c>
      <c r="AB27" s="43"/>
      <c r="AC27" s="42" t="s">
        <v>63</v>
      </c>
      <c r="AD27" s="39">
        <f t="shared" si="8"/>
        <v>1114311.921</v>
      </c>
      <c r="AE27" s="40">
        <f t="shared" si="9"/>
        <v>0.5808326877</v>
      </c>
      <c r="AF27" s="40">
        <f t="shared" si="10"/>
        <v>0.06128259048</v>
      </c>
      <c r="AG27" s="44" t="s">
        <v>63</v>
      </c>
      <c r="AH27" s="44" t="s">
        <v>63</v>
      </c>
      <c r="AJ27" s="4" t="s">
        <v>63</v>
      </c>
      <c r="AK27" s="45">
        <v>350000.0</v>
      </c>
      <c r="AL27" s="45">
        <v>250000.0</v>
      </c>
      <c r="AM27" s="46">
        <f t="shared" si="11"/>
        <v>600000</v>
      </c>
      <c r="AN27" s="47"/>
      <c r="AO27" s="4">
        <v>250000.0</v>
      </c>
      <c r="AP27" s="4">
        <v>265625.0</v>
      </c>
      <c r="AQ27" s="4">
        <v>6.4</v>
      </c>
      <c r="AR27" s="1">
        <f t="shared" si="12"/>
        <v>1700000</v>
      </c>
      <c r="AS27" s="50">
        <v>30.6635</v>
      </c>
      <c r="AV27" s="48"/>
    </row>
    <row r="28">
      <c r="A28" s="55">
        <v>45014.0</v>
      </c>
      <c r="B28" s="34">
        <v>45014.0</v>
      </c>
      <c r="C28" s="4">
        <v>51697.0</v>
      </c>
      <c r="D28" s="4">
        <v>7886.32</v>
      </c>
      <c r="E28" s="36">
        <f t="shared" si="1"/>
        <v>59583.32</v>
      </c>
      <c r="F28" s="36">
        <f t="shared" si="2"/>
        <v>1958878.755</v>
      </c>
      <c r="G28" s="49">
        <f t="shared" si="13"/>
        <v>0.02106132974</v>
      </c>
      <c r="H28" s="37" t="s">
        <v>63</v>
      </c>
      <c r="I28" s="38">
        <f>16419+396558</f>
        <v>412977</v>
      </c>
      <c r="J28" s="38">
        <v>1266.0</v>
      </c>
      <c r="K28" s="38" t="s">
        <v>63</v>
      </c>
      <c r="L28" s="38">
        <v>1569.0</v>
      </c>
      <c r="M28" s="38">
        <v>2369.0</v>
      </c>
      <c r="N28" s="38">
        <v>2601.0</v>
      </c>
      <c r="O28" s="38">
        <f>257.6+1634.37</f>
        <v>1891.97</v>
      </c>
      <c r="P28" s="38">
        <f>131.33+95</f>
        <v>226.33</v>
      </c>
      <c r="Q28" s="39">
        <f t="shared" si="3"/>
        <v>485330.4139</v>
      </c>
      <c r="R28" s="40">
        <f t="shared" si="4"/>
        <v>0.2477592923</v>
      </c>
      <c r="S28" s="41">
        <v>262070.0</v>
      </c>
      <c r="T28" s="41">
        <v>10173.0</v>
      </c>
      <c r="U28" s="41">
        <v>1542.54</v>
      </c>
      <c r="V28" s="39">
        <f t="shared" si="5"/>
        <v>319246.9704</v>
      </c>
      <c r="W28" s="40">
        <f t="shared" si="6"/>
        <v>0.1629743391</v>
      </c>
      <c r="X28" s="40">
        <f t="shared" si="7"/>
        <v>0.1790994925</v>
      </c>
      <c r="Y28" s="42">
        <v>853031.0</v>
      </c>
      <c r="Z28" s="42">
        <v>231461.0</v>
      </c>
      <c r="AA28" s="43">
        <f>101.03+676.4+1513.52</f>
        <v>2290.95</v>
      </c>
      <c r="AB28" s="43"/>
      <c r="AC28" s="42" t="s">
        <v>63</v>
      </c>
      <c r="AD28" s="39">
        <f t="shared" si="8"/>
        <v>1154301.37</v>
      </c>
      <c r="AE28" s="40">
        <f t="shared" si="9"/>
        <v>0.5892663686</v>
      </c>
      <c r="AF28" s="40">
        <f t="shared" si="10"/>
        <v>0.06047759451</v>
      </c>
      <c r="AG28" s="44" t="s">
        <v>63</v>
      </c>
      <c r="AH28" s="44" t="s">
        <v>63</v>
      </c>
      <c r="AJ28" s="4" t="s">
        <v>63</v>
      </c>
      <c r="AK28" s="45">
        <v>350000.0</v>
      </c>
      <c r="AL28" s="45">
        <v>250000.0</v>
      </c>
      <c r="AM28" s="46">
        <f t="shared" si="11"/>
        <v>600000</v>
      </c>
      <c r="AN28" s="47"/>
      <c r="AO28" s="4">
        <v>250000.0</v>
      </c>
      <c r="AP28" s="4">
        <v>265625.0</v>
      </c>
      <c r="AQ28" s="4">
        <v>6.4</v>
      </c>
      <c r="AR28" s="1">
        <f t="shared" si="12"/>
        <v>1700000</v>
      </c>
      <c r="AS28" s="50">
        <v>30.4718</v>
      </c>
      <c r="AV28" s="48"/>
    </row>
    <row r="29">
      <c r="A29" s="55">
        <v>45045.0</v>
      </c>
      <c r="B29" s="34">
        <v>45045.0</v>
      </c>
      <c r="C29" s="4">
        <v>64241.0</v>
      </c>
      <c r="D29" s="4">
        <v>7371.0</v>
      </c>
      <c r="E29" s="36">
        <f t="shared" si="1"/>
        <v>71612</v>
      </c>
      <c r="F29" s="36">
        <f t="shared" si="2"/>
        <v>2011292.634</v>
      </c>
      <c r="G29" s="49">
        <f t="shared" si="13"/>
        <v>0.02675708179</v>
      </c>
      <c r="H29" s="37" t="s">
        <v>63</v>
      </c>
      <c r="I29" s="38">
        <f>480084+14278</f>
        <v>494362</v>
      </c>
      <c r="J29" s="38">
        <v>967.0</v>
      </c>
      <c r="K29" s="38" t="s">
        <v>63</v>
      </c>
      <c r="L29" s="38">
        <v>1690.0</v>
      </c>
      <c r="M29" s="38">
        <v>2017.0</v>
      </c>
      <c r="N29" s="38">
        <v>2601.0</v>
      </c>
      <c r="O29" s="38">
        <v>1535.33</v>
      </c>
      <c r="P29" s="38">
        <v>347.77</v>
      </c>
      <c r="Q29" s="39">
        <f t="shared" si="3"/>
        <v>559556.2599</v>
      </c>
      <c r="R29" s="40">
        <f t="shared" si="4"/>
        <v>0.2782072835</v>
      </c>
      <c r="S29" s="41">
        <v>269468.0</v>
      </c>
      <c r="T29" s="41">
        <v>10810.0</v>
      </c>
      <c r="U29" s="41">
        <v>1623.24</v>
      </c>
      <c r="V29" s="39">
        <f t="shared" si="5"/>
        <v>330204.642</v>
      </c>
      <c r="W29" s="40">
        <f t="shared" si="6"/>
        <v>0.164175335</v>
      </c>
      <c r="X29" s="40">
        <f t="shared" si="7"/>
        <v>0.1839363663</v>
      </c>
      <c r="Y29" s="42">
        <v>872955.0</v>
      </c>
      <c r="Z29" s="42">
        <v>189684.0</v>
      </c>
      <c r="AA29" s="43">
        <f>107.34+1807.41</f>
        <v>1914.75</v>
      </c>
      <c r="AB29" s="43"/>
      <c r="AC29" s="42" t="s">
        <v>63</v>
      </c>
      <c r="AD29" s="39">
        <f t="shared" si="8"/>
        <v>1121531.732</v>
      </c>
      <c r="AE29" s="40">
        <f t="shared" si="9"/>
        <v>0.5576173814</v>
      </c>
      <c r="AF29" s="40">
        <f t="shared" si="10"/>
        <v>0.05251098118</v>
      </c>
      <c r="AG29" s="44" t="s">
        <v>63</v>
      </c>
      <c r="AH29" s="44" t="s">
        <v>63</v>
      </c>
      <c r="AJ29" s="4" t="s">
        <v>63</v>
      </c>
      <c r="AK29" s="45">
        <v>350000.0</v>
      </c>
      <c r="AL29" s="45">
        <v>250000.0</v>
      </c>
      <c r="AM29" s="46">
        <f t="shared" si="11"/>
        <v>600000</v>
      </c>
      <c r="AN29" s="47"/>
      <c r="AO29" s="4">
        <v>250000.0</v>
      </c>
      <c r="AP29" s="4">
        <v>265625.0</v>
      </c>
      <c r="AQ29" s="4">
        <v>6.4</v>
      </c>
      <c r="AR29" s="1">
        <f t="shared" si="12"/>
        <v>1700000</v>
      </c>
      <c r="AS29" s="50">
        <v>30.7574</v>
      </c>
      <c r="AV29" s="48"/>
    </row>
    <row r="30">
      <c r="A30" s="55">
        <v>45075.0</v>
      </c>
      <c r="B30" s="34">
        <v>45075.0</v>
      </c>
      <c r="C30" s="4">
        <v>51660.0</v>
      </c>
      <c r="D30" s="4">
        <v>2273.77</v>
      </c>
      <c r="E30" s="36">
        <f t="shared" si="1"/>
        <v>53933.77</v>
      </c>
      <c r="F30" s="36">
        <f t="shared" si="2"/>
        <v>2148034.416</v>
      </c>
      <c r="G30" s="49">
        <f t="shared" si="13"/>
        <v>0.06798701492</v>
      </c>
      <c r="H30" s="37" t="s">
        <v>63</v>
      </c>
      <c r="I30" s="38">
        <f>428500+18342</f>
        <v>446842</v>
      </c>
      <c r="J30" s="38">
        <v>1817.0</v>
      </c>
      <c r="K30" s="38" t="s">
        <v>63</v>
      </c>
      <c r="L30" s="38">
        <v>1569.0</v>
      </c>
      <c r="M30" s="38">
        <v>2017.0</v>
      </c>
      <c r="N30" s="38">
        <v>2601.0</v>
      </c>
      <c r="O30" s="38">
        <f>435.33+242.7</f>
        <v>678.03</v>
      </c>
      <c r="P30" s="38">
        <v>194.46</v>
      </c>
      <c r="Q30" s="39">
        <f t="shared" si="3"/>
        <v>481559.7243</v>
      </c>
      <c r="R30" s="40">
        <f t="shared" si="4"/>
        <v>0.2241862238</v>
      </c>
      <c r="S30" s="41">
        <v>299504.0</v>
      </c>
      <c r="T30" s="41">
        <v>11844.0</v>
      </c>
      <c r="U30" s="41">
        <v>1823.4</v>
      </c>
      <c r="V30" s="39">
        <f t="shared" si="5"/>
        <v>367176.4965</v>
      </c>
      <c r="W30" s="40">
        <f t="shared" si="6"/>
        <v>0.1709360399</v>
      </c>
      <c r="X30" s="40">
        <f t="shared" si="7"/>
        <v>0.184305088</v>
      </c>
      <c r="Y30" s="42">
        <v>937532.0</v>
      </c>
      <c r="Z30" s="42">
        <v>197254.0</v>
      </c>
      <c r="AA30" s="42">
        <v>2442.56</v>
      </c>
      <c r="AB30" s="42"/>
      <c r="AC30" s="42">
        <v>2930.53</v>
      </c>
      <c r="AD30" s="39">
        <f t="shared" ref="AD30:AD44" si="14">SUM(Y30:Z30)+(AA30+AC30)*$AS30</f>
        <v>1299298.195</v>
      </c>
      <c r="AE30" s="40">
        <f t="shared" si="9"/>
        <v>0.6048777363</v>
      </c>
      <c r="AF30" s="40">
        <f t="shared" si="10"/>
        <v>0.1266161961</v>
      </c>
      <c r="AG30" s="44" t="s">
        <v>63</v>
      </c>
      <c r="AH30" s="44" t="s">
        <v>63</v>
      </c>
      <c r="AJ30" s="4" t="s">
        <v>63</v>
      </c>
      <c r="AK30" s="45">
        <v>350000.0</v>
      </c>
      <c r="AL30" s="45">
        <v>250000.0</v>
      </c>
      <c r="AM30" s="46">
        <f t="shared" si="11"/>
        <v>600000</v>
      </c>
      <c r="AN30" s="47"/>
      <c r="AO30" s="4">
        <v>250000.0</v>
      </c>
      <c r="AP30" s="4">
        <v>265625.0</v>
      </c>
      <c r="AQ30" s="4">
        <v>6.4</v>
      </c>
      <c r="AR30" s="1">
        <f t="shared" si="12"/>
        <v>1700000</v>
      </c>
      <c r="AS30" s="50">
        <v>30.6178</v>
      </c>
      <c r="AV30" s="48"/>
    </row>
    <row r="31">
      <c r="A31" s="55">
        <v>45102.0</v>
      </c>
      <c r="B31" s="34">
        <v>45102.0</v>
      </c>
      <c r="C31" s="4">
        <f>51961+80800</f>
        <v>132761</v>
      </c>
      <c r="D31" s="4">
        <v>4268.0</v>
      </c>
      <c r="E31" s="36">
        <f t="shared" si="1"/>
        <v>137029</v>
      </c>
      <c r="F31" s="36">
        <f t="shared" si="2"/>
        <v>2361353.432</v>
      </c>
      <c r="G31" s="49">
        <f t="shared" si="13"/>
        <v>0.09930893773</v>
      </c>
      <c r="H31" s="37" t="s">
        <v>63</v>
      </c>
      <c r="I31" s="38">
        <f>12323+517721</f>
        <v>530044</v>
      </c>
      <c r="J31" s="38">
        <f>30086-28281</f>
        <v>1805</v>
      </c>
      <c r="K31" s="38" t="s">
        <v>63</v>
      </c>
      <c r="L31" s="38">
        <v>6580.0</v>
      </c>
      <c r="M31" s="38">
        <v>2017.0</v>
      </c>
      <c r="N31" s="38">
        <v>2601.0</v>
      </c>
      <c r="O31" s="38">
        <f>343.73+252.03</f>
        <v>595.76</v>
      </c>
      <c r="P31" s="38">
        <v>196.39</v>
      </c>
      <c r="Q31" s="39">
        <f t="shared" si="3"/>
        <v>567606.4225</v>
      </c>
      <c r="R31" s="40">
        <f t="shared" si="4"/>
        <v>0.2403733447</v>
      </c>
      <c r="S31" s="41">
        <v>322948.0</v>
      </c>
      <c r="T31" s="41">
        <v>13404.0</v>
      </c>
      <c r="U31" s="41">
        <v>2150.75</v>
      </c>
      <c r="V31" s="39">
        <f t="shared" si="5"/>
        <v>403032.7776</v>
      </c>
      <c r="W31" s="40">
        <f t="shared" si="6"/>
        <v>0.1706787185</v>
      </c>
      <c r="X31" s="40">
        <f t="shared" si="7"/>
        <v>0.1987053711</v>
      </c>
      <c r="Y31" s="42">
        <v>968828.0</v>
      </c>
      <c r="Z31" s="42">
        <v>229472.0</v>
      </c>
      <c r="AA31" s="42">
        <f>122.34+3079.2</f>
        <v>3201.54</v>
      </c>
      <c r="AB31" s="42"/>
      <c r="AC31" s="42">
        <v>3004.67</v>
      </c>
      <c r="AD31" s="39">
        <f t="shared" si="14"/>
        <v>1390714.232</v>
      </c>
      <c r="AE31" s="40">
        <f t="shared" si="9"/>
        <v>0.5889479368</v>
      </c>
      <c r="AF31" s="40">
        <f t="shared" si="10"/>
        <v>0.1383564124</v>
      </c>
      <c r="AG31" s="44" t="s">
        <v>63</v>
      </c>
      <c r="AH31" s="44" t="s">
        <v>63</v>
      </c>
      <c r="AJ31" s="4" t="s">
        <v>63</v>
      </c>
      <c r="AK31" s="45">
        <v>350000.0</v>
      </c>
      <c r="AL31" s="45">
        <v>250000.0</v>
      </c>
      <c r="AM31" s="46">
        <f t="shared" si="11"/>
        <v>600000</v>
      </c>
      <c r="AN31" s="47"/>
      <c r="AO31" s="4">
        <v>250000.0</v>
      </c>
      <c r="AP31" s="4">
        <v>265625.0</v>
      </c>
      <c r="AQ31" s="4">
        <v>6.4</v>
      </c>
      <c r="AR31" s="1">
        <f t="shared" si="12"/>
        <v>1700000</v>
      </c>
      <c r="AS31" s="50">
        <v>31.0035</v>
      </c>
      <c r="AV31" s="48"/>
    </row>
    <row r="32">
      <c r="A32" s="55">
        <v>45137.0</v>
      </c>
      <c r="B32" s="34">
        <v>45137.0</v>
      </c>
      <c r="C32" s="4">
        <f>51660+21965</f>
        <v>73625</v>
      </c>
      <c r="D32" s="4">
        <v>33824.0</v>
      </c>
      <c r="E32" s="36">
        <f t="shared" si="1"/>
        <v>107449</v>
      </c>
      <c r="F32" s="36">
        <f t="shared" si="2"/>
        <v>2550295.262</v>
      </c>
      <c r="G32" s="49">
        <f t="shared" si="13"/>
        <v>0.08001421037</v>
      </c>
      <c r="H32" s="56">
        <f t="shared" ref="H32:H63" si="15">(F32-F20)/F20</f>
        <v>0.6011190069</v>
      </c>
      <c r="I32" s="38">
        <f>528648+27166</f>
        <v>555814</v>
      </c>
      <c r="J32" s="38">
        <v>2228.0</v>
      </c>
      <c r="K32" s="38" t="s">
        <v>63</v>
      </c>
      <c r="L32" s="38">
        <v>580.0</v>
      </c>
      <c r="M32" s="38">
        <v>2017.0</v>
      </c>
      <c r="N32" s="38">
        <f>131619-16297</f>
        <v>115322</v>
      </c>
      <c r="O32" s="38">
        <v>245.38</v>
      </c>
      <c r="P32" s="38">
        <v>196.39</v>
      </c>
      <c r="Q32" s="39">
        <f t="shared" si="3"/>
        <v>689801.5657</v>
      </c>
      <c r="R32" s="40">
        <f t="shared" si="4"/>
        <v>0.2704790994</v>
      </c>
      <c r="S32" s="41">
        <v>372217.0</v>
      </c>
      <c r="T32" s="41">
        <v>14442.0</v>
      </c>
      <c r="U32" s="41">
        <v>2378.23</v>
      </c>
      <c r="V32" s="39">
        <f t="shared" si="5"/>
        <v>461168.4703</v>
      </c>
      <c r="W32" s="40">
        <f t="shared" si="6"/>
        <v>0.1808294424</v>
      </c>
      <c r="X32" s="40">
        <f t="shared" si="7"/>
        <v>0.1928828096</v>
      </c>
      <c r="Y32" s="42">
        <v>886087.0</v>
      </c>
      <c r="Z32" s="42">
        <v>315915.0</v>
      </c>
      <c r="AA32" s="42">
        <v>3329.86</v>
      </c>
      <c r="AB32" s="42"/>
      <c r="AC32" s="42">
        <v>2968.4</v>
      </c>
      <c r="AD32" s="39">
        <f t="shared" si="14"/>
        <v>1399325.226</v>
      </c>
      <c r="AE32" s="40">
        <f t="shared" si="9"/>
        <v>0.5486914582</v>
      </c>
      <c r="AF32" s="40">
        <f t="shared" si="10"/>
        <v>0.1410131272</v>
      </c>
      <c r="AG32" s="44" t="s">
        <v>63</v>
      </c>
      <c r="AH32" s="44" t="s">
        <v>63</v>
      </c>
      <c r="AJ32" s="4" t="s">
        <v>63</v>
      </c>
      <c r="AK32" s="45">
        <v>350000.0</v>
      </c>
      <c r="AL32" s="45">
        <v>250000.0</v>
      </c>
      <c r="AM32" s="46">
        <f t="shared" si="11"/>
        <v>600000</v>
      </c>
      <c r="AN32" s="47"/>
      <c r="AO32" s="4">
        <v>250000.0</v>
      </c>
      <c r="AP32" s="4">
        <v>265625.0</v>
      </c>
      <c r="AQ32" s="4">
        <v>6.4</v>
      </c>
      <c r="AR32" s="1">
        <f t="shared" si="12"/>
        <v>1700000</v>
      </c>
      <c r="AS32" s="50">
        <v>31.3298</v>
      </c>
      <c r="AV32" s="48"/>
    </row>
    <row r="33">
      <c r="A33" s="55">
        <v>45173.0</v>
      </c>
      <c r="B33" s="34">
        <v>45169.0</v>
      </c>
      <c r="C33" s="4">
        <v>51660.0</v>
      </c>
      <c r="D33" s="4">
        <v>44007.0</v>
      </c>
      <c r="E33" s="57">
        <f t="shared" si="1"/>
        <v>95667</v>
      </c>
      <c r="F33" s="36">
        <f t="shared" si="2"/>
        <v>2453442.678</v>
      </c>
      <c r="G33" s="49">
        <f t="shared" si="13"/>
        <v>-0.03797700825</v>
      </c>
      <c r="H33" s="56">
        <f t="shared" si="15"/>
        <v>0.5355169831</v>
      </c>
      <c r="I33" s="38">
        <f>563876+22769</f>
        <v>586645</v>
      </c>
      <c r="J33" s="38">
        <v>1831.0</v>
      </c>
      <c r="K33" s="38" t="s">
        <v>63</v>
      </c>
      <c r="L33" s="38">
        <v>14473.0</v>
      </c>
      <c r="M33" s="38">
        <v>10160.0</v>
      </c>
      <c r="N33" s="38">
        <v>62931.0</v>
      </c>
      <c r="O33" s="38">
        <f>145.38</f>
        <v>145.38</v>
      </c>
      <c r="P33" s="38">
        <v>812.86</v>
      </c>
      <c r="Q33" s="39">
        <f t="shared" si="3"/>
        <v>706586.7747</v>
      </c>
      <c r="R33" s="40">
        <f t="shared" si="4"/>
        <v>0.2879980776</v>
      </c>
      <c r="S33" s="41">
        <v>241758.0</v>
      </c>
      <c r="T33" s="41">
        <v>14468.0</v>
      </c>
      <c r="U33" s="41">
        <v>2324.02</v>
      </c>
      <c r="V33" s="39">
        <f t="shared" si="5"/>
        <v>330311.1096</v>
      </c>
      <c r="W33" s="40">
        <f t="shared" si="6"/>
        <v>0.13463168</v>
      </c>
      <c r="X33" s="40">
        <f t="shared" si="7"/>
        <v>0.2680900127</v>
      </c>
      <c r="Y33" s="42">
        <v>923479.0</v>
      </c>
      <c r="Z33" s="42">
        <v>297814.0</v>
      </c>
      <c r="AA33" s="42">
        <f>271.32+3185.13</f>
        <v>3456.45</v>
      </c>
      <c r="AB33" s="42"/>
      <c r="AC33" s="42">
        <v>2668.52</v>
      </c>
      <c r="AD33" s="39">
        <f t="shared" si="14"/>
        <v>1416544.794</v>
      </c>
      <c r="AE33" s="40">
        <f t="shared" si="9"/>
        <v>0.5773702424</v>
      </c>
      <c r="AF33" s="40">
        <f t="shared" si="10"/>
        <v>0.1378366533</v>
      </c>
      <c r="AG33" s="44" t="s">
        <v>63</v>
      </c>
      <c r="AH33" s="44" t="s">
        <v>63</v>
      </c>
      <c r="AJ33" s="4" t="s">
        <v>63</v>
      </c>
      <c r="AK33" s="45">
        <v>350000.0</v>
      </c>
      <c r="AL33" s="45">
        <v>250000.0</v>
      </c>
      <c r="AM33" s="46">
        <f t="shared" si="11"/>
        <v>600000</v>
      </c>
      <c r="AN33" s="47"/>
      <c r="AO33" s="4">
        <v>250000.0</v>
      </c>
      <c r="AP33" s="4">
        <v>265625.0</v>
      </c>
      <c r="AQ33" s="4">
        <v>6.4</v>
      </c>
      <c r="AR33" s="1">
        <f t="shared" si="12"/>
        <v>1700000</v>
      </c>
      <c r="AS33" s="50">
        <v>31.878</v>
      </c>
      <c r="AU33" s="4" t="s">
        <v>65</v>
      </c>
      <c r="AV33" s="48"/>
    </row>
    <row r="34">
      <c r="A34" s="55">
        <v>45205.0</v>
      </c>
      <c r="B34" s="34">
        <v>45199.0</v>
      </c>
      <c r="C34" s="4">
        <v>51811.0</v>
      </c>
      <c r="D34" s="4">
        <v>9771.96</v>
      </c>
      <c r="E34" s="57">
        <f t="shared" si="1"/>
        <v>61582.96</v>
      </c>
      <c r="F34" s="36">
        <f t="shared" si="2"/>
        <v>2453026.215</v>
      </c>
      <c r="G34" s="49">
        <f t="shared" si="13"/>
        <v>-0.00016974634</v>
      </c>
      <c r="H34" s="56">
        <f t="shared" si="15"/>
        <v>0.4699900905</v>
      </c>
      <c r="I34" s="38">
        <f>632667-51697+25084</f>
        <v>606054</v>
      </c>
      <c r="J34" s="38">
        <v>537.0</v>
      </c>
      <c r="K34" s="38" t="s">
        <v>63</v>
      </c>
      <c r="L34" s="38">
        <v>473.0</v>
      </c>
      <c r="M34" s="38">
        <v>10160.0</v>
      </c>
      <c r="N34" s="38">
        <v>12964.0</v>
      </c>
      <c r="O34" s="38">
        <v>46.79</v>
      </c>
      <c r="P34" s="38">
        <v>261.15</v>
      </c>
      <c r="Q34" s="39">
        <f t="shared" si="3"/>
        <v>640106.2855</v>
      </c>
      <c r="R34" s="40">
        <f t="shared" si="4"/>
        <v>0.2609455543</v>
      </c>
      <c r="S34" s="41">
        <v>255122.0</v>
      </c>
      <c r="T34" s="41">
        <v>13638.0</v>
      </c>
      <c r="U34" s="41">
        <v>2210.66</v>
      </c>
      <c r="V34" s="39">
        <f t="shared" si="5"/>
        <v>339962.0426</v>
      </c>
      <c r="W34" s="40">
        <f t="shared" si="6"/>
        <v>0.1385888339</v>
      </c>
      <c r="X34" s="40">
        <f t="shared" si="7"/>
        <v>0.2495573975</v>
      </c>
      <c r="Y34" s="42">
        <v>965765.0</v>
      </c>
      <c r="Z34" s="42">
        <v>300767.0</v>
      </c>
      <c r="AA34" s="42">
        <f>286.4+270.14+3640.7</f>
        <v>4197.24</v>
      </c>
      <c r="AB34" s="42"/>
      <c r="AC34" s="42">
        <v>2211.81</v>
      </c>
      <c r="AD34" s="39">
        <f t="shared" si="14"/>
        <v>1472957.887</v>
      </c>
      <c r="AE34" s="40">
        <f t="shared" si="9"/>
        <v>0.6004656118</v>
      </c>
      <c r="AF34" s="40">
        <f t="shared" si="10"/>
        <v>0.1401437806</v>
      </c>
      <c r="AG34" s="44" t="s">
        <v>63</v>
      </c>
      <c r="AH34" s="44" t="s">
        <v>63</v>
      </c>
      <c r="AJ34" s="4" t="s">
        <v>63</v>
      </c>
      <c r="AK34" s="45">
        <v>350000.0</v>
      </c>
      <c r="AL34" s="45">
        <v>250000.0</v>
      </c>
      <c r="AM34" s="46">
        <f t="shared" si="11"/>
        <v>600000</v>
      </c>
      <c r="AN34" s="47"/>
      <c r="AO34" s="4">
        <v>250000.0</v>
      </c>
      <c r="AP34" s="4">
        <v>265625.0</v>
      </c>
      <c r="AQ34" s="4">
        <v>6.4</v>
      </c>
      <c r="AR34" s="1">
        <f t="shared" si="12"/>
        <v>1700000</v>
      </c>
      <c r="AS34" s="50">
        <v>32.2085</v>
      </c>
      <c r="AV34" s="48"/>
    </row>
    <row r="35">
      <c r="A35" s="55">
        <v>45232.0</v>
      </c>
      <c r="B35" s="34">
        <v>45229.0</v>
      </c>
      <c r="C35" s="4">
        <v>51697.0</v>
      </c>
      <c r="D35" s="4">
        <v>580.84</v>
      </c>
      <c r="E35" s="57">
        <f t="shared" si="1"/>
        <v>52277.84</v>
      </c>
      <c r="F35" s="36">
        <f t="shared" si="2"/>
        <v>2379631.86</v>
      </c>
      <c r="G35" s="49">
        <f t="shared" si="13"/>
        <v>-0.02991992267</v>
      </c>
      <c r="H35" s="56">
        <f t="shared" si="15"/>
        <v>0.5058502945</v>
      </c>
      <c r="I35" s="38">
        <f>17047+524667+9400</f>
        <v>551114</v>
      </c>
      <c r="J35" s="38">
        <v>1057.0</v>
      </c>
      <c r="K35" s="38" t="s">
        <v>63</v>
      </c>
      <c r="L35" s="38">
        <v>1583.0</v>
      </c>
      <c r="M35" s="38">
        <v>10160.0</v>
      </c>
      <c r="N35" s="38">
        <v>12964.0</v>
      </c>
      <c r="O35" s="38">
        <f>168.2+146.79</f>
        <v>314.99</v>
      </c>
      <c r="P35" s="38">
        <v>9.33</v>
      </c>
      <c r="Q35" s="39">
        <f t="shared" si="3"/>
        <v>587368.2926</v>
      </c>
      <c r="R35" s="40">
        <f t="shared" si="4"/>
        <v>0.2468315803</v>
      </c>
      <c r="S35" s="41">
        <v>246455.0</v>
      </c>
      <c r="T35" s="41">
        <v>13595.0</v>
      </c>
      <c r="U35" s="41">
        <v>2162.31</v>
      </c>
      <c r="V35" s="39">
        <f t="shared" si="5"/>
        <v>329990.9981</v>
      </c>
      <c r="W35" s="40">
        <f t="shared" si="6"/>
        <v>0.1386731299</v>
      </c>
      <c r="X35" s="40">
        <f t="shared" si="7"/>
        <v>0.2531462936</v>
      </c>
      <c r="Y35" s="42">
        <v>962371.0</v>
      </c>
      <c r="Z35" s="42">
        <v>313291.0</v>
      </c>
      <c r="AA35" s="42">
        <f>330.02+379.35+2879.24</f>
        <v>3588.61</v>
      </c>
      <c r="AB35" s="42"/>
      <c r="AC35" s="42">
        <v>2180.68</v>
      </c>
      <c r="AD35" s="39">
        <f t="shared" si="14"/>
        <v>1462272.57</v>
      </c>
      <c r="AE35" s="40">
        <f t="shared" si="9"/>
        <v>0.6144952898</v>
      </c>
      <c r="AF35" s="40">
        <f t="shared" si="10"/>
        <v>0.1276168162</v>
      </c>
      <c r="AG35" s="44" t="s">
        <v>63</v>
      </c>
      <c r="AH35" s="44" t="s">
        <v>63</v>
      </c>
      <c r="AJ35" s="4" t="s">
        <v>63</v>
      </c>
      <c r="AK35" s="45">
        <v>350000.0</v>
      </c>
      <c r="AL35" s="45">
        <v>250000.0</v>
      </c>
      <c r="AM35" s="46">
        <f t="shared" si="11"/>
        <v>600000</v>
      </c>
      <c r="AN35" s="47"/>
      <c r="AO35" s="4">
        <v>250000.0</v>
      </c>
      <c r="AP35" s="4">
        <v>265625.0</v>
      </c>
      <c r="AQ35" s="4">
        <v>6.4</v>
      </c>
      <c r="AR35" s="1">
        <f t="shared" si="12"/>
        <v>1700000</v>
      </c>
      <c r="AS35" s="50">
        <v>32.3455</v>
      </c>
      <c r="AV35" s="48"/>
    </row>
    <row r="36">
      <c r="A36" s="53">
        <v>45259.0</v>
      </c>
      <c r="B36" s="34">
        <v>45259.0</v>
      </c>
      <c r="C36" s="4">
        <v>56175.0</v>
      </c>
      <c r="D36" s="4">
        <v>360.05</v>
      </c>
      <c r="E36" s="57">
        <f t="shared" si="1"/>
        <v>56535.05</v>
      </c>
      <c r="F36" s="36">
        <f t="shared" si="2"/>
        <v>2515930.202</v>
      </c>
      <c r="G36" s="49">
        <f t="shared" si="13"/>
        <v>0.05727707052</v>
      </c>
      <c r="H36" s="56">
        <f t="shared" si="15"/>
        <v>0.4498430921</v>
      </c>
      <c r="I36" s="38">
        <f>23399+423205+81050</f>
        <v>527654</v>
      </c>
      <c r="J36" s="38">
        <f>2001+9665</f>
        <v>11666</v>
      </c>
      <c r="K36" s="38" t="s">
        <v>63</v>
      </c>
      <c r="L36" s="38">
        <v>583.0</v>
      </c>
      <c r="M36" s="38">
        <v>160.0</v>
      </c>
      <c r="N36" s="38">
        <v>31139.0</v>
      </c>
      <c r="O36" s="38">
        <f>192.5+46.79</f>
        <v>239.29</v>
      </c>
      <c r="P36" s="38">
        <v>336.6</v>
      </c>
      <c r="Q36" s="39">
        <f t="shared" si="3"/>
        <v>589206.625</v>
      </c>
      <c r="R36" s="40">
        <f t="shared" si="4"/>
        <v>0.23419037</v>
      </c>
      <c r="S36" s="41">
        <v>272069.0</v>
      </c>
      <c r="T36" s="41">
        <v>15413.0</v>
      </c>
      <c r="U36" s="41">
        <v>2575.82</v>
      </c>
      <c r="V36" s="39">
        <f t="shared" si="5"/>
        <v>368012.4365</v>
      </c>
      <c r="W36" s="40">
        <f t="shared" si="6"/>
        <v>0.1462729118</v>
      </c>
      <c r="X36" s="40">
        <f t="shared" si="7"/>
        <v>0.2607070495</v>
      </c>
      <c r="Y36" s="42">
        <v>984411.0</v>
      </c>
      <c r="Z36" s="42">
        <v>366443.0</v>
      </c>
      <c r="AA36" s="42">
        <f>341.04+411.6+3454.08</f>
        <v>4206.72</v>
      </c>
      <c r="AB36" s="42"/>
      <c r="AC36" s="42">
        <v>2441.73</v>
      </c>
      <c r="AD36" s="39">
        <f t="shared" si="14"/>
        <v>1558711.141</v>
      </c>
      <c r="AE36" s="40">
        <f t="shared" si="9"/>
        <v>0.6195367182</v>
      </c>
      <c r="AF36" s="40">
        <f t="shared" si="10"/>
        <v>0.1333519312</v>
      </c>
      <c r="AG36" s="44" t="s">
        <v>63</v>
      </c>
      <c r="AH36" s="44" t="s">
        <v>63</v>
      </c>
      <c r="AJ36" s="4" t="s">
        <v>63</v>
      </c>
      <c r="AK36" s="45">
        <v>350000.0</v>
      </c>
      <c r="AL36" s="45">
        <v>250000.0</v>
      </c>
      <c r="AM36" s="46">
        <f t="shared" si="11"/>
        <v>600000</v>
      </c>
      <c r="AN36" s="47"/>
      <c r="AO36" s="4">
        <v>250000.0</v>
      </c>
      <c r="AP36" s="4">
        <v>265625.0</v>
      </c>
      <c r="AQ36" s="4">
        <v>13.5</v>
      </c>
      <c r="AR36" s="58">
        <f t="shared" si="12"/>
        <v>3585937.5</v>
      </c>
      <c r="AS36" s="50">
        <v>31.264</v>
      </c>
      <c r="AV36" s="48"/>
    </row>
    <row r="37">
      <c r="A37" s="53">
        <v>45290.0</v>
      </c>
      <c r="B37" s="34">
        <v>45290.0</v>
      </c>
      <c r="C37" s="4">
        <f>51697+6000+117399</f>
        <v>175096</v>
      </c>
      <c r="D37" s="4">
        <v>12881.0</v>
      </c>
      <c r="E37" s="57">
        <f t="shared" si="1"/>
        <v>187977</v>
      </c>
      <c r="F37" s="36">
        <f t="shared" si="2"/>
        <v>2739417.76</v>
      </c>
      <c r="G37" s="49">
        <f t="shared" si="13"/>
        <v>0.08882899744</v>
      </c>
      <c r="H37" s="56">
        <f t="shared" si="15"/>
        <v>0.5478728897</v>
      </c>
      <c r="I37" s="38">
        <f>38995+514596+100000</f>
        <v>653591</v>
      </c>
      <c r="J37" s="38">
        <f>69+9945</f>
        <v>10014</v>
      </c>
      <c r="K37" s="38" t="s">
        <v>63</v>
      </c>
      <c r="L37" s="38">
        <v>2494.0</v>
      </c>
      <c r="M37" s="38">
        <v>173.0</v>
      </c>
      <c r="N37" s="38">
        <v>39918.0</v>
      </c>
      <c r="O37" s="38">
        <v>249.5</v>
      </c>
      <c r="P37" s="38">
        <v>218.04</v>
      </c>
      <c r="Q37" s="39">
        <f t="shared" si="3"/>
        <v>720535.787</v>
      </c>
      <c r="R37" s="40">
        <f t="shared" si="4"/>
        <v>0.2630251572</v>
      </c>
      <c r="S37" s="41">
        <v>288346.0</v>
      </c>
      <c r="T37" s="41">
        <f>10629+6035</f>
        <v>16664</v>
      </c>
      <c r="U37" s="41">
        <v>3106.55</v>
      </c>
      <c r="V37" s="39">
        <f t="shared" si="5"/>
        <v>400329.9823</v>
      </c>
      <c r="W37" s="40">
        <f t="shared" si="6"/>
        <v>0.1461368865</v>
      </c>
      <c r="X37" s="40">
        <f t="shared" si="7"/>
        <v>0.2797291915</v>
      </c>
      <c r="Y37" s="42">
        <v>1002842.0</v>
      </c>
      <c r="Z37" s="42">
        <v>394006.0</v>
      </c>
      <c r="AA37" s="42">
        <f>351.48+560.92+3544.52</f>
        <v>4456.92</v>
      </c>
      <c r="AB37" s="42"/>
      <c r="AC37" s="42">
        <v>2768.58</v>
      </c>
      <c r="AD37" s="39">
        <f t="shared" si="14"/>
        <v>1618551.991</v>
      </c>
      <c r="AE37" s="40">
        <f t="shared" si="9"/>
        <v>0.5908379563</v>
      </c>
      <c r="AF37" s="40">
        <f t="shared" si="10"/>
        <v>0.1369767495</v>
      </c>
      <c r="AG37" s="44" t="s">
        <v>63</v>
      </c>
      <c r="AH37" s="44" t="s">
        <v>63</v>
      </c>
      <c r="AJ37" s="4" t="s">
        <v>63</v>
      </c>
      <c r="AK37" s="45">
        <v>350000.0</v>
      </c>
      <c r="AL37" s="45">
        <v>250000.0</v>
      </c>
      <c r="AM37" s="46">
        <f t="shared" si="11"/>
        <v>600000</v>
      </c>
      <c r="AN37" s="47"/>
      <c r="AO37" s="4">
        <v>250000.0</v>
      </c>
      <c r="AP37" s="4">
        <v>265625.0</v>
      </c>
      <c r="AQ37" s="4">
        <v>13.5</v>
      </c>
      <c r="AR37" s="58">
        <f t="shared" si="12"/>
        <v>3585937.5</v>
      </c>
      <c r="AS37" s="50">
        <v>30.68355</v>
      </c>
      <c r="AV37" s="48"/>
    </row>
    <row r="38">
      <c r="A38" s="55">
        <v>45323.0</v>
      </c>
      <c r="B38" s="34">
        <v>45322.0</v>
      </c>
      <c r="C38" s="4">
        <v>51197.0</v>
      </c>
      <c r="D38" s="4">
        <v>29050.42</v>
      </c>
      <c r="E38" s="57">
        <f t="shared" si="1"/>
        <v>80247.42</v>
      </c>
      <c r="F38" s="36">
        <f t="shared" si="2"/>
        <v>2698158.36</v>
      </c>
      <c r="G38" s="49">
        <f t="shared" si="13"/>
        <v>-0.0150613754</v>
      </c>
      <c r="H38" s="56">
        <f t="shared" si="15"/>
        <v>0.4486982385</v>
      </c>
      <c r="I38" s="38">
        <f>465070+23362+10000</f>
        <v>498432</v>
      </c>
      <c r="J38" s="38">
        <f>4337+9582</f>
        <v>13919</v>
      </c>
      <c r="K38" s="38">
        <v>102985.0</v>
      </c>
      <c r="L38" s="38">
        <v>91210.0</v>
      </c>
      <c r="M38" s="38">
        <v>173.0</v>
      </c>
      <c r="N38" s="38">
        <f>67513-61048</f>
        <v>6465</v>
      </c>
      <c r="O38" s="38">
        <f>149.5+212</f>
        <v>361.5</v>
      </c>
      <c r="P38" s="38">
        <v>163.78</v>
      </c>
      <c r="Q38" s="39">
        <f t="shared" si="3"/>
        <v>729633.3008</v>
      </c>
      <c r="R38" s="40">
        <f t="shared" si="4"/>
        <v>0.2704190056</v>
      </c>
      <c r="S38" s="41">
        <v>214359.0</v>
      </c>
      <c r="T38" s="41">
        <v>11295.0</v>
      </c>
      <c r="U38" s="41">
        <v>3020.35</v>
      </c>
      <c r="V38" s="39">
        <f t="shared" si="5"/>
        <v>320237.1664</v>
      </c>
      <c r="W38" s="40">
        <f t="shared" si="6"/>
        <v>0.1186873132</v>
      </c>
      <c r="X38" s="40">
        <f t="shared" si="7"/>
        <v>0.3306242294</v>
      </c>
      <c r="Y38" s="42">
        <v>1012863.0</v>
      </c>
      <c r="Z38" s="42">
        <f>292243+50150</f>
        <v>342393</v>
      </c>
      <c r="AA38" s="42">
        <f>312.2+560.4+2622.06</f>
        <v>3494.66</v>
      </c>
      <c r="AB38" s="42"/>
      <c r="AC38" s="42">
        <v>2669.48</v>
      </c>
      <c r="AD38" s="39">
        <f t="shared" si="14"/>
        <v>1548287.893</v>
      </c>
      <c r="AE38" s="40">
        <f t="shared" si="9"/>
        <v>0.5738313644</v>
      </c>
      <c r="AF38" s="40">
        <f t="shared" si="10"/>
        <v>0.1246744189</v>
      </c>
      <c r="AG38" s="44" t="s">
        <v>63</v>
      </c>
      <c r="AH38" s="44" t="s">
        <v>63</v>
      </c>
      <c r="AJ38" s="4" t="s">
        <v>63</v>
      </c>
      <c r="AK38" s="45">
        <v>350000.0</v>
      </c>
      <c r="AL38" s="45">
        <v>250000.0</v>
      </c>
      <c r="AM38" s="46">
        <f t="shared" si="11"/>
        <v>600000</v>
      </c>
      <c r="AN38" s="59">
        <v>100000.0</v>
      </c>
      <c r="AO38" s="4">
        <v>250000.0</v>
      </c>
      <c r="AP38" s="4">
        <v>265625.0</v>
      </c>
      <c r="AQ38" s="4">
        <v>13.5</v>
      </c>
      <c r="AR38" s="58">
        <f t="shared" si="12"/>
        <v>3585937.5</v>
      </c>
      <c r="AS38" s="50">
        <v>31.3153</v>
      </c>
      <c r="AV38" s="48"/>
    </row>
    <row r="39">
      <c r="A39" s="55">
        <v>45350.0</v>
      </c>
      <c r="B39" s="34">
        <v>45350.0</v>
      </c>
      <c r="C39" s="4">
        <f>57667+3500</f>
        <v>61167</v>
      </c>
      <c r="D39" s="4">
        <v>4355.0</v>
      </c>
      <c r="E39" s="57">
        <f t="shared" si="1"/>
        <v>65522</v>
      </c>
      <c r="F39" s="36">
        <f t="shared" si="2"/>
        <v>2706574.374</v>
      </c>
      <c r="G39" s="49">
        <f t="shared" si="13"/>
        <v>0.003119169428</v>
      </c>
      <c r="H39" s="56">
        <f t="shared" si="15"/>
        <v>0.41079606</v>
      </c>
      <c r="I39" s="38">
        <f>299723+23362+57070</f>
        <v>380155</v>
      </c>
      <c r="J39" s="38">
        <f>9761+9582</f>
        <v>19343</v>
      </c>
      <c r="K39" s="38">
        <v>103089.0</v>
      </c>
      <c r="L39" s="38">
        <v>8513.0</v>
      </c>
      <c r="M39" s="38">
        <v>173.0</v>
      </c>
      <c r="N39" s="38">
        <v>6465.0</v>
      </c>
      <c r="O39" s="38">
        <v>49.5</v>
      </c>
      <c r="P39" s="38">
        <v>146.8</v>
      </c>
      <c r="Q39" s="39">
        <f t="shared" si="3"/>
        <v>523952.3673</v>
      </c>
      <c r="R39" s="40">
        <f t="shared" si="4"/>
        <v>0.1935850618</v>
      </c>
      <c r="S39" s="41">
        <v>231238.0</v>
      </c>
      <c r="T39" s="41">
        <v>12259.0</v>
      </c>
      <c r="U39" s="41">
        <v>3414.27</v>
      </c>
      <c r="V39" s="39">
        <f t="shared" si="5"/>
        <v>351584.2525</v>
      </c>
      <c r="W39" s="40">
        <f t="shared" si="6"/>
        <v>0.1299000892</v>
      </c>
      <c r="X39" s="40">
        <f t="shared" si="7"/>
        <v>0.3422970502</v>
      </c>
      <c r="Y39" s="42">
        <v>1033765.0</v>
      </c>
      <c r="Z39" s="42">
        <f>300450+51250</f>
        <v>351700</v>
      </c>
      <c r="AA39" s="42">
        <f>353.21+555.52+2796.22</f>
        <v>3704.95</v>
      </c>
      <c r="AB39" s="42"/>
      <c r="AC39" s="42">
        <v>2472.82</v>
      </c>
      <c r="AD39" s="39">
        <f t="shared" si="14"/>
        <v>1581037.754</v>
      </c>
      <c r="AE39" s="40">
        <f t="shared" si="9"/>
        <v>0.5841471674</v>
      </c>
      <c r="AF39" s="40">
        <f t="shared" si="10"/>
        <v>0.1236989777</v>
      </c>
      <c r="AG39" s="44" t="s">
        <v>63</v>
      </c>
      <c r="AH39" s="44" t="s">
        <v>63</v>
      </c>
      <c r="AJ39" s="4" t="s">
        <v>63</v>
      </c>
      <c r="AK39" s="45">
        <v>350000.0</v>
      </c>
      <c r="AL39" s="45">
        <v>250000.0</v>
      </c>
      <c r="AM39" s="46">
        <f t="shared" si="11"/>
        <v>600000</v>
      </c>
      <c r="AN39" s="59">
        <v>250000.0</v>
      </c>
      <c r="AO39" s="4">
        <v>250000.0</v>
      </c>
      <c r="AP39" s="4">
        <v>265625.0</v>
      </c>
      <c r="AQ39" s="4">
        <v>13.5</v>
      </c>
      <c r="AR39" s="58">
        <f t="shared" si="12"/>
        <v>3585937.5</v>
      </c>
      <c r="AS39" s="50">
        <v>31.6575</v>
      </c>
      <c r="AV39" s="48"/>
    </row>
    <row r="40">
      <c r="A40" s="55">
        <v>45382.0</v>
      </c>
      <c r="B40" s="34">
        <v>45382.0</v>
      </c>
      <c r="C40" s="4">
        <v>56697.0</v>
      </c>
      <c r="D40" s="4">
        <v>37439.45</v>
      </c>
      <c r="E40" s="57">
        <f t="shared" si="1"/>
        <v>94136.45</v>
      </c>
      <c r="F40" s="36">
        <f t="shared" si="2"/>
        <v>2706383.492</v>
      </c>
      <c r="G40" s="49">
        <f t="shared" si="13"/>
        <v>-0.00007052529089</v>
      </c>
      <c r="H40" s="56">
        <f t="shared" si="15"/>
        <v>0.3815982665</v>
      </c>
      <c r="I40" s="38">
        <f>254522+120092+13821</f>
        <v>388435</v>
      </c>
      <c r="J40" s="38">
        <f>75+9669</f>
        <v>9744</v>
      </c>
      <c r="K40" s="38">
        <v>94386.0</v>
      </c>
      <c r="L40" s="38">
        <v>610.0</v>
      </c>
      <c r="M40" s="38">
        <v>173.0</v>
      </c>
      <c r="N40" s="38">
        <f t="shared" ref="N40:N41" si="16">88284</f>
        <v>88284</v>
      </c>
      <c r="O40" s="38">
        <f>110.55+200.2</f>
        <v>310.75</v>
      </c>
      <c r="P40" s="38">
        <v>282.11</v>
      </c>
      <c r="Q40" s="39">
        <f t="shared" si="3"/>
        <v>600568.482</v>
      </c>
      <c r="R40" s="40">
        <f t="shared" si="4"/>
        <v>0.2219081235</v>
      </c>
      <c r="S40" s="41">
        <v>249930.0</v>
      </c>
      <c r="T40" s="41">
        <v>13374.0</v>
      </c>
      <c r="U40" s="41">
        <v>3612.98</v>
      </c>
      <c r="V40" s="39">
        <f t="shared" si="5"/>
        <v>378705.8329</v>
      </c>
      <c r="W40" s="40">
        <f t="shared" si="6"/>
        <v>0.1399305878</v>
      </c>
      <c r="X40" s="40">
        <f t="shared" si="7"/>
        <v>0.3400418523</v>
      </c>
      <c r="Y40" s="42">
        <v>1040965.0</v>
      </c>
      <c r="Z40" s="42">
        <v>251123.0</v>
      </c>
      <c r="AA40" s="42">
        <f>603.72+2636.85</f>
        <v>3240.57</v>
      </c>
      <c r="AB40" s="42"/>
      <c r="AC40" s="42">
        <v>2552.04</v>
      </c>
      <c r="AD40" s="39">
        <f t="shared" si="14"/>
        <v>1477109.177</v>
      </c>
      <c r="AE40" s="40">
        <f t="shared" si="9"/>
        <v>0.5457870924</v>
      </c>
      <c r="AF40" s="40">
        <f t="shared" si="10"/>
        <v>0.1252589718</v>
      </c>
      <c r="AG40" s="44" t="s">
        <v>63</v>
      </c>
      <c r="AH40" s="44" t="s">
        <v>63</v>
      </c>
      <c r="AJ40" s="4" t="s">
        <v>63</v>
      </c>
      <c r="AK40" s="45">
        <v>350000.0</v>
      </c>
      <c r="AL40" s="45">
        <v>250000.0</v>
      </c>
      <c r="AM40" s="46">
        <f t="shared" si="11"/>
        <v>600000</v>
      </c>
      <c r="AN40" s="59">
        <v>250000.0</v>
      </c>
      <c r="AO40" s="4">
        <v>250000.0</v>
      </c>
      <c r="AP40" s="4">
        <v>265625.0</v>
      </c>
      <c r="AQ40" s="4">
        <v>13.5</v>
      </c>
      <c r="AR40" s="58">
        <f t="shared" si="12"/>
        <v>3585937.5</v>
      </c>
      <c r="AS40" s="50">
        <v>31.9409</v>
      </c>
      <c r="AV40" s="48"/>
    </row>
    <row r="41">
      <c r="A41" s="55">
        <v>45412.0</v>
      </c>
      <c r="B41" s="34">
        <v>45412.0</v>
      </c>
      <c r="C41" s="4">
        <v>58841.0</v>
      </c>
      <c r="D41" s="4">
        <v>5421.61</v>
      </c>
      <c r="E41" s="57">
        <f t="shared" si="1"/>
        <v>64262.61</v>
      </c>
      <c r="F41" s="36">
        <f t="shared" si="2"/>
        <v>2742000.008</v>
      </c>
      <c r="G41" s="49">
        <f t="shared" si="13"/>
        <v>0.01316018823</v>
      </c>
      <c r="H41" s="56">
        <f t="shared" si="15"/>
        <v>0.3633023669</v>
      </c>
      <c r="I41" s="38">
        <f>13821+348977</f>
        <v>362798</v>
      </c>
      <c r="J41" s="38">
        <f>2505+9425</f>
        <v>11930</v>
      </c>
      <c r="K41" s="38">
        <v>97624.0</v>
      </c>
      <c r="L41" s="38">
        <v>610.0</v>
      </c>
      <c r="M41" s="38">
        <v>173.0</v>
      </c>
      <c r="N41" s="38">
        <f t="shared" si="16"/>
        <v>88284</v>
      </c>
      <c r="O41" s="38">
        <f>175.6+12.91</f>
        <v>188.51</v>
      </c>
      <c r="P41" s="38">
        <v>294.56</v>
      </c>
      <c r="Q41" s="39">
        <f t="shared" si="3"/>
        <v>577177.2265</v>
      </c>
      <c r="R41" s="40">
        <f t="shared" si="4"/>
        <v>0.2104949762</v>
      </c>
      <c r="S41" s="41">
        <v>257529.0</v>
      </c>
      <c r="T41" s="41">
        <v>11752.0</v>
      </c>
      <c r="U41" s="41">
        <v>3437.82</v>
      </c>
      <c r="V41" s="39">
        <f t="shared" si="5"/>
        <v>381426.1262</v>
      </c>
      <c r="W41" s="40">
        <f t="shared" si="6"/>
        <v>0.1391050785</v>
      </c>
      <c r="X41" s="40">
        <f t="shared" si="7"/>
        <v>0.3248260088</v>
      </c>
      <c r="Y41" s="42">
        <v>1040819.0</v>
      </c>
      <c r="Z41" s="42">
        <v>308025.0</v>
      </c>
      <c r="AA41" s="42">
        <f>651.12+2749.2</f>
        <v>3400.32</v>
      </c>
      <c r="AB41" s="42"/>
      <c r="AC41" s="42">
        <v>2257.16</v>
      </c>
      <c r="AD41" s="39">
        <f t="shared" si="14"/>
        <v>1533396.655</v>
      </c>
      <c r="AE41" s="40">
        <f t="shared" si="9"/>
        <v>0.5592256203</v>
      </c>
      <c r="AF41" s="40">
        <f t="shared" si="10"/>
        <v>0.1203554569</v>
      </c>
      <c r="AG41" s="44" t="s">
        <v>63</v>
      </c>
      <c r="AH41" s="44" t="s">
        <v>63</v>
      </c>
      <c r="AJ41" s="4" t="s">
        <v>63</v>
      </c>
      <c r="AK41" s="45">
        <v>350000.0</v>
      </c>
      <c r="AL41" s="45">
        <v>250000.0</v>
      </c>
      <c r="AM41" s="46">
        <f t="shared" si="11"/>
        <v>600000</v>
      </c>
      <c r="AN41" s="59">
        <v>250000.0</v>
      </c>
      <c r="AO41" s="4">
        <v>250000.0</v>
      </c>
      <c r="AP41" s="4">
        <v>265625.0</v>
      </c>
      <c r="AQ41" s="4">
        <v>13.5</v>
      </c>
      <c r="AR41" s="58">
        <f t="shared" si="12"/>
        <v>3585937.5</v>
      </c>
      <c r="AS41" s="50">
        <v>32.621</v>
      </c>
      <c r="AU41" s="4" t="s">
        <v>66</v>
      </c>
      <c r="AV41" s="60"/>
      <c r="AY41" s="1" t="str">
        <f t="shared" ref="AY41:AY42" si="17">SUM(Q41,V41,AD41,11000000)/AV41</f>
        <v>#DIV/0!</v>
      </c>
    </row>
    <row r="42">
      <c r="A42" s="55">
        <v>45448.0</v>
      </c>
      <c r="B42" s="34">
        <v>45443.0</v>
      </c>
      <c r="C42" s="4">
        <f>51697+1250</f>
        <v>52947</v>
      </c>
      <c r="D42" s="4">
        <v>357.0</v>
      </c>
      <c r="E42" s="57">
        <f t="shared" si="1"/>
        <v>53304</v>
      </c>
      <c r="F42" s="36">
        <f t="shared" si="2"/>
        <v>2838040.9</v>
      </c>
      <c r="G42" s="49">
        <f t="shared" si="13"/>
        <v>0.03502585424</v>
      </c>
      <c r="H42" s="56">
        <f t="shared" si="15"/>
        <v>0.3212269224</v>
      </c>
      <c r="I42" s="38">
        <f>13821+630138-51697</f>
        <v>592262</v>
      </c>
      <c r="J42" s="38">
        <f>417+9554</f>
        <v>9971</v>
      </c>
      <c r="K42" s="38">
        <v>112613.0</v>
      </c>
      <c r="L42" s="38">
        <v>610.0</v>
      </c>
      <c r="M42" s="38">
        <v>173.0</v>
      </c>
      <c r="N42" s="38">
        <v>57160.0</v>
      </c>
      <c r="O42" s="38">
        <f>195.2+212.91</f>
        <v>408.11</v>
      </c>
      <c r="P42" s="38">
        <v>294.56</v>
      </c>
      <c r="Q42" s="39">
        <f t="shared" si="3"/>
        <v>795515.8071</v>
      </c>
      <c r="R42" s="40">
        <f t="shared" si="4"/>
        <v>0.2803045605</v>
      </c>
      <c r="S42" s="41">
        <v>275832.0</v>
      </c>
      <c r="T42" s="41">
        <v>12574.0</v>
      </c>
      <c r="U42" s="41">
        <v>3374.18</v>
      </c>
      <c r="V42" s="39">
        <f t="shared" si="5"/>
        <v>397538.7908</v>
      </c>
      <c r="W42" s="40">
        <f t="shared" si="6"/>
        <v>0.1400750746</v>
      </c>
      <c r="X42" s="40">
        <f t="shared" si="7"/>
        <v>0.3061507295</v>
      </c>
      <c r="Y42" s="42">
        <v>1101566.0</v>
      </c>
      <c r="Z42" s="42">
        <v>272928.0</v>
      </c>
      <c r="AA42" s="42">
        <f>692.68+2644.35</f>
        <v>3337.03</v>
      </c>
      <c r="AB42" s="42"/>
      <c r="AC42" s="42">
        <v>2447.14</v>
      </c>
      <c r="AD42" s="39">
        <f t="shared" si="14"/>
        <v>1561574.302</v>
      </c>
      <c r="AE42" s="40">
        <f t="shared" si="9"/>
        <v>0.550229668</v>
      </c>
      <c r="AF42" s="40">
        <f t="shared" si="10"/>
        <v>0.11980237</v>
      </c>
      <c r="AG42" s="44" t="s">
        <v>63</v>
      </c>
      <c r="AH42" s="44" t="s">
        <v>63</v>
      </c>
      <c r="AJ42" s="4" t="s">
        <v>63</v>
      </c>
      <c r="AK42" s="45">
        <v>350000.0</v>
      </c>
      <c r="AL42" s="45">
        <v>250000.0</v>
      </c>
      <c r="AM42" s="46">
        <f t="shared" si="11"/>
        <v>600000</v>
      </c>
      <c r="AN42" s="59">
        <f t="shared" ref="AN42:AN65" si="18">11000000-2400000+250000</f>
        <v>8850000</v>
      </c>
      <c r="AO42" s="4">
        <v>250000.0</v>
      </c>
      <c r="AP42" s="4">
        <v>265625.0</v>
      </c>
      <c r="AQ42" s="4">
        <v>13.5</v>
      </c>
      <c r="AR42" s="58">
        <f t="shared" si="12"/>
        <v>3585937.5</v>
      </c>
      <c r="AS42" s="50">
        <v>32.3435</v>
      </c>
      <c r="AU42" s="4" t="s">
        <v>67</v>
      </c>
      <c r="AV42" s="48">
        <f>8800000-33412</f>
        <v>8766588</v>
      </c>
      <c r="AY42" s="1">
        <f t="shared" si="17"/>
        <v>1.568983155</v>
      </c>
    </row>
    <row r="43">
      <c r="A43" s="55">
        <v>45473.0</v>
      </c>
      <c r="B43" s="61">
        <v>45444.0</v>
      </c>
      <c r="C43" s="4">
        <f>51697+86272</f>
        <v>137969</v>
      </c>
      <c r="D43" s="1">
        <f>752+8867</f>
        <v>9619</v>
      </c>
      <c r="E43" s="57">
        <f t="shared" si="1"/>
        <v>147588</v>
      </c>
      <c r="F43" s="36">
        <f t="shared" si="2"/>
        <v>2762874.78</v>
      </c>
      <c r="G43" s="49">
        <f t="shared" si="13"/>
        <v>-0.02648521384</v>
      </c>
      <c r="H43" s="56">
        <f t="shared" si="15"/>
        <v>0.1700386494</v>
      </c>
      <c r="I43" s="38">
        <f>13821+403716</f>
        <v>417537</v>
      </c>
      <c r="J43" s="38">
        <f>885+9223</f>
        <v>10108</v>
      </c>
      <c r="K43" s="38">
        <v>100429.0</v>
      </c>
      <c r="L43" s="38">
        <v>652.0</v>
      </c>
      <c r="M43" s="38">
        <v>173.0</v>
      </c>
      <c r="N43" s="38">
        <f>57160-29223</f>
        <v>27937</v>
      </c>
      <c r="O43" s="38">
        <f>188.3+114</f>
        <v>302.3</v>
      </c>
      <c r="P43" s="38">
        <v>296.48</v>
      </c>
      <c r="Q43" s="39">
        <f t="shared" si="3"/>
        <v>576308.0262</v>
      </c>
      <c r="R43" s="40">
        <f t="shared" si="4"/>
        <v>0.2085899912</v>
      </c>
      <c r="S43" s="41">
        <v>302295.0</v>
      </c>
      <c r="T43" s="41">
        <v>13274.0</v>
      </c>
      <c r="U43" s="41">
        <v>3646.45</v>
      </c>
      <c r="V43" s="39">
        <f t="shared" si="5"/>
        <v>434149.7308</v>
      </c>
      <c r="W43" s="40">
        <f t="shared" si="6"/>
        <v>0.1571369553</v>
      </c>
      <c r="X43" s="40">
        <f t="shared" si="7"/>
        <v>0.3037079639</v>
      </c>
      <c r="Y43" s="42">
        <v>1178297.0</v>
      </c>
      <c r="Z43" s="42">
        <v>290945.0</v>
      </c>
      <c r="AA43" s="42">
        <f>741.96+2961.3</f>
        <v>3703.26</v>
      </c>
      <c r="AB43" s="42"/>
      <c r="AC43" s="42">
        <v>2396.65</v>
      </c>
      <c r="AD43" s="39">
        <f t="shared" si="14"/>
        <v>1667608.023</v>
      </c>
      <c r="AE43" s="40">
        <f t="shared" si="9"/>
        <v>0.6035771274</v>
      </c>
      <c r="AF43" s="40">
        <f t="shared" si="10"/>
        <v>0.118952428</v>
      </c>
      <c r="AG43" s="44" t="s">
        <v>63</v>
      </c>
      <c r="AH43" s="44" t="s">
        <v>63</v>
      </c>
      <c r="AJ43" s="4" t="s">
        <v>63</v>
      </c>
      <c r="AK43" s="45">
        <v>350000.0</v>
      </c>
      <c r="AL43" s="45">
        <v>250000.0</v>
      </c>
      <c r="AM43" s="46">
        <f t="shared" si="11"/>
        <v>600000</v>
      </c>
      <c r="AN43" s="59">
        <f t="shared" si="18"/>
        <v>8850000</v>
      </c>
      <c r="AO43" s="4">
        <v>250000.0</v>
      </c>
      <c r="AP43" s="4">
        <v>265625.0</v>
      </c>
      <c r="AQ43" s="4">
        <v>13.5</v>
      </c>
      <c r="AR43" s="58">
        <f t="shared" si="12"/>
        <v>3585937.5</v>
      </c>
      <c r="AS43" s="50">
        <v>32.5195</v>
      </c>
      <c r="AU43" s="4" t="s">
        <v>68</v>
      </c>
      <c r="AV43" s="48">
        <f>8765191</f>
        <v>8765191</v>
      </c>
      <c r="AW43" s="1">
        <f t="shared" ref="AW43:AW65" si="19">AV43-AV42</f>
        <v>-1397</v>
      </c>
    </row>
    <row r="44">
      <c r="A44" s="55">
        <v>45505.0</v>
      </c>
      <c r="B44" s="61">
        <v>45474.0</v>
      </c>
      <c r="C44" s="1">
        <f>51697+63997</f>
        <v>115694</v>
      </c>
      <c r="D44" s="4">
        <f>13533.45+2289</f>
        <v>15822.45</v>
      </c>
      <c r="E44" s="57">
        <f t="shared" si="1"/>
        <v>131516.45</v>
      </c>
      <c r="F44" s="36">
        <f t="shared" si="2"/>
        <v>2878723.132</v>
      </c>
      <c r="G44" s="49">
        <f t="shared" si="13"/>
        <v>0.04193036649</v>
      </c>
      <c r="H44" s="56">
        <f t="shared" si="15"/>
        <v>0.1287803318</v>
      </c>
      <c r="I44" s="38">
        <f>13821+382108</f>
        <v>395929</v>
      </c>
      <c r="J44" s="38">
        <f>4140+9950</f>
        <v>14090</v>
      </c>
      <c r="K44" s="38">
        <v>113409.0</v>
      </c>
      <c r="L44" s="38">
        <v>1652.0</v>
      </c>
      <c r="M44" s="38">
        <v>173.0</v>
      </c>
      <c r="N44" s="38">
        <v>80573.0</v>
      </c>
      <c r="O44" s="38">
        <f>200.9+15.43</f>
        <v>216.33</v>
      </c>
      <c r="P44" s="38">
        <v>296.48</v>
      </c>
      <c r="Q44" s="39">
        <f t="shared" si="3"/>
        <v>622621.5531</v>
      </c>
      <c r="R44" s="40">
        <f t="shared" si="4"/>
        <v>0.2162839302</v>
      </c>
      <c r="S44" s="41">
        <v>290198.0</v>
      </c>
      <c r="T44" s="41">
        <v>9410.0</v>
      </c>
      <c r="U44" s="41">
        <v>3767.49</v>
      </c>
      <c r="V44" s="39">
        <f t="shared" si="5"/>
        <v>423000.8325</v>
      </c>
      <c r="W44" s="40">
        <f t="shared" si="6"/>
        <v>0.1469404361</v>
      </c>
      <c r="X44" s="40">
        <f t="shared" si="7"/>
        <v>0.3139540688</v>
      </c>
      <c r="Y44" s="42">
        <v>1159731.0</v>
      </c>
      <c r="Z44" s="42">
        <v>349718.0</v>
      </c>
      <c r="AA44" s="42">
        <f>686.16+3481.05</f>
        <v>4167.21</v>
      </c>
      <c r="AB44" s="42"/>
      <c r="AC44" s="42">
        <v>2592.4</v>
      </c>
      <c r="AD44" s="39">
        <f t="shared" si="14"/>
        <v>1730839.747</v>
      </c>
      <c r="AE44" s="40">
        <f t="shared" si="9"/>
        <v>0.6012525926</v>
      </c>
      <c r="AF44" s="40">
        <f t="shared" si="10"/>
        <v>0.1279094423</v>
      </c>
      <c r="AG44" s="44" t="s">
        <v>63</v>
      </c>
      <c r="AH44" s="44" t="s">
        <v>63</v>
      </c>
      <c r="AJ44" s="4" t="s">
        <v>63</v>
      </c>
      <c r="AK44" s="45">
        <v>350000.0</v>
      </c>
      <c r="AL44" s="45">
        <v>250000.0</v>
      </c>
      <c r="AM44" s="46">
        <f t="shared" si="11"/>
        <v>600000</v>
      </c>
      <c r="AN44" s="59">
        <f t="shared" si="18"/>
        <v>8850000</v>
      </c>
      <c r="AO44" s="4">
        <v>250000.0</v>
      </c>
      <c r="AP44" s="4">
        <v>265625.0</v>
      </c>
      <c r="AQ44" s="4">
        <v>13.5</v>
      </c>
      <c r="AR44" s="58">
        <f t="shared" si="12"/>
        <v>3585937.5</v>
      </c>
      <c r="AS44" s="50">
        <v>32.752</v>
      </c>
      <c r="AV44" s="60">
        <v>8747739.0</v>
      </c>
      <c r="AW44" s="1">
        <f t="shared" si="19"/>
        <v>-17452</v>
      </c>
    </row>
    <row r="45">
      <c r="A45" s="55">
        <v>45535.0</v>
      </c>
      <c r="B45" s="61">
        <v>45505.0</v>
      </c>
      <c r="C45" s="1">
        <f>56266</f>
        <v>56266</v>
      </c>
      <c r="D45" s="4">
        <v>14195.45</v>
      </c>
      <c r="E45" s="57">
        <f t="shared" si="1"/>
        <v>70461.45</v>
      </c>
      <c r="F45" s="36">
        <f t="shared" si="2"/>
        <v>2861217.502</v>
      </c>
      <c r="G45" s="49">
        <f t="shared" si="13"/>
        <v>-0.006081040043</v>
      </c>
      <c r="H45" s="56">
        <f t="shared" si="15"/>
        <v>0.1662051563</v>
      </c>
      <c r="I45" s="38">
        <f>21478+308753</f>
        <v>330231</v>
      </c>
      <c r="J45" s="38">
        <f>2108+9996</f>
        <v>12104</v>
      </c>
      <c r="K45" s="38">
        <v>103187.0</v>
      </c>
      <c r="L45" s="38">
        <v>652.0</v>
      </c>
      <c r="M45" s="38">
        <v>173.0</v>
      </c>
      <c r="N45" s="38">
        <v>53706.0</v>
      </c>
      <c r="O45" s="38">
        <v>742.76</v>
      </c>
      <c r="P45" s="38">
        <v>97.88</v>
      </c>
      <c r="Q45" s="39">
        <f t="shared" si="3"/>
        <v>526962.727</v>
      </c>
      <c r="R45" s="40">
        <f t="shared" si="4"/>
        <v>0.1841742988</v>
      </c>
      <c r="S45" s="41">
        <v>309001.0</v>
      </c>
      <c r="T45" s="41">
        <v>9905.0</v>
      </c>
      <c r="U45" s="41">
        <v>4090.51</v>
      </c>
      <c r="V45" s="39">
        <f t="shared" si="5"/>
        <v>449847.3156</v>
      </c>
      <c r="W45" s="40">
        <f t="shared" si="6"/>
        <v>0.1572223417</v>
      </c>
      <c r="X45" s="40">
        <f t="shared" si="7"/>
        <v>0.3130980462</v>
      </c>
      <c r="Y45" s="42">
        <v>1152795.0</v>
      </c>
      <c r="Z45" s="42">
        <v>378772.0</v>
      </c>
      <c r="AA45" s="42">
        <f>647.12+3300.48</f>
        <v>3947.6</v>
      </c>
      <c r="AB45" s="42">
        <v>654.68</v>
      </c>
      <c r="AC45" s="42">
        <v>2679.45</v>
      </c>
      <c r="AD45" s="39">
        <f t="shared" ref="AD45:AD65" si="20">SUM(Y45:Z45)+(AA45+AC45+AB45)*$AS45</f>
        <v>1764662.459</v>
      </c>
      <c r="AE45" s="40">
        <f t="shared" si="9"/>
        <v>0.6167522944</v>
      </c>
      <c r="AF45" s="40">
        <f t="shared" si="10"/>
        <v>0.1320906771</v>
      </c>
      <c r="AG45" s="44" t="s">
        <v>63</v>
      </c>
      <c r="AH45" s="44" t="s">
        <v>63</v>
      </c>
      <c r="AJ45" s="4" t="s">
        <v>63</v>
      </c>
      <c r="AK45" s="45">
        <v>350000.0</v>
      </c>
      <c r="AL45" s="45">
        <v>250000.0</v>
      </c>
      <c r="AM45" s="46">
        <f t="shared" si="11"/>
        <v>600000</v>
      </c>
      <c r="AN45" s="59">
        <f t="shared" si="18"/>
        <v>8850000</v>
      </c>
      <c r="AO45" s="4">
        <v>250000.0</v>
      </c>
      <c r="AP45" s="4">
        <v>265625.0</v>
      </c>
      <c r="AQ45" s="4">
        <v>13.5</v>
      </c>
      <c r="AR45" s="58">
        <f t="shared" si="12"/>
        <v>3585937.5</v>
      </c>
      <c r="AS45" s="50">
        <v>32.011</v>
      </c>
      <c r="AU45" s="4" t="s">
        <v>69</v>
      </c>
      <c r="AV45" s="60">
        <v>8730255.0</v>
      </c>
      <c r="AW45" s="1">
        <f t="shared" si="19"/>
        <v>-17484</v>
      </c>
    </row>
    <row r="46">
      <c r="A46" s="55">
        <v>45564.0</v>
      </c>
      <c r="B46" s="62">
        <v>45536.0</v>
      </c>
      <c r="C46" s="4">
        <v>62155.0</v>
      </c>
      <c r="D46" s="4">
        <v>14952.62</v>
      </c>
      <c r="E46" s="57">
        <f t="shared" si="1"/>
        <v>77107.62</v>
      </c>
      <c r="F46" s="36">
        <f t="shared" si="2"/>
        <v>2971873.572</v>
      </c>
      <c r="G46" s="49">
        <f t="shared" si="13"/>
        <v>0.03867446989</v>
      </c>
      <c r="H46" s="56">
        <f t="shared" si="15"/>
        <v>0.2115131724</v>
      </c>
      <c r="I46" s="38">
        <f>319553+20062</f>
        <v>339615</v>
      </c>
      <c r="J46" s="38">
        <f>1007+10184</f>
        <v>11191</v>
      </c>
      <c r="K46" s="38">
        <v>101163.0</v>
      </c>
      <c r="L46" s="38">
        <v>652.0</v>
      </c>
      <c r="M46" s="38">
        <v>173.0</v>
      </c>
      <c r="N46" s="38">
        <f>40127</f>
        <v>40127</v>
      </c>
      <c r="O46" s="38">
        <v>442.66</v>
      </c>
      <c r="P46" s="38">
        <v>98.44</v>
      </c>
      <c r="Q46" s="39">
        <f t="shared" si="3"/>
        <v>510014.349</v>
      </c>
      <c r="R46" s="40">
        <f t="shared" si="4"/>
        <v>0.1716137435</v>
      </c>
      <c r="S46" s="41">
        <v>307197.0</v>
      </c>
      <c r="T46" s="41">
        <v>10793.0</v>
      </c>
      <c r="U46" s="41">
        <v>4481.34</v>
      </c>
      <c r="V46" s="39">
        <f t="shared" si="5"/>
        <v>459555.5306</v>
      </c>
      <c r="W46" s="40">
        <f t="shared" si="6"/>
        <v>0.1546349532</v>
      </c>
      <c r="X46" s="40">
        <f t="shared" si="7"/>
        <v>0.3315345382</v>
      </c>
      <c r="Y46" s="42">
        <v>1200129.0</v>
      </c>
      <c r="Z46" s="42">
        <v>401340.0</v>
      </c>
      <c r="AA46" s="42">
        <f>650.92+4067.52</f>
        <v>4718.44</v>
      </c>
      <c r="AB46" s="42">
        <v>916.35</v>
      </c>
      <c r="AC46" s="42">
        <v>2708.79</v>
      </c>
      <c r="AD46" s="39">
        <f t="shared" si="20"/>
        <v>1865042.692</v>
      </c>
      <c r="AE46" s="40">
        <f t="shared" si="9"/>
        <v>0.6275646144</v>
      </c>
      <c r="AF46" s="40">
        <f t="shared" si="10"/>
        <v>0.1413231414</v>
      </c>
      <c r="AG46" s="44" t="s">
        <v>63</v>
      </c>
      <c r="AH46" s="44" t="s">
        <v>63</v>
      </c>
      <c r="AJ46" s="4" t="s">
        <v>63</v>
      </c>
      <c r="AK46" s="45">
        <v>350000.0</v>
      </c>
      <c r="AL46" s="45">
        <v>250000.0</v>
      </c>
      <c r="AM46" s="46">
        <f t="shared" si="11"/>
        <v>600000</v>
      </c>
      <c r="AN46" s="59">
        <f t="shared" si="18"/>
        <v>8850000</v>
      </c>
      <c r="AO46" s="4">
        <v>250000.0</v>
      </c>
      <c r="AP46" s="4">
        <v>265625.0</v>
      </c>
      <c r="AQ46" s="4">
        <v>13.5</v>
      </c>
      <c r="AR46" s="58">
        <f t="shared" si="12"/>
        <v>3585937.5</v>
      </c>
      <c r="AS46" s="50">
        <v>31.59</v>
      </c>
      <c r="AV46" s="60">
        <v>8712739.0</v>
      </c>
      <c r="AW46" s="1">
        <f t="shared" si="19"/>
        <v>-17516</v>
      </c>
    </row>
    <row r="47">
      <c r="A47" s="53">
        <v>45596.0</v>
      </c>
      <c r="B47" s="61">
        <v>45566.0</v>
      </c>
      <c r="C47" s="4">
        <v>57143.0</v>
      </c>
      <c r="D47" s="4">
        <f>42439+6581.82</f>
        <v>49020.82</v>
      </c>
      <c r="E47" s="57">
        <f t="shared" si="1"/>
        <v>106163.82</v>
      </c>
      <c r="F47" s="36">
        <f t="shared" si="2"/>
        <v>2977687.647</v>
      </c>
      <c r="G47" s="49">
        <f t="shared" si="13"/>
        <v>0.001956366918</v>
      </c>
      <c r="H47" s="56">
        <f t="shared" si="15"/>
        <v>0.2513228187</v>
      </c>
      <c r="I47" s="38">
        <f>13038+377957</f>
        <v>390995</v>
      </c>
      <c r="J47" s="38">
        <f>1904+9628</f>
        <v>11532</v>
      </c>
      <c r="K47" s="38">
        <v>100157.0</v>
      </c>
      <c r="L47" s="38">
        <v>106802.0</v>
      </c>
      <c r="M47" s="38">
        <v>173.0</v>
      </c>
      <c r="N47" s="38">
        <v>40127.0</v>
      </c>
      <c r="O47" s="38">
        <v>629.71</v>
      </c>
      <c r="P47" s="38">
        <v>124.71</v>
      </c>
      <c r="Q47" s="39">
        <f t="shared" si="3"/>
        <v>673898.0176</v>
      </c>
      <c r="R47" s="40">
        <f t="shared" si="4"/>
        <v>0.2263158859</v>
      </c>
      <c r="S47" s="41">
        <v>209223.0</v>
      </c>
      <c r="T47" s="41">
        <v>11464.0</v>
      </c>
      <c r="U47" s="41">
        <v>4855.87</v>
      </c>
      <c r="V47" s="39">
        <f t="shared" si="5"/>
        <v>375885.4611</v>
      </c>
      <c r="W47" s="40">
        <f t="shared" si="6"/>
        <v>0.126234013</v>
      </c>
      <c r="X47" s="40">
        <f t="shared" si="7"/>
        <v>0.4433862927</v>
      </c>
      <c r="Y47" s="42">
        <v>1183634.0</v>
      </c>
      <c r="Z47" s="42">
        <v>330633.0</v>
      </c>
      <c r="AA47" s="42">
        <f>697.84+4378.35</f>
        <v>5076.19</v>
      </c>
      <c r="AB47" s="42">
        <v>595.48</v>
      </c>
      <c r="AC47" s="42">
        <v>2426.58</v>
      </c>
      <c r="AD47" s="39">
        <f t="shared" si="20"/>
        <v>1773095.168</v>
      </c>
      <c r="AE47" s="40">
        <f t="shared" si="9"/>
        <v>0.5954604305</v>
      </c>
      <c r="AF47" s="40">
        <f t="shared" si="10"/>
        <v>0.145975339</v>
      </c>
      <c r="AG47" s="44" t="s">
        <v>63</v>
      </c>
      <c r="AH47" s="44" t="s">
        <v>63</v>
      </c>
      <c r="AJ47" s="4" t="s">
        <v>63</v>
      </c>
      <c r="AK47" s="45">
        <v>350000.0</v>
      </c>
      <c r="AL47" s="45">
        <v>250000.0</v>
      </c>
      <c r="AM47" s="46">
        <f t="shared" si="11"/>
        <v>600000</v>
      </c>
      <c r="AN47" s="59">
        <f t="shared" si="18"/>
        <v>8850000</v>
      </c>
      <c r="AO47" s="4">
        <v>250000.0</v>
      </c>
      <c r="AP47" s="4">
        <v>265625.0</v>
      </c>
      <c r="AQ47" s="4">
        <v>13.5</v>
      </c>
      <c r="AR47" s="58">
        <f t="shared" si="12"/>
        <v>3585937.5</v>
      </c>
      <c r="AS47" s="50">
        <v>31.961</v>
      </c>
      <c r="AV47" s="60">
        <v>8695191.0</v>
      </c>
      <c r="AW47" s="1">
        <f t="shared" si="19"/>
        <v>-17548</v>
      </c>
    </row>
    <row r="48">
      <c r="A48" s="55">
        <v>45628.0</v>
      </c>
      <c r="B48" s="61">
        <v>45597.0</v>
      </c>
      <c r="C48" s="1">
        <f>58743+1600</f>
        <v>60343</v>
      </c>
      <c r="D48" s="4">
        <v>166.0</v>
      </c>
      <c r="E48" s="57">
        <f t="shared" si="1"/>
        <v>60509</v>
      </c>
      <c r="F48" s="36">
        <f t="shared" si="2"/>
        <v>3084722.781</v>
      </c>
      <c r="G48" s="49">
        <f t="shared" si="13"/>
        <v>0.03594572246</v>
      </c>
      <c r="H48" s="56">
        <f t="shared" si="15"/>
        <v>0.2260764539</v>
      </c>
      <c r="I48" s="38">
        <f>12123+391848</f>
        <v>403971</v>
      </c>
      <c r="J48" s="38">
        <f>1282+9954</f>
        <v>11236</v>
      </c>
      <c r="K48" s="38">
        <v>114528.0</v>
      </c>
      <c r="L48" s="38">
        <v>778.0</v>
      </c>
      <c r="M48" s="38">
        <v>173.0</v>
      </c>
      <c r="N48" s="38">
        <v>43233.0</v>
      </c>
      <c r="O48" s="38">
        <v>329.61</v>
      </c>
      <c r="P48" s="38">
        <v>124.71</v>
      </c>
      <c r="Q48" s="39">
        <f t="shared" si="3"/>
        <v>588727.8784</v>
      </c>
      <c r="R48" s="40">
        <f t="shared" si="4"/>
        <v>0.1908527671</v>
      </c>
      <c r="S48" s="41">
        <v>219193.0</v>
      </c>
      <c r="T48" s="41">
        <v>12531.0</v>
      </c>
      <c r="U48" s="41">
        <v>6025.74</v>
      </c>
      <c r="V48" s="39">
        <f t="shared" si="5"/>
        <v>428137.2133</v>
      </c>
      <c r="W48" s="40">
        <f t="shared" si="6"/>
        <v>0.138792768</v>
      </c>
      <c r="X48" s="40">
        <f t="shared" si="7"/>
        <v>0.4880309555</v>
      </c>
      <c r="Y48" s="42">
        <v>1172341.0</v>
      </c>
      <c r="Z48" s="42">
        <v>400589.0</v>
      </c>
      <c r="AA48" s="42">
        <f>675.8+5867.72</f>
        <v>6543.52</v>
      </c>
      <c r="AB48" s="42">
        <v>841.04</v>
      </c>
      <c r="AC48" s="42">
        <v>2510.57</v>
      </c>
      <c r="AD48" s="39">
        <f t="shared" si="20"/>
        <v>1895468.689</v>
      </c>
      <c r="AE48" s="40">
        <f t="shared" si="9"/>
        <v>0.6144697024</v>
      </c>
      <c r="AF48" s="40">
        <f t="shared" si="10"/>
        <v>0.1701630266</v>
      </c>
      <c r="AG48" s="44" t="s">
        <v>63</v>
      </c>
      <c r="AH48" s="44" t="s">
        <v>63</v>
      </c>
      <c r="AJ48" s="4" t="s">
        <v>63</v>
      </c>
      <c r="AK48" s="45">
        <v>350000.0</v>
      </c>
      <c r="AL48" s="45">
        <v>250000.0</v>
      </c>
      <c r="AM48" s="46">
        <f t="shared" si="11"/>
        <v>600000</v>
      </c>
      <c r="AN48" s="59">
        <f t="shared" si="18"/>
        <v>8850000</v>
      </c>
      <c r="AO48" s="4">
        <v>250000.0</v>
      </c>
      <c r="AP48" s="4">
        <v>265625.0</v>
      </c>
      <c r="AQ48" s="4">
        <v>13.5</v>
      </c>
      <c r="AR48" s="58">
        <f t="shared" si="12"/>
        <v>3585937.5</v>
      </c>
      <c r="AS48" s="50">
        <v>32.5957</v>
      </c>
      <c r="AV48" s="60">
        <v>8677611.0</v>
      </c>
      <c r="AW48" s="1">
        <f t="shared" si="19"/>
        <v>-17580</v>
      </c>
    </row>
    <row r="49">
      <c r="A49" s="53">
        <v>45657.0</v>
      </c>
      <c r="B49" s="61">
        <v>45627.0</v>
      </c>
      <c r="C49" s="1">
        <f>56280+189298+7000</f>
        <v>252578</v>
      </c>
      <c r="D49" s="4">
        <v>8490.0</v>
      </c>
      <c r="E49" s="57">
        <f t="shared" si="1"/>
        <v>261068</v>
      </c>
      <c r="F49" s="36">
        <f t="shared" si="2"/>
        <v>3357375.386</v>
      </c>
      <c r="G49" s="49">
        <f t="shared" si="13"/>
        <v>0.08838804146</v>
      </c>
      <c r="H49" s="56">
        <f t="shared" si="15"/>
        <v>0.2255799152</v>
      </c>
      <c r="I49" s="38">
        <f>12123+569611</f>
        <v>581734</v>
      </c>
      <c r="J49" s="38">
        <f>554+9609</f>
        <v>10163</v>
      </c>
      <c r="K49" s="38">
        <v>117620.0</v>
      </c>
      <c r="L49" s="38">
        <v>904.0</v>
      </c>
      <c r="M49" s="38">
        <v>173.0</v>
      </c>
      <c r="N49" s="38">
        <v>47424.0</v>
      </c>
      <c r="O49" s="38">
        <v>33.76</v>
      </c>
      <c r="P49" s="38">
        <v>126.19</v>
      </c>
      <c r="Q49" s="39">
        <f t="shared" si="3"/>
        <v>763263.6882</v>
      </c>
      <c r="R49" s="40">
        <f t="shared" si="4"/>
        <v>0.2273393948</v>
      </c>
      <c r="S49" s="41">
        <v>230992.0</v>
      </c>
      <c r="T49" s="41">
        <v>13298.0</v>
      </c>
      <c r="U49" s="41">
        <v>5901.78</v>
      </c>
      <c r="V49" s="39">
        <f t="shared" si="5"/>
        <v>437843.5965</v>
      </c>
      <c r="W49" s="40">
        <f t="shared" si="6"/>
        <v>0.130412464</v>
      </c>
      <c r="X49" s="40">
        <f t="shared" si="7"/>
        <v>0.4724326179</v>
      </c>
      <c r="Y49" s="42">
        <v>1192848.0</v>
      </c>
      <c r="Z49" s="42">
        <v>410955.0</v>
      </c>
      <c r="AA49" s="42">
        <f>764.96+7095.97</f>
        <v>7860.93</v>
      </c>
      <c r="AB49" s="42">
        <v>989.0</v>
      </c>
      <c r="AC49" s="42">
        <v>2202.22</v>
      </c>
      <c r="AD49" s="39">
        <f t="shared" si="20"/>
        <v>1966267.101</v>
      </c>
      <c r="AE49" s="40">
        <f t="shared" si="9"/>
        <v>0.5856560185</v>
      </c>
      <c r="AF49" s="40">
        <f t="shared" si="10"/>
        <v>0.1843412326</v>
      </c>
      <c r="AG49" s="44" t="s">
        <v>63</v>
      </c>
      <c r="AH49" s="44" t="s">
        <v>63</v>
      </c>
      <c r="AJ49" s="4" t="s">
        <v>63</v>
      </c>
      <c r="AK49" s="45">
        <v>350000.0</v>
      </c>
      <c r="AL49" s="45">
        <v>250000.0</v>
      </c>
      <c r="AM49" s="46">
        <f t="shared" si="11"/>
        <v>600000</v>
      </c>
      <c r="AN49" s="59">
        <f t="shared" si="18"/>
        <v>8850000</v>
      </c>
      <c r="AO49" s="4">
        <v>250000.0</v>
      </c>
      <c r="AP49" s="4">
        <v>265625.0</v>
      </c>
      <c r="AQ49" s="4">
        <v>13.5</v>
      </c>
      <c r="AR49" s="58">
        <f t="shared" si="12"/>
        <v>3585937.5</v>
      </c>
      <c r="AS49" s="50">
        <v>32.7958</v>
      </c>
      <c r="AV49" s="60">
        <v>8659999.0</v>
      </c>
      <c r="AW49" s="1">
        <f t="shared" si="19"/>
        <v>-17612</v>
      </c>
    </row>
    <row r="50">
      <c r="A50" s="55">
        <v>45694.0</v>
      </c>
      <c r="B50" s="62">
        <v>45658.0</v>
      </c>
      <c r="C50" s="4">
        <f>74375+2550</f>
        <v>76925</v>
      </c>
      <c r="D50" s="4">
        <v>4604.93</v>
      </c>
      <c r="E50" s="57">
        <f t="shared" si="1"/>
        <v>81529.93</v>
      </c>
      <c r="F50" s="36">
        <f t="shared" si="2"/>
        <v>3450232.286</v>
      </c>
      <c r="G50" s="49">
        <f t="shared" si="13"/>
        <v>0.02765758644</v>
      </c>
      <c r="H50" s="56">
        <f t="shared" si="15"/>
        <v>0.2787360209</v>
      </c>
      <c r="I50" s="38">
        <f>12123+554521</f>
        <v>566644</v>
      </c>
      <c r="J50" s="38">
        <f>1016+9858</f>
        <v>10874</v>
      </c>
      <c r="K50" s="38">
        <v>119805.0</v>
      </c>
      <c r="L50" s="38">
        <v>785.0</v>
      </c>
      <c r="M50" s="38">
        <v>566.0</v>
      </c>
      <c r="N50" s="38">
        <v>25107.0</v>
      </c>
      <c r="O50" s="38">
        <v>535.04</v>
      </c>
      <c r="P50" s="38">
        <v>1326.19</v>
      </c>
      <c r="Q50" s="39">
        <f t="shared" si="3"/>
        <v>784954.6048</v>
      </c>
      <c r="R50" s="40">
        <f t="shared" si="4"/>
        <v>0.2275077559</v>
      </c>
      <c r="S50" s="41">
        <v>216253.0</v>
      </c>
      <c r="T50" s="41">
        <v>13945.0</v>
      </c>
      <c r="U50" s="41">
        <v>6569.99</v>
      </c>
      <c r="V50" s="39">
        <f t="shared" si="5"/>
        <v>446135.8323</v>
      </c>
      <c r="W50" s="40">
        <f t="shared" si="6"/>
        <v>0.1293060279</v>
      </c>
      <c r="X50" s="40">
        <f t="shared" si="7"/>
        <v>0.5152754288</v>
      </c>
      <c r="Y50" s="42">
        <v>1236433.0</v>
      </c>
      <c r="Z50" s="42">
        <v>419792.0</v>
      </c>
      <c r="AA50" s="42">
        <f>765.32+6428.89</f>
        <v>7194.21</v>
      </c>
      <c r="AB50" s="42">
        <v>1427.38</v>
      </c>
      <c r="AC50" s="42">
        <v>2187.69</v>
      </c>
      <c r="AD50" s="39">
        <f t="shared" si="20"/>
        <v>2011496.849</v>
      </c>
      <c r="AE50" s="40">
        <f t="shared" si="9"/>
        <v>0.5830033117</v>
      </c>
      <c r="AF50" s="40">
        <f t="shared" si="10"/>
        <v>0.1766206339</v>
      </c>
      <c r="AG50" s="44" t="s">
        <v>63</v>
      </c>
      <c r="AH50" s="44" t="s">
        <v>63</v>
      </c>
      <c r="AJ50" s="4" t="s">
        <v>63</v>
      </c>
      <c r="AK50" s="45">
        <v>350000.0</v>
      </c>
      <c r="AL50" s="45">
        <v>250000.0</v>
      </c>
      <c r="AM50" s="46">
        <f t="shared" si="11"/>
        <v>600000</v>
      </c>
      <c r="AN50" s="59">
        <f t="shared" si="18"/>
        <v>8850000</v>
      </c>
      <c r="AO50" s="4">
        <v>250000.0</v>
      </c>
      <c r="AP50" s="4">
        <v>265625.0</v>
      </c>
      <c r="AQ50" s="4">
        <v>13.5</v>
      </c>
      <c r="AR50" s="58">
        <f t="shared" si="12"/>
        <v>3585937.5</v>
      </c>
      <c r="AS50" s="50">
        <v>32.8673</v>
      </c>
      <c r="AV50" s="60">
        <v>8642355.0</v>
      </c>
      <c r="AW50" s="1">
        <f t="shared" si="19"/>
        <v>-17644</v>
      </c>
    </row>
    <row r="51">
      <c r="A51" s="55">
        <v>45718.0</v>
      </c>
      <c r="B51" s="62">
        <v>45689.0</v>
      </c>
      <c r="C51" s="4">
        <v>60297.0</v>
      </c>
      <c r="D51" s="4">
        <v>4137.0</v>
      </c>
      <c r="E51" s="57">
        <f t="shared" si="1"/>
        <v>64434</v>
      </c>
      <c r="F51" s="36">
        <f t="shared" si="2"/>
        <v>3320866.969</v>
      </c>
      <c r="G51" s="49">
        <f t="shared" si="13"/>
        <v>-0.03749466869</v>
      </c>
      <c r="H51" s="56">
        <f t="shared" si="15"/>
        <v>0.2269631316</v>
      </c>
      <c r="I51" s="38">
        <f>12123+470164</f>
        <v>482287</v>
      </c>
      <c r="J51" s="38">
        <f>1403+9977</f>
        <v>11380</v>
      </c>
      <c r="K51" s="38">
        <v>109113.0</v>
      </c>
      <c r="L51" s="38">
        <v>785.0</v>
      </c>
      <c r="M51" s="38">
        <v>566.0</v>
      </c>
      <c r="N51" s="38">
        <v>28847.0</v>
      </c>
      <c r="O51" s="38">
        <v>435.04</v>
      </c>
      <c r="P51" s="38">
        <v>975.31</v>
      </c>
      <c r="Q51" s="39">
        <f t="shared" si="3"/>
        <v>679406.722</v>
      </c>
      <c r="R51" s="40">
        <f t="shared" si="4"/>
        <v>0.204587154</v>
      </c>
      <c r="S51" s="41">
        <v>223646.0</v>
      </c>
      <c r="T51" s="41">
        <v>13908.0</v>
      </c>
      <c r="U51" s="41">
        <v>6233.56</v>
      </c>
      <c r="V51" s="39">
        <f t="shared" si="5"/>
        <v>442762.7952</v>
      </c>
      <c r="W51" s="40">
        <f t="shared" si="6"/>
        <v>0.1333274712</v>
      </c>
      <c r="X51" s="40">
        <f t="shared" si="7"/>
        <v>0.494885292</v>
      </c>
      <c r="Y51" s="42">
        <v>1237891.0</v>
      </c>
      <c r="Z51" s="42">
        <v>429392.0</v>
      </c>
      <c r="AA51" s="42">
        <f>674+5075.1</f>
        <v>5749.1</v>
      </c>
      <c r="AB51" s="42">
        <v>1406.98</v>
      </c>
      <c r="AC51" s="42">
        <v>2142.02</v>
      </c>
      <c r="AD51" s="39">
        <f t="shared" si="20"/>
        <v>1973376.452</v>
      </c>
      <c r="AE51" s="40">
        <f t="shared" si="9"/>
        <v>0.5942353218</v>
      </c>
      <c r="AF51" s="40">
        <f t="shared" si="10"/>
        <v>0.1551115357</v>
      </c>
      <c r="AG51" s="44" t="s">
        <v>63</v>
      </c>
      <c r="AH51" s="44" t="s">
        <v>63</v>
      </c>
      <c r="AJ51" s="4" t="s">
        <v>63</v>
      </c>
      <c r="AK51" s="45">
        <v>350000.0</v>
      </c>
      <c r="AL51" s="45">
        <v>250000.0</v>
      </c>
      <c r="AM51" s="46">
        <f t="shared" si="11"/>
        <v>600000</v>
      </c>
      <c r="AN51" s="59">
        <f t="shared" si="18"/>
        <v>8850000</v>
      </c>
      <c r="AO51" s="4">
        <v>250000.0</v>
      </c>
      <c r="AP51" s="4">
        <v>265625.0</v>
      </c>
      <c r="AQ51" s="4">
        <v>13.5</v>
      </c>
      <c r="AR51" s="58">
        <f t="shared" si="12"/>
        <v>3585937.5</v>
      </c>
      <c r="AS51" s="50">
        <v>32.92</v>
      </c>
      <c r="AV51" s="60">
        <v>8624679.0</v>
      </c>
      <c r="AW51" s="1">
        <f t="shared" si="19"/>
        <v>-17676</v>
      </c>
    </row>
    <row r="52">
      <c r="A52" s="55">
        <v>45751.0</v>
      </c>
      <c r="B52" s="62">
        <v>45717.0</v>
      </c>
      <c r="C52" s="4">
        <v>76471.0</v>
      </c>
      <c r="D52" s="4">
        <v>8694.62</v>
      </c>
      <c r="E52" s="57">
        <f t="shared" si="1"/>
        <v>85165.62</v>
      </c>
      <c r="F52" s="36">
        <f t="shared" si="2"/>
        <v>3159404.682</v>
      </c>
      <c r="G52" s="49">
        <f t="shared" si="13"/>
        <v>-0.04862052264</v>
      </c>
      <c r="H52" s="56">
        <f t="shared" si="15"/>
        <v>0.1673898734</v>
      </c>
      <c r="I52" s="38">
        <f>12123+405654</f>
        <v>417777</v>
      </c>
      <c r="J52" s="38">
        <f>473+10387</f>
        <v>10860</v>
      </c>
      <c r="K52" s="38">
        <v>138496.0</v>
      </c>
      <c r="L52" s="38">
        <v>785.0</v>
      </c>
      <c r="M52" s="38">
        <v>566.0</v>
      </c>
      <c r="N52" s="38">
        <v>28847.0</v>
      </c>
      <c r="O52" s="38">
        <v>139.27</v>
      </c>
      <c r="P52" s="38">
        <v>975.87</v>
      </c>
      <c r="Q52" s="39">
        <f t="shared" si="3"/>
        <v>634263.8792</v>
      </c>
      <c r="R52" s="40">
        <f t="shared" si="4"/>
        <v>0.200754238</v>
      </c>
      <c r="S52" s="41">
        <v>203452.0</v>
      </c>
      <c r="T52" s="41">
        <v>13012.0</v>
      </c>
      <c r="U52" s="41">
        <v>5513.51</v>
      </c>
      <c r="V52" s="39">
        <f t="shared" si="5"/>
        <v>399068.6944</v>
      </c>
      <c r="W52" s="40">
        <f t="shared" si="6"/>
        <v>0.1263113576</v>
      </c>
      <c r="X52" s="40">
        <f t="shared" si="7"/>
        <v>0.4901830115</v>
      </c>
      <c r="Y52" s="42">
        <v>1163806.0</v>
      </c>
      <c r="Z52" s="42">
        <v>415112.0</v>
      </c>
      <c r="AA52" s="42">
        <f>628.16+5089.68</f>
        <v>5717.84</v>
      </c>
      <c r="AB52" s="42">
        <v>1471.63</v>
      </c>
      <c r="AC52" s="42">
        <v>1993.19</v>
      </c>
      <c r="AD52" s="39">
        <f t="shared" si="20"/>
        <v>1883043.108</v>
      </c>
      <c r="AE52" s="40">
        <f t="shared" si="9"/>
        <v>0.5960120015</v>
      </c>
      <c r="AF52" s="40">
        <f t="shared" si="10"/>
        <v>0.1615072468</v>
      </c>
      <c r="AG52" s="44" t="s">
        <v>63</v>
      </c>
      <c r="AH52" s="44" t="s">
        <v>63</v>
      </c>
      <c r="AJ52" s="4" t="s">
        <v>63</v>
      </c>
      <c r="AK52" s="45">
        <v>350000.0</v>
      </c>
      <c r="AL52" s="45">
        <v>250000.0</v>
      </c>
      <c r="AM52" s="46">
        <f t="shared" si="11"/>
        <v>600000</v>
      </c>
      <c r="AN52" s="59">
        <f t="shared" si="18"/>
        <v>8850000</v>
      </c>
      <c r="AO52" s="4">
        <v>250000.0</v>
      </c>
      <c r="AP52" s="4">
        <v>265625.0</v>
      </c>
      <c r="AQ52" s="4">
        <v>13.5</v>
      </c>
      <c r="AR52" s="58">
        <f t="shared" si="12"/>
        <v>3585937.5</v>
      </c>
      <c r="AS52" s="50">
        <v>33.1195</v>
      </c>
      <c r="AV52" s="60">
        <v>8606971.0</v>
      </c>
      <c r="AW52" s="1">
        <f t="shared" si="19"/>
        <v>-17708</v>
      </c>
    </row>
    <row r="53">
      <c r="A53" s="55">
        <v>45782.0</v>
      </c>
      <c r="B53" s="62">
        <v>45748.0</v>
      </c>
      <c r="C53" s="4">
        <v>91784.0</v>
      </c>
      <c r="D53" s="4">
        <v>5312.05</v>
      </c>
      <c r="E53" s="57">
        <f t="shared" si="1"/>
        <v>97096.05</v>
      </c>
      <c r="F53" s="36">
        <f t="shared" si="2"/>
        <v>3086647.737</v>
      </c>
      <c r="G53" s="49">
        <f t="shared" si="13"/>
        <v>-0.02302868807</v>
      </c>
      <c r="H53" s="56">
        <f t="shared" si="15"/>
        <v>0.1256920962</v>
      </c>
      <c r="I53" s="38">
        <f>12123+456645-66645</f>
        <v>402123</v>
      </c>
      <c r="J53" s="38">
        <f>460+9591</f>
        <v>10051</v>
      </c>
      <c r="K53" s="38">
        <v>108769.0</v>
      </c>
      <c r="L53" s="38">
        <v>785.0</v>
      </c>
      <c r="M53" s="38">
        <v>566.0</v>
      </c>
      <c r="N53" s="38">
        <v>28847.0</v>
      </c>
      <c r="O53" s="38">
        <v>1041.54</v>
      </c>
      <c r="P53" s="38">
        <f>723.85+256</f>
        <v>979.85</v>
      </c>
      <c r="Q53" s="39">
        <f t="shared" si="3"/>
        <v>610004.8875</v>
      </c>
      <c r="R53" s="40">
        <f t="shared" si="4"/>
        <v>0.1976269855</v>
      </c>
      <c r="S53" s="41">
        <v>202091.0</v>
      </c>
      <c r="T53" s="41">
        <v>13150.0</v>
      </c>
      <c r="U53" s="41">
        <v>6252.43</v>
      </c>
      <c r="V53" s="39">
        <f t="shared" si="5"/>
        <v>397314.8878</v>
      </c>
      <c r="W53" s="40">
        <f t="shared" si="6"/>
        <v>0.1287205155</v>
      </c>
      <c r="X53" s="40">
        <f t="shared" si="7"/>
        <v>0.4913580986</v>
      </c>
      <c r="Y53" s="42">
        <v>1118640.0</v>
      </c>
      <c r="Z53" s="42">
        <v>428112.0</v>
      </c>
      <c r="AA53" s="42">
        <f>656.12+5169.78</f>
        <v>5825.9</v>
      </c>
      <c r="AB53" s="42">
        <v>1514.14</v>
      </c>
      <c r="AC53" s="42">
        <v>1993.83</v>
      </c>
      <c r="AD53" s="39">
        <f t="shared" si="20"/>
        <v>1818558.961</v>
      </c>
      <c r="AE53" s="40">
        <f t="shared" si="9"/>
        <v>0.5891695835</v>
      </c>
      <c r="AF53" s="40">
        <f t="shared" si="10"/>
        <v>0.1494628258</v>
      </c>
      <c r="AG53" s="44" t="s">
        <v>63</v>
      </c>
      <c r="AH53" s="44" t="s">
        <v>63</v>
      </c>
      <c r="AJ53" s="4" t="s">
        <v>63</v>
      </c>
      <c r="AK53" s="45">
        <v>350000.0</v>
      </c>
      <c r="AL53" s="45">
        <v>250000.0</v>
      </c>
      <c r="AM53" s="46">
        <f t="shared" si="11"/>
        <v>600000</v>
      </c>
      <c r="AN53" s="59">
        <f t="shared" si="18"/>
        <v>8850000</v>
      </c>
      <c r="AO53" s="4">
        <v>250000.0</v>
      </c>
      <c r="AP53" s="4">
        <v>265625.0</v>
      </c>
      <c r="AQ53" s="4">
        <v>13.5</v>
      </c>
      <c r="AR53" s="58">
        <f t="shared" si="12"/>
        <v>3585937.5</v>
      </c>
      <c r="AS53" s="50">
        <v>29.1205</v>
      </c>
      <c r="AV53" s="60">
        <v>8589231.0</v>
      </c>
      <c r="AW53" s="1">
        <f t="shared" si="19"/>
        <v>-17740</v>
      </c>
    </row>
    <row r="54">
      <c r="A54" s="55">
        <v>45807.0</v>
      </c>
      <c r="B54" s="62">
        <v>45778.0</v>
      </c>
      <c r="C54" s="1">
        <f>66645+10020</f>
        <v>76665</v>
      </c>
      <c r="D54" s="1">
        <f>1546+2700</f>
        <v>4246</v>
      </c>
      <c r="E54" s="57">
        <f t="shared" si="1"/>
        <v>80911</v>
      </c>
      <c r="F54" s="36">
        <f t="shared" si="2"/>
        <v>3287897.788</v>
      </c>
      <c r="G54" s="49">
        <f t="shared" si="13"/>
        <v>0.06520020056</v>
      </c>
      <c r="H54" s="56">
        <f t="shared" si="15"/>
        <v>0.1585096563</v>
      </c>
      <c r="I54" s="38">
        <f>19899+359407</f>
        <v>379306</v>
      </c>
      <c r="J54" s="38">
        <f>922+9536</f>
        <v>10458</v>
      </c>
      <c r="K54" s="38">
        <v>108593.0</v>
      </c>
      <c r="L54" s="38">
        <v>785.0</v>
      </c>
      <c r="M54" s="38">
        <v>566.0</v>
      </c>
      <c r="N54" s="38">
        <v>34888.0</v>
      </c>
      <c r="O54" s="38">
        <v>1425.94</v>
      </c>
      <c r="P54" s="38">
        <v>347.84</v>
      </c>
      <c r="Q54" s="39">
        <f t="shared" si="3"/>
        <v>586169.363</v>
      </c>
      <c r="R54" s="40">
        <f t="shared" si="4"/>
        <v>0.1782808958</v>
      </c>
      <c r="S54" s="41">
        <v>225935.0</v>
      </c>
      <c r="T54" s="41">
        <v>14396.0</v>
      </c>
      <c r="U54" s="41">
        <v>6980.47</v>
      </c>
      <c r="V54" s="39">
        <f t="shared" si="5"/>
        <v>443290.9574</v>
      </c>
      <c r="W54" s="40">
        <f t="shared" si="6"/>
        <v>0.134825042</v>
      </c>
      <c r="X54" s="40">
        <f t="shared" si="7"/>
        <v>0.4903234632</v>
      </c>
      <c r="Y54" s="42">
        <v>1173681.0</v>
      </c>
      <c r="Z54" s="42">
        <v>443360.0</v>
      </c>
      <c r="AA54" s="42">
        <f>1374.88+6451.74</f>
        <v>7826.62</v>
      </c>
      <c r="AB54" s="42">
        <v>2586.87</v>
      </c>
      <c r="AC54" s="42">
        <v>2066.32</v>
      </c>
      <c r="AD54" s="39">
        <f t="shared" si="20"/>
        <v>1979896.468</v>
      </c>
      <c r="AE54" s="40">
        <f t="shared" si="9"/>
        <v>0.6021770126</v>
      </c>
      <c r="AF54" s="40">
        <f t="shared" si="10"/>
        <v>0.1832699202</v>
      </c>
      <c r="AG54" s="44" t="s">
        <v>63</v>
      </c>
      <c r="AH54" s="44" t="s">
        <v>63</v>
      </c>
      <c r="AJ54" s="4" t="s">
        <v>63</v>
      </c>
      <c r="AK54" s="45">
        <v>350000.0</v>
      </c>
      <c r="AL54" s="45">
        <v>250000.0</v>
      </c>
      <c r="AM54" s="46">
        <f t="shared" si="11"/>
        <v>600000</v>
      </c>
      <c r="AN54" s="59">
        <f t="shared" si="18"/>
        <v>8850000</v>
      </c>
      <c r="AO54" s="4">
        <v>250000.0</v>
      </c>
      <c r="AP54" s="4">
        <v>265625.0</v>
      </c>
      <c r="AQ54" s="4">
        <v>13.5</v>
      </c>
      <c r="AR54" s="58">
        <f t="shared" si="12"/>
        <v>3585937.5</v>
      </c>
      <c r="AS54" s="50">
        <v>29.0754</v>
      </c>
      <c r="AV54" s="60">
        <v>8571459.0</v>
      </c>
      <c r="AW54" s="1">
        <f t="shared" si="19"/>
        <v>-17772</v>
      </c>
    </row>
    <row r="55">
      <c r="A55" s="55">
        <v>45837.0</v>
      </c>
      <c r="B55" s="62">
        <v>45809.0</v>
      </c>
      <c r="C55" s="58">
        <f>141147+56958</f>
        <v>198105</v>
      </c>
      <c r="D55" s="4">
        <v>15846.0</v>
      </c>
      <c r="E55" s="57">
        <f t="shared" si="1"/>
        <v>213951</v>
      </c>
      <c r="F55" s="36">
        <f t="shared" si="2"/>
        <v>3522773.163</v>
      </c>
      <c r="G55" s="49">
        <f t="shared" si="13"/>
        <v>0.07143633722</v>
      </c>
      <c r="H55" s="56">
        <f t="shared" si="15"/>
        <v>0.275039024</v>
      </c>
      <c r="I55" s="38">
        <f>441596+30574</f>
        <v>472170</v>
      </c>
      <c r="J55" s="38">
        <f>207+9223</f>
        <v>9430</v>
      </c>
      <c r="K55" s="38">
        <v>103073.0</v>
      </c>
      <c r="L55" s="38">
        <v>785.0</v>
      </c>
      <c r="M55" s="38">
        <v>566.0</v>
      </c>
      <c r="N55" s="38">
        <v>12119.0</v>
      </c>
      <c r="O55" s="38">
        <v>1288.71</v>
      </c>
      <c r="P55" s="38">
        <v>16.72</v>
      </c>
      <c r="Q55" s="39">
        <f t="shared" si="3"/>
        <v>637118.2953</v>
      </c>
      <c r="R55" s="40">
        <f t="shared" si="4"/>
        <v>0.180857031</v>
      </c>
      <c r="S55" s="41">
        <v>251246.0</v>
      </c>
      <c r="T55" s="41">
        <v>15280.0</v>
      </c>
      <c r="U55" s="41">
        <v>7423.16</v>
      </c>
      <c r="V55" s="39">
        <f t="shared" si="5"/>
        <v>488154.0103</v>
      </c>
      <c r="W55" s="40">
        <f t="shared" si="6"/>
        <v>0.1385709461</v>
      </c>
      <c r="X55" s="40">
        <f t="shared" si="7"/>
        <v>0.4853140715</v>
      </c>
      <c r="Y55" s="42">
        <v>1221406.0</v>
      </c>
      <c r="Z55" s="42">
        <v>456424.0</v>
      </c>
      <c r="AA55" s="42">
        <f>1735.4+5864.04</f>
        <v>7599.44</v>
      </c>
      <c r="AB55" s="42">
        <v>4537.49</v>
      </c>
      <c r="AC55" s="42">
        <v>2041.82</v>
      </c>
      <c r="AD55" s="39">
        <f t="shared" si="20"/>
        <v>2101154.858</v>
      </c>
      <c r="AE55" s="40">
        <f t="shared" si="9"/>
        <v>0.5964490929</v>
      </c>
      <c r="AF55" s="40">
        <f t="shared" si="10"/>
        <v>0.2014724693</v>
      </c>
      <c r="AG55" s="44" t="s">
        <v>63</v>
      </c>
      <c r="AH55" s="44" t="s">
        <v>63</v>
      </c>
      <c r="AJ55" s="4" t="s">
        <v>63</v>
      </c>
      <c r="AK55" s="45">
        <v>350000.0</v>
      </c>
      <c r="AL55" s="45">
        <v>250000.0</v>
      </c>
      <c r="AM55" s="46">
        <f t="shared" si="11"/>
        <v>600000</v>
      </c>
      <c r="AN55" s="59">
        <f t="shared" si="18"/>
        <v>8850000</v>
      </c>
      <c r="AO55" s="4">
        <v>250000.0</v>
      </c>
      <c r="AP55" s="4">
        <v>265625.0</v>
      </c>
      <c r="AQ55" s="4">
        <v>13.5</v>
      </c>
      <c r="AR55" s="58">
        <f t="shared" si="12"/>
        <v>3585937.5</v>
      </c>
      <c r="AS55" s="50">
        <v>29.856289</v>
      </c>
      <c r="AV55" s="60">
        <v>8553654.0</v>
      </c>
      <c r="AW55" s="1">
        <f t="shared" si="19"/>
        <v>-17805</v>
      </c>
    </row>
    <row r="56">
      <c r="A56" s="55">
        <v>45870.0</v>
      </c>
      <c r="B56" s="62">
        <v>45839.0</v>
      </c>
      <c r="C56" s="1">
        <f>56958+124071</f>
        <v>181029</v>
      </c>
      <c r="D56" s="4">
        <v>46463.66</v>
      </c>
      <c r="E56" s="57">
        <f t="shared" si="1"/>
        <v>227492.66</v>
      </c>
      <c r="F56" s="36">
        <f t="shared" ref="F56:F65" si="21">SUM(Q56,V56,AD56,AN56,AI56)-AV56</f>
        <v>3767669.303</v>
      </c>
      <c r="G56" s="49">
        <f t="shared" si="13"/>
        <v>0.0695179987</v>
      </c>
      <c r="H56" s="56">
        <f t="shared" si="15"/>
        <v>0.308798773</v>
      </c>
      <c r="I56" s="38">
        <f>34535+503070</f>
        <v>537605</v>
      </c>
      <c r="J56" s="38">
        <f>789+9251</f>
        <v>10040</v>
      </c>
      <c r="K56" s="38">
        <v>126472.0</v>
      </c>
      <c r="L56" s="38">
        <v>89101.0</v>
      </c>
      <c r="M56" s="38">
        <v>5288.0</v>
      </c>
      <c r="N56" s="38">
        <v>54938.0</v>
      </c>
      <c r="O56" s="38">
        <v>721.5</v>
      </c>
      <c r="P56" s="38">
        <v>274.95</v>
      </c>
      <c r="Q56" s="39">
        <f t="shared" si="3"/>
        <v>852991.233</v>
      </c>
      <c r="R56" s="40">
        <f t="shared" si="4"/>
        <v>0.2263975854</v>
      </c>
      <c r="S56" s="41">
        <v>194294.0</v>
      </c>
      <c r="T56" s="41">
        <v>16839.0</v>
      </c>
      <c r="U56" s="41">
        <v>7957.11</v>
      </c>
      <c r="V56" s="39">
        <f t="shared" si="5"/>
        <v>447081.1995</v>
      </c>
      <c r="W56" s="40">
        <f t="shared" si="6"/>
        <v>0.1186625374</v>
      </c>
      <c r="X56" s="40">
        <f t="shared" si="7"/>
        <v>0.5654167515</v>
      </c>
      <c r="Y56" s="42">
        <v>1228948.0</v>
      </c>
      <c r="Z56" s="42">
        <v>470734.0</v>
      </c>
      <c r="AA56" s="42">
        <f>2110.9+6165.4</f>
        <v>8276.3</v>
      </c>
      <c r="AB56" s="42">
        <v>4849.1</v>
      </c>
      <c r="AC56" s="42">
        <v>1992.43</v>
      </c>
      <c r="AD56" s="39">
        <f t="shared" si="20"/>
        <v>2147963.445</v>
      </c>
      <c r="AE56" s="40">
        <f t="shared" si="9"/>
        <v>0.5701040277</v>
      </c>
      <c r="AF56" s="40">
        <f t="shared" si="10"/>
        <v>0.2087006862</v>
      </c>
      <c r="AG56" s="44">
        <v>0.01</v>
      </c>
      <c r="AH56" s="63">
        <f>174.15+9.65</f>
        <v>183.8</v>
      </c>
      <c r="AI56" s="39">
        <f t="shared" ref="AI56:AI65" si="22">(AH56+AG56)*$AS56</f>
        <v>5450.425915</v>
      </c>
      <c r="AJ56" s="40">
        <f t="shared" ref="AJ56:AJ65" si="23">AI56/F56</f>
        <v>0.001446630656</v>
      </c>
      <c r="AK56" s="45">
        <v>350000.0</v>
      </c>
      <c r="AL56" s="45">
        <v>250000.0</v>
      </c>
      <c r="AM56" s="46">
        <f t="shared" si="11"/>
        <v>600000</v>
      </c>
      <c r="AN56" s="59">
        <f t="shared" si="18"/>
        <v>8850000</v>
      </c>
      <c r="AO56" s="4">
        <v>250000.0</v>
      </c>
      <c r="AP56" s="4">
        <v>265625.0</v>
      </c>
      <c r="AQ56" s="4">
        <v>13.5</v>
      </c>
      <c r="AR56" s="58">
        <f t="shared" si="12"/>
        <v>3585937.5</v>
      </c>
      <c r="AS56" s="50">
        <v>29.6524994</v>
      </c>
      <c r="AV56" s="60">
        <v>8535817.0</v>
      </c>
      <c r="AW56" s="1">
        <f t="shared" si="19"/>
        <v>-17837</v>
      </c>
    </row>
    <row r="57">
      <c r="A57" s="55">
        <v>45901.0</v>
      </c>
      <c r="B57" s="62">
        <v>45870.0</v>
      </c>
      <c r="C57" s="4">
        <v>56958.0</v>
      </c>
      <c r="D57" s="4">
        <v>36960.0</v>
      </c>
      <c r="E57" s="57">
        <f t="shared" si="1"/>
        <v>93918</v>
      </c>
      <c r="F57" s="36">
        <f t="shared" si="21"/>
        <v>3868924.278</v>
      </c>
      <c r="G57" s="49">
        <f t="shared" si="13"/>
        <v>0.026874698</v>
      </c>
      <c r="H57" s="56">
        <f t="shared" si="15"/>
        <v>0.3521950973</v>
      </c>
      <c r="I57" s="38">
        <f>36589+546118</f>
        <v>582707</v>
      </c>
      <c r="J57" s="38">
        <f>9576+9508</f>
        <v>19084</v>
      </c>
      <c r="K57" s="38">
        <v>106073.0</v>
      </c>
      <c r="L57" s="38">
        <v>34089.0</v>
      </c>
      <c r="M57" s="38">
        <v>15288.0</v>
      </c>
      <c r="N57" s="38">
        <v>46211.0</v>
      </c>
      <c r="O57" s="38">
        <v>2141.76</v>
      </c>
      <c r="P57" s="38">
        <v>67.83</v>
      </c>
      <c r="Q57" s="39">
        <f t="shared" si="3"/>
        <v>871011.319</v>
      </c>
      <c r="R57" s="40">
        <f t="shared" si="4"/>
        <v>0.2251301024</v>
      </c>
      <c r="S57" s="41">
        <v>226650.0</v>
      </c>
      <c r="T57" s="41">
        <v>9007.0</v>
      </c>
      <c r="U57" s="41">
        <v>5466.4</v>
      </c>
      <c r="V57" s="39">
        <f t="shared" si="5"/>
        <v>402794.9132</v>
      </c>
      <c r="W57" s="40">
        <f t="shared" si="6"/>
        <v>0.1041103119</v>
      </c>
      <c r="X57" s="40">
        <f t="shared" si="7"/>
        <v>0.4373066973</v>
      </c>
      <c r="Y57" s="42">
        <v>1247328.0</v>
      </c>
      <c r="Z57" s="42">
        <v>434136.0</v>
      </c>
      <c r="AA57" s="42">
        <f>2539.68+6919.6</f>
        <v>9459.28</v>
      </c>
      <c r="AB57" s="42">
        <v>6010.64</v>
      </c>
      <c r="AC57" s="42">
        <v>2107.25</v>
      </c>
      <c r="AD57" s="39">
        <f t="shared" si="20"/>
        <v>2218894.761</v>
      </c>
      <c r="AE57" s="40">
        <f t="shared" si="9"/>
        <v>0.5735172368</v>
      </c>
      <c r="AF57" s="40">
        <f t="shared" si="10"/>
        <v>0.2422065123</v>
      </c>
      <c r="AG57" s="44">
        <v>0.01</v>
      </c>
      <c r="AH57" s="63">
        <v>1444.62</v>
      </c>
      <c r="AI57" s="39">
        <f t="shared" si="22"/>
        <v>44170.28457</v>
      </c>
      <c r="AJ57" s="40">
        <f t="shared" si="23"/>
        <v>0.01141668365</v>
      </c>
      <c r="AK57" s="45">
        <v>350000.0</v>
      </c>
      <c r="AL57" s="45">
        <v>250000.0</v>
      </c>
      <c r="AM57" s="46">
        <f t="shared" si="11"/>
        <v>600000</v>
      </c>
      <c r="AN57" s="59">
        <f t="shared" si="18"/>
        <v>8850000</v>
      </c>
      <c r="AO57" s="4">
        <v>250000.0</v>
      </c>
      <c r="AP57" s="4">
        <v>265625.0</v>
      </c>
      <c r="AQ57" s="4">
        <v>13.5</v>
      </c>
      <c r="AR57" s="58">
        <f t="shared" si="12"/>
        <v>3585937.5</v>
      </c>
      <c r="AS57" s="50">
        <v>30.5755</v>
      </c>
      <c r="AV57" s="60">
        <v>8517947.0</v>
      </c>
      <c r="AW57" s="1">
        <f t="shared" si="19"/>
        <v>-17870</v>
      </c>
    </row>
    <row r="58">
      <c r="A58" s="55">
        <v>45930.0</v>
      </c>
      <c r="B58" s="62">
        <v>45901.0</v>
      </c>
      <c r="C58" s="4">
        <v>56958.0</v>
      </c>
      <c r="D58" s="4">
        <v>20342.24</v>
      </c>
      <c r="E58" s="57">
        <f t="shared" si="1"/>
        <v>77300.24</v>
      </c>
      <c r="F58" s="36">
        <f t="shared" si="21"/>
        <v>4118923.566</v>
      </c>
      <c r="G58" s="49">
        <f t="shared" si="13"/>
        <v>0.06461726042</v>
      </c>
      <c r="H58" s="56">
        <f t="shared" si="15"/>
        <v>0.3859686377</v>
      </c>
      <c r="I58" s="38">
        <f>38944+506562</f>
        <v>545506</v>
      </c>
      <c r="J58" s="38">
        <f>291+9393</f>
        <v>9684</v>
      </c>
      <c r="K58" s="38">
        <v>101282.0</v>
      </c>
      <c r="L58" s="38">
        <v>29089.0</v>
      </c>
      <c r="M58" s="38">
        <v>15288.0</v>
      </c>
      <c r="N58" s="38">
        <v>50738.0</v>
      </c>
      <c r="O58" s="38">
        <v>1104.08</v>
      </c>
      <c r="P58" s="38">
        <v>69.59</v>
      </c>
      <c r="Q58" s="39">
        <f t="shared" si="3"/>
        <v>787388.97</v>
      </c>
      <c r="R58" s="40">
        <f t="shared" si="4"/>
        <v>0.1911637731</v>
      </c>
      <c r="S58" s="41">
        <v>226041.0</v>
      </c>
      <c r="T58" s="41">
        <v>10056.0</v>
      </c>
      <c r="U58" s="41">
        <v>5982.81</v>
      </c>
      <c r="V58" s="39">
        <f t="shared" si="5"/>
        <v>418598.3713</v>
      </c>
      <c r="W58" s="40">
        <f t="shared" si="6"/>
        <v>0.1016280988</v>
      </c>
      <c r="X58" s="40">
        <f t="shared" si="7"/>
        <v>0.4600050657</v>
      </c>
      <c r="Y58" s="42">
        <v>1362237.0</v>
      </c>
      <c r="Z58" s="42">
        <v>456237.0</v>
      </c>
      <c r="AA58" s="42">
        <f>2928.6+8864.2</f>
        <v>11792.8</v>
      </c>
      <c r="AB58" s="42">
        <v>7624.59</v>
      </c>
      <c r="AC58" s="42">
        <v>2160.45</v>
      </c>
      <c r="AD58" s="39">
        <f t="shared" si="20"/>
        <v>2476690.689</v>
      </c>
      <c r="AE58" s="40">
        <f t="shared" si="9"/>
        <v>0.6012956175</v>
      </c>
      <c r="AF58" s="40">
        <f t="shared" si="10"/>
        <v>0.2657645914</v>
      </c>
      <c r="AG58" s="44">
        <v>0.01</v>
      </c>
      <c r="AH58" s="63">
        <v>2828.79</v>
      </c>
      <c r="AI58" s="39">
        <f t="shared" si="22"/>
        <v>86290.53555</v>
      </c>
      <c r="AJ58" s="40">
        <f t="shared" si="23"/>
        <v>0.0209497783</v>
      </c>
      <c r="AK58" s="45">
        <v>350000.0</v>
      </c>
      <c r="AL58" s="45">
        <v>250000.0</v>
      </c>
      <c r="AM58" s="46">
        <f t="shared" si="11"/>
        <v>600000</v>
      </c>
      <c r="AN58" s="59">
        <f t="shared" si="18"/>
        <v>8850000</v>
      </c>
      <c r="AO58" s="4">
        <v>250000.0</v>
      </c>
      <c r="AP58" s="4">
        <v>265625.0</v>
      </c>
      <c r="AQ58" s="4">
        <v>13.5</v>
      </c>
      <c r="AR58" s="58">
        <f t="shared" si="12"/>
        <v>3585937.5</v>
      </c>
      <c r="AS58" s="50">
        <v>30.50429</v>
      </c>
      <c r="AV58" s="60">
        <v>8500045.0</v>
      </c>
      <c r="AW58" s="1">
        <f t="shared" si="19"/>
        <v>-17902</v>
      </c>
    </row>
    <row r="59">
      <c r="A59" s="55">
        <v>45962.0</v>
      </c>
      <c r="B59" s="62">
        <v>45931.0</v>
      </c>
      <c r="C59" s="4">
        <v>57051.0</v>
      </c>
      <c r="D59" s="4">
        <v>37665.4</v>
      </c>
      <c r="E59" s="57">
        <f t="shared" si="1"/>
        <v>94716.4</v>
      </c>
      <c r="F59" s="36">
        <f t="shared" si="21"/>
        <v>4316490.19</v>
      </c>
      <c r="G59" s="49">
        <f t="shared" si="13"/>
        <v>0.04796559622</v>
      </c>
      <c r="H59" s="56">
        <f t="shared" si="15"/>
        <v>0.4496114778</v>
      </c>
      <c r="I59" s="38">
        <f>38944+462627</f>
        <v>501571</v>
      </c>
      <c r="J59" s="38">
        <f>9126+716</f>
        <v>9842</v>
      </c>
      <c r="K59" s="38">
        <v>172169.0</v>
      </c>
      <c r="L59" s="38">
        <v>24089.0</v>
      </c>
      <c r="M59" s="38">
        <v>288.0</v>
      </c>
      <c r="N59" s="38">
        <v>25456.0</v>
      </c>
      <c r="O59" s="38">
        <v>1194.45</v>
      </c>
      <c r="P59" s="38">
        <v>134.41</v>
      </c>
      <c r="Q59" s="39">
        <f t="shared" si="3"/>
        <v>774259.1067</v>
      </c>
      <c r="R59" s="40">
        <f t="shared" si="4"/>
        <v>0.1793723772</v>
      </c>
      <c r="S59" s="41">
        <v>279186.0</v>
      </c>
      <c r="T59" s="41">
        <v>11499.0</v>
      </c>
      <c r="U59" s="41">
        <v>5977.4</v>
      </c>
      <c r="V59" s="39">
        <f t="shared" si="5"/>
        <v>474407.5619</v>
      </c>
      <c r="W59" s="40">
        <f t="shared" si="6"/>
        <v>0.1099058589</v>
      </c>
      <c r="X59" s="40">
        <f t="shared" si="7"/>
        <v>0.4115060078</v>
      </c>
      <c r="Y59" s="42">
        <v>1448081.0</v>
      </c>
      <c r="Z59" s="42">
        <v>419440.0</v>
      </c>
      <c r="AA59" s="42">
        <f>3377.76+9242.1</f>
        <v>12619.86</v>
      </c>
      <c r="AB59" s="42">
        <v>8246.94</v>
      </c>
      <c r="AC59" s="42">
        <v>2136.5</v>
      </c>
      <c r="AD59" s="39">
        <f t="shared" si="20"/>
        <v>2574555.029</v>
      </c>
      <c r="AE59" s="40">
        <f t="shared" si="9"/>
        <v>0.5964463988</v>
      </c>
      <c r="AF59" s="40">
        <f t="shared" si="10"/>
        <v>0.2746237782</v>
      </c>
      <c r="AG59" s="44">
        <v>0.01</v>
      </c>
      <c r="AH59" s="63">
        <f>1391.73+20.53+1317.07+147.86+1102.82+99.16</f>
        <v>4079.17</v>
      </c>
      <c r="AI59" s="39">
        <f t="shared" si="22"/>
        <v>125378.4923</v>
      </c>
      <c r="AJ59" s="40">
        <f t="shared" si="23"/>
        <v>0.02904639807</v>
      </c>
      <c r="AK59" s="45">
        <v>350000.0</v>
      </c>
      <c r="AL59" s="45">
        <v>250000.0</v>
      </c>
      <c r="AM59" s="46">
        <f t="shared" si="11"/>
        <v>600000</v>
      </c>
      <c r="AN59" s="59">
        <f t="shared" si="18"/>
        <v>8850000</v>
      </c>
      <c r="AO59" s="4">
        <v>250000.0</v>
      </c>
      <c r="AP59" s="4">
        <v>265625.0</v>
      </c>
      <c r="AQ59" s="4">
        <v>13.5</v>
      </c>
      <c r="AR59" s="58">
        <f t="shared" si="12"/>
        <v>3585937.5</v>
      </c>
      <c r="AS59" s="50">
        <v>30.7362</v>
      </c>
      <c r="AV59" s="60">
        <v>8482110.0</v>
      </c>
      <c r="AW59" s="1">
        <f t="shared" si="19"/>
        <v>-17935</v>
      </c>
    </row>
    <row r="60">
      <c r="A60" s="55">
        <v>45991.0</v>
      </c>
      <c r="B60" s="62">
        <v>45962.0</v>
      </c>
      <c r="C60" s="4">
        <v>57051.0</v>
      </c>
      <c r="D60" s="4">
        <v>44050.0</v>
      </c>
      <c r="E60" s="57">
        <f t="shared" si="1"/>
        <v>101101</v>
      </c>
      <c r="F60" s="36">
        <f t="shared" si="21"/>
        <v>4231268.874</v>
      </c>
      <c r="G60" s="49">
        <f t="shared" si="13"/>
        <v>-0.01974319695</v>
      </c>
      <c r="H60" s="56">
        <f t="shared" si="15"/>
        <v>0.371685294</v>
      </c>
      <c r="I60" s="38">
        <f>40383+561794</f>
        <v>602177</v>
      </c>
      <c r="J60" s="38">
        <v>4815.0</v>
      </c>
      <c r="K60" s="38">
        <v>112255.0</v>
      </c>
      <c r="L60" s="38">
        <v>19089.0</v>
      </c>
      <c r="M60" s="38">
        <v>0.0</v>
      </c>
      <c r="N60" s="38">
        <v>63873.0</v>
      </c>
      <c r="O60" s="38">
        <v>1061.12</v>
      </c>
      <c r="P60" s="38">
        <v>63.27</v>
      </c>
      <c r="Q60" s="39">
        <f t="shared" si="3"/>
        <v>837505.7384</v>
      </c>
      <c r="R60" s="40">
        <f t="shared" si="4"/>
        <v>0.1979325265</v>
      </c>
      <c r="S60" s="41">
        <v>295543.0</v>
      </c>
      <c r="T60" s="41">
        <v>8636.0</v>
      </c>
      <c r="U60" s="41">
        <v>5480.61</v>
      </c>
      <c r="V60" s="39">
        <f t="shared" si="5"/>
        <v>476225.7611</v>
      </c>
      <c r="W60" s="40">
        <f t="shared" si="6"/>
        <v>0.1125491608</v>
      </c>
      <c r="X60" s="40">
        <f t="shared" si="7"/>
        <v>0.3794056849</v>
      </c>
      <c r="Y60" s="42">
        <v>1374791.0</v>
      </c>
      <c r="Z60" s="42">
        <v>264839.0</v>
      </c>
      <c r="AA60" s="42">
        <f>9463.74+3842.16</f>
        <v>13305.9</v>
      </c>
      <c r="AB60" s="42">
        <v>9140.55</v>
      </c>
      <c r="AC60" s="42">
        <v>2043.27</v>
      </c>
      <c r="AD60" s="39">
        <f t="shared" si="20"/>
        <v>2408408.841</v>
      </c>
      <c r="AE60" s="40">
        <f t="shared" si="9"/>
        <v>0.5691930512</v>
      </c>
      <c r="AF60" s="40">
        <f t="shared" si="10"/>
        <v>0.3192061199</v>
      </c>
      <c r="AG60" s="44">
        <v>0.01</v>
      </c>
      <c r="AH60" s="63">
        <f>1506.76+1341+9.3+69.1+9.998+913.33+77.36</f>
        <v>3926.848</v>
      </c>
      <c r="AI60" s="39">
        <f t="shared" si="22"/>
        <v>123271.5337</v>
      </c>
      <c r="AJ60" s="40">
        <f t="shared" si="23"/>
        <v>0.02913346736</v>
      </c>
      <c r="AK60" s="45">
        <v>350000.0</v>
      </c>
      <c r="AL60" s="45">
        <v>250000.0</v>
      </c>
      <c r="AM60" s="46">
        <f t="shared" si="11"/>
        <v>600000</v>
      </c>
      <c r="AN60" s="59">
        <f t="shared" si="18"/>
        <v>8850000</v>
      </c>
      <c r="AO60" s="4">
        <v>250000.0</v>
      </c>
      <c r="AP60" s="4">
        <v>265625.0</v>
      </c>
      <c r="AQ60" s="4">
        <v>13.5</v>
      </c>
      <c r="AR60" s="58">
        <f t="shared" si="12"/>
        <v>3585937.5</v>
      </c>
      <c r="AS60" s="50">
        <v>31.3919</v>
      </c>
      <c r="AV60" s="60">
        <v>8464143.0</v>
      </c>
      <c r="AW60" s="1">
        <f t="shared" si="19"/>
        <v>-17967</v>
      </c>
    </row>
    <row r="61">
      <c r="A61" s="55">
        <v>46023.0</v>
      </c>
      <c r="B61" s="61">
        <v>45992.0</v>
      </c>
      <c r="C61" s="4">
        <v>164180.0</v>
      </c>
      <c r="D61" s="4">
        <v>17584.16</v>
      </c>
      <c r="E61" s="57">
        <f t="shared" si="1"/>
        <v>181764.16</v>
      </c>
      <c r="F61" s="36">
        <f t="shared" si="21"/>
        <v>4528515.168</v>
      </c>
      <c r="G61" s="49">
        <f t="shared" si="13"/>
        <v>0.07024991851</v>
      </c>
      <c r="H61" s="56">
        <f t="shared" si="15"/>
        <v>0.3488259869</v>
      </c>
      <c r="I61" s="38">
        <f>581133+39870</f>
        <v>621003</v>
      </c>
      <c r="J61" s="38">
        <v>908.0</v>
      </c>
      <c r="K61" s="38">
        <v>132626.0</v>
      </c>
      <c r="L61" s="38">
        <v>14183.0</v>
      </c>
      <c r="M61" s="38">
        <v>25.0</v>
      </c>
      <c r="N61" s="38">
        <v>51362.0</v>
      </c>
      <c r="O61" s="38">
        <v>2348.11</v>
      </c>
      <c r="P61" s="38">
        <v>65.6</v>
      </c>
      <c r="Q61" s="39">
        <f t="shared" si="3"/>
        <v>895860.0815</v>
      </c>
      <c r="R61" s="40">
        <f t="shared" si="4"/>
        <v>0.1978264504</v>
      </c>
      <c r="S61" s="41">
        <v>312622.0</v>
      </c>
      <c r="T61" s="41">
        <v>9551.0</v>
      </c>
      <c r="U61" s="41">
        <v>5781.67</v>
      </c>
      <c r="V61" s="39">
        <f t="shared" si="5"/>
        <v>503627.8221</v>
      </c>
      <c r="W61" s="40">
        <f t="shared" si="6"/>
        <v>0.1112125726</v>
      </c>
      <c r="X61" s="40">
        <f t="shared" si="7"/>
        <v>0.3792598695</v>
      </c>
      <c r="Y61" s="42">
        <v>1472255.0</v>
      </c>
      <c r="Z61" s="42">
        <v>282880.0</v>
      </c>
      <c r="AA61" s="42">
        <f>3766.2+9997.46</f>
        <v>13763.66</v>
      </c>
      <c r="AB61" s="42">
        <v>10904.12</v>
      </c>
      <c r="AC61" s="42">
        <v>2076.99</v>
      </c>
      <c r="AD61" s="39">
        <f t="shared" si="20"/>
        <v>2594506.234</v>
      </c>
      <c r="AE61" s="40">
        <f t="shared" si="9"/>
        <v>0.5729264754</v>
      </c>
      <c r="AF61" s="40">
        <f t="shared" si="10"/>
        <v>0.3235186808</v>
      </c>
      <c r="AG61" s="44">
        <v>0.01</v>
      </c>
      <c r="AH61" s="63">
        <f>1800.88+68.52+1311.02+13.76+882.33+76.81+10</f>
        <v>4163.32</v>
      </c>
      <c r="AI61" s="39">
        <f t="shared" si="22"/>
        <v>130664.0304</v>
      </c>
      <c r="AJ61" s="40">
        <f t="shared" si="23"/>
        <v>0.02885361438</v>
      </c>
      <c r="AK61" s="45">
        <v>350000.0</v>
      </c>
      <c r="AL61" s="45">
        <v>250000.0</v>
      </c>
      <c r="AM61" s="46">
        <f t="shared" si="11"/>
        <v>600000</v>
      </c>
      <c r="AN61" s="59">
        <f t="shared" si="18"/>
        <v>8850000</v>
      </c>
      <c r="AO61" s="4">
        <v>250000.0</v>
      </c>
      <c r="AP61" s="4">
        <v>265625.0</v>
      </c>
      <c r="AQ61" s="4">
        <v>13.5</v>
      </c>
      <c r="AR61" s="58">
        <f t="shared" si="12"/>
        <v>3585937.5</v>
      </c>
      <c r="AS61" s="50">
        <v>31.3845</v>
      </c>
      <c r="AV61" s="60">
        <v>8446143.0</v>
      </c>
      <c r="AW61" s="1">
        <f t="shared" si="19"/>
        <v>-18000</v>
      </c>
    </row>
    <row r="62">
      <c r="A62" s="55">
        <v>46054.0</v>
      </c>
      <c r="B62" s="61">
        <v>46023.0</v>
      </c>
      <c r="C62" s="4">
        <v>57551.0</v>
      </c>
      <c r="D62" s="4">
        <v>19772.0</v>
      </c>
      <c r="E62" s="57">
        <f t="shared" si="1"/>
        <v>77323</v>
      </c>
      <c r="F62" s="36">
        <f t="shared" si="21"/>
        <v>4677907.177</v>
      </c>
      <c r="G62" s="49">
        <f t="shared" si="13"/>
        <v>0.03298918161</v>
      </c>
      <c r="H62" s="56">
        <f t="shared" si="15"/>
        <v>0.3558238374</v>
      </c>
      <c r="I62" s="38">
        <f>55733+527548</f>
        <v>583281</v>
      </c>
      <c r="J62" s="38">
        <v>631.0</v>
      </c>
      <c r="K62" s="38">
        <v>100066.0</v>
      </c>
      <c r="L62" s="38">
        <v>9183.0</v>
      </c>
      <c r="M62" s="38">
        <v>25025.0</v>
      </c>
      <c r="N62" s="38">
        <v>52007.0</v>
      </c>
      <c r="O62" s="38">
        <v>1762.86</v>
      </c>
      <c r="P62" s="38">
        <v>65.6</v>
      </c>
      <c r="Q62" s="39">
        <f t="shared" si="3"/>
        <v>827968.6791</v>
      </c>
      <c r="R62" s="40">
        <f t="shared" si="4"/>
        <v>0.176995534</v>
      </c>
      <c r="S62" s="41">
        <v>342886.0</v>
      </c>
      <c r="T62" s="41">
        <v>10659.0</v>
      </c>
      <c r="U62" s="41">
        <v>5471.19</v>
      </c>
      <c r="V62" s="39">
        <f t="shared" si="5"/>
        <v>526423.6616</v>
      </c>
      <c r="W62" s="40">
        <f t="shared" si="6"/>
        <v>0.1125340118</v>
      </c>
      <c r="X62" s="40">
        <f t="shared" si="7"/>
        <v>0.3486500988</v>
      </c>
      <c r="Y62" s="42">
        <v>1560926.0</v>
      </c>
      <c r="Z62" s="42">
        <v>354536.0</v>
      </c>
      <c r="AA62" s="42">
        <f>4059+9164.32</f>
        <v>13223.32</v>
      </c>
      <c r="AB62" s="42">
        <v>12065.87</v>
      </c>
      <c r="AC62" s="42">
        <v>1991.45</v>
      </c>
      <c r="AD62" s="39">
        <f t="shared" si="20"/>
        <v>2777475.663</v>
      </c>
      <c r="AE62" s="40">
        <f t="shared" si="9"/>
        <v>0.5937432184</v>
      </c>
      <c r="AF62" s="40">
        <f t="shared" si="10"/>
        <v>0.3103586736</v>
      </c>
      <c r="AG62" s="44">
        <v>0.01</v>
      </c>
      <c r="AH62" s="63">
        <f>1776.16+67.19+1215.62+12.91+61.09+786+10.04</f>
        <v>3929.01</v>
      </c>
      <c r="AI62" s="39">
        <f t="shared" si="22"/>
        <v>124149.174</v>
      </c>
      <c r="AJ62" s="40">
        <f t="shared" si="23"/>
        <v>0.02653946931</v>
      </c>
      <c r="AK62" s="45">
        <v>350000.0</v>
      </c>
      <c r="AL62" s="45">
        <v>250000.0</v>
      </c>
      <c r="AM62" s="46">
        <f t="shared" si="11"/>
        <v>600000</v>
      </c>
      <c r="AN62" s="59">
        <f t="shared" si="18"/>
        <v>8850000</v>
      </c>
      <c r="AO62" s="4">
        <v>250000.0</v>
      </c>
      <c r="AP62" s="4">
        <v>265625.0</v>
      </c>
      <c r="AQ62" s="4">
        <v>13.5</v>
      </c>
      <c r="AR62" s="58">
        <f t="shared" si="12"/>
        <v>3585937.5</v>
      </c>
      <c r="AS62" s="50">
        <v>31.598</v>
      </c>
      <c r="AV62" s="60">
        <v>8428110.0</v>
      </c>
      <c r="AW62" s="1">
        <f t="shared" si="19"/>
        <v>-18033</v>
      </c>
    </row>
    <row r="63">
      <c r="A63" s="55">
        <v>46082.0</v>
      </c>
      <c r="B63" s="61">
        <v>46054.0</v>
      </c>
      <c r="C63" s="4">
        <v>57250.0</v>
      </c>
      <c r="D63" s="4">
        <v>71101.0</v>
      </c>
      <c r="E63" s="57">
        <f t="shared" si="1"/>
        <v>128351</v>
      </c>
      <c r="F63" s="36">
        <f t="shared" si="21"/>
        <v>4842876.534</v>
      </c>
      <c r="G63" s="49">
        <f t="shared" si="13"/>
        <v>0.03526563281</v>
      </c>
      <c r="H63" s="56">
        <f t="shared" si="15"/>
        <v>0.4583169332</v>
      </c>
      <c r="I63" s="38">
        <f>55733+499976</f>
        <v>555709</v>
      </c>
      <c r="J63" s="38">
        <v>3545.0</v>
      </c>
      <c r="K63" s="38">
        <v>116124.0</v>
      </c>
      <c r="L63" s="38">
        <v>86141.0</v>
      </c>
      <c r="M63" s="38">
        <v>0.0</v>
      </c>
      <c r="N63" s="38">
        <v>59947.0</v>
      </c>
      <c r="O63" s="38">
        <v>975.66</v>
      </c>
      <c r="P63" s="38">
        <v>144.79</v>
      </c>
      <c r="Q63" s="39">
        <f t="shared" si="3"/>
        <v>856549.5304</v>
      </c>
      <c r="R63" s="40">
        <f t="shared" si="4"/>
        <v>0.1768679264</v>
      </c>
      <c r="S63" s="41">
        <v>269946.0</v>
      </c>
      <c r="T63" s="41">
        <v>11447.0</v>
      </c>
      <c r="U63" s="41">
        <v>5230.46</v>
      </c>
      <c r="V63" s="39">
        <f t="shared" si="5"/>
        <v>445169.1635</v>
      </c>
      <c r="W63" s="40">
        <f t="shared" si="6"/>
        <v>0.09192246806</v>
      </c>
      <c r="X63" s="40">
        <f t="shared" si="7"/>
        <v>0.3936102899</v>
      </c>
      <c r="Y63" s="42">
        <v>1734489.0</v>
      </c>
      <c r="Z63" s="42">
        <v>376804.0</v>
      </c>
      <c r="AA63" s="42">
        <f>3688.56+9397.34</f>
        <v>13085.9</v>
      </c>
      <c r="AB63" s="42">
        <v>12896.89</v>
      </c>
      <c r="AC63" s="42">
        <v>2019.86</v>
      </c>
      <c r="AD63" s="39">
        <f t="shared" si="20"/>
        <v>2988111.977</v>
      </c>
      <c r="AE63" s="40">
        <f t="shared" si="9"/>
        <v>0.6170118019</v>
      </c>
      <c r="AF63" s="40">
        <f t="shared" si="10"/>
        <v>0.2934357827</v>
      </c>
      <c r="AG63" s="44">
        <v>0.01</v>
      </c>
      <c r="AH63" s="63">
        <f>1793+1030+12.3+65+659.4+52</f>
        <v>3611.7</v>
      </c>
      <c r="AI63" s="39">
        <f t="shared" si="22"/>
        <v>113089.8635</v>
      </c>
      <c r="AJ63" s="40">
        <f t="shared" si="23"/>
        <v>0.02335179572</v>
      </c>
      <c r="AK63" s="45">
        <v>350000.0</v>
      </c>
      <c r="AL63" s="45">
        <v>250000.0</v>
      </c>
      <c r="AM63" s="46">
        <f t="shared" si="11"/>
        <v>600000</v>
      </c>
      <c r="AN63" s="59">
        <f t="shared" si="18"/>
        <v>8850000</v>
      </c>
      <c r="AO63" s="4">
        <v>250000.0</v>
      </c>
      <c r="AP63" s="4">
        <v>265625.0</v>
      </c>
      <c r="AQ63" s="4">
        <v>25.0</v>
      </c>
      <c r="AR63" s="58">
        <f t="shared" si="12"/>
        <v>6640625</v>
      </c>
      <c r="AS63" s="50">
        <v>31.312</v>
      </c>
      <c r="AV63" s="60">
        <v>8410044.0</v>
      </c>
      <c r="AW63" s="1">
        <f t="shared" si="19"/>
        <v>-18066</v>
      </c>
    </row>
    <row r="64">
      <c r="A64" s="55">
        <v>46144.0</v>
      </c>
      <c r="B64" s="61">
        <v>46113.0</v>
      </c>
      <c r="C64" s="4">
        <v>64975.0</v>
      </c>
      <c r="D64" s="4">
        <v>1868.0</v>
      </c>
      <c r="E64" s="57">
        <f t="shared" si="1"/>
        <v>66843</v>
      </c>
      <c r="F64" s="36">
        <f t="shared" si="21"/>
        <v>5248031.836</v>
      </c>
      <c r="G64" s="49">
        <f t="shared" si="13"/>
        <v>0.08366005172</v>
      </c>
      <c r="H64" s="56">
        <f t="shared" ref="H64:H65" si="24">(F64-F53)/F53</f>
        <v>0.7002367239</v>
      </c>
      <c r="I64" s="38">
        <f>60999+421921</f>
        <v>482920</v>
      </c>
      <c r="J64" s="38">
        <v>764.0</v>
      </c>
      <c r="K64" s="38">
        <v>137401.0</v>
      </c>
      <c r="L64" s="38">
        <v>76141.0</v>
      </c>
      <c r="M64" s="38">
        <v>11055.0</v>
      </c>
      <c r="N64" s="38">
        <v>24204.0</v>
      </c>
      <c r="O64" s="38">
        <v>1043.13</v>
      </c>
      <c r="P64" s="38">
        <v>427.76</v>
      </c>
      <c r="Q64" s="39">
        <f t="shared" si="3"/>
        <v>779008.5153</v>
      </c>
      <c r="R64" s="40">
        <f t="shared" si="4"/>
        <v>0.1484382221</v>
      </c>
      <c r="S64" s="41">
        <v>410839.0</v>
      </c>
      <c r="T64" s="41">
        <v>13531.0</v>
      </c>
      <c r="U64" s="41">
        <v>5531.04</v>
      </c>
      <c r="V64" s="39">
        <f t="shared" si="5"/>
        <v>599314.0297</v>
      </c>
      <c r="W64" s="40">
        <f t="shared" si="6"/>
        <v>0.1141978647</v>
      </c>
      <c r="X64" s="40">
        <f t="shared" si="7"/>
        <v>0.3144845946</v>
      </c>
      <c r="Y64" s="42">
        <v>1865536.0</v>
      </c>
      <c r="Z64" s="42">
        <v>381799.0</v>
      </c>
      <c r="AA64" s="42">
        <v>14362.78</v>
      </c>
      <c r="AB64" s="42">
        <v>15176.74</v>
      </c>
      <c r="AC64" s="42">
        <v>2079.6</v>
      </c>
      <c r="AD64" s="39">
        <f t="shared" si="20"/>
        <v>3247431.956</v>
      </c>
      <c r="AE64" s="40">
        <f t="shared" si="9"/>
        <v>0.6187904452</v>
      </c>
      <c r="AF64" s="40">
        <f t="shared" si="10"/>
        <v>0.3079654846</v>
      </c>
      <c r="AG64" s="44">
        <v>0.01</v>
      </c>
      <c r="AH64" s="63">
        <f>12.82+1232.08+66.32+2453.31+61.97+786.48+5.81</f>
        <v>4618.79</v>
      </c>
      <c r="AI64" s="39">
        <f t="shared" si="22"/>
        <v>146090.3346</v>
      </c>
      <c r="AJ64" s="40">
        <f t="shared" si="23"/>
        <v>0.02783716623</v>
      </c>
      <c r="AK64" s="45">
        <v>350000.0</v>
      </c>
      <c r="AL64" s="45">
        <v>250000.0</v>
      </c>
      <c r="AM64" s="46">
        <f t="shared" si="11"/>
        <v>600000</v>
      </c>
      <c r="AN64" s="59">
        <f t="shared" si="18"/>
        <v>8850000</v>
      </c>
      <c r="AO64" s="4">
        <v>250000.0</v>
      </c>
      <c r="AP64" s="4">
        <v>265625.0</v>
      </c>
      <c r="AQ64" s="4">
        <v>25.0</v>
      </c>
      <c r="AR64" s="58">
        <f t="shared" si="12"/>
        <v>6640625</v>
      </c>
      <c r="AS64" s="50">
        <v>31.6295</v>
      </c>
      <c r="AV64" s="60">
        <v>8373813.0</v>
      </c>
      <c r="AW64" s="1">
        <f t="shared" si="19"/>
        <v>-36231</v>
      </c>
    </row>
    <row r="65">
      <c r="A65" s="55">
        <v>46172.0</v>
      </c>
      <c r="B65" s="61">
        <v>46143.0</v>
      </c>
      <c r="C65" s="4">
        <v>60052.0</v>
      </c>
      <c r="D65" s="4">
        <v>26815.0</v>
      </c>
      <c r="E65" s="57">
        <f t="shared" si="1"/>
        <v>86867</v>
      </c>
      <c r="F65" s="36">
        <f t="shared" si="21"/>
        <v>5910630.648</v>
      </c>
      <c r="G65" s="49">
        <f t="shared" si="13"/>
        <v>0.1262566297</v>
      </c>
      <c r="H65" s="56">
        <f t="shared" si="24"/>
        <v>0.797692942</v>
      </c>
      <c r="I65" s="38">
        <f>174229+305571</f>
        <v>479800</v>
      </c>
      <c r="J65" s="38">
        <v>629.0</v>
      </c>
      <c r="K65" s="38">
        <v>118774.0</v>
      </c>
      <c r="L65" s="38">
        <v>71141.0</v>
      </c>
      <c r="M65" s="38">
        <v>3055.0</v>
      </c>
      <c r="N65" s="38">
        <v>24204.0</v>
      </c>
      <c r="O65" s="38">
        <v>2834.03</v>
      </c>
      <c r="P65" s="38">
        <v>30.36</v>
      </c>
      <c r="Q65" s="39">
        <f t="shared" si="3"/>
        <v>787621.6117</v>
      </c>
      <c r="R65" s="40">
        <f t="shared" si="4"/>
        <v>0.1332550888</v>
      </c>
      <c r="S65" s="41">
        <v>462162.0</v>
      </c>
      <c r="T65" s="41">
        <v>15342.0</v>
      </c>
      <c r="U65" s="41">
        <v>6023.89</v>
      </c>
      <c r="V65" s="39">
        <f t="shared" si="5"/>
        <v>666815.5863</v>
      </c>
      <c r="W65" s="40">
        <f t="shared" si="6"/>
        <v>0.1128163179</v>
      </c>
      <c r="X65" s="40">
        <f t="shared" si="7"/>
        <v>0.3069118216</v>
      </c>
      <c r="Y65" s="42">
        <v>2075032.0</v>
      </c>
      <c r="Z65" s="42">
        <v>565233.0</v>
      </c>
      <c r="AA65" s="42">
        <v>15893.0</v>
      </c>
      <c r="AB65" s="42">
        <v>19076.18</v>
      </c>
      <c r="AC65" s="42">
        <v>2189.29</v>
      </c>
      <c r="AD65" s="39">
        <f t="shared" si="20"/>
        <v>3808036.805</v>
      </c>
      <c r="AE65" s="40">
        <f t="shared" si="9"/>
        <v>0.6442691198</v>
      </c>
      <c r="AF65" s="40">
        <f t="shared" si="10"/>
        <v>0.3066598</v>
      </c>
      <c r="AG65" s="44">
        <v>0.01</v>
      </c>
      <c r="AH65" s="63">
        <f>1365.76+7.55+2646.45+79.72+5.82+53.86+734.89</f>
        <v>4894.05</v>
      </c>
      <c r="AI65" s="39">
        <f t="shared" si="22"/>
        <v>153804.6448</v>
      </c>
      <c r="AJ65" s="40">
        <f t="shared" si="23"/>
        <v>0.02602169785</v>
      </c>
      <c r="AK65" s="45">
        <v>350000.0</v>
      </c>
      <c r="AL65" s="45">
        <v>250000.0</v>
      </c>
      <c r="AM65" s="46">
        <f t="shared" si="11"/>
        <v>600000</v>
      </c>
      <c r="AN65" s="59">
        <f t="shared" si="18"/>
        <v>8850000</v>
      </c>
      <c r="AO65" s="4">
        <v>250000.0</v>
      </c>
      <c r="AP65" s="4">
        <v>265625.0</v>
      </c>
      <c r="AQ65" s="4">
        <v>25.0</v>
      </c>
      <c r="AR65" s="58">
        <f t="shared" si="12"/>
        <v>6640625</v>
      </c>
      <c r="AS65" s="50">
        <v>31.4268</v>
      </c>
      <c r="AV65" s="60">
        <v>8355648.0</v>
      </c>
      <c r="AW65" s="1">
        <f t="shared" si="19"/>
        <v>-18165</v>
      </c>
    </row>
  </sheetData>
  <mergeCells count="7">
    <mergeCell ref="F14:AM16"/>
    <mergeCell ref="AV14:AX16"/>
    <mergeCell ref="C18:D18"/>
    <mergeCell ref="E18:E19"/>
    <mergeCell ref="F18:F19"/>
    <mergeCell ref="G18:G19"/>
    <mergeCell ref="H18:H19"/>
  </mergeCells>
  <conditionalFormatting sqref="R20:R65 AD53:AD65 AI56:AI65">
    <cfRule type="cellIs" dxfId="0" priority="1" operator="lessThan">
      <formula>0.2</formula>
    </cfRule>
  </conditionalFormatting>
  <conditionalFormatting sqref="G20:G65">
    <cfRule type="cellIs" dxfId="1" priority="2" operator="lessThanOrEqual">
      <formula>0</formula>
    </cfRule>
  </conditionalFormatting>
  <conditionalFormatting sqref="G20:G65">
    <cfRule type="notContainsBlanks" dxfId="2" priority="3">
      <formula>LEN(TRIM(G20))&gt;0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2.63"/>
    <col customWidth="1" min="2" max="2" width="9.88"/>
    <col customWidth="1" hidden="1" min="3" max="3" width="9.88"/>
    <col customWidth="1" min="4" max="4" width="18.0"/>
    <col customWidth="1" min="5" max="5" width="13.63"/>
    <col customWidth="1" min="6" max="23" width="12.13"/>
    <col customWidth="1" min="24" max="24" width="5.38"/>
  </cols>
  <sheetData>
    <row r="1" ht="24.0" customHeight="1">
      <c r="A1" s="64"/>
      <c r="B1" s="65" t="s">
        <v>70</v>
      </c>
      <c r="C1" s="64"/>
      <c r="D1" s="64"/>
      <c r="E1" s="66" t="s">
        <v>71</v>
      </c>
      <c r="F1" s="67">
        <f>IFERROR(__xludf.DUMMYFUNCTION("GOOGLEFINANCE(""INDEXCBOE:VIX"",""price"")"),15.32)</f>
        <v>15.32</v>
      </c>
      <c r="G1" s="68" t="s">
        <v>72</v>
      </c>
      <c r="H1" s="67">
        <f>IFERROR(__xludf.DUMMYFUNCTION("GOOGLEFINANCE(""INDEXCBOE:SKEW"",""price"")"),144.18)</f>
        <v>144.18</v>
      </c>
      <c r="I1" s="64"/>
      <c r="J1" s="64"/>
      <c r="K1" s="64"/>
      <c r="L1" s="64"/>
      <c r="M1" s="64"/>
      <c r="N1" s="64"/>
      <c r="O1" s="64"/>
      <c r="P1" s="64"/>
      <c r="Q1" s="64"/>
      <c r="R1" s="69"/>
      <c r="S1" s="69"/>
      <c r="T1" s="69"/>
      <c r="U1" s="64"/>
      <c r="V1" s="64"/>
      <c r="W1" s="64"/>
      <c r="X1" s="64"/>
    </row>
    <row r="2" ht="16.5" customHeight="1">
      <c r="A2" s="64"/>
      <c r="B2" s="70" t="s">
        <v>73</v>
      </c>
      <c r="C2" s="64"/>
      <c r="D2" s="64"/>
      <c r="E2" s="71" t="s">
        <v>74</v>
      </c>
      <c r="F2" s="71" t="s">
        <v>75</v>
      </c>
      <c r="G2" s="71" t="s">
        <v>76</v>
      </c>
      <c r="H2" s="72"/>
      <c r="I2" s="71" t="s">
        <v>77</v>
      </c>
      <c r="J2" s="72"/>
      <c r="K2" s="72"/>
      <c r="L2" s="71" t="s">
        <v>78</v>
      </c>
      <c r="M2" s="71" t="s">
        <v>79</v>
      </c>
      <c r="N2" s="71" t="s">
        <v>80</v>
      </c>
      <c r="O2" s="73" t="s">
        <v>81</v>
      </c>
      <c r="P2" s="74"/>
      <c r="Q2" s="74"/>
      <c r="R2" s="69"/>
      <c r="S2" s="69"/>
      <c r="T2" s="69"/>
      <c r="U2" s="64"/>
      <c r="V2" s="64"/>
      <c r="W2" s="64"/>
      <c r="X2" s="64"/>
    </row>
    <row r="3" ht="27.0" customHeight="1">
      <c r="A3" s="64"/>
      <c r="B3" s="75">
        <f>SUM(I6:I39)</f>
        <v>3904601.229</v>
      </c>
      <c r="E3" s="76">
        <f>IFERROR(__xludf.DUMMYFUNCTION("GOOGLEFINANCE(""USDTWD"")"),31.426800000000004)</f>
        <v>31.4268</v>
      </c>
      <c r="F3" s="77">
        <f>SUMPRODUCT(F6:F39,H6:H39)</f>
        <v>39964.18361</v>
      </c>
      <c r="G3" s="78">
        <f>F3/(I3-F3)*100%</f>
        <v>0.01034099274</v>
      </c>
      <c r="H3" s="79"/>
      <c r="I3" s="80">
        <f>SUM(I6:I39)</f>
        <v>3904601.229</v>
      </c>
      <c r="J3" s="81"/>
      <c r="K3" s="81"/>
      <c r="L3" s="82">
        <f>SUM(L6:L39)</f>
        <v>2190622.708</v>
      </c>
      <c r="M3" s="83">
        <f>I3-L3</f>
        <v>1713978.521</v>
      </c>
      <c r="N3" s="84">
        <f>M3/L3</f>
        <v>0.7824161204</v>
      </c>
      <c r="O3" s="85">
        <f>(M3+SUM(P3,Q3,R3,S3,T3))/L3</f>
        <v>0.9053828365</v>
      </c>
      <c r="P3" s="86">
        <f t="shared" ref="P3:U3" si="1">SUM(P6:P39)</f>
        <v>13207</v>
      </c>
      <c r="Q3" s="86">
        <f t="shared" si="1"/>
        <v>35557.76354</v>
      </c>
      <c r="R3" s="86">
        <f t="shared" si="1"/>
        <v>52674.89589</v>
      </c>
      <c r="S3" s="86">
        <f t="shared" si="1"/>
        <v>79406.66132</v>
      </c>
      <c r="T3" s="86">
        <f t="shared" si="1"/>
        <v>88527.36</v>
      </c>
      <c r="U3" s="86">
        <f t="shared" si="1"/>
        <v>27260</v>
      </c>
      <c r="V3" s="87">
        <f>SUM(P3:T3)</f>
        <v>269373.6807</v>
      </c>
      <c r="W3" s="64"/>
      <c r="X3" s="64"/>
    </row>
    <row r="4" ht="11.25" customHeight="1">
      <c r="A4" s="64"/>
      <c r="B4" s="64"/>
      <c r="C4" s="64"/>
      <c r="D4" s="88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9"/>
      <c r="S4" s="69"/>
      <c r="T4" s="69"/>
      <c r="U4" s="64"/>
      <c r="V4" s="64"/>
      <c r="W4" s="64"/>
      <c r="X4" s="64"/>
    </row>
    <row r="5" ht="21.0" customHeight="1">
      <c r="B5" s="89" t="s">
        <v>82</v>
      </c>
      <c r="C5" s="89" t="s">
        <v>83</v>
      </c>
      <c r="D5" s="89" t="s">
        <v>84</v>
      </c>
      <c r="E5" s="90" t="s">
        <v>85</v>
      </c>
      <c r="F5" s="90" t="s">
        <v>86</v>
      </c>
      <c r="G5" s="90" t="s">
        <v>87</v>
      </c>
      <c r="H5" s="90" t="s">
        <v>88</v>
      </c>
      <c r="I5" s="90" t="s">
        <v>89</v>
      </c>
      <c r="J5" s="90" t="s">
        <v>90</v>
      </c>
      <c r="K5" s="90" t="s">
        <v>91</v>
      </c>
      <c r="L5" s="90" t="s">
        <v>92</v>
      </c>
      <c r="M5" s="90" t="s">
        <v>93</v>
      </c>
      <c r="N5" s="91" t="s">
        <v>94</v>
      </c>
      <c r="O5" s="90" t="s">
        <v>95</v>
      </c>
      <c r="P5" s="90" t="s">
        <v>96</v>
      </c>
      <c r="Q5" s="90" t="s">
        <v>97</v>
      </c>
      <c r="R5" s="92" t="s">
        <v>98</v>
      </c>
      <c r="S5" s="92" t="s">
        <v>99</v>
      </c>
      <c r="T5" s="92" t="s">
        <v>100</v>
      </c>
      <c r="U5" s="92" t="s">
        <v>101</v>
      </c>
      <c r="V5" s="90" t="s">
        <v>102</v>
      </c>
      <c r="W5" s="90" t="s">
        <v>103</v>
      </c>
      <c r="X5" s="93"/>
    </row>
    <row r="6" ht="17.25" customHeight="1">
      <c r="A6" s="94"/>
      <c r="B6" s="95" t="s">
        <v>104</v>
      </c>
      <c r="C6" s="95"/>
      <c r="D6" s="96" t="s">
        <v>105</v>
      </c>
      <c r="E6" s="97">
        <f>IFERROR(__xludf.DUMMYFUNCTION("IF(ISBLANK(B6), 0, GOOGLEFINANCE(IF(ISBLANK(C6), B6, C6&amp;"":""&amp;B6), ""price""))"),90.45)</f>
        <v>90.45</v>
      </c>
      <c r="F6" s="98">
        <f>IFERROR(__xludf.DUMMYFUNCTION("IF(ISBLANK(B6), 0, GOOGLEFINANCE(IF(ISBLANK(C6), B6, C6&amp;"":""&amp;B6), ""change""))"),3.2)</f>
        <v>3.2</v>
      </c>
      <c r="G6" s="99">
        <f>IFERROR(__xludf.DUMMYFUNCTION("IF(ISBLANK(B6), 0, GOOGLEFINANCE(IF(ISBLANK(C6), B6, C6&amp;"":""&amp;B6), ""changepct"")/100)"),0.036699999999999997)</f>
        <v>0.0367</v>
      </c>
      <c r="H6" s="100">
        <f>'00692 富邦公司治理'!J8</f>
        <v>7500</v>
      </c>
      <c r="I6" s="101">
        <f t="shared" ref="I6:I8" si="2">H6 * E6</f>
        <v>678375</v>
      </c>
      <c r="J6" s="102">
        <f t="shared" ref="J6:J39" si="3">I6/$I$3</f>
        <v>0.173737332</v>
      </c>
      <c r="K6" s="97">
        <f>'00692 富邦公司治理'!L8</f>
        <v>34.49906667</v>
      </c>
      <c r="L6" s="97">
        <f t="shared" ref="L6:L8" si="4">H6*K6</f>
        <v>258743</v>
      </c>
      <c r="M6" s="97">
        <f t="shared" ref="M6:M39" si="5">I6-L6</f>
        <v>419632</v>
      </c>
      <c r="N6" s="103">
        <f t="shared" ref="N6:N21" si="6">IF(H6=0,0,IF(L6=0,1,(M6+P6+Q6+R6+S6+T6+U6)/L6*100%))</f>
        <v>1.753964358</v>
      </c>
      <c r="O6" s="104" t="s">
        <v>106</v>
      </c>
      <c r="P6" s="100">
        <v>3914.0</v>
      </c>
      <c r="Q6" s="100">
        <f>2950+1375</f>
        <v>4325</v>
      </c>
      <c r="R6" s="100">
        <f>1820+4230</f>
        <v>6050</v>
      </c>
      <c r="S6" s="100">
        <f>1650+4190</f>
        <v>5840</v>
      </c>
      <c r="T6" s="100">
        <f>4700+9365</f>
        <v>14065</v>
      </c>
      <c r="U6" s="105"/>
      <c r="V6" s="105">
        <v>43879.0</v>
      </c>
      <c r="W6" s="106">
        <f t="shared" ref="W6:W32" si="7">DAYS(TODAY(),V6)</f>
        <v>2293</v>
      </c>
      <c r="X6" s="107"/>
    </row>
    <row r="7" ht="17.25" customHeight="1">
      <c r="A7" s="94"/>
      <c r="B7" s="108" t="s">
        <v>107</v>
      </c>
      <c r="C7" s="108"/>
      <c r="D7" s="109" t="s">
        <v>108</v>
      </c>
      <c r="E7" s="97">
        <f>IFERROR(__xludf.DUMMYFUNCTION("IF(ISBLANK(B7), 0, GOOGLEFINANCE(IF(ISBLANK(C7), B7, C7&amp;"":""&amp;B7), ""price""))"),30.76)</f>
        <v>30.76</v>
      </c>
      <c r="F7" s="98">
        <f>IFERROR(__xludf.DUMMYFUNCTION("IF(ISBLANK(B7), 0, GOOGLEFINANCE(IF(ISBLANK(C7), B7, C7&amp;"":""&amp;B7), ""change""))"),0.76)</f>
        <v>0.76</v>
      </c>
      <c r="G7" s="99">
        <f>IFERROR(__xludf.DUMMYFUNCTION("IF(ISBLANK(B7), 0, GOOGLEFINANCE(IF(ISBLANK(C7), B7, C7&amp;"":""&amp;B7), ""changepct"")/100)"),0.0253)</f>
        <v>0.0253</v>
      </c>
      <c r="H7" s="100">
        <f>'00878 國泰永續'!J8</f>
        <v>17243</v>
      </c>
      <c r="I7" s="101">
        <f t="shared" si="2"/>
        <v>530394.68</v>
      </c>
      <c r="J7" s="102">
        <f t="shared" si="3"/>
        <v>0.1358383735</v>
      </c>
      <c r="K7" s="97">
        <f>'00878 國泰永續'!L8</f>
        <v>18.60400046</v>
      </c>
      <c r="L7" s="97">
        <f t="shared" si="4"/>
        <v>320788.78</v>
      </c>
      <c r="M7" s="97">
        <f t="shared" si="5"/>
        <v>209605.9</v>
      </c>
      <c r="N7" s="103">
        <f t="shared" si="6"/>
        <v>0.9742388746</v>
      </c>
      <c r="O7" s="104" t="s">
        <v>109</v>
      </c>
      <c r="P7" s="100">
        <v>1270.0</v>
      </c>
      <c r="Q7" s="100">
        <f>2470+2230+(11000*0.28-10)+3070</f>
        <v>10840</v>
      </c>
      <c r="R7" s="100">
        <f>(13000*0.27-10)+3500+4540+4540</f>
        <v>16080</v>
      </c>
      <c r="S7" s="100">
        <f>5330+6988+7815+8069</f>
        <v>28202</v>
      </c>
      <c r="T7" s="100">
        <f>7576+7374+6475+6617</f>
        <v>28042</v>
      </c>
      <c r="U7" s="100">
        <f>7126+11359</f>
        <v>18485</v>
      </c>
      <c r="V7" s="105">
        <v>44396.0</v>
      </c>
      <c r="W7" s="106">
        <f t="shared" si="7"/>
        <v>1776</v>
      </c>
      <c r="X7" s="107"/>
    </row>
    <row r="8" ht="17.25" customHeight="1">
      <c r="A8" s="94"/>
      <c r="B8" s="95" t="s">
        <v>110</v>
      </c>
      <c r="C8" s="95"/>
      <c r="D8" s="95" t="s">
        <v>111</v>
      </c>
      <c r="E8" s="97">
        <f>IFERROR(__xludf.DUMMYFUNCTION("IF(ISBLANK(B8), 0, GOOGLEFINANCE(IF(ISBLANK(C8), B8, C8&amp;"":""&amp;B8), ""price""))"),2355.0)</f>
        <v>2355</v>
      </c>
      <c r="F8" s="98">
        <f>IFERROR(__xludf.DUMMYFUNCTION("IF(ISBLANK(B8), 0, GOOGLEFINANCE(IF(ISBLANK(C8), B8, C8&amp;"":""&amp;B8), ""change""))"),60.0)</f>
        <v>60</v>
      </c>
      <c r="G8" s="99">
        <f>IFERROR(__xludf.DUMMYFUNCTION("IF(ISBLANK(B8), 0, GOOGLEFINANCE(IF(ISBLANK(C8), B8, C8&amp;"":""&amp;B8), ""changepct"")/100)"),0.026099999999999998)</f>
        <v>0.0261</v>
      </c>
      <c r="H8" s="100">
        <f>'2330 台積電'!J8</f>
        <v>160</v>
      </c>
      <c r="I8" s="101">
        <f t="shared" si="2"/>
        <v>376800</v>
      </c>
      <c r="J8" s="102">
        <f t="shared" si="3"/>
        <v>0.09650153188</v>
      </c>
      <c r="K8" s="104">
        <f>'2330 台積電'!L8</f>
        <v>1428.50625</v>
      </c>
      <c r="L8" s="97">
        <f t="shared" si="4"/>
        <v>228561</v>
      </c>
      <c r="M8" s="97">
        <f t="shared" si="5"/>
        <v>148239</v>
      </c>
      <c r="N8" s="103">
        <f t="shared" si="6"/>
        <v>0.6594694633</v>
      </c>
      <c r="O8" s="104" t="s">
        <v>112</v>
      </c>
      <c r="P8" s="97"/>
      <c r="Q8" s="97"/>
      <c r="R8" s="105"/>
      <c r="S8" s="105"/>
      <c r="T8" s="110">
        <f>240+770+645</f>
        <v>1655</v>
      </c>
      <c r="U8" s="111">
        <f>835</f>
        <v>835</v>
      </c>
      <c r="V8" s="105">
        <v>45846.0</v>
      </c>
      <c r="W8" s="106">
        <f t="shared" si="7"/>
        <v>326</v>
      </c>
      <c r="X8" s="107"/>
    </row>
    <row r="9" ht="17.25" customHeight="1">
      <c r="A9" s="112"/>
      <c r="B9" s="113" t="s">
        <v>113</v>
      </c>
      <c r="C9" s="113" t="s">
        <v>114</v>
      </c>
      <c r="D9" s="113" t="s">
        <v>113</v>
      </c>
      <c r="E9" s="97">
        <f>IFERROR(__xludf.DUMMYFUNCTION("IF(ISBLANK(B9), 0, GOOGLEFINANCE(IF(ISBLANK(C9), B9, C9&amp;"":""&amp;B9), ""price""))"),435.79)</f>
        <v>435.79</v>
      </c>
      <c r="F9" s="98">
        <f>IFERROR(__xludf.DUMMYFUNCTION("IF(ISBLANK(B9), 0, GOOGLEFINANCE(IF(ISBLANK(C9), B9, C9&amp;"":""&amp;B9), ""change""))*$E$3"),-198.303108)</f>
        <v>-198.303108</v>
      </c>
      <c r="G9" s="99">
        <f>IFERROR(__xludf.DUMMYFUNCTION("IF(ISBLANK(B9), 0, GOOGLEFINANCE(IF(ISBLANK(C9), B9, C9&amp;"":""&amp;B9), ""changepct"")/100)"),-0.0143)</f>
        <v>-0.0143</v>
      </c>
      <c r="H9" s="100">
        <v>26.0</v>
      </c>
      <c r="I9" s="101">
        <f t="shared" ref="I9:I10" si="8">H9 * E9*$E$3</f>
        <v>356082.6145</v>
      </c>
      <c r="J9" s="102">
        <f t="shared" si="3"/>
        <v>0.09119564165</v>
      </c>
      <c r="K9" s="104">
        <f>256.775</f>
        <v>256.775</v>
      </c>
      <c r="L9" s="97">
        <f t="shared" ref="L9:L10" si="9">H9*K9*$E$3</f>
        <v>209810.0308</v>
      </c>
      <c r="M9" s="97">
        <f t="shared" si="5"/>
        <v>146272.5837</v>
      </c>
      <c r="N9" s="103">
        <f t="shared" si="6"/>
        <v>0.6971667803</v>
      </c>
      <c r="O9" s="104" t="s">
        <v>115</v>
      </c>
      <c r="P9" s="114"/>
      <c r="Q9" s="114"/>
      <c r="R9" s="100"/>
      <c r="S9" s="100"/>
      <c r="T9" s="100"/>
      <c r="U9" s="105"/>
      <c r="V9" s="105">
        <v>44755.0</v>
      </c>
      <c r="W9" s="106">
        <f t="shared" si="7"/>
        <v>1417</v>
      </c>
      <c r="X9" s="107"/>
    </row>
    <row r="10" ht="17.25" customHeight="1">
      <c r="B10" s="108" t="s">
        <v>116</v>
      </c>
      <c r="C10" s="108"/>
      <c r="D10" s="108" t="s">
        <v>116</v>
      </c>
      <c r="E10" s="97">
        <f>IFERROR(__xludf.DUMMYFUNCTION("IF(ISBLANK(B10), 0, GOOGLEFINANCE(IF(ISBLANK(C10), B10, C10&amp;"":""&amp;B10), ""price""))"),143.48)</f>
        <v>143.48</v>
      </c>
      <c r="F10" s="98">
        <f>IFERROR(__xludf.DUMMYFUNCTION("IF(ISBLANK(B10), 0, GOOGLEFINANCE(IF(ISBLANK(C10), B10, C10&amp;"":""&amp;B10), ""change""))*$E$3"),-142.99194)</f>
        <v>-142.99194</v>
      </c>
      <c r="G10" s="99">
        <f>IFERROR(__xludf.DUMMYFUNCTION("IF(ISBLANK(B10), 0, GOOGLEFINANCE(IF(ISBLANK(C10), B10, C10&amp;"":""&amp;B10), ""changepct"")/100)"),-0.030699999999999998)</f>
        <v>-0.0307</v>
      </c>
      <c r="H10" s="110">
        <v>50.0</v>
      </c>
      <c r="I10" s="101">
        <f t="shared" si="8"/>
        <v>225455.8632</v>
      </c>
      <c r="J10" s="102">
        <f t="shared" si="3"/>
        <v>0.05774107264</v>
      </c>
      <c r="K10" s="104">
        <v>50.61</v>
      </c>
      <c r="L10" s="97">
        <f t="shared" si="9"/>
        <v>79525.5174</v>
      </c>
      <c r="M10" s="97">
        <f t="shared" si="5"/>
        <v>145930.3458</v>
      </c>
      <c r="N10" s="103">
        <f t="shared" si="6"/>
        <v>1.835012843</v>
      </c>
      <c r="O10" s="104" t="s">
        <v>112</v>
      </c>
      <c r="P10" s="97"/>
      <c r="Q10" s="97"/>
      <c r="R10" s="97"/>
      <c r="S10" s="97"/>
      <c r="T10" s="97"/>
      <c r="U10" s="105"/>
      <c r="V10" s="105">
        <v>45834.0</v>
      </c>
      <c r="W10" s="106">
        <f t="shared" si="7"/>
        <v>338</v>
      </c>
      <c r="X10" s="107"/>
    </row>
    <row r="11" ht="17.25" customHeight="1">
      <c r="A11" s="94"/>
      <c r="B11" s="95" t="s">
        <v>117</v>
      </c>
      <c r="C11" s="95"/>
      <c r="D11" s="95" t="s">
        <v>118</v>
      </c>
      <c r="E11" s="97">
        <f>IFERROR(__xludf.DUMMYFUNCTION("IF(ISBLANK(B11), 0, GOOGLEFINANCE(IF(ISBLANK(C11), B11, C11&amp;"":""&amp;B11), ""price""))"),30.0)</f>
        <v>30</v>
      </c>
      <c r="F11" s="98">
        <f>IFERROR(__xludf.DUMMYFUNCTION("IF(ISBLANK(B11), 0, GOOGLEFINANCE(IF(ISBLANK(C11), B11, C11&amp;"":""&amp;B11), ""change""))"),0.5)</f>
        <v>0.5</v>
      </c>
      <c r="G11" s="99">
        <f>IFERROR(__xludf.DUMMYFUNCTION("IF(ISBLANK(B11), 0, GOOGLEFINANCE(IF(ISBLANK(C11), B11, C11&amp;"":""&amp;B11), ""changepct"")/100)"),0.0169)</f>
        <v>0.0169</v>
      </c>
      <c r="H11" s="100">
        <v>7238.0</v>
      </c>
      <c r="I11" s="101">
        <f>H11 * E11</f>
        <v>217140</v>
      </c>
      <c r="J11" s="102">
        <f t="shared" si="3"/>
        <v>0.05561131272</v>
      </c>
      <c r="K11" s="104">
        <v>21.88</v>
      </c>
      <c r="L11" s="97">
        <f>H11*K11</f>
        <v>158367.44</v>
      </c>
      <c r="M11" s="97">
        <f t="shared" si="5"/>
        <v>58772.56</v>
      </c>
      <c r="N11" s="103">
        <f t="shared" si="6"/>
        <v>0.425059343</v>
      </c>
      <c r="O11" s="104" t="s">
        <v>119</v>
      </c>
      <c r="P11" s="114"/>
      <c r="Q11" s="100">
        <v>790.0</v>
      </c>
      <c r="R11" s="100">
        <v>590.0</v>
      </c>
      <c r="S11" s="100">
        <v>803.0</v>
      </c>
      <c r="T11" s="100">
        <v>6360.0</v>
      </c>
      <c r="U11" s="105"/>
      <c r="V11" s="105">
        <v>44427.0</v>
      </c>
      <c r="W11" s="106">
        <f t="shared" si="7"/>
        <v>1745</v>
      </c>
      <c r="X11" s="107"/>
    </row>
    <row r="12" ht="17.25" customHeight="1">
      <c r="A12" s="94"/>
      <c r="B12" s="108" t="s">
        <v>120</v>
      </c>
      <c r="C12" s="108"/>
      <c r="D12" s="108" t="s">
        <v>120</v>
      </c>
      <c r="E12" s="97">
        <f>IFERROR(__xludf.DUMMYFUNCTION("IF(ISBLANK(B12), 0, GOOGLEFINANCE(IF(ISBLANK(C12), B12, C12&amp;"":""&amp;B12), ""price""))"),372.54)</f>
        <v>372.54</v>
      </c>
      <c r="F12" s="98">
        <f>IFERROR(__xludf.DUMMYFUNCTION("IF(ISBLANK(B12), 0, GOOGLEFINANCE(IF(ISBLANK(C12), B12, C12&amp;"":""&amp;B12), ""change""))*$E$3"),27.655584000000005)</f>
        <v>27.655584</v>
      </c>
      <c r="G12" s="99">
        <f>IFERROR(__xludf.DUMMYFUNCTION("IF(ISBLANK(B12), 0, GOOGLEFINANCE(IF(ISBLANK(C12), B12, C12&amp;"":""&amp;B12), ""changepct"")/100)"),0.0024)</f>
        <v>0.0024</v>
      </c>
      <c r="H12" s="115">
        <f>VTI!J8</f>
        <v>17.30997</v>
      </c>
      <c r="I12" s="101">
        <f>H12 * E12*$E$3</f>
        <v>202660.6294</v>
      </c>
      <c r="J12" s="102">
        <f t="shared" si="3"/>
        <v>0.05190302864</v>
      </c>
      <c r="K12" s="104">
        <f>VTI!L8</f>
        <v>307.6630721</v>
      </c>
      <c r="L12" s="97">
        <f>H12*K12*$E$3</f>
        <v>167367.7775</v>
      </c>
      <c r="M12" s="97">
        <f t="shared" si="5"/>
        <v>35292.85188</v>
      </c>
      <c r="N12" s="103">
        <f t="shared" si="6"/>
        <v>0.2108928158</v>
      </c>
      <c r="O12" s="104" t="s">
        <v>106</v>
      </c>
      <c r="P12" s="97"/>
      <c r="Q12" s="97"/>
      <c r="R12" s="105"/>
      <c r="S12" s="110">
        <v>0.45</v>
      </c>
      <c r="T12" s="110">
        <v>3.36</v>
      </c>
      <c r="U12" s="105"/>
      <c r="V12" s="105">
        <v>45162.0</v>
      </c>
      <c r="W12" s="106">
        <f t="shared" si="7"/>
        <v>1010</v>
      </c>
      <c r="X12" s="107"/>
    </row>
    <row r="13" ht="17.25" customHeight="1">
      <c r="A13" s="112"/>
      <c r="B13" s="95" t="s">
        <v>121</v>
      </c>
      <c r="C13" s="95"/>
      <c r="D13" s="95" t="s">
        <v>122</v>
      </c>
      <c r="E13" s="97">
        <f>IFERROR(__xludf.DUMMYFUNCTION("IF(ISBLANK(B13), 0, GOOGLEFINANCE(IF(ISBLANK(C13), B13, C13&amp;"":""&amp;B13), ""price""))"),59.6)</f>
        <v>59.6</v>
      </c>
      <c r="F13" s="98">
        <f>IFERROR(__xludf.DUMMYFUNCTION("IF(ISBLANK(B13), 0, GOOGLEFINANCE(IF(ISBLANK(C13), B13, C13&amp;"":""&amp;B13), ""change""))"),0.5)</f>
        <v>0.5</v>
      </c>
      <c r="G13" s="99">
        <f>IFERROR(__xludf.DUMMYFUNCTION("IF(ISBLANK(B13), 0, GOOGLEFINANCE(IF(ISBLANK(C13), B13, C13&amp;"":""&amp;B13), ""changepct"")/100)"),0.0085)</f>
        <v>0.0085</v>
      </c>
      <c r="H13" s="100">
        <v>3000.0</v>
      </c>
      <c r="I13" s="101">
        <f t="shared" ref="I13:I16" si="10">H13 * E13</f>
        <v>178800</v>
      </c>
      <c r="J13" s="102">
        <f t="shared" si="3"/>
        <v>0.04579212818</v>
      </c>
      <c r="K13" s="104">
        <v>22.02</v>
      </c>
      <c r="L13" s="97">
        <f t="shared" ref="L13:L16" si="11">H13*K13</f>
        <v>66060</v>
      </c>
      <c r="M13" s="97">
        <f t="shared" si="5"/>
        <v>112740</v>
      </c>
      <c r="N13" s="103">
        <f t="shared" si="6"/>
        <v>1.897366031</v>
      </c>
      <c r="O13" s="104" t="s">
        <v>119</v>
      </c>
      <c r="P13" s="100">
        <v>2390.0</v>
      </c>
      <c r="Q13" s="100">
        <v>2990.0</v>
      </c>
      <c r="R13" s="100">
        <v>1638.0</v>
      </c>
      <c r="S13" s="100">
        <v>2289.0</v>
      </c>
      <c r="T13" s="100">
        <v>3293.0</v>
      </c>
      <c r="U13" s="105"/>
      <c r="V13" s="105">
        <v>44060.0</v>
      </c>
      <c r="W13" s="106">
        <f t="shared" si="7"/>
        <v>2112</v>
      </c>
      <c r="X13" s="107"/>
    </row>
    <row r="14" ht="17.25" customHeight="1">
      <c r="A14" s="112"/>
      <c r="B14" s="95" t="s">
        <v>123</v>
      </c>
      <c r="C14" s="95"/>
      <c r="D14" s="96" t="s">
        <v>124</v>
      </c>
      <c r="E14" s="97">
        <f>IFERROR(__xludf.DUMMYFUNCTION("IF(ISBLANK(B14), 0, GOOGLEFINANCE(IF(ISBLANK(C14), B14, C14&amp;"":""&amp;B14), ""price""))"),54.9)</f>
        <v>54.9</v>
      </c>
      <c r="F14" s="98">
        <f>IFERROR(__xludf.DUMMYFUNCTION("IF(ISBLANK(B14), 0, GOOGLEFINANCE(IF(ISBLANK(C14), B14, C14&amp;"":""&amp;B14), ""change""))"),1.75)</f>
        <v>1.75</v>
      </c>
      <c r="G14" s="99">
        <f>IFERROR(__xludf.DUMMYFUNCTION("IF(ISBLANK(B14), 0, GOOGLEFINANCE(IF(ISBLANK(C14), B14, C14&amp;"":""&amp;B14), ""changepct"")/100)"),0.0329)</f>
        <v>0.0329</v>
      </c>
      <c r="H14" s="100">
        <v>3000.0</v>
      </c>
      <c r="I14" s="101">
        <f t="shared" si="10"/>
        <v>164700</v>
      </c>
      <c r="J14" s="102">
        <f t="shared" si="3"/>
        <v>0.04218100398</v>
      </c>
      <c r="K14" s="104">
        <v>17.29</v>
      </c>
      <c r="L14" s="97">
        <f t="shared" si="11"/>
        <v>51870</v>
      </c>
      <c r="M14" s="97">
        <f t="shared" si="5"/>
        <v>112830</v>
      </c>
      <c r="N14" s="103">
        <f t="shared" si="6"/>
        <v>2.798920378</v>
      </c>
      <c r="O14" s="104" t="s">
        <v>125</v>
      </c>
      <c r="P14" s="100">
        <v>2150.0</v>
      </c>
      <c r="Q14" s="100">
        <f>2340+1030</f>
        <v>3370</v>
      </c>
      <c r="R14" s="100">
        <f>1390+2290</f>
        <v>3680</v>
      </c>
      <c r="S14" s="100">
        <f>3740+4990</f>
        <v>8730</v>
      </c>
      <c r="T14" s="100">
        <f>3740+2740</f>
        <v>6480</v>
      </c>
      <c r="U14" s="100">
        <f>7940</f>
        <v>7940</v>
      </c>
      <c r="V14" s="105">
        <v>44214.0</v>
      </c>
      <c r="W14" s="106">
        <f t="shared" si="7"/>
        <v>1958</v>
      </c>
      <c r="X14" s="107"/>
    </row>
    <row r="15" ht="17.25" customHeight="1">
      <c r="A15" s="112"/>
      <c r="B15" s="95" t="s">
        <v>126</v>
      </c>
      <c r="C15" s="95"/>
      <c r="D15" s="95" t="s">
        <v>127</v>
      </c>
      <c r="E15" s="97">
        <f>IFERROR(__xludf.DUMMYFUNCTION("IF(ISBLANK(B15), 0, GOOGLEFINANCE(IF(ISBLANK(C15), B15, C15&amp;"":""&amp;B15), ""price""))"),148.5)</f>
        <v>148.5</v>
      </c>
      <c r="F15" s="98">
        <f>IFERROR(__xludf.DUMMYFUNCTION("IF(ISBLANK(B15), 0, GOOGLEFINANCE(IF(ISBLANK(C15), B15, C15&amp;"":""&amp;B15), ""change""))"),1.5)</f>
        <v>1.5</v>
      </c>
      <c r="G15" s="99">
        <f>IFERROR(__xludf.DUMMYFUNCTION("IF(ISBLANK(B15), 0, GOOGLEFINANCE(IF(ISBLANK(C15), B15, C15&amp;"":""&amp;B15), ""changepct"")/100)"),0.0102)</f>
        <v>0.0102</v>
      </c>
      <c r="H15" s="100">
        <v>1000.0</v>
      </c>
      <c r="I15" s="101">
        <f t="shared" si="10"/>
        <v>148500</v>
      </c>
      <c r="J15" s="102">
        <f t="shared" si="3"/>
        <v>0.03803205277</v>
      </c>
      <c r="K15" s="104">
        <v>85.92</v>
      </c>
      <c r="L15" s="97">
        <f t="shared" si="11"/>
        <v>85920</v>
      </c>
      <c r="M15" s="97">
        <f t="shared" si="5"/>
        <v>62580</v>
      </c>
      <c r="N15" s="103">
        <f t="shared" si="6"/>
        <v>0.9645018622</v>
      </c>
      <c r="O15" s="104" t="s">
        <v>128</v>
      </c>
      <c r="P15" s="114"/>
      <c r="Q15" s="114"/>
      <c r="R15" s="100">
        <v>6250.0</v>
      </c>
      <c r="S15" s="100">
        <v>6630.0</v>
      </c>
      <c r="T15" s="100">
        <v>7410.0</v>
      </c>
      <c r="U15" s="105"/>
      <c r="V15" s="105">
        <v>44778.0</v>
      </c>
      <c r="W15" s="106">
        <f t="shared" si="7"/>
        <v>1394</v>
      </c>
      <c r="X15" s="107"/>
    </row>
    <row r="16" ht="17.25" customHeight="1">
      <c r="A16" s="94"/>
      <c r="B16" s="108" t="s">
        <v>129</v>
      </c>
      <c r="C16" s="108"/>
      <c r="D16" s="108" t="s">
        <v>130</v>
      </c>
      <c r="E16" s="97">
        <f>IFERROR(__xludf.DUMMYFUNCTION("IF(ISBLANK(B16), 0, GOOGLEFINANCE(IF(ISBLANK(C16), B16, C16&amp;"":""&amp;B16), ""price""))"),738.0)</f>
        <v>738</v>
      </c>
      <c r="F16" s="98">
        <f>IFERROR(__xludf.DUMMYFUNCTION("IF(ISBLANK(B16), 0, GOOGLEFINANCE(IF(ISBLANK(C16), B16, C16&amp;"":""&amp;B16), ""change""))"),-4.0)</f>
        <v>-4</v>
      </c>
      <c r="G16" s="99">
        <f>IFERROR(__xludf.DUMMYFUNCTION("IF(ISBLANK(B16), 0, GOOGLEFINANCE(IF(ISBLANK(C16), B16, C16&amp;"":""&amp;B16), ""changepct"")/100)"),-0.0054)</f>
        <v>-0.0054</v>
      </c>
      <c r="H16" s="100">
        <v>200.0</v>
      </c>
      <c r="I16" s="101">
        <f t="shared" si="10"/>
        <v>147600</v>
      </c>
      <c r="J16" s="102">
        <f t="shared" si="3"/>
        <v>0.03780155548</v>
      </c>
      <c r="K16" s="104">
        <v>328.25</v>
      </c>
      <c r="L16" s="97">
        <f t="shared" si="11"/>
        <v>65650</v>
      </c>
      <c r="M16" s="97">
        <f t="shared" si="5"/>
        <v>81950</v>
      </c>
      <c r="N16" s="103">
        <f t="shared" si="6"/>
        <v>1.248286367</v>
      </c>
      <c r="O16" s="104" t="s">
        <v>112</v>
      </c>
      <c r="P16" s="97"/>
      <c r="Q16" s="97"/>
      <c r="R16" s="111"/>
      <c r="S16" s="111"/>
      <c r="T16" s="111"/>
      <c r="U16" s="105"/>
      <c r="V16" s="105">
        <v>46126.0</v>
      </c>
      <c r="W16" s="106">
        <f t="shared" si="7"/>
        <v>46</v>
      </c>
      <c r="X16" s="107"/>
    </row>
    <row r="17" ht="17.25" customHeight="1">
      <c r="A17" s="112"/>
      <c r="B17" s="113" t="s">
        <v>131</v>
      </c>
      <c r="C17" s="113"/>
      <c r="D17" s="113" t="s">
        <v>131</v>
      </c>
      <c r="E17" s="97">
        <f>IFERROR(__xludf.DUMMYFUNCTION("IF(ISBLANK(B17), 0, GOOGLEFINANCE(IF(ISBLANK(C17), B17, C17&amp;"":""&amp;B17), ""price""))"),380.34)</f>
        <v>380.34</v>
      </c>
      <c r="F17" s="98">
        <f>IFERROR(__xludf.DUMMYFUNCTION("IF(ISBLANK(B17), 0, GOOGLEFINANCE(IF(ISBLANK(C17), B17, C17&amp;"":""&amp;B17), ""change""))*$E$3"),-307.66837200000003)</f>
        <v>-307.668372</v>
      </c>
      <c r="G17" s="99">
        <f>IFERROR(__xludf.DUMMYFUNCTION("IF(ISBLANK(B17), 0, GOOGLEFINANCE(IF(ISBLANK(C17), B17, C17&amp;"":""&amp;B17), ""changepct"")/100)"),-0.025099999999999997)</f>
        <v>-0.0251</v>
      </c>
      <c r="H17" s="100">
        <v>12.0</v>
      </c>
      <c r="I17" s="101">
        <f>H17 * E17*$E$3</f>
        <v>143434.4293</v>
      </c>
      <c r="J17" s="102">
        <f t="shared" si="3"/>
        <v>0.0367347191</v>
      </c>
      <c r="K17" s="104">
        <v>155.06</v>
      </c>
      <c r="L17" s="97">
        <f>H17*K17*$E$3</f>
        <v>58476.4753</v>
      </c>
      <c r="M17" s="97">
        <f t="shared" si="5"/>
        <v>84957.95405</v>
      </c>
      <c r="N17" s="103">
        <f t="shared" si="6"/>
        <v>1.452856959</v>
      </c>
      <c r="O17" s="104" t="s">
        <v>128</v>
      </c>
      <c r="P17" s="97"/>
      <c r="Q17" s="97"/>
      <c r="R17" s="97"/>
      <c r="S17" s="97"/>
      <c r="T17" s="97"/>
      <c r="U17" s="105"/>
      <c r="V17" s="105">
        <v>45012.0</v>
      </c>
      <c r="W17" s="106">
        <f t="shared" si="7"/>
        <v>1160</v>
      </c>
      <c r="X17" s="107"/>
    </row>
    <row r="18" ht="17.25" customHeight="1">
      <c r="A18" s="112"/>
      <c r="B18" s="116" t="s">
        <v>132</v>
      </c>
      <c r="C18" s="116"/>
      <c r="D18" s="117" t="s">
        <v>133</v>
      </c>
      <c r="E18" s="118">
        <f>IFERROR(__xludf.DUMMYFUNCTION("GOOGLEFINANCE(B18)"),73523.1)</f>
        <v>73523.1</v>
      </c>
      <c r="F18" s="119"/>
      <c r="G18" s="99"/>
      <c r="H18" s="120">
        <f>0.01004+0.01221016+0.03118442</f>
        <v>0.05343458</v>
      </c>
      <c r="I18" s="101">
        <f>H18 * E18* $E$3</f>
        <v>123465.7139</v>
      </c>
      <c r="J18" s="102">
        <f t="shared" si="3"/>
        <v>0.03162056935</v>
      </c>
      <c r="K18" s="104">
        <v>94000.0</v>
      </c>
      <c r="L18" s="97">
        <f>H18*K18 *$E$3</f>
        <v>157852.1187</v>
      </c>
      <c r="M18" s="97">
        <f t="shared" si="5"/>
        <v>-34386.40479</v>
      </c>
      <c r="N18" s="103">
        <f t="shared" si="6"/>
        <v>-0.2178393617</v>
      </c>
      <c r="O18" s="104" t="s">
        <v>6</v>
      </c>
      <c r="P18" s="97"/>
      <c r="Q18" s="97"/>
      <c r="R18" s="104"/>
      <c r="S18" s="104"/>
      <c r="T18" s="104"/>
      <c r="U18" s="105"/>
      <c r="V18" s="105">
        <v>45864.0</v>
      </c>
      <c r="W18" s="106">
        <f t="shared" si="7"/>
        <v>308</v>
      </c>
      <c r="X18" s="107"/>
    </row>
    <row r="19" ht="17.25" customHeight="1">
      <c r="A19" s="112"/>
      <c r="B19" s="95" t="s">
        <v>134</v>
      </c>
      <c r="C19" s="95"/>
      <c r="D19" s="95" t="s">
        <v>135</v>
      </c>
      <c r="E19" s="97">
        <f>IFERROR(__xludf.DUMMYFUNCTION("IF(ISBLANK(B19), 0, GOOGLEFINANCE(IF(ISBLANK(C19), B19, C19&amp;"":""&amp;B19), ""price""))"),23.35)</f>
        <v>23.35</v>
      </c>
      <c r="F19" s="98">
        <f>IFERROR(__xludf.DUMMYFUNCTION("IF(ISBLANK(B19), 0, GOOGLEFINANCE(IF(ISBLANK(C19), B19, C19&amp;"":""&amp;B19), ""change""))"),0.35)</f>
        <v>0.35</v>
      </c>
      <c r="G19" s="99">
        <f>IFERROR(__xludf.DUMMYFUNCTION("IF(ISBLANK(B19), 0, GOOGLEFINANCE(IF(ISBLANK(C19), B19, C19&amp;"":""&amp;B19), ""changepct"")/100)"),0.0152)</f>
        <v>0.0152</v>
      </c>
      <c r="H19" s="100">
        <f>'2887 台新金'!J8</f>
        <v>5000</v>
      </c>
      <c r="I19" s="101">
        <f>H19 * E19</f>
        <v>116750</v>
      </c>
      <c r="J19" s="102">
        <f t="shared" si="3"/>
        <v>0.02990062061</v>
      </c>
      <c r="K19" s="97">
        <f>'2887 台新金'!L8</f>
        <v>11.00958</v>
      </c>
      <c r="L19" s="97">
        <f>H19*K19</f>
        <v>55047.9</v>
      </c>
      <c r="M19" s="97">
        <f t="shared" si="5"/>
        <v>61702.1</v>
      </c>
      <c r="N19" s="103">
        <f t="shared" si="6"/>
        <v>1.769224621</v>
      </c>
      <c r="O19" s="104" t="s">
        <v>119</v>
      </c>
      <c r="P19" s="100">
        <v>1100.0</v>
      </c>
      <c r="Q19" s="100">
        <v>7260.0</v>
      </c>
      <c r="R19" s="100">
        <v>8150.0</v>
      </c>
      <c r="S19" s="100">
        <v>11990.0</v>
      </c>
      <c r="T19" s="100">
        <v>7190.0</v>
      </c>
      <c r="U19" s="105"/>
      <c r="V19" s="105">
        <v>44403.0</v>
      </c>
      <c r="W19" s="106">
        <f t="shared" si="7"/>
        <v>1769</v>
      </c>
      <c r="X19" s="107"/>
    </row>
    <row r="20" ht="17.25" customHeight="1">
      <c r="A20" s="112"/>
      <c r="B20" s="108" t="s">
        <v>136</v>
      </c>
      <c r="C20" s="108"/>
      <c r="D20" s="121" t="str">
        <f>IFERROR(__xludf.DUMMYFUNCTION("IF(ISBLANK(B20), ""-"", GOOGLEFINANCE(IF(ISBLANK(C20), B20, C20&amp;"":""&amp;B20), ""name""))"),"NVIDIA Corp")</f>
        <v>NVIDIA Corp</v>
      </c>
      <c r="E20" s="97">
        <f>IFERROR(__xludf.DUMMYFUNCTION("IF(ISBLANK(B20), 0, GOOGLEFINANCE(IF(ISBLANK(C20), B20, C20&amp;"":""&amp;B20), ""price""))"),211.14)</f>
        <v>211.14</v>
      </c>
      <c r="F20" s="98">
        <f>IFERROR(__xludf.DUMMYFUNCTION("IF(ISBLANK(B20), 0, GOOGLEFINANCE(IF(ISBLANK(C20), B20, C20&amp;"":""&amp;B20), ""change""))*$E$3"),-97.73734800000001)</f>
        <v>-97.737348</v>
      </c>
      <c r="G20" s="99">
        <f>IFERROR(__xludf.DUMMYFUNCTION("IF(ISBLANK(B20), 0, GOOGLEFINANCE(IF(ISBLANK(C20), B20, C20&amp;"":""&amp;B20), ""changepct"")/100)"),-0.014499999999999999)</f>
        <v>-0.0145</v>
      </c>
      <c r="H20" s="100">
        <v>17.0</v>
      </c>
      <c r="I20" s="101">
        <f>H20 * E20*$E$3</f>
        <v>112802.7274</v>
      </c>
      <c r="J20" s="102">
        <f t="shared" si="3"/>
        <v>0.02888969213</v>
      </c>
      <c r="K20" s="104">
        <v>167.848</v>
      </c>
      <c r="L20" s="97">
        <f>H20*K20*$E$3</f>
        <v>89673.73395</v>
      </c>
      <c r="M20" s="97">
        <f t="shared" si="5"/>
        <v>23128.99344</v>
      </c>
      <c r="N20" s="103">
        <f t="shared" si="6"/>
        <v>0.2579238359</v>
      </c>
      <c r="O20" s="104" t="s">
        <v>112</v>
      </c>
      <c r="P20" s="97"/>
      <c r="Q20" s="97"/>
      <c r="R20" s="97"/>
      <c r="S20" s="97"/>
      <c r="T20" s="97"/>
      <c r="U20" s="105"/>
      <c r="V20" s="105">
        <v>45817.0</v>
      </c>
      <c r="W20" s="106">
        <f t="shared" si="7"/>
        <v>355</v>
      </c>
      <c r="X20" s="107"/>
    </row>
    <row r="21" ht="17.25" customHeight="1">
      <c r="A21" s="112"/>
      <c r="B21" s="95" t="s">
        <v>137</v>
      </c>
      <c r="C21" s="95"/>
      <c r="D21" s="95" t="s">
        <v>31</v>
      </c>
      <c r="E21" s="97">
        <f>IFERROR(__xludf.DUMMYFUNCTION("IF(ISBLANK(B21), 0, GOOGLEFINANCE(IF(ISBLANK(C21), B21, C21&amp;"":""&amp;B21), ""price""))"),16.25)</f>
        <v>16.25</v>
      </c>
      <c r="F21" s="98">
        <f>IFERROR(__xludf.DUMMYFUNCTION("IF(ISBLANK(B21), 0, GOOGLEFINANCE(IF(ISBLANK(C21), B21, C21&amp;"":""&amp;B21), ""change""))"),0.35)</f>
        <v>0.35</v>
      </c>
      <c r="G21" s="99">
        <f>IFERROR(__xludf.DUMMYFUNCTION("IF(ISBLANK(B21), 0, GOOGLEFINANCE(IF(ISBLANK(C21), B21, C21&amp;"":""&amp;B21), ""changepct"")/100)"),0.022000000000000002)</f>
        <v>0.022</v>
      </c>
      <c r="H21" s="100">
        <f>'2834 臺企銀'!J8</f>
        <v>5019</v>
      </c>
      <c r="I21" s="101">
        <f>H21 * E21</f>
        <v>81558.75</v>
      </c>
      <c r="J21" s="102">
        <f t="shared" si="3"/>
        <v>0.02088785646</v>
      </c>
      <c r="K21" s="97">
        <f>'2834 臺企銀'!L8</f>
        <v>8.116228332</v>
      </c>
      <c r="L21" s="97">
        <f>H21*K21</f>
        <v>40735.35</v>
      </c>
      <c r="M21" s="97">
        <f t="shared" si="5"/>
        <v>40823.4</v>
      </c>
      <c r="N21" s="103">
        <f t="shared" si="6"/>
        <v>1.07338221</v>
      </c>
      <c r="O21" s="104" t="s">
        <v>119</v>
      </c>
      <c r="P21" s="100">
        <v>310.0</v>
      </c>
      <c r="Q21" s="100">
        <v>390.0</v>
      </c>
      <c r="R21" s="100">
        <v>414.8</v>
      </c>
      <c r="S21" s="100">
        <v>849.4</v>
      </c>
      <c r="T21" s="100">
        <v>937.0</v>
      </c>
      <c r="U21" s="122"/>
      <c r="V21" s="122">
        <v>43816.0</v>
      </c>
      <c r="W21" s="106">
        <f t="shared" si="7"/>
        <v>2356</v>
      </c>
      <c r="X21" s="107"/>
    </row>
    <row r="22" ht="17.25" customHeight="1">
      <c r="A22" s="112"/>
      <c r="B22" s="108" t="s">
        <v>138</v>
      </c>
      <c r="C22" s="108"/>
      <c r="D22" s="121" t="str">
        <f>IFERROR(__xludf.DUMMYFUNCTION("IF(ISBLANK(B22), ""-"", GOOGLEFINANCE(IF(ISBLANK(C22), B22, C22&amp;"":""&amp;B22), ""name""))"),"AST SpaceMobile Inc")</f>
        <v>AST SpaceMobile Inc</v>
      </c>
      <c r="E22" s="97">
        <f>IFERROR(__xludf.DUMMYFUNCTION("IF(ISBLANK(B22), 0, GOOGLEFINANCE(IF(ISBLANK(C22), B22, C22&amp;"":""&amp;B22), ""price""))"),113.41)</f>
        <v>113.41</v>
      </c>
      <c r="F22" s="98">
        <f>IFERROR(__xludf.DUMMYFUNCTION("IF(ISBLANK(B22), 0, GOOGLEFINANCE(IF(ISBLANK(C22), B22, C22&amp;"":""&amp;B22), ""change""))*$E$3"),-618.4794240000001)</f>
        <v>-618.479424</v>
      </c>
      <c r="G22" s="99">
        <f>IFERROR(__xludf.DUMMYFUNCTION("IF(ISBLANK(B22), 0, GOOGLEFINANCE(IF(ISBLANK(C22), B22, C22&amp;"":""&amp;B22), ""changepct"")/100)"),-0.1479)</f>
        <v>-0.1479</v>
      </c>
      <c r="H22" s="100">
        <v>10.0</v>
      </c>
      <c r="I22" s="101">
        <f>H22 * E22*$E$3</f>
        <v>35641.13388</v>
      </c>
      <c r="J22" s="102">
        <f t="shared" si="3"/>
        <v>0.009127983061</v>
      </c>
      <c r="K22" s="97">
        <f>82.186</f>
        <v>82.186</v>
      </c>
      <c r="L22" s="97">
        <f>H22*K22*$E$3</f>
        <v>25828.42985</v>
      </c>
      <c r="M22" s="97">
        <f t="shared" si="5"/>
        <v>9812.704032</v>
      </c>
      <c r="N22" s="103">
        <f>IF(H22=0,0,IF(L22=0,1,(M22+P22+Q22+R22+S22)/L22*100%))</f>
        <v>0.379918721</v>
      </c>
      <c r="O22" s="104" t="s">
        <v>112</v>
      </c>
      <c r="P22" s="97"/>
      <c r="Q22" s="97"/>
      <c r="R22" s="105"/>
      <c r="S22" s="105"/>
      <c r="T22" s="105"/>
      <c r="U22" s="105"/>
      <c r="V22" s="105">
        <v>46160.0</v>
      </c>
      <c r="W22" s="106">
        <f t="shared" si="7"/>
        <v>12</v>
      </c>
      <c r="X22" s="107"/>
    </row>
    <row r="23" ht="17.25" customHeight="1">
      <c r="A23" s="112"/>
      <c r="B23" s="108" t="s">
        <v>139</v>
      </c>
      <c r="C23" s="108"/>
      <c r="D23" s="108" t="s">
        <v>139</v>
      </c>
      <c r="E23" s="97">
        <f>IFERROR(__xludf.DUMMYFUNCTION("IF(ISBLANK(B23), 0, GOOGLEFINANCE(IF(ISBLANK(C23), B23, C23&amp;"":""&amp;B23), ""price""))"),7.38)</f>
        <v>7.38</v>
      </c>
      <c r="F23" s="98">
        <f>IFERROR(__xludf.DUMMYFUNCTION("IF(ISBLANK(B23), 0, GOOGLEFINANCE(IF(ISBLANK(C23), B23, C23&amp;"":""&amp;B23), ""change""))*$E$3"),11.313648)</f>
        <v>11.313648</v>
      </c>
      <c r="G23" s="99">
        <f>IFERROR(__xludf.DUMMYFUNCTION("IF(ISBLANK(B23), 0, GOOGLEFINANCE(IF(ISBLANK(C23), B23, C23&amp;"":""&amp;B23), ""changepct"")/100)"),0.0513)</f>
        <v>0.0513</v>
      </c>
      <c r="H23" s="100">
        <v>100.0</v>
      </c>
      <c r="I23" s="101">
        <f>H23 * E23* $E$3</f>
        <v>23192.9784</v>
      </c>
      <c r="J23" s="102">
        <f t="shared" si="3"/>
        <v>0.005939909619</v>
      </c>
      <c r="K23" s="123">
        <v>6.8667</v>
      </c>
      <c r="L23" s="97">
        <f>H23*K23 *$E$3</f>
        <v>21579.84076</v>
      </c>
      <c r="M23" s="97">
        <f t="shared" si="5"/>
        <v>1613.137644</v>
      </c>
      <c r="N23" s="103">
        <f t="shared" ref="N23:N26" si="12">IF(H23=0,0,IF(L23=0,1,(M23+P23+Q23+R23+S23+T23+U23)/L23*100%))</f>
        <v>0.07475206431</v>
      </c>
      <c r="O23" s="104" t="s">
        <v>140</v>
      </c>
      <c r="P23" s="97"/>
      <c r="Q23" s="97"/>
      <c r="R23" s="97"/>
      <c r="S23" s="97"/>
      <c r="T23" s="97"/>
      <c r="U23" s="105"/>
      <c r="V23" s="105">
        <v>45832.0</v>
      </c>
      <c r="W23" s="106">
        <f t="shared" si="7"/>
        <v>340</v>
      </c>
      <c r="X23" s="107"/>
    </row>
    <row r="24" ht="17.25" customHeight="1">
      <c r="A24" s="112"/>
      <c r="B24" s="94" t="s">
        <v>141</v>
      </c>
      <c r="C24" s="94"/>
      <c r="D24" s="112" t="str">
        <f>IFERROR(__xludf.DUMMYFUNCTION("IF(ISBLANK(B24), ""-"", GOOGLEFINANCE(IF(ISBLANK(C24), B24, C24&amp;"":""&amp;B24), ""name""))"),"Circle Internet Group Inc")</f>
        <v>Circle Internet Group Inc</v>
      </c>
      <c r="E24" s="97">
        <f>IFERROR(__xludf.DUMMYFUNCTION("IF(ISBLANK(B24), 0, GOOGLEFINANCE(IF(ISBLANK(C24), B24, C24&amp;"":""&amp;B24), ""price""))"),113.0)</f>
        <v>113</v>
      </c>
      <c r="F24" s="98">
        <f>IFERROR(__xludf.DUMMYFUNCTION("IF(ISBLANK(B24), 0, GOOGLEFINANCE(IF(ISBLANK(C24), B24, C24&amp;"":""&amp;B24), ""change""))*$E$3"),149.59156800000002)</f>
        <v>149.591568</v>
      </c>
      <c r="G24" s="99">
        <f>IFERROR(__xludf.DUMMYFUNCTION("IF(ISBLANK(B24), 0, GOOGLEFINANCE(IF(ISBLANK(C24), B24, C24&amp;"":""&amp;B24), ""changepct"")/100)"),0.044000000000000004)</f>
        <v>0.044</v>
      </c>
      <c r="H24" s="110">
        <v>6.0</v>
      </c>
      <c r="I24" s="101">
        <f t="shared" ref="I24:I27" si="13">H24 * E24*$E$3</f>
        <v>21307.3704</v>
      </c>
      <c r="J24" s="102">
        <f t="shared" si="3"/>
        <v>0.005456990138</v>
      </c>
      <c r="K24" s="104">
        <v>85.6</v>
      </c>
      <c r="L24" s="97">
        <f t="shared" ref="L24:L27" si="14">H24*K24*$E$3</f>
        <v>16140.80448</v>
      </c>
      <c r="M24" s="97">
        <f t="shared" si="5"/>
        <v>5166.56592</v>
      </c>
      <c r="N24" s="103">
        <f t="shared" si="12"/>
        <v>0.3200934579</v>
      </c>
      <c r="O24" s="104" t="s">
        <v>128</v>
      </c>
      <c r="P24" s="97"/>
      <c r="Q24" s="104"/>
      <c r="R24" s="105"/>
      <c r="S24" s="105"/>
      <c r="T24" s="105"/>
      <c r="U24" s="105"/>
      <c r="V24" s="105">
        <v>45973.0</v>
      </c>
      <c r="W24" s="106">
        <f t="shared" si="7"/>
        <v>199</v>
      </c>
      <c r="X24" s="107"/>
    </row>
    <row r="25" ht="17.25" customHeight="1">
      <c r="A25" s="112"/>
      <c r="B25" s="124" t="s">
        <v>142</v>
      </c>
      <c r="C25" s="124"/>
      <c r="D25" s="112" t="str">
        <f>IFERROR(__xludf.DUMMYFUNCTION("IF(ISBLANK(B25), ""-"", GOOGLEFINANCE(IF(ISBLANK(C25), B25, C25&amp;"":""&amp;B25), ""name""))"),"Grab Holdings Ltd")</f>
        <v>Grab Holdings Ltd</v>
      </c>
      <c r="E25" s="97">
        <f>IFERROR(__xludf.DUMMYFUNCTION("IF(ISBLANK(B25), 0, GOOGLEFINANCE(IF(ISBLANK(C25), B25, C25&amp;"":""&amp;B25), ""price""))"),3.54)</f>
        <v>3.54</v>
      </c>
      <c r="F25" s="98">
        <f>IFERROR(__xludf.DUMMYFUNCTION("IF(ISBLANK(B25), 0, GOOGLEFINANCE(IF(ISBLANK(C25), B25, C25&amp;"":""&amp;B25), ""change""))*$E$3"),0.0)</f>
        <v>0</v>
      </c>
      <c r="G25" s="99">
        <f>IFERROR(__xludf.DUMMYFUNCTION("IF(ISBLANK(B25), 0, GOOGLEFINANCE(IF(ISBLANK(C25), B25, C25&amp;"":""&amp;B25), ""changepct"")/100)"),0.0)</f>
        <v>0</v>
      </c>
      <c r="H25" s="110">
        <v>120.0</v>
      </c>
      <c r="I25" s="101">
        <f t="shared" si="13"/>
        <v>13350.10464</v>
      </c>
      <c r="J25" s="102">
        <f t="shared" si="3"/>
        <v>0.003419069927</v>
      </c>
      <c r="K25" s="104">
        <v>4.8</v>
      </c>
      <c r="L25" s="97">
        <f t="shared" si="14"/>
        <v>18101.8368</v>
      </c>
      <c r="M25" s="97">
        <f t="shared" si="5"/>
        <v>-4751.73216</v>
      </c>
      <c r="N25" s="103">
        <f t="shared" si="12"/>
        <v>-0.2625</v>
      </c>
      <c r="O25" s="104" t="s">
        <v>119</v>
      </c>
      <c r="P25" s="97"/>
      <c r="Q25" s="97"/>
      <c r="R25" s="105"/>
      <c r="S25" s="105"/>
      <c r="T25" s="105"/>
      <c r="U25" s="105"/>
      <c r="V25" s="105">
        <v>45659.0</v>
      </c>
      <c r="W25" s="106">
        <f t="shared" si="7"/>
        <v>513</v>
      </c>
      <c r="X25" s="107"/>
    </row>
    <row r="26" ht="17.25" customHeight="1">
      <c r="A26" s="112"/>
      <c r="B26" s="124" t="s">
        <v>143</v>
      </c>
      <c r="C26" s="124"/>
      <c r="D26" s="112" t="str">
        <f>IFERROR(__xludf.DUMMYFUNCTION("IF(ISBLANK(B26), ""-"", GOOGLEFINANCE(IF(ISBLANK(C26), B26, C26&amp;"":""&amp;B26), ""name""))"),"Novo Nordisk A/S")</f>
        <v>Novo Nordisk A/S</v>
      </c>
      <c r="E26" s="97">
        <f>IFERROR(__xludf.DUMMYFUNCTION("IF(ISBLANK(B26), 0, GOOGLEFINANCE(IF(ISBLANK(C26), B26, C26&amp;"":""&amp;B26), ""price""))"),45.58)</f>
        <v>45.58</v>
      </c>
      <c r="F26" s="98">
        <f>IFERROR(__xludf.DUMMYFUNCTION("IF(ISBLANK(B26), 0, GOOGLEFINANCE(IF(ISBLANK(C26), B26, C26&amp;"":""&amp;B26), ""change""))*$E$3"),2.1998760000000006)</f>
        <v>2.199876</v>
      </c>
      <c r="G26" s="99">
        <f>IFERROR(__xludf.DUMMYFUNCTION("IF(ISBLANK(B26), 0, GOOGLEFINANCE(IF(ISBLANK(C26), B26, C26&amp;"":""&amp;B26), ""changepct"")/100)"),0.0015)</f>
        <v>0.0015</v>
      </c>
      <c r="H26" s="110">
        <v>4.0</v>
      </c>
      <c r="I26" s="101">
        <f t="shared" si="13"/>
        <v>5729.734176</v>
      </c>
      <c r="J26" s="102">
        <f t="shared" si="3"/>
        <v>0.00146743133</v>
      </c>
      <c r="K26" s="104">
        <v>106.65</v>
      </c>
      <c r="L26" s="97">
        <f t="shared" si="14"/>
        <v>13406.67288</v>
      </c>
      <c r="M26" s="97">
        <f t="shared" si="5"/>
        <v>-7676.938704</v>
      </c>
      <c r="N26" s="103">
        <f t="shared" si="12"/>
        <v>-0.572620722</v>
      </c>
      <c r="O26" s="104" t="s">
        <v>140</v>
      </c>
      <c r="P26" s="97"/>
      <c r="Q26" s="97"/>
      <c r="R26" s="97"/>
      <c r="S26" s="97"/>
      <c r="T26" s="97"/>
      <c r="U26" s="105"/>
      <c r="V26" s="105">
        <v>45497.0</v>
      </c>
      <c r="W26" s="106">
        <f t="shared" si="7"/>
        <v>675</v>
      </c>
      <c r="X26" s="107"/>
    </row>
    <row r="27" ht="17.25" hidden="1" customHeight="1">
      <c r="A27" s="112"/>
      <c r="B27" s="108" t="s">
        <v>144</v>
      </c>
      <c r="C27" s="108"/>
      <c r="D27" s="121" t="str">
        <f>IFERROR(__xludf.DUMMYFUNCTION("IF(ISBLANK(B27), ""-"", GOOGLEFINANCE(IF(ISBLANK(C27), B27, C27&amp;"":""&amp;B27), ""name""))"),"Amazon.com Inc")</f>
        <v>Amazon.com Inc</v>
      </c>
      <c r="E27" s="97">
        <f>IFERROR(__xludf.DUMMYFUNCTION("IF(ISBLANK(B27), 0, GOOGLEFINANCE(IF(ISBLANK(C27), B27, C27&amp;"":""&amp;B27), ""price""))"),270.64)</f>
        <v>270.64</v>
      </c>
      <c r="F27" s="98">
        <f>IFERROR(__xludf.DUMMYFUNCTION("IF(ISBLANK(B27), 0, GOOGLEFINANCE(IF(ISBLANK(C27), B27, C27&amp;"":""&amp;B27), ""change""))*$E$3"),-105.59404800000002)</f>
        <v>-105.594048</v>
      </c>
      <c r="G27" s="99">
        <f>IFERROR(__xludf.DUMMYFUNCTION("IF(ISBLANK(B27), 0, GOOGLEFINANCE(IF(ISBLANK(C27), B27, C27&amp;"":""&amp;B27), ""changepct"")/100)"),-0.0123)</f>
        <v>-0.0123</v>
      </c>
      <c r="H27" s="110"/>
      <c r="I27" s="101">
        <f t="shared" si="13"/>
        <v>0</v>
      </c>
      <c r="J27" s="102">
        <f t="shared" si="3"/>
        <v>0</v>
      </c>
      <c r="K27" s="104">
        <v>241.5675</v>
      </c>
      <c r="L27" s="97">
        <f t="shared" si="14"/>
        <v>0</v>
      </c>
      <c r="M27" s="97">
        <f t="shared" si="5"/>
        <v>0</v>
      </c>
      <c r="N27" s="103">
        <f t="shared" ref="N27:N29" si="15">IF(H27=0,0,IF(L27=0,1,(M27+P27+Q27+R27+S27)/L27*100%))</f>
        <v>0</v>
      </c>
      <c r="O27" s="104" t="s">
        <v>112</v>
      </c>
      <c r="P27" s="97"/>
      <c r="Q27" s="104"/>
      <c r="R27" s="105"/>
      <c r="S27" s="105"/>
      <c r="T27" s="105"/>
      <c r="U27" s="105"/>
      <c r="V27" s="105">
        <v>46056.0</v>
      </c>
      <c r="W27" s="106">
        <f t="shared" si="7"/>
        <v>116</v>
      </c>
      <c r="X27" s="107"/>
    </row>
    <row r="28" ht="17.25" hidden="1" customHeight="1">
      <c r="A28" s="112"/>
      <c r="B28" s="124" t="s">
        <v>145</v>
      </c>
      <c r="C28" s="124"/>
      <c r="D28" s="112" t="str">
        <f>IFERROR(__xludf.DUMMYFUNCTION("IF(ISBLANK(B28), ""-"", GOOGLEFINANCE(IF(ISBLANK(C28), B28, C28&amp;"":""&amp;B28), ""name""))"),"China Steel Corp")</f>
        <v>China Steel Corp</v>
      </c>
      <c r="E28" s="97">
        <f>IFERROR(__xludf.DUMMYFUNCTION("IF(ISBLANK(B28), 0, GOOGLEFINANCE(IF(ISBLANK(C28), B28, C28&amp;"":""&amp;B28), ""price""))"),19.1)</f>
        <v>19.1</v>
      </c>
      <c r="F28" s="98">
        <f>IFERROR(__xludf.DUMMYFUNCTION("IF(ISBLANK(B28), 0, GOOGLEFINANCE(IF(ISBLANK(C28), B28, C28&amp;"":""&amp;B28), ""change""))"),0.25)</f>
        <v>0.25</v>
      </c>
      <c r="G28" s="99">
        <f>IFERROR(__xludf.DUMMYFUNCTION("IF(ISBLANK(B28), 0, GOOGLEFINANCE(IF(ISBLANK(C28), B28, C28&amp;"":""&amp;B28), ""changepct"")/100)"),0.013300000000000001)</f>
        <v>0.0133</v>
      </c>
      <c r="H28" s="100">
        <v>45.0</v>
      </c>
      <c r="I28" s="101">
        <f>H28 * E28</f>
        <v>859.5</v>
      </c>
      <c r="J28" s="102">
        <f t="shared" si="3"/>
        <v>0.0002201249115</v>
      </c>
      <c r="K28" s="104">
        <v>24.8</v>
      </c>
      <c r="L28" s="97">
        <f>H28*K28</f>
        <v>1116</v>
      </c>
      <c r="M28" s="97">
        <f t="shared" si="5"/>
        <v>-256.5</v>
      </c>
      <c r="N28" s="103">
        <f t="shared" si="15"/>
        <v>-0.2298387097</v>
      </c>
      <c r="O28" s="104" t="s">
        <v>146</v>
      </c>
      <c r="P28" s="97"/>
      <c r="Q28" s="97"/>
      <c r="R28" s="111"/>
      <c r="S28" s="111"/>
      <c r="T28" s="111"/>
      <c r="U28" s="105"/>
      <c r="V28" s="105">
        <v>43133.0</v>
      </c>
      <c r="W28" s="106">
        <f t="shared" si="7"/>
        <v>3039</v>
      </c>
      <c r="X28" s="107"/>
    </row>
    <row r="29" ht="17.25" hidden="1" customHeight="1">
      <c r="A29" s="112"/>
      <c r="B29" s="124" t="s">
        <v>147</v>
      </c>
      <c r="C29" s="124"/>
      <c r="D29" s="112" t="str">
        <f>IFERROR(__xludf.DUMMYFUNCTION("IF(ISBLANK(B29), ""-"", GOOGLEFINANCE(IF(ISBLANK(C29), B29, C29&amp;"":""&amp;B29), ""name""))"),"Schwab US Dividend Equity ETF")</f>
        <v>Schwab US Dividend Equity ETF</v>
      </c>
      <c r="E29" s="97">
        <f>IFERROR(__xludf.DUMMYFUNCTION("IF(ISBLANK(B29), 0, GOOGLEFINANCE(IF(ISBLANK(C29), B29, C29&amp;"":""&amp;B29), ""price""))"),32.5)</f>
        <v>32.5</v>
      </c>
      <c r="F29" s="98">
        <f>IFERROR(__xludf.DUMMYFUNCTION("IF(ISBLANK(B29), 0, GOOGLEFINANCE(IF(ISBLANK(C29), B29, C29&amp;"":""&amp;B29), ""change""))*$E$3"),-4.085484000000001)</f>
        <v>-4.085484</v>
      </c>
      <c r="G29" s="99">
        <f>IFERROR(__xludf.DUMMYFUNCTION("IF(ISBLANK(B29), 0, GOOGLEFINANCE(IF(ISBLANK(C29), B29, C29&amp;"":""&amp;B29), ""changepct"")/100)"),-0.004)</f>
        <v>-0.004</v>
      </c>
      <c r="H29" s="115">
        <f>21.6612-21.6612</f>
        <v>0</v>
      </c>
      <c r="I29" s="101">
        <f>H29 * E29*$E$3</f>
        <v>0</v>
      </c>
      <c r="J29" s="102">
        <f t="shared" si="3"/>
        <v>0</v>
      </c>
      <c r="K29" s="104">
        <f>24.33</f>
        <v>24.33</v>
      </c>
      <c r="L29" s="97">
        <f>H29*K29*$E$3</f>
        <v>0</v>
      </c>
      <c r="M29" s="97">
        <f t="shared" si="5"/>
        <v>0</v>
      </c>
      <c r="N29" s="103">
        <f t="shared" si="15"/>
        <v>0</v>
      </c>
      <c r="O29" s="104" t="s">
        <v>109</v>
      </c>
      <c r="P29" s="97"/>
      <c r="Q29" s="97"/>
      <c r="R29" s="97"/>
      <c r="S29" s="97"/>
      <c r="T29" s="97"/>
      <c r="U29" s="105"/>
      <c r="V29" s="105">
        <v>45068.0</v>
      </c>
      <c r="W29" s="106">
        <f t="shared" si="7"/>
        <v>1104</v>
      </c>
      <c r="X29" s="107"/>
    </row>
    <row r="30" ht="17.25" hidden="1" customHeight="1">
      <c r="A30" s="112"/>
      <c r="B30" s="108" t="s">
        <v>148</v>
      </c>
      <c r="C30" s="108"/>
      <c r="D30" s="109" t="s">
        <v>149</v>
      </c>
      <c r="E30" s="97">
        <f>IFERROR(__xludf.DUMMYFUNCTION("IF(ISBLANK(B30), 0, GOOGLEFINANCE(IF(ISBLANK(C30), B30, C30&amp;"":""&amp;B30), ""price""))"),56.55)</f>
        <v>56.55</v>
      </c>
      <c r="F30" s="98">
        <f>IFERROR(__xludf.DUMMYFUNCTION("IF(ISBLANK(B30), 0, GOOGLEFINANCE(IF(ISBLANK(C30), B30, C30&amp;"":""&amp;B30), ""change""))"),0.8)</f>
        <v>0.8</v>
      </c>
      <c r="G30" s="99">
        <f>IFERROR(__xludf.DUMMYFUNCTION("IF(ISBLANK(B30), 0, GOOGLEFINANCE(IF(ISBLANK(C30), B30, C30&amp;"":""&amp;B30), ""changepct"")/100)"),0.0143)</f>
        <v>0.0143</v>
      </c>
      <c r="H30" s="100"/>
      <c r="I30" s="101">
        <f>H30 * E30</f>
        <v>0</v>
      </c>
      <c r="J30" s="102">
        <f t="shared" si="3"/>
        <v>0</v>
      </c>
      <c r="K30" s="4">
        <v>53.4</v>
      </c>
      <c r="L30" s="97">
        <f>H30*K30</f>
        <v>0</v>
      </c>
      <c r="M30" s="97">
        <f t="shared" si="5"/>
        <v>0</v>
      </c>
      <c r="N30" s="103">
        <f>IF(H30=0,0,IF(L30=0,1,(M30+P30+Q30+R30+S30+T30)/L30*100%))</f>
        <v>0</v>
      </c>
      <c r="O30" s="104" t="s">
        <v>109</v>
      </c>
      <c r="P30" s="114"/>
      <c r="Q30" s="114"/>
      <c r="R30" s="100">
        <v>746.0</v>
      </c>
      <c r="S30" s="100">
        <f>1092+2495+3270+3563</f>
        <v>10420</v>
      </c>
      <c r="T30" s="100">
        <f>3976+3907+2900</f>
        <v>10783</v>
      </c>
      <c r="U30" s="105"/>
      <c r="V30" s="105">
        <v>45261.0</v>
      </c>
      <c r="W30" s="106">
        <f t="shared" si="7"/>
        <v>911</v>
      </c>
      <c r="X30" s="107"/>
    </row>
    <row r="31" ht="17.25" hidden="1" customHeight="1">
      <c r="A31" s="112"/>
      <c r="B31" s="108" t="s">
        <v>150</v>
      </c>
      <c r="C31" s="108"/>
      <c r="D31" s="121" t="str">
        <f>IFERROR(__xludf.DUMMYFUNCTION("IF(ISBLANK(B31), ""-"", GOOGLEFINANCE(IF(ISBLANK(C31), B31, C31&amp;"":""&amp;B31), ""name""))"),"Planet Labs PBC")</f>
        <v>Planet Labs PBC</v>
      </c>
      <c r="E31" s="97">
        <f>IFERROR(__xludf.DUMMYFUNCTION("IF(ISBLANK(B31), 0, GOOGLEFINANCE(IF(ISBLANK(C31), B31, C31&amp;"":""&amp;B31), ""price""))"),51.14)</f>
        <v>51.14</v>
      </c>
      <c r="F31" s="98">
        <f>IFERROR(__xludf.DUMMYFUNCTION("IF(ISBLANK(B31), 0, GOOGLEFINANCE(IF(ISBLANK(C31), B31, C31&amp;"":""&amp;B31), ""change""))*$E$3"),-8.170968000000002)</f>
        <v>-8.170968</v>
      </c>
      <c r="G31" s="99">
        <f>IFERROR(__xludf.DUMMYFUNCTION("IF(ISBLANK(B31), 0, GOOGLEFINANCE(IF(ISBLANK(C31), B31, C31&amp;"":""&amp;B31), ""changepct"")/100)"),-0.0051)</f>
        <v>-0.0051</v>
      </c>
      <c r="H31" s="100"/>
      <c r="I31" s="101">
        <f>H31 * E31*$E$3</f>
        <v>0</v>
      </c>
      <c r="J31" s="102">
        <f t="shared" si="3"/>
        <v>0</v>
      </c>
      <c r="K31" s="104">
        <v>8.1165</v>
      </c>
      <c r="L31" s="97">
        <f>H31*K31 *$E$3</f>
        <v>0</v>
      </c>
      <c r="M31" s="97">
        <f t="shared" si="5"/>
        <v>0</v>
      </c>
      <c r="N31" s="103">
        <f>IF(H31=0,0,IF(L31=0,1,(M31+P31+Q31+R31+S31)/L31*100%))</f>
        <v>0</v>
      </c>
      <c r="O31" s="104" t="s">
        <v>112</v>
      </c>
      <c r="P31" s="97"/>
      <c r="Q31" s="97"/>
      <c r="R31" s="97"/>
      <c r="S31" s="97"/>
      <c r="T31" s="97"/>
      <c r="U31" s="105"/>
      <c r="V31" s="105"/>
      <c r="W31" s="106">
        <f t="shared" si="7"/>
        <v>46172</v>
      </c>
      <c r="X31" s="107"/>
    </row>
    <row r="32" ht="17.25" hidden="1" customHeight="1">
      <c r="A32" s="112"/>
      <c r="B32" s="108" t="s">
        <v>151</v>
      </c>
      <c r="C32" s="108"/>
      <c r="D32" s="108" t="s">
        <v>152</v>
      </c>
      <c r="E32" s="97">
        <f>IFERROR(__xludf.DUMMYFUNCTION("IF(ISBLANK(B32), 0, GOOGLEFINANCE(IF(ISBLANK(C32), B32, C32&amp;"":""&amp;B32), ""price""))"),289.0)</f>
        <v>289</v>
      </c>
      <c r="F32" s="98">
        <f>IFERROR(__xludf.DUMMYFUNCTION("IF(ISBLANK(B32), 0, GOOGLEFINANCE(IF(ISBLANK(C32), B32, C32&amp;"":""&amp;B32), ""change""))"),26.0)</f>
        <v>26</v>
      </c>
      <c r="G32" s="99">
        <f>IFERROR(__xludf.DUMMYFUNCTION("IF(ISBLANK(B32), 0, GOOGLEFINANCE(IF(ISBLANK(C32), B32, C32&amp;"":""&amp;B32), ""changepct"")/100)"),0.0989)</f>
        <v>0.0989</v>
      </c>
      <c r="H32" s="110"/>
      <c r="I32" s="101">
        <f t="shared" ref="I32:I33" si="16">H32 * E32</f>
        <v>0</v>
      </c>
      <c r="J32" s="102">
        <f t="shared" si="3"/>
        <v>0</v>
      </c>
      <c r="K32" s="104">
        <v>207.0</v>
      </c>
      <c r="L32" s="97">
        <f t="shared" ref="L32:L33" si="17">H32*K32</f>
        <v>0</v>
      </c>
      <c r="M32" s="97">
        <f t="shared" si="5"/>
        <v>0</v>
      </c>
      <c r="N32" s="103">
        <f>IF(H32=0,0,IF(L32=0,1,(M32+P32+Q32+R32+T32)/L32*100%))</f>
        <v>0</v>
      </c>
      <c r="O32" s="104" t="s">
        <v>112</v>
      </c>
      <c r="P32" s="114"/>
      <c r="Q32" s="114"/>
      <c r="R32" s="114"/>
      <c r="S32" s="114"/>
      <c r="T32" s="100">
        <v>2309.0</v>
      </c>
      <c r="U32" s="105"/>
      <c r="V32" s="105">
        <v>45597.0</v>
      </c>
      <c r="W32" s="106">
        <f t="shared" si="7"/>
        <v>575</v>
      </c>
      <c r="X32" s="107"/>
    </row>
    <row r="33" ht="17.25" hidden="1" customHeight="1">
      <c r="A33" s="112"/>
      <c r="B33" s="108" t="s">
        <v>153</v>
      </c>
      <c r="C33" s="108"/>
      <c r="D33" s="121" t="str">
        <f>IFERROR(__xludf.DUMMYFUNCTION("IF(ISBLANK(B33), ""-"", GOOGLEFINANCE(IF(ISBLANK(C33), B33, C33&amp;"":""&amp;B33), ""name""))"),"Lite-On Technology Corp")</f>
        <v>Lite-On Technology Corp</v>
      </c>
      <c r="E33" s="97">
        <f>IFERROR(__xludf.DUMMYFUNCTION("IF(ISBLANK(B33), 0, GOOGLEFINANCE(IF(ISBLANK(C33), B33, C33&amp;"":""&amp;B33), ""price""))"),234.5)</f>
        <v>234.5</v>
      </c>
      <c r="F33" s="98">
        <f>IFERROR(__xludf.DUMMYFUNCTION("IF(ISBLANK(B33), 0, GOOGLEFINANCE(IF(ISBLANK(C33), B33, C33&amp;"":""&amp;B33), ""change""))"),4.0)</f>
        <v>4</v>
      </c>
      <c r="G33" s="99">
        <f>IFERROR(__xludf.DUMMYFUNCTION("IF(ISBLANK(B33), 0, GOOGLEFINANCE(IF(ISBLANK(C33), B33, C33&amp;"":""&amp;B33), ""changepct"")/100)"),0.0174)</f>
        <v>0.0174</v>
      </c>
      <c r="H33" s="100"/>
      <c r="I33" s="101">
        <f t="shared" si="16"/>
        <v>0</v>
      </c>
      <c r="J33" s="102">
        <f t="shared" si="3"/>
        <v>0</v>
      </c>
      <c r="K33" s="104">
        <f>((((65.47*1012)+9413)/1112)*900+13900+14405+8643)/1200</f>
        <v>81.8255036</v>
      </c>
      <c r="L33" s="97">
        <f t="shared" si="17"/>
        <v>0</v>
      </c>
      <c r="M33" s="97">
        <f t="shared" si="5"/>
        <v>0</v>
      </c>
      <c r="N33" s="103">
        <f t="shared" ref="N33:N34" si="18">IF(H33=0,0,IF(L33=0,1,(M33+P33+Q33+R33+S33)/L33*100%))</f>
        <v>0</v>
      </c>
      <c r="O33" s="104" t="s">
        <v>112</v>
      </c>
      <c r="P33" s="104">
        <v>1990.0</v>
      </c>
      <c r="Q33" s="104">
        <f>1630+453</f>
        <v>2083</v>
      </c>
      <c r="R33" s="111">
        <f>2426+1990</f>
        <v>4416</v>
      </c>
      <c r="S33" s="111">
        <f>3002</f>
        <v>3002</v>
      </c>
      <c r="T33" s="111"/>
      <c r="U33" s="105"/>
      <c r="V33" s="105">
        <v>44432.0</v>
      </c>
      <c r="W33" s="125" t="s">
        <v>154</v>
      </c>
      <c r="X33" s="107"/>
    </row>
    <row r="34" ht="17.25" hidden="1" customHeight="1">
      <c r="A34" s="112"/>
      <c r="B34" s="113" t="s">
        <v>155</v>
      </c>
      <c r="C34" s="113"/>
      <c r="D34" s="126" t="str">
        <f>IFERROR(__xludf.DUMMYFUNCTION("IF(ISBLANK(B34), ""-"", GOOGLEFINANCE(IF(ISBLANK(C34), B34, C34&amp;"":""&amp;B34), ""name""))"),"YieldMax TSLA Option Income Strategy ETF")</f>
        <v>YieldMax TSLA Option Income Strategy ETF</v>
      </c>
      <c r="E34" s="97">
        <f>IFERROR(__xludf.DUMMYFUNCTION("IF(ISBLANK(B34), 0, GOOGLEFINANCE(IF(ISBLANK(C34), B34, C34&amp;"":""&amp;B34), ""price""))"),30.63)</f>
        <v>30.63</v>
      </c>
      <c r="F34" s="98">
        <f>IFERROR(__xludf.DUMMYFUNCTION("IF(ISBLANK(B34), 0, GOOGLEFINANCE(IF(ISBLANK(C34), B34, C34&amp;"":""&amp;B34), ""change""))*$E$3"),-8.170968000000002)</f>
        <v>-8.170968</v>
      </c>
      <c r="G34" s="99">
        <f>IFERROR(__xludf.DUMMYFUNCTION("IF(ISBLANK(B34), 0, GOOGLEFINANCE(IF(ISBLANK(C34), B34, C34&amp;"":""&amp;B34), ""changepct"")/100)"),-0.0084)</f>
        <v>-0.0084</v>
      </c>
      <c r="H34" s="100"/>
      <c r="I34" s="101">
        <f>H34 * E34*$E$3</f>
        <v>0</v>
      </c>
      <c r="J34" s="102">
        <f t="shared" si="3"/>
        <v>0</v>
      </c>
      <c r="K34" s="104">
        <v>26.6</v>
      </c>
      <c r="L34" s="97">
        <f>H34*K34 *$E$3</f>
        <v>0</v>
      </c>
      <c r="M34" s="97">
        <f t="shared" si="5"/>
        <v>0</v>
      </c>
      <c r="N34" s="103">
        <f t="shared" si="18"/>
        <v>0</v>
      </c>
      <c r="O34" s="104" t="s">
        <v>156</v>
      </c>
      <c r="P34" s="97"/>
      <c r="Q34" s="97"/>
      <c r="R34" s="97">
        <f>(8.19+8.0766+11.8755+12.2612+11.3071)*$E$3</f>
        <v>1625.092399</v>
      </c>
      <c r="S34" s="97">
        <f>(9.9225+10.7863)*$E$3</f>
        <v>650.8113158</v>
      </c>
      <c r="T34" s="97"/>
      <c r="U34" s="105"/>
      <c r="V34" s="105">
        <v>45056.0</v>
      </c>
      <c r="W34" s="106">
        <f t="shared" ref="W34:W39" si="19">DAYS(TODAY(),V34)</f>
        <v>1116</v>
      </c>
      <c r="X34" s="107"/>
    </row>
    <row r="35" ht="17.25" hidden="1" customHeight="1">
      <c r="A35" s="112"/>
      <c r="B35" s="124" t="s">
        <v>157</v>
      </c>
      <c r="C35" s="124"/>
      <c r="D35" s="119" t="str">
        <f>IFERROR(__xludf.DUMMYFUNCTION("IF(ISBLANK(B35), ""-"", GOOGLEFINANCE(IF(ISBLANK(C35), B35, C35&amp;"":""&amp;B35), ""name""))"),"CTBC Financial Holding Co Ltd")</f>
        <v>CTBC Financial Holding Co Ltd</v>
      </c>
      <c r="E35" s="97">
        <f>IFERROR(__xludf.DUMMYFUNCTION("IF(ISBLANK(B35), 0, GOOGLEFINANCE(IF(ISBLANK(C35), B35, C35&amp;"":""&amp;B35), ""price""))"),60.5)</f>
        <v>60.5</v>
      </c>
      <c r="F35" s="98">
        <f>IFERROR(__xludf.DUMMYFUNCTION("IF(ISBLANK(B35), 0, GOOGLEFINANCE(IF(ISBLANK(C35), B35, C35&amp;"":""&amp;B35), ""change""))"),1.2)</f>
        <v>1.2</v>
      </c>
      <c r="G35" s="99">
        <f>IFERROR(__xludf.DUMMYFUNCTION("IF(ISBLANK(B35), 0, GOOGLEFINANCE(IF(ISBLANK(C35), B35, C35&amp;"":""&amp;B35), ""changepct"")/100)"),0.0202)</f>
        <v>0.0202</v>
      </c>
      <c r="H35" s="100"/>
      <c r="I35" s="101">
        <f t="shared" ref="I35:I36" si="20">H35 * E35</f>
        <v>0</v>
      </c>
      <c r="J35" s="102">
        <f t="shared" si="3"/>
        <v>0</v>
      </c>
      <c r="K35" s="104">
        <v>24.87</v>
      </c>
      <c r="L35" s="97">
        <f t="shared" ref="L35:L36" si="21">H35*K35</f>
        <v>0</v>
      </c>
      <c r="M35" s="97">
        <f t="shared" si="5"/>
        <v>0</v>
      </c>
      <c r="N35" s="102">
        <f>IF(H35=0,0,IF(L35=0,0,(M35+P35+Q35)/L35*100%))</f>
        <v>0</v>
      </c>
      <c r="O35" s="104" t="s">
        <v>158</v>
      </c>
      <c r="P35" s="97"/>
      <c r="Q35" s="97"/>
      <c r="R35" s="105"/>
      <c r="S35" s="105"/>
      <c r="T35" s="105"/>
      <c r="U35" s="105"/>
      <c r="V35" s="105">
        <v>45148.0</v>
      </c>
      <c r="W35" s="106">
        <f t="shared" si="19"/>
        <v>1024</v>
      </c>
      <c r="X35" s="107"/>
    </row>
    <row r="36" ht="17.25" hidden="1" customHeight="1">
      <c r="A36" s="112"/>
      <c r="B36" s="124" t="s">
        <v>159</v>
      </c>
      <c r="C36" s="124"/>
      <c r="D36" s="112" t="str">
        <f>IFERROR(__xludf.DUMMYFUNCTION("IF(ISBLANK(B36), ""-"", GOOGLEFINANCE(IF(ISBLANK(C36), B36, C36&amp;"":""&amp;B36), ""name""))"),"Sigurd Microelectronics Corp")</f>
        <v>Sigurd Microelectronics Corp</v>
      </c>
      <c r="E36" s="97">
        <f>IFERROR(__xludf.DUMMYFUNCTION("IF(ISBLANK(B36), 0, GOOGLEFINANCE(IF(ISBLANK(C36), B36, C36&amp;"":""&amp;B36), ""price""))"),227.5)</f>
        <v>227.5</v>
      </c>
      <c r="F36" s="98">
        <f>IFERROR(__xludf.DUMMYFUNCTION("IF(ISBLANK(B36), 0, GOOGLEFINANCE(IF(ISBLANK(C36), B36, C36&amp;"":""&amp;B36), ""change""))"),-1.5)</f>
        <v>-1.5</v>
      </c>
      <c r="G36" s="99">
        <f>IFERROR(__xludf.DUMMYFUNCTION("IF(ISBLANK(B36), 0, GOOGLEFINANCE(IF(ISBLANK(C36), B36, C36&amp;"":""&amp;B36), ""changepct"")/100)"),-0.0066)</f>
        <v>-0.0066</v>
      </c>
      <c r="H36" s="110"/>
      <c r="I36" s="101">
        <f t="shared" si="20"/>
        <v>0</v>
      </c>
      <c r="J36" s="102">
        <f t="shared" si="3"/>
        <v>0</v>
      </c>
      <c r="K36" s="104">
        <v>49.519</v>
      </c>
      <c r="L36" s="97">
        <f t="shared" si="21"/>
        <v>0</v>
      </c>
      <c r="M36" s="97">
        <f t="shared" si="5"/>
        <v>0</v>
      </c>
      <c r="N36" s="103">
        <f t="shared" ref="N36:N39" si="22">IF(H36=0,0,IF(L36=0,1,(M36+P36+Q36+R36)/L36*100%))</f>
        <v>0</v>
      </c>
      <c r="O36" s="104" t="s">
        <v>112</v>
      </c>
      <c r="P36" s="97"/>
      <c r="Q36" s="97"/>
      <c r="R36" s="111"/>
      <c r="S36" s="111"/>
      <c r="T36" s="111"/>
      <c r="U36" s="105"/>
      <c r="V36" s="105">
        <v>44936.0</v>
      </c>
      <c r="W36" s="106">
        <f t="shared" si="19"/>
        <v>1236</v>
      </c>
      <c r="X36" s="107"/>
    </row>
    <row r="37" ht="17.25" hidden="1" customHeight="1">
      <c r="A37" s="112"/>
      <c r="B37" s="124" t="s">
        <v>160</v>
      </c>
      <c r="C37" s="124"/>
      <c r="D37" s="127" t="str">
        <f>IFERROR(__xludf.DUMMYFUNCTION("IF(ISBLANK(B37), ""-"", GOOGLEFINANCE(IF(ISBLANK(C37), B37, C37&amp;"":""&amp;B37), ""name""))"),"Global X NASDAQ 100 Covered Call ETF")</f>
        <v>Global X NASDAQ 100 Covered Call ETF</v>
      </c>
      <c r="E37" s="97">
        <f>IFERROR(__xludf.DUMMYFUNCTION("IF(ISBLANK(B37), 0, GOOGLEFINANCE(IF(ISBLANK(C37), B37, C37&amp;"":""&amp;B37), ""price""))"),18.08)</f>
        <v>18.08</v>
      </c>
      <c r="F37" s="98">
        <f>IFERROR(__xludf.DUMMYFUNCTION("IF(ISBLANK(B37), 0, GOOGLEFINANCE(IF(ISBLANK(C37), B37, C37&amp;"":""&amp;B37), ""change""))*$E$3"),0.9428040000000001)</f>
        <v>0.942804</v>
      </c>
      <c r="G37" s="99">
        <f>IFERROR(__xludf.DUMMYFUNCTION("IF(ISBLANK(B37), 0, GOOGLEFINANCE(IF(ISBLANK(C37), B37, C37&amp;"":""&amp;B37), ""changepct"")/100)"),0.0017000000000000001)</f>
        <v>0.0017</v>
      </c>
      <c r="H37" s="100">
        <f>QYLD!J8</f>
        <v>0</v>
      </c>
      <c r="I37" s="101">
        <f t="shared" ref="I37:I38" si="23">H37 * E37*$E$3</f>
        <v>0</v>
      </c>
      <c r="J37" s="102">
        <f t="shared" si="3"/>
        <v>0</v>
      </c>
      <c r="K37" s="97">
        <f>QYLD!L8</f>
        <v>17.68</v>
      </c>
      <c r="L37" s="97">
        <f t="shared" ref="L37:L38" si="24">H37*K37*$E$3</f>
        <v>0</v>
      </c>
      <c r="M37" s="97">
        <f t="shared" si="5"/>
        <v>0</v>
      </c>
      <c r="N37" s="103">
        <f t="shared" si="22"/>
        <v>0</v>
      </c>
      <c r="O37" s="104" t="s">
        <v>156</v>
      </c>
      <c r="P37" s="97"/>
      <c r="Q37" s="97">
        <f>(19.45)*$E$3</f>
        <v>611.25126</v>
      </c>
      <c r="R37" s="111">
        <f>(4.75+4.68+4.73)*$E$3</f>
        <v>445.003488</v>
      </c>
      <c r="S37" s="111"/>
      <c r="T37" s="111"/>
      <c r="U37" s="128"/>
      <c r="V37" s="128">
        <v>44729.0</v>
      </c>
      <c r="W37" s="106">
        <f t="shared" si="19"/>
        <v>1443</v>
      </c>
      <c r="X37" s="107"/>
    </row>
    <row r="38" ht="17.25" hidden="1" customHeight="1">
      <c r="A38" s="112"/>
      <c r="B38" s="124" t="s">
        <v>161</v>
      </c>
      <c r="C38" s="124"/>
      <c r="D38" s="112" t="str">
        <f>IFERROR(__xludf.DUMMYFUNCTION("IF(ISBLANK(B38), ""-"", GOOGLEFINANCE(IF(ISBLANK(C38), B38, C38&amp;"":""&amp;B38), ""name""))"),"iShares Core S&amp;P Total US Stock Market ETF")</f>
        <v>iShares Core S&amp;P Total US Stock Market ETF</v>
      </c>
      <c r="E38" s="97">
        <f>IFERROR(__xludf.DUMMYFUNCTION("IF(ISBLANK(B38), 0, GOOGLEFINANCE(IF(ISBLANK(C38), B38, C38&amp;"":""&amp;B38), ""price""))"),165.48)</f>
        <v>165.48</v>
      </c>
      <c r="F38" s="98">
        <f>IFERROR(__xludf.DUMMYFUNCTION("IF(ISBLANK(B38), 0, GOOGLEFINANCE(IF(ISBLANK(C38), B38, C38&amp;"":""&amp;B38), ""change""))*$E$3"),13.827792000000002)</f>
        <v>13.827792</v>
      </c>
      <c r="G38" s="99">
        <f>IFERROR(__xludf.DUMMYFUNCTION("IF(ISBLANK(B38), 0, GOOGLEFINANCE(IF(ISBLANK(C38), B38, C38&amp;"":""&amp;B38), ""changepct"")/100)"),0.0027)</f>
        <v>0.0027</v>
      </c>
      <c r="H38" s="110"/>
      <c r="I38" s="101">
        <f t="shared" si="23"/>
        <v>0</v>
      </c>
      <c r="J38" s="102">
        <f t="shared" si="3"/>
        <v>0</v>
      </c>
      <c r="K38" s="97">
        <f>ITOT!L8</f>
        <v>90.99833333</v>
      </c>
      <c r="L38" s="97">
        <f t="shared" si="24"/>
        <v>0</v>
      </c>
      <c r="M38" s="97">
        <f t="shared" si="5"/>
        <v>0</v>
      </c>
      <c r="N38" s="102">
        <f t="shared" si="22"/>
        <v>0</v>
      </c>
      <c r="O38" s="97" t="str">
        <f>ITOT!N8</f>
        <v>指數ETF</v>
      </c>
      <c r="P38" s="97"/>
      <c r="Q38" s="104">
        <f>(1.13)*$E$3</f>
        <v>35.512284</v>
      </c>
      <c r="R38" s="111"/>
      <c r="S38" s="111"/>
      <c r="T38" s="111"/>
      <c r="U38" s="105"/>
      <c r="V38" s="105">
        <v>44781.0</v>
      </c>
      <c r="W38" s="106">
        <f t="shared" si="19"/>
        <v>1391</v>
      </c>
      <c r="X38" s="107"/>
    </row>
    <row r="39" ht="17.25" hidden="1" customHeight="1">
      <c r="A39" s="112"/>
      <c r="B39" s="124" t="s">
        <v>162</v>
      </c>
      <c r="C39" s="124"/>
      <c r="D39" s="112" t="str">
        <f>IFERROR(__xludf.DUMMYFUNCTION("IF(ISBLANK(B39), ""-"", GOOGLEFINANCE(IF(ISBLANK(C39), B39, C39&amp;"":""&amp;B39), ""name""))"),"Yuanta/P-shares Taiwan Top 50 ETF")</f>
        <v>Yuanta/P-shares Taiwan Top 50 ETF</v>
      </c>
      <c r="E39" s="97">
        <f>IFERROR(__xludf.DUMMYFUNCTION("IF(ISBLANK(B39), 0, GOOGLEFINANCE(IF(ISBLANK(C39), B39, C39&amp;"":""&amp;B39), ""price""))"),105.4)</f>
        <v>105.4</v>
      </c>
      <c r="F39" s="98">
        <f>IFERROR(__xludf.DUMMYFUNCTION("IF(ISBLANK(B39), 0, GOOGLEFINANCE(IF(ISBLANK(C39), B39, C39&amp;"":""&amp;B39), ""change""))"),4.9)</f>
        <v>4.9</v>
      </c>
      <c r="G39" s="99">
        <f>IFERROR(__xludf.DUMMYFUNCTION("IF(ISBLANK(B39), 0, GOOGLEFINANCE(IF(ISBLANK(C39), B39, C39&amp;"":""&amp;B39), ""changepct"")/100)"),0.048799999999999996)</f>
        <v>0.0488</v>
      </c>
      <c r="H39" s="100">
        <f>'0050 元大台50'!J8</f>
        <v>0</v>
      </c>
      <c r="I39" s="101">
        <f>H39 * E39</f>
        <v>0</v>
      </c>
      <c r="J39" s="102">
        <f t="shared" si="3"/>
        <v>0</v>
      </c>
      <c r="K39" s="97">
        <f>'0050 元大台50'!L8</f>
        <v>128.01475</v>
      </c>
      <c r="L39" s="97">
        <f>H39*K39</f>
        <v>0</v>
      </c>
      <c r="M39" s="97">
        <f t="shared" si="5"/>
        <v>0</v>
      </c>
      <c r="N39" s="103">
        <f t="shared" si="22"/>
        <v>0</v>
      </c>
      <c r="O39" s="104" t="s">
        <v>163</v>
      </c>
      <c r="P39" s="104">
        <v>83.0</v>
      </c>
      <c r="Q39" s="97">
        <f>1612+1251</f>
        <v>2863</v>
      </c>
      <c r="R39" s="111">
        <f>2590</f>
        <v>2590</v>
      </c>
      <c r="S39" s="111"/>
      <c r="T39" s="111"/>
      <c r="U39" s="105"/>
      <c r="V39" s="105">
        <v>44308.0</v>
      </c>
      <c r="W39" s="106">
        <f t="shared" si="19"/>
        <v>1864</v>
      </c>
      <c r="X39" s="107"/>
    </row>
    <row r="40" ht="17.25" customHeight="1">
      <c r="A40" s="112"/>
      <c r="B40" s="124"/>
      <c r="C40" s="124"/>
      <c r="D40" s="112"/>
      <c r="E40" s="97"/>
      <c r="F40" s="98"/>
      <c r="G40" s="99"/>
      <c r="H40" s="110"/>
      <c r="I40" s="101"/>
      <c r="J40" s="102"/>
      <c r="K40" s="97"/>
      <c r="L40" s="97"/>
      <c r="M40" s="97"/>
      <c r="N40" s="97"/>
      <c r="O40" s="97"/>
      <c r="P40" s="97"/>
      <c r="Q40" s="97"/>
      <c r="R40" s="129"/>
      <c r="S40" s="129"/>
      <c r="T40" s="129"/>
      <c r="U40" s="97"/>
      <c r="V40" s="97"/>
      <c r="W40" s="97"/>
      <c r="X40" s="107"/>
    </row>
    <row r="41" ht="17.25" customHeight="1">
      <c r="A41" s="112"/>
      <c r="B41" s="124"/>
      <c r="C41" s="124"/>
      <c r="D41" s="112"/>
      <c r="E41" s="97"/>
      <c r="F41" s="98"/>
      <c r="G41" s="99"/>
      <c r="H41" s="110"/>
      <c r="I41" s="101"/>
      <c r="J41" s="102"/>
      <c r="K41" s="97"/>
      <c r="L41" s="97"/>
      <c r="M41" s="97"/>
      <c r="N41" s="97"/>
      <c r="O41" s="97">
        <f>SUM(I29:I39)/E3</f>
        <v>0</v>
      </c>
      <c r="P41" s="97"/>
      <c r="Q41" s="97"/>
      <c r="R41" s="129"/>
      <c r="S41" s="129"/>
      <c r="T41" s="129"/>
      <c r="U41" s="97"/>
      <c r="V41" s="97"/>
      <c r="W41" s="97"/>
      <c r="X41" s="107"/>
    </row>
    <row r="42" ht="17.25" customHeight="1">
      <c r="A42" s="112"/>
      <c r="B42" s="124"/>
      <c r="C42" s="124"/>
      <c r="D42" s="112"/>
      <c r="E42" s="97"/>
      <c r="F42" s="98"/>
      <c r="G42" s="99"/>
      <c r="H42" s="110"/>
      <c r="I42" s="101"/>
      <c r="J42" s="102"/>
      <c r="K42" s="97"/>
      <c r="L42" s="97"/>
      <c r="M42" s="97"/>
      <c r="N42" s="97"/>
      <c r="O42" s="97"/>
      <c r="P42" s="97"/>
      <c r="Q42" s="97"/>
      <c r="R42" s="129"/>
      <c r="S42" s="129"/>
      <c r="T42" s="129"/>
      <c r="U42" s="97"/>
      <c r="V42" s="97"/>
      <c r="W42" s="97"/>
      <c r="X42" s="107"/>
    </row>
    <row r="43" ht="17.25" customHeight="1">
      <c r="A43" s="112"/>
      <c r="B43" s="124"/>
      <c r="C43" s="124"/>
      <c r="D43" s="130"/>
      <c r="E43" s="97"/>
      <c r="F43" s="98"/>
      <c r="G43" s="99"/>
      <c r="H43" s="110"/>
      <c r="I43" s="101"/>
      <c r="J43" s="102"/>
      <c r="K43" s="97"/>
      <c r="L43" s="97"/>
      <c r="M43" s="97"/>
      <c r="N43" s="97"/>
      <c r="O43" s="97"/>
      <c r="P43" s="97"/>
      <c r="Q43" s="97"/>
      <c r="R43" s="129"/>
      <c r="S43" s="129"/>
      <c r="T43" s="129"/>
      <c r="U43" s="97"/>
      <c r="V43" s="97"/>
      <c r="W43" s="97"/>
      <c r="X43" s="107"/>
    </row>
    <row r="44" ht="17.25" customHeight="1">
      <c r="A44" s="112"/>
      <c r="B44" s="124"/>
      <c r="C44" s="124"/>
      <c r="D44" s="112"/>
      <c r="E44" s="97"/>
      <c r="F44" s="98"/>
      <c r="G44" s="99"/>
      <c r="H44" s="110"/>
      <c r="I44" s="101"/>
      <c r="J44" s="102"/>
      <c r="K44" s="97"/>
      <c r="L44" s="97"/>
      <c r="M44" s="97"/>
      <c r="N44" s="97"/>
      <c r="O44" s="97"/>
      <c r="P44" s="97"/>
      <c r="Q44" s="97"/>
      <c r="R44" s="129"/>
      <c r="S44" s="129"/>
      <c r="T44" s="129"/>
      <c r="U44" s="97"/>
      <c r="V44" s="97"/>
      <c r="W44" s="97"/>
      <c r="X44" s="107"/>
    </row>
    <row r="45" ht="17.25" customHeight="1">
      <c r="A45" s="112"/>
      <c r="B45" s="124"/>
      <c r="C45" s="124"/>
      <c r="D45" s="112"/>
      <c r="E45" s="97"/>
      <c r="F45" s="98"/>
      <c r="G45" s="99"/>
      <c r="H45" s="110"/>
      <c r="I45" s="101"/>
      <c r="J45" s="102"/>
      <c r="K45" s="97"/>
      <c r="L45" s="97"/>
      <c r="M45" s="97"/>
      <c r="N45" s="97"/>
      <c r="O45" s="97"/>
      <c r="P45" s="97"/>
      <c r="Q45" s="97"/>
      <c r="R45" s="129"/>
      <c r="S45" s="129"/>
      <c r="T45" s="129"/>
      <c r="U45" s="97"/>
      <c r="V45" s="97"/>
      <c r="W45" s="97"/>
      <c r="X45" s="107"/>
    </row>
    <row r="46" ht="17.25" customHeight="1">
      <c r="A46" s="112"/>
      <c r="B46" s="124"/>
      <c r="C46" s="124"/>
      <c r="D46" s="112"/>
      <c r="E46" s="97"/>
      <c r="F46" s="98"/>
      <c r="G46" s="99"/>
      <c r="H46" s="110"/>
      <c r="I46" s="101"/>
      <c r="J46" s="102"/>
      <c r="K46" s="97"/>
      <c r="L46" s="97"/>
      <c r="M46" s="97"/>
      <c r="N46" s="97"/>
      <c r="O46" s="97"/>
      <c r="P46" s="97"/>
      <c r="Q46" s="97"/>
      <c r="R46" s="129"/>
      <c r="S46" s="129"/>
      <c r="T46" s="129"/>
      <c r="U46" s="97"/>
      <c r="V46" s="97"/>
      <c r="W46" s="97"/>
      <c r="X46" s="107"/>
    </row>
    <row r="47" ht="17.25" customHeight="1">
      <c r="A47" s="112"/>
      <c r="B47" s="124"/>
      <c r="C47" s="124"/>
      <c r="D47" s="112"/>
      <c r="E47" s="97"/>
      <c r="F47" s="98"/>
      <c r="G47" s="99"/>
      <c r="H47" s="110"/>
      <c r="I47" s="101"/>
      <c r="J47" s="102"/>
      <c r="K47" s="97"/>
      <c r="L47" s="97"/>
      <c r="M47" s="97"/>
      <c r="N47" s="97"/>
      <c r="O47" s="97"/>
      <c r="P47" s="97"/>
      <c r="Q47" s="97"/>
      <c r="R47" s="129"/>
      <c r="S47" s="129"/>
      <c r="T47" s="129"/>
      <c r="U47" s="97"/>
      <c r="V47" s="97"/>
      <c r="W47" s="97"/>
      <c r="X47" s="107"/>
    </row>
    <row r="48" ht="17.25" customHeight="1">
      <c r="A48" s="112"/>
      <c r="B48" s="124"/>
      <c r="C48" s="124"/>
      <c r="D48" s="112"/>
      <c r="E48" s="97"/>
      <c r="F48" s="98"/>
      <c r="G48" s="99"/>
      <c r="H48" s="110"/>
      <c r="I48" s="101"/>
      <c r="J48" s="102"/>
      <c r="K48" s="97"/>
      <c r="L48" s="97"/>
      <c r="M48" s="97"/>
      <c r="N48" s="97"/>
      <c r="O48" s="97"/>
      <c r="P48" s="97"/>
      <c r="Q48" s="97"/>
      <c r="R48" s="129"/>
      <c r="S48" s="129"/>
      <c r="T48" s="129"/>
      <c r="U48" s="97"/>
      <c r="V48" s="97"/>
      <c r="W48" s="97"/>
      <c r="X48" s="107"/>
    </row>
    <row r="49" ht="17.25" customHeight="1">
      <c r="A49" s="112"/>
      <c r="B49" s="124"/>
      <c r="C49" s="124"/>
      <c r="D49" s="112"/>
      <c r="E49" s="97"/>
      <c r="F49" s="98"/>
      <c r="G49" s="99"/>
      <c r="H49" s="110"/>
      <c r="I49" s="101"/>
      <c r="J49" s="102"/>
      <c r="K49" s="97"/>
      <c r="L49" s="97"/>
      <c r="M49" s="97"/>
      <c r="N49" s="97"/>
      <c r="O49" s="97"/>
      <c r="P49" s="97"/>
      <c r="Q49" s="97"/>
      <c r="R49" s="129"/>
      <c r="S49" s="129"/>
      <c r="T49" s="129"/>
      <c r="U49" s="97"/>
      <c r="V49" s="97"/>
      <c r="W49" s="97"/>
      <c r="X49" s="107"/>
    </row>
    <row r="50" ht="17.25" customHeight="1">
      <c r="A50" s="112"/>
      <c r="B50" s="124"/>
      <c r="C50" s="124"/>
      <c r="D50" s="112"/>
      <c r="E50" s="97"/>
      <c r="F50" s="98"/>
      <c r="G50" s="99"/>
      <c r="H50" s="110"/>
      <c r="I50" s="101"/>
      <c r="J50" s="102"/>
      <c r="K50" s="97"/>
      <c r="L50" s="97"/>
      <c r="M50" s="97"/>
      <c r="N50" s="97"/>
      <c r="O50" s="97"/>
      <c r="P50" s="97"/>
      <c r="Q50" s="97"/>
      <c r="R50" s="129"/>
      <c r="S50" s="129"/>
      <c r="T50" s="129"/>
      <c r="U50" s="97"/>
      <c r="V50" s="97"/>
      <c r="W50" s="97"/>
      <c r="X50" s="107"/>
    </row>
    <row r="51" ht="17.25" customHeight="1">
      <c r="A51" s="112"/>
      <c r="B51" s="124"/>
      <c r="C51" s="124"/>
      <c r="D51" s="112"/>
      <c r="E51" s="97"/>
      <c r="F51" s="98"/>
      <c r="G51" s="99"/>
      <c r="H51" s="110"/>
      <c r="I51" s="101"/>
      <c r="J51" s="102"/>
      <c r="K51" s="97"/>
      <c r="L51" s="97"/>
      <c r="M51" s="97"/>
      <c r="N51" s="97"/>
      <c r="O51" s="97"/>
      <c r="P51" s="97"/>
      <c r="Q51" s="97"/>
      <c r="R51" s="129"/>
      <c r="S51" s="129"/>
      <c r="T51" s="129"/>
      <c r="U51" s="97"/>
      <c r="V51" s="97"/>
      <c r="W51" s="97"/>
      <c r="X51" s="107"/>
    </row>
    <row r="52" ht="17.25" customHeight="1">
      <c r="A52" s="112"/>
      <c r="B52" s="124"/>
      <c r="C52" s="124"/>
      <c r="D52" s="112"/>
      <c r="E52" s="97"/>
      <c r="F52" s="98"/>
      <c r="G52" s="99"/>
      <c r="H52" s="110"/>
      <c r="I52" s="101"/>
      <c r="J52" s="102"/>
      <c r="K52" s="97"/>
      <c r="L52" s="97"/>
      <c r="M52" s="97"/>
      <c r="N52" s="97"/>
      <c r="O52" s="97"/>
      <c r="P52" s="97"/>
      <c r="Q52" s="97"/>
      <c r="R52" s="129"/>
      <c r="S52" s="129"/>
      <c r="T52" s="129"/>
      <c r="U52" s="97"/>
      <c r="V52" s="97"/>
      <c r="W52" s="97"/>
      <c r="X52" s="107"/>
    </row>
    <row r="53" ht="17.25" customHeight="1">
      <c r="A53" s="112"/>
      <c r="B53" s="124"/>
      <c r="C53" s="124"/>
      <c r="D53" s="112"/>
      <c r="E53" s="97"/>
      <c r="F53" s="98"/>
      <c r="G53" s="99"/>
      <c r="H53" s="110"/>
      <c r="I53" s="101"/>
      <c r="J53" s="102"/>
      <c r="K53" s="97"/>
      <c r="L53" s="97"/>
      <c r="M53" s="97"/>
      <c r="N53" s="97"/>
      <c r="O53" s="97"/>
      <c r="P53" s="97"/>
      <c r="Q53" s="97"/>
      <c r="R53" s="129"/>
      <c r="S53" s="129"/>
      <c r="T53" s="129"/>
      <c r="U53" s="97"/>
      <c r="V53" s="97"/>
      <c r="W53" s="97"/>
      <c r="X53" s="107"/>
    </row>
    <row r="54" ht="17.25" customHeight="1">
      <c r="A54" s="112"/>
      <c r="B54" s="124"/>
      <c r="C54" s="124"/>
      <c r="D54" s="112"/>
      <c r="E54" s="97"/>
      <c r="F54" s="98"/>
      <c r="G54" s="99"/>
      <c r="H54" s="110"/>
      <c r="I54" s="101"/>
      <c r="J54" s="102"/>
      <c r="K54" s="97"/>
      <c r="L54" s="97"/>
      <c r="M54" s="97"/>
      <c r="N54" s="97"/>
      <c r="O54" s="97"/>
      <c r="P54" s="97"/>
      <c r="Q54" s="97"/>
      <c r="R54" s="129"/>
      <c r="S54" s="129"/>
      <c r="T54" s="129"/>
      <c r="U54" s="97"/>
      <c r="V54" s="97"/>
      <c r="W54" s="97"/>
      <c r="X54" s="107"/>
    </row>
    <row r="55" ht="17.25" customHeight="1">
      <c r="A55" s="112"/>
      <c r="B55" s="124"/>
      <c r="C55" s="124"/>
      <c r="D55" s="112"/>
      <c r="E55" s="97"/>
      <c r="F55" s="98"/>
      <c r="G55" s="99"/>
      <c r="H55" s="110"/>
      <c r="I55" s="101"/>
      <c r="J55" s="102"/>
      <c r="K55" s="97"/>
      <c r="L55" s="97"/>
      <c r="M55" s="97"/>
      <c r="N55" s="97"/>
      <c r="O55" s="97"/>
      <c r="P55" s="97"/>
      <c r="Q55" s="97"/>
      <c r="R55" s="129"/>
      <c r="S55" s="129"/>
      <c r="T55" s="129"/>
      <c r="U55" s="97"/>
      <c r="V55" s="97"/>
      <c r="W55" s="97"/>
      <c r="X55" s="107"/>
    </row>
    <row r="56" ht="17.25" customHeight="1">
      <c r="A56" s="112"/>
      <c r="B56" s="124"/>
      <c r="C56" s="124"/>
      <c r="D56" s="112"/>
      <c r="E56" s="97"/>
      <c r="F56" s="98"/>
      <c r="G56" s="99"/>
      <c r="H56" s="110"/>
      <c r="I56" s="101"/>
      <c r="J56" s="102"/>
      <c r="K56" s="97"/>
      <c r="L56" s="97"/>
      <c r="M56" s="97"/>
      <c r="N56" s="97"/>
      <c r="O56" s="97"/>
      <c r="P56" s="97"/>
      <c r="Q56" s="97"/>
      <c r="R56" s="129"/>
      <c r="S56" s="129"/>
      <c r="T56" s="129"/>
      <c r="U56" s="97"/>
      <c r="V56" s="97"/>
      <c r="W56" s="97"/>
      <c r="X56" s="107"/>
    </row>
    <row r="57" ht="17.25" customHeight="1">
      <c r="A57" s="112"/>
      <c r="B57" s="124"/>
      <c r="C57" s="124"/>
      <c r="D57" s="112"/>
      <c r="E57" s="97"/>
      <c r="F57" s="98"/>
      <c r="G57" s="99"/>
      <c r="H57" s="110"/>
      <c r="I57" s="101"/>
      <c r="J57" s="102"/>
      <c r="K57" s="97"/>
      <c r="L57" s="97"/>
      <c r="M57" s="97"/>
      <c r="N57" s="97"/>
      <c r="O57" s="97"/>
      <c r="P57" s="97"/>
      <c r="Q57" s="97"/>
      <c r="R57" s="129"/>
      <c r="S57" s="129"/>
      <c r="T57" s="129"/>
      <c r="U57" s="97"/>
      <c r="V57" s="97"/>
      <c r="W57" s="97"/>
      <c r="X57" s="107"/>
    </row>
    <row r="58" ht="17.25" customHeight="1">
      <c r="A58" s="112"/>
      <c r="B58" s="124"/>
      <c r="C58" s="124"/>
      <c r="D58" s="112"/>
      <c r="E58" s="97"/>
      <c r="F58" s="98"/>
      <c r="G58" s="99"/>
      <c r="H58" s="110"/>
      <c r="I58" s="101"/>
      <c r="J58" s="102"/>
      <c r="K58" s="97"/>
      <c r="L58" s="97"/>
      <c r="M58" s="97"/>
      <c r="N58" s="97"/>
      <c r="O58" s="97"/>
      <c r="P58" s="97"/>
      <c r="Q58" s="97"/>
      <c r="R58" s="129"/>
      <c r="S58" s="129"/>
      <c r="T58" s="129"/>
      <c r="U58" s="97"/>
      <c r="V58" s="97"/>
      <c r="W58" s="97"/>
      <c r="X58" s="107"/>
    </row>
    <row r="59" ht="17.25" customHeight="1">
      <c r="A59" s="112"/>
      <c r="B59" s="124"/>
      <c r="C59" s="124"/>
      <c r="D59" s="112"/>
      <c r="E59" s="97"/>
      <c r="F59" s="98"/>
      <c r="G59" s="99"/>
      <c r="H59" s="110"/>
      <c r="I59" s="101"/>
      <c r="J59" s="102"/>
      <c r="K59" s="97"/>
      <c r="L59" s="97"/>
      <c r="M59" s="97"/>
      <c r="N59" s="97"/>
      <c r="O59" s="97"/>
      <c r="P59" s="97"/>
      <c r="Q59" s="97"/>
      <c r="R59" s="129"/>
      <c r="S59" s="129"/>
      <c r="T59" s="129"/>
      <c r="U59" s="97"/>
      <c r="V59" s="97"/>
      <c r="W59" s="97"/>
      <c r="X59" s="107"/>
    </row>
    <row r="60" ht="17.25" customHeight="1">
      <c r="A60" s="112"/>
      <c r="B60" s="124"/>
      <c r="C60" s="124"/>
      <c r="D60" s="112"/>
      <c r="E60" s="97"/>
      <c r="F60" s="98"/>
      <c r="G60" s="99"/>
      <c r="H60" s="110"/>
      <c r="I60" s="101"/>
      <c r="J60" s="102"/>
      <c r="K60" s="97"/>
      <c r="L60" s="97"/>
      <c r="M60" s="97"/>
      <c r="N60" s="97"/>
      <c r="O60" s="97"/>
      <c r="P60" s="97"/>
      <c r="Q60" s="97"/>
      <c r="R60" s="129"/>
      <c r="S60" s="129"/>
      <c r="T60" s="129"/>
      <c r="U60" s="97"/>
      <c r="V60" s="97"/>
      <c r="W60" s="97"/>
      <c r="X60" s="107"/>
    </row>
    <row r="61" ht="17.25" customHeight="1">
      <c r="A61" s="112"/>
      <c r="B61" s="124"/>
      <c r="C61" s="124"/>
      <c r="D61" s="112"/>
      <c r="E61" s="97"/>
      <c r="F61" s="98"/>
      <c r="G61" s="99"/>
      <c r="H61" s="110"/>
      <c r="I61" s="101"/>
      <c r="J61" s="102"/>
      <c r="K61" s="97"/>
      <c r="L61" s="97"/>
      <c r="M61" s="97"/>
      <c r="N61" s="97"/>
      <c r="O61" s="97"/>
      <c r="P61" s="97"/>
      <c r="Q61" s="97"/>
      <c r="R61" s="129"/>
      <c r="S61" s="129"/>
      <c r="T61" s="129"/>
      <c r="U61" s="97"/>
      <c r="V61" s="97"/>
      <c r="W61" s="97"/>
      <c r="X61" s="107"/>
    </row>
    <row r="62" ht="17.25" customHeight="1">
      <c r="A62" s="112"/>
      <c r="B62" s="124"/>
      <c r="C62" s="124"/>
      <c r="D62" s="112"/>
      <c r="E62" s="97"/>
      <c r="F62" s="98"/>
      <c r="G62" s="99"/>
      <c r="H62" s="110"/>
      <c r="I62" s="101"/>
      <c r="J62" s="102"/>
      <c r="K62" s="97"/>
      <c r="L62" s="97"/>
      <c r="M62" s="97"/>
      <c r="N62" s="97"/>
      <c r="O62" s="97"/>
      <c r="P62" s="97"/>
      <c r="Q62" s="97"/>
      <c r="R62" s="129"/>
      <c r="S62" s="129"/>
      <c r="T62" s="129"/>
      <c r="U62" s="97"/>
      <c r="V62" s="97"/>
      <c r="W62" s="97"/>
      <c r="X62" s="107"/>
    </row>
    <row r="63" ht="17.25" customHeight="1">
      <c r="A63" s="112"/>
      <c r="B63" s="124"/>
      <c r="C63" s="124"/>
      <c r="D63" s="112"/>
      <c r="E63" s="97"/>
      <c r="F63" s="98"/>
      <c r="G63" s="99"/>
      <c r="H63" s="110"/>
      <c r="I63" s="101"/>
      <c r="J63" s="102"/>
      <c r="K63" s="97"/>
      <c r="L63" s="97"/>
      <c r="M63" s="97"/>
      <c r="N63" s="97"/>
      <c r="O63" s="97"/>
      <c r="P63" s="97"/>
      <c r="Q63" s="97"/>
      <c r="R63" s="129"/>
      <c r="S63" s="129"/>
      <c r="T63" s="129"/>
      <c r="U63" s="97"/>
      <c r="V63" s="97"/>
      <c r="W63" s="97"/>
      <c r="X63" s="107"/>
    </row>
    <row r="64" ht="17.25" customHeight="1">
      <c r="A64" s="112"/>
      <c r="B64" s="124"/>
      <c r="C64" s="124"/>
      <c r="D64" s="112"/>
      <c r="E64" s="97"/>
      <c r="F64" s="98"/>
      <c r="G64" s="99"/>
      <c r="H64" s="110"/>
      <c r="I64" s="101"/>
      <c r="J64" s="102"/>
      <c r="K64" s="97"/>
      <c r="L64" s="97"/>
      <c r="M64" s="97"/>
      <c r="N64" s="97"/>
      <c r="O64" s="97"/>
      <c r="P64" s="97"/>
      <c r="Q64" s="97"/>
      <c r="R64" s="129"/>
      <c r="S64" s="129"/>
      <c r="T64" s="129"/>
      <c r="U64" s="97"/>
      <c r="V64" s="97"/>
      <c r="W64" s="97"/>
      <c r="X64" s="107"/>
    </row>
    <row r="65" ht="17.25" customHeight="1">
      <c r="A65" s="112"/>
      <c r="B65" s="124"/>
      <c r="C65" s="124"/>
      <c r="D65" s="112"/>
      <c r="E65" s="97"/>
      <c r="F65" s="98"/>
      <c r="G65" s="99"/>
      <c r="H65" s="110"/>
      <c r="I65" s="101"/>
      <c r="J65" s="102"/>
      <c r="K65" s="97"/>
      <c r="L65" s="97"/>
      <c r="M65" s="97"/>
      <c r="N65" s="97"/>
      <c r="O65" s="97"/>
      <c r="P65" s="97"/>
      <c r="Q65" s="97"/>
      <c r="R65" s="129"/>
      <c r="S65" s="129"/>
      <c r="T65" s="129"/>
      <c r="U65" s="97"/>
      <c r="V65" s="97"/>
      <c r="W65" s="97"/>
      <c r="X65" s="107"/>
    </row>
    <row r="66" ht="17.25" customHeight="1">
      <c r="A66" s="112"/>
      <c r="B66" s="124"/>
      <c r="C66" s="124"/>
      <c r="D66" s="112"/>
      <c r="E66" s="97"/>
      <c r="F66" s="98"/>
      <c r="G66" s="99"/>
      <c r="H66" s="110"/>
      <c r="I66" s="101"/>
      <c r="J66" s="102"/>
      <c r="K66" s="97"/>
      <c r="L66" s="97"/>
      <c r="M66" s="97"/>
      <c r="N66" s="97"/>
      <c r="O66" s="97"/>
      <c r="P66" s="97"/>
      <c r="Q66" s="97"/>
      <c r="R66" s="129"/>
      <c r="S66" s="129"/>
      <c r="T66" s="129"/>
      <c r="U66" s="97"/>
      <c r="V66" s="97"/>
      <c r="W66" s="97"/>
      <c r="X66" s="107"/>
    </row>
    <row r="67" ht="17.25" customHeight="1">
      <c r="A67" s="112"/>
      <c r="B67" s="124"/>
      <c r="C67" s="124"/>
      <c r="D67" s="112"/>
      <c r="E67" s="97"/>
      <c r="F67" s="98"/>
      <c r="G67" s="99"/>
      <c r="H67" s="110"/>
      <c r="I67" s="101"/>
      <c r="J67" s="102"/>
      <c r="K67" s="97"/>
      <c r="L67" s="97"/>
      <c r="M67" s="97"/>
      <c r="N67" s="97"/>
      <c r="O67" s="97"/>
      <c r="P67" s="97"/>
      <c r="Q67" s="97"/>
      <c r="R67" s="129"/>
      <c r="S67" s="129"/>
      <c r="T67" s="129"/>
      <c r="U67" s="97"/>
      <c r="V67" s="97"/>
      <c r="W67" s="97"/>
      <c r="X67" s="107"/>
    </row>
    <row r="68" ht="17.25" customHeight="1">
      <c r="A68" s="112"/>
      <c r="B68" s="124"/>
      <c r="C68" s="124"/>
      <c r="D68" s="112"/>
      <c r="E68" s="97"/>
      <c r="F68" s="98"/>
      <c r="G68" s="99"/>
      <c r="H68" s="110"/>
      <c r="I68" s="101"/>
      <c r="J68" s="102"/>
      <c r="K68" s="97"/>
      <c r="L68" s="97"/>
      <c r="M68" s="97"/>
      <c r="N68" s="97"/>
      <c r="O68" s="97"/>
      <c r="P68" s="97"/>
      <c r="Q68" s="97"/>
      <c r="R68" s="129"/>
      <c r="S68" s="129"/>
      <c r="T68" s="129"/>
      <c r="U68" s="97"/>
      <c r="V68" s="97"/>
      <c r="W68" s="97"/>
      <c r="X68" s="107"/>
    </row>
    <row r="69" ht="17.25" customHeight="1">
      <c r="A69" s="112"/>
      <c r="B69" s="124"/>
      <c r="C69" s="124"/>
      <c r="D69" s="112"/>
      <c r="E69" s="97"/>
      <c r="F69" s="98"/>
      <c r="G69" s="99"/>
      <c r="H69" s="110"/>
      <c r="I69" s="101"/>
      <c r="J69" s="102"/>
      <c r="K69" s="97"/>
      <c r="L69" s="97"/>
      <c r="M69" s="97"/>
      <c r="N69" s="97"/>
      <c r="O69" s="97"/>
      <c r="P69" s="97"/>
      <c r="Q69" s="97"/>
      <c r="R69" s="129"/>
      <c r="S69" s="129"/>
      <c r="T69" s="129"/>
      <c r="U69" s="97"/>
      <c r="V69" s="97"/>
      <c r="W69" s="97"/>
      <c r="X69" s="107"/>
    </row>
    <row r="70" ht="17.25" customHeight="1">
      <c r="A70" s="112"/>
      <c r="B70" s="124"/>
      <c r="C70" s="124"/>
      <c r="D70" s="112"/>
      <c r="E70" s="97"/>
      <c r="F70" s="98"/>
      <c r="G70" s="99"/>
      <c r="H70" s="110"/>
      <c r="I70" s="101"/>
      <c r="J70" s="102"/>
      <c r="K70" s="97"/>
      <c r="L70" s="97"/>
      <c r="M70" s="97"/>
      <c r="N70" s="97"/>
      <c r="O70" s="97"/>
      <c r="P70" s="97"/>
      <c r="Q70" s="97"/>
      <c r="R70" s="129"/>
      <c r="S70" s="129"/>
      <c r="T70" s="129"/>
      <c r="U70" s="97"/>
      <c r="V70" s="97"/>
      <c r="W70" s="97"/>
      <c r="X70" s="107"/>
    </row>
    <row r="71" ht="17.25" customHeight="1">
      <c r="A71" s="112"/>
      <c r="B71" s="124"/>
      <c r="C71" s="124"/>
      <c r="D71" s="112"/>
      <c r="E71" s="97"/>
      <c r="F71" s="98"/>
      <c r="G71" s="99"/>
      <c r="H71" s="110"/>
      <c r="I71" s="101"/>
      <c r="J71" s="102"/>
      <c r="K71" s="97"/>
      <c r="L71" s="97"/>
      <c r="M71" s="97"/>
      <c r="N71" s="97"/>
      <c r="O71" s="97"/>
      <c r="P71" s="97"/>
      <c r="Q71" s="97"/>
      <c r="R71" s="129"/>
      <c r="S71" s="129"/>
      <c r="T71" s="129"/>
      <c r="U71" s="97"/>
      <c r="V71" s="97"/>
      <c r="W71" s="97"/>
      <c r="X71" s="107"/>
    </row>
    <row r="72" ht="17.25" customHeight="1">
      <c r="A72" s="112"/>
      <c r="B72" s="124"/>
      <c r="C72" s="124"/>
      <c r="D72" s="112"/>
      <c r="E72" s="97"/>
      <c r="F72" s="98"/>
      <c r="G72" s="99"/>
      <c r="H72" s="110"/>
      <c r="I72" s="101"/>
      <c r="J72" s="102"/>
      <c r="K72" s="97"/>
      <c r="L72" s="97"/>
      <c r="M72" s="97"/>
      <c r="N72" s="97"/>
      <c r="O72" s="97"/>
      <c r="P72" s="97"/>
      <c r="Q72" s="97"/>
      <c r="R72" s="129"/>
      <c r="S72" s="129"/>
      <c r="T72" s="129"/>
      <c r="U72" s="97"/>
      <c r="V72" s="97"/>
      <c r="W72" s="97"/>
      <c r="X72" s="107"/>
    </row>
    <row r="73" ht="17.25" customHeight="1">
      <c r="A73" s="112"/>
      <c r="B73" s="124"/>
      <c r="C73" s="124"/>
      <c r="D73" s="112"/>
      <c r="E73" s="97"/>
      <c r="F73" s="98"/>
      <c r="G73" s="99"/>
      <c r="H73" s="110"/>
      <c r="I73" s="101"/>
      <c r="J73" s="102"/>
      <c r="K73" s="97"/>
      <c r="L73" s="97"/>
      <c r="M73" s="97"/>
      <c r="N73" s="97"/>
      <c r="O73" s="97"/>
      <c r="P73" s="97"/>
      <c r="Q73" s="97"/>
      <c r="R73" s="129"/>
      <c r="S73" s="129"/>
      <c r="T73" s="129"/>
      <c r="U73" s="97"/>
      <c r="V73" s="97"/>
      <c r="W73" s="97"/>
      <c r="X73" s="107"/>
    </row>
    <row r="74" ht="17.25" customHeight="1">
      <c r="A74" s="112"/>
      <c r="B74" s="124"/>
      <c r="C74" s="124"/>
      <c r="D74" s="112"/>
      <c r="E74" s="97"/>
      <c r="F74" s="98"/>
      <c r="G74" s="99"/>
      <c r="H74" s="110"/>
      <c r="I74" s="101"/>
      <c r="J74" s="102"/>
      <c r="K74" s="97"/>
      <c r="L74" s="97"/>
      <c r="M74" s="97"/>
      <c r="N74" s="97"/>
      <c r="O74" s="97"/>
      <c r="P74" s="97"/>
      <c r="Q74" s="97"/>
      <c r="R74" s="129"/>
      <c r="S74" s="129"/>
      <c r="T74" s="129"/>
      <c r="U74" s="97"/>
      <c r="V74" s="97"/>
      <c r="W74" s="97"/>
      <c r="X74" s="107"/>
    </row>
    <row r="75" ht="17.25" customHeight="1">
      <c r="A75" s="112"/>
      <c r="B75" s="124"/>
      <c r="C75" s="124"/>
      <c r="D75" s="112"/>
      <c r="E75" s="97"/>
      <c r="F75" s="98"/>
      <c r="G75" s="99"/>
      <c r="H75" s="110"/>
      <c r="I75" s="101"/>
      <c r="J75" s="102"/>
      <c r="K75" s="97"/>
      <c r="L75" s="97"/>
      <c r="M75" s="97"/>
      <c r="N75" s="97"/>
      <c r="O75" s="97"/>
      <c r="P75" s="97"/>
      <c r="Q75" s="97"/>
      <c r="R75" s="129"/>
      <c r="S75" s="129"/>
      <c r="T75" s="129"/>
      <c r="U75" s="97"/>
      <c r="V75" s="97"/>
      <c r="W75" s="97"/>
      <c r="X75" s="107"/>
    </row>
    <row r="76" ht="17.25" customHeight="1">
      <c r="A76" s="112"/>
      <c r="B76" s="124"/>
      <c r="C76" s="124"/>
      <c r="D76" s="112"/>
      <c r="E76" s="97"/>
      <c r="F76" s="98"/>
      <c r="G76" s="99"/>
      <c r="H76" s="110"/>
      <c r="I76" s="101"/>
      <c r="J76" s="102"/>
      <c r="K76" s="97"/>
      <c r="L76" s="97"/>
      <c r="M76" s="97"/>
      <c r="N76" s="97"/>
      <c r="O76" s="97"/>
      <c r="P76" s="97"/>
      <c r="Q76" s="97"/>
      <c r="R76" s="129"/>
      <c r="S76" s="129"/>
      <c r="T76" s="129"/>
      <c r="U76" s="97"/>
      <c r="V76" s="97"/>
      <c r="W76" s="97"/>
      <c r="X76" s="107"/>
    </row>
    <row r="77" ht="17.25" customHeight="1">
      <c r="A77" s="112"/>
      <c r="B77" s="124"/>
      <c r="C77" s="124"/>
      <c r="D77" s="112"/>
      <c r="E77" s="97"/>
      <c r="F77" s="98"/>
      <c r="G77" s="99"/>
      <c r="H77" s="110"/>
      <c r="I77" s="101"/>
      <c r="J77" s="102"/>
      <c r="K77" s="97"/>
      <c r="L77" s="97"/>
      <c r="M77" s="97"/>
      <c r="N77" s="97"/>
      <c r="O77" s="97"/>
      <c r="P77" s="97"/>
      <c r="Q77" s="97"/>
      <c r="R77" s="129"/>
      <c r="S77" s="129"/>
      <c r="T77" s="129"/>
      <c r="U77" s="97"/>
      <c r="V77" s="97"/>
      <c r="W77" s="97"/>
      <c r="X77" s="107"/>
    </row>
    <row r="78" ht="17.25" customHeight="1">
      <c r="A78" s="112"/>
      <c r="B78" s="124"/>
      <c r="C78" s="124"/>
      <c r="D78" s="112"/>
      <c r="E78" s="97"/>
      <c r="F78" s="98"/>
      <c r="G78" s="99"/>
      <c r="H78" s="110"/>
      <c r="I78" s="101"/>
      <c r="J78" s="102"/>
      <c r="K78" s="97"/>
      <c r="L78" s="97"/>
      <c r="M78" s="97"/>
      <c r="N78" s="97"/>
      <c r="O78" s="97"/>
      <c r="P78" s="97"/>
      <c r="Q78" s="97"/>
      <c r="R78" s="129"/>
      <c r="S78" s="129"/>
      <c r="T78" s="129"/>
      <c r="U78" s="97"/>
      <c r="V78" s="97"/>
      <c r="W78" s="97"/>
      <c r="X78" s="107"/>
    </row>
  </sheetData>
  <autoFilter ref="$B$5:$W$39">
    <filterColumn colId="8">
      <filters>
        <filter val="3.16%"/>
        <filter val="17.37%"/>
        <filter val="5.19%"/>
        <filter val="9.65%"/>
        <filter val="5.56%"/>
        <filter val="5.77%"/>
        <filter val="3.78%"/>
        <filter val="3.67%"/>
        <filter val="0.91%"/>
        <filter val="3.80%"/>
        <filter val="2.09%"/>
        <filter val="13.58%"/>
        <filter val="9.12%"/>
        <filter val="4.22%"/>
        <filter val="0.59%"/>
        <filter val="0.15%"/>
        <filter val="4.58%"/>
        <filter val="0.34%"/>
        <filter val="0.55%"/>
        <filter val="2.89%"/>
        <filter val="2.99%"/>
      </filters>
    </filterColumn>
    <sortState ref="B5:W39">
      <sortCondition descending="1" ref="J5:J39"/>
    </sortState>
  </autoFilter>
  <customSheetViews>
    <customSheetView guid="{F856818F-A058-4EE9-87F4-CF4D29DD3AFB}" filter="1" showAutoFilter="1">
      <autoFilter ref="$B$5:$W$39">
        <sortState ref="B5:W39">
          <sortCondition descending="1" ref="N5:N39"/>
        </sortState>
      </autoFilter>
    </customSheetView>
    <customSheetView guid="{211266BA-7D4F-434C-A6B9-08541D97D023}" filter="1" showAutoFilter="1">
      <autoFilter ref="$B$5:$W$39">
        <filterColumn colId="12">
          <filters>
            <filter val="25.8%"/>
            <filter val="32.0%"/>
            <filter val="0.0%"/>
            <filter val="189.7%"/>
            <filter val="65.9%"/>
            <filter val="69.7%"/>
            <filter val="-26.3%"/>
            <filter val="175.4%"/>
            <filter val="-21.8%"/>
            <filter val="107.3%"/>
            <filter val="42.5%"/>
            <filter val="21.1%"/>
            <filter val="279.9%"/>
            <filter val="38.0%"/>
            <filter val="176.9%"/>
            <filter val="-23.0%"/>
            <filter val="183.5%"/>
            <filter val="97.4%"/>
            <filter val="96.5%"/>
            <filter val="145.3%"/>
            <filter val="0.00%"/>
            <filter val="124.8%"/>
            <filter val="7.5%"/>
            <filter val="-57.3%"/>
          </filters>
        </filterColumn>
      </autoFilter>
    </customSheetView>
  </customSheetViews>
  <mergeCells count="1">
    <mergeCell ref="B3:D3"/>
  </mergeCells>
  <conditionalFormatting sqref="F6:F38 G6:G78 F40:F78">
    <cfRule type="cellIs" dxfId="3" priority="1" operator="greaterThan">
      <formula>0</formula>
    </cfRule>
  </conditionalFormatting>
  <conditionalFormatting sqref="F6:F38 G6:G78 F40:F78">
    <cfRule type="cellIs" dxfId="4" priority="2" operator="lessThan">
      <formula>0</formula>
    </cfRule>
  </conditionalFormatting>
  <conditionalFormatting sqref="N6:N39">
    <cfRule type="colorScale" priority="3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F1 H1">
    <cfRule type="cellIs" dxfId="5" priority="4" operator="greaterThan">
      <formula>35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3.38"/>
    <col customWidth="1" min="19" max="19" width="24.38"/>
  </cols>
  <sheetData>
    <row r="1" ht="11.25" customHeight="1">
      <c r="A1" s="64"/>
      <c r="B1" s="64"/>
      <c r="C1" s="64"/>
      <c r="D1" s="88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9"/>
      <c r="S1" s="69"/>
      <c r="T1" s="69"/>
      <c r="U1" s="64"/>
      <c r="V1" s="64"/>
      <c r="W1" s="64"/>
      <c r="X1" s="64"/>
    </row>
    <row r="2" ht="36.75" customHeight="1">
      <c r="A2" s="131" t="s">
        <v>164</v>
      </c>
      <c r="B2" s="131" t="s">
        <v>165</v>
      </c>
      <c r="C2" s="131" t="s">
        <v>166</v>
      </c>
      <c r="D2" s="131" t="s">
        <v>167</v>
      </c>
      <c r="E2" s="131" t="s">
        <v>168</v>
      </c>
      <c r="F2" s="131" t="s">
        <v>169</v>
      </c>
      <c r="G2" s="131" t="s">
        <v>170</v>
      </c>
      <c r="H2" s="131" t="s">
        <v>171</v>
      </c>
      <c r="I2" s="131" t="s">
        <v>85</v>
      </c>
      <c r="J2" s="131" t="s">
        <v>172</v>
      </c>
      <c r="K2" s="131" t="s">
        <v>173</v>
      </c>
      <c r="L2" s="131" t="s">
        <v>174</v>
      </c>
      <c r="M2" s="131" t="s">
        <v>175</v>
      </c>
      <c r="N2" s="131" t="s">
        <v>176</v>
      </c>
      <c r="O2" s="131" t="s">
        <v>177</v>
      </c>
      <c r="P2" s="131" t="s">
        <v>178</v>
      </c>
      <c r="Q2" s="132" t="s">
        <v>179</v>
      </c>
      <c r="R2" s="132" t="s">
        <v>180</v>
      </c>
      <c r="S2" s="132" t="s">
        <v>181</v>
      </c>
      <c r="T2" s="132" t="s">
        <v>182</v>
      </c>
      <c r="U2" s="131" t="s">
        <v>183</v>
      </c>
      <c r="V2" s="131" t="s">
        <v>184</v>
      </c>
      <c r="X2" s="93"/>
    </row>
    <row r="3" ht="17.25" customHeight="1">
      <c r="A3" s="133"/>
      <c r="B3" s="133"/>
      <c r="C3" s="133"/>
      <c r="D3" s="133"/>
      <c r="E3" s="134"/>
      <c r="F3" s="135"/>
      <c r="G3" s="136"/>
      <c r="H3" s="136"/>
      <c r="I3" s="137"/>
      <c r="J3" s="138"/>
      <c r="K3" s="139"/>
      <c r="L3" s="140"/>
      <c r="M3" s="139"/>
      <c r="N3" s="138"/>
      <c r="O3" s="141"/>
      <c r="P3" s="142"/>
      <c r="Q3" s="142"/>
      <c r="R3" s="136"/>
      <c r="S3" s="136"/>
      <c r="T3" s="136"/>
      <c r="U3" s="138"/>
      <c r="V3" s="133"/>
      <c r="W3" s="106"/>
      <c r="X3" s="107"/>
    </row>
    <row r="4" ht="17.25" customHeight="1">
      <c r="A4" s="133"/>
      <c r="B4" s="133"/>
      <c r="C4" s="133"/>
      <c r="D4" s="133"/>
      <c r="E4" s="134"/>
      <c r="F4" s="135"/>
      <c r="G4" s="136"/>
      <c r="H4" s="136"/>
      <c r="I4" s="137"/>
      <c r="J4" s="138"/>
      <c r="K4" s="139"/>
      <c r="L4" s="140"/>
      <c r="M4" s="139"/>
      <c r="N4" s="138"/>
      <c r="O4" s="141"/>
      <c r="P4" s="142"/>
      <c r="Q4" s="142"/>
      <c r="R4" s="136"/>
      <c r="S4" s="136"/>
      <c r="T4" s="136"/>
      <c r="U4" s="136"/>
      <c r="V4" s="133"/>
      <c r="W4" s="106"/>
      <c r="X4" s="107"/>
    </row>
    <row r="5" ht="17.25" customHeight="1">
      <c r="A5" s="143"/>
      <c r="B5" s="143"/>
      <c r="C5" s="143"/>
      <c r="D5" s="143"/>
      <c r="E5" s="144"/>
      <c r="F5" s="145"/>
      <c r="G5" s="146"/>
      <c r="H5" s="147"/>
      <c r="I5" s="148"/>
      <c r="J5" s="138"/>
      <c r="K5" s="144"/>
      <c r="L5" s="139"/>
      <c r="M5" s="144"/>
      <c r="N5" s="138"/>
      <c r="O5" s="144"/>
      <c r="P5" s="144"/>
      <c r="Q5" s="144"/>
      <c r="R5" s="149"/>
      <c r="S5" s="138"/>
      <c r="T5" s="138"/>
      <c r="U5" s="150"/>
      <c r="V5" s="149"/>
      <c r="W5" s="106"/>
      <c r="X5" s="107"/>
    </row>
    <row r="6" ht="17.25" customHeight="1">
      <c r="A6" s="151"/>
      <c r="B6" s="143"/>
      <c r="C6" s="143"/>
      <c r="D6" s="143"/>
      <c r="E6" s="144"/>
      <c r="F6" s="145"/>
      <c r="G6" s="146"/>
      <c r="H6" s="147"/>
      <c r="I6" s="148"/>
      <c r="J6" s="138"/>
      <c r="K6" s="144"/>
      <c r="L6" s="139"/>
      <c r="M6" s="144"/>
      <c r="N6" s="138"/>
      <c r="O6" s="144"/>
      <c r="P6" s="147"/>
      <c r="Q6" s="147"/>
      <c r="R6" s="147"/>
      <c r="S6" s="136"/>
      <c r="T6" s="136"/>
      <c r="U6" s="138"/>
      <c r="V6" s="149"/>
      <c r="W6" s="106"/>
      <c r="X6" s="107"/>
    </row>
    <row r="7" ht="17.25" customHeight="1">
      <c r="A7" s="151"/>
      <c r="B7" s="143"/>
      <c r="C7" s="143"/>
      <c r="D7" s="143"/>
      <c r="E7" s="144"/>
      <c r="F7" s="145"/>
      <c r="G7" s="146"/>
      <c r="H7" s="143"/>
      <c r="I7" s="148"/>
      <c r="J7" s="138"/>
      <c r="K7" s="144"/>
      <c r="L7" s="139"/>
      <c r="M7" s="144"/>
      <c r="N7" s="138"/>
      <c r="O7" s="144"/>
      <c r="P7" s="144"/>
      <c r="Q7" s="144"/>
      <c r="R7" s="144"/>
      <c r="S7" s="139"/>
      <c r="T7" s="139"/>
      <c r="U7" s="138"/>
      <c r="V7" s="149"/>
      <c r="W7" s="106"/>
      <c r="X7" s="107"/>
    </row>
    <row r="8" ht="17.25" customHeight="1">
      <c r="A8" s="143"/>
      <c r="B8" s="143"/>
      <c r="C8" s="143"/>
      <c r="D8" s="143"/>
      <c r="E8" s="144"/>
      <c r="F8" s="145"/>
      <c r="G8" s="146"/>
      <c r="H8" s="147"/>
      <c r="I8" s="148"/>
      <c r="J8" s="138"/>
      <c r="K8" s="144"/>
      <c r="L8" s="139"/>
      <c r="M8" s="144"/>
      <c r="N8" s="138"/>
      <c r="O8" s="144"/>
      <c r="P8" s="147"/>
      <c r="Q8" s="147"/>
      <c r="R8" s="147"/>
      <c r="S8" s="136"/>
      <c r="T8" s="136"/>
      <c r="U8" s="138"/>
      <c r="V8" s="149"/>
      <c r="W8" s="106"/>
      <c r="X8" s="107"/>
    </row>
    <row r="9" ht="17.25" customHeight="1">
      <c r="A9" s="143"/>
      <c r="B9" s="143"/>
      <c r="C9" s="143"/>
      <c r="D9" s="143"/>
      <c r="E9" s="144"/>
      <c r="F9" s="145"/>
      <c r="G9" s="146"/>
      <c r="H9" s="152"/>
      <c r="I9" s="148"/>
      <c r="J9" s="138"/>
      <c r="K9" s="144"/>
      <c r="L9" s="139"/>
      <c r="M9" s="144"/>
      <c r="N9" s="138"/>
      <c r="O9" s="144"/>
      <c r="P9" s="144"/>
      <c r="Q9" s="144"/>
      <c r="R9" s="149"/>
      <c r="S9" s="138"/>
      <c r="T9" s="138"/>
      <c r="U9" s="138"/>
      <c r="V9" s="149"/>
      <c r="W9" s="106"/>
      <c r="X9" s="107"/>
    </row>
    <row r="10" ht="17.25" customHeight="1">
      <c r="A10" s="151"/>
      <c r="B10" s="143"/>
      <c r="C10" s="143"/>
      <c r="D10" s="143"/>
      <c r="E10" s="144"/>
      <c r="F10" s="145"/>
      <c r="G10" s="146"/>
      <c r="H10" s="147"/>
      <c r="I10" s="148"/>
      <c r="J10" s="138"/>
      <c r="K10" s="144"/>
      <c r="L10" s="139"/>
      <c r="M10" s="144"/>
      <c r="N10" s="138"/>
      <c r="O10" s="144"/>
      <c r="P10" s="147"/>
      <c r="Q10" s="147"/>
      <c r="R10" s="147"/>
      <c r="S10" s="136"/>
      <c r="T10" s="136"/>
      <c r="U10" s="138"/>
      <c r="V10" s="149"/>
      <c r="W10" s="106"/>
      <c r="X10" s="107"/>
    </row>
    <row r="11">
      <c r="A11" s="151"/>
      <c r="B11" s="151"/>
      <c r="C11" s="151"/>
      <c r="D11" s="151"/>
      <c r="E11" s="151"/>
      <c r="F11" s="151"/>
      <c r="G11" s="151"/>
      <c r="H11" s="151"/>
      <c r="I11" s="151"/>
      <c r="J11" s="138"/>
      <c r="K11" s="151"/>
      <c r="L11" s="138"/>
      <c r="M11" s="151"/>
      <c r="N11" s="138"/>
      <c r="O11" s="151"/>
      <c r="P11" s="151"/>
      <c r="Q11" s="151"/>
      <c r="R11" s="151"/>
      <c r="S11" s="138"/>
      <c r="T11" s="138"/>
      <c r="U11" s="138"/>
      <c r="V11" s="151"/>
    </row>
    <row r="12">
      <c r="A12" s="151"/>
      <c r="B12" s="151"/>
      <c r="C12" s="151"/>
      <c r="D12" s="151"/>
      <c r="E12" s="151"/>
      <c r="F12" s="151"/>
      <c r="G12" s="151"/>
      <c r="H12" s="151"/>
      <c r="I12" s="151"/>
      <c r="J12" s="138"/>
      <c r="K12" s="151"/>
      <c r="L12" s="138"/>
      <c r="M12" s="151"/>
      <c r="N12" s="138"/>
      <c r="O12" s="151"/>
      <c r="P12" s="151"/>
      <c r="Q12" s="151"/>
      <c r="R12" s="151"/>
      <c r="S12" s="138"/>
      <c r="T12" s="138"/>
      <c r="U12" s="138"/>
      <c r="V12" s="151"/>
    </row>
    <row r="13">
      <c r="A13" s="151"/>
      <c r="B13" s="151"/>
      <c r="C13" s="151"/>
      <c r="D13" s="151"/>
      <c r="E13" s="151"/>
      <c r="F13" s="151"/>
      <c r="G13" s="151"/>
      <c r="H13" s="151"/>
      <c r="I13" s="151"/>
      <c r="J13" s="138"/>
      <c r="K13" s="151"/>
      <c r="L13" s="138"/>
      <c r="M13" s="151"/>
      <c r="N13" s="138"/>
      <c r="O13" s="151"/>
      <c r="P13" s="151"/>
      <c r="Q13" s="151"/>
      <c r="R13" s="151"/>
      <c r="S13" s="138"/>
      <c r="T13" s="138"/>
      <c r="U13" s="138"/>
      <c r="V13" s="151"/>
    </row>
    <row r="14">
      <c r="A14" s="151"/>
      <c r="B14" s="151"/>
      <c r="C14" s="151"/>
      <c r="D14" s="151"/>
      <c r="E14" s="151"/>
      <c r="F14" s="151"/>
      <c r="G14" s="151"/>
      <c r="H14" s="151"/>
      <c r="I14" s="151"/>
      <c r="J14" s="138"/>
      <c r="K14" s="151"/>
      <c r="L14" s="138"/>
      <c r="M14" s="151"/>
      <c r="N14" s="138"/>
      <c r="O14" s="151"/>
      <c r="P14" s="151"/>
      <c r="Q14" s="151"/>
      <c r="R14" s="151"/>
      <c r="S14" s="138"/>
      <c r="T14" s="138"/>
      <c r="U14" s="138"/>
      <c r="V14" s="151"/>
    </row>
    <row r="15">
      <c r="A15" s="151"/>
      <c r="B15" s="151"/>
      <c r="C15" s="151"/>
      <c r="D15" s="151"/>
      <c r="E15" s="151"/>
      <c r="F15" s="151"/>
      <c r="G15" s="151"/>
      <c r="H15" s="151"/>
      <c r="I15" s="151"/>
      <c r="J15" s="138"/>
      <c r="K15" s="151"/>
      <c r="L15" s="138"/>
      <c r="M15" s="151"/>
      <c r="N15" s="138"/>
      <c r="O15" s="151"/>
      <c r="P15" s="151"/>
      <c r="Q15" s="151"/>
      <c r="R15" s="151"/>
      <c r="S15" s="138"/>
      <c r="T15" s="138"/>
      <c r="U15" s="138"/>
      <c r="V15" s="151"/>
    </row>
    <row r="16">
      <c r="A16" s="151"/>
      <c r="B16" s="151"/>
      <c r="C16" s="151"/>
      <c r="D16" s="151"/>
      <c r="E16" s="151"/>
      <c r="F16" s="151"/>
      <c r="G16" s="151"/>
      <c r="H16" s="151"/>
      <c r="I16" s="151"/>
      <c r="J16" s="138"/>
      <c r="K16" s="151"/>
      <c r="L16" s="138"/>
      <c r="M16" s="151"/>
      <c r="N16" s="138"/>
      <c r="O16" s="151"/>
      <c r="P16" s="151"/>
      <c r="Q16" s="151"/>
      <c r="R16" s="151"/>
      <c r="S16" s="138"/>
      <c r="T16" s="138"/>
      <c r="U16" s="138"/>
      <c r="V16" s="151"/>
    </row>
    <row r="17">
      <c r="A17" s="151"/>
      <c r="B17" s="151"/>
      <c r="C17" s="151"/>
      <c r="D17" s="151"/>
      <c r="E17" s="151"/>
      <c r="F17" s="151"/>
      <c r="G17" s="151"/>
      <c r="H17" s="151"/>
      <c r="I17" s="151"/>
      <c r="J17" s="138"/>
      <c r="K17" s="151"/>
      <c r="L17" s="138"/>
      <c r="M17" s="151"/>
      <c r="N17" s="138"/>
      <c r="O17" s="151"/>
      <c r="P17" s="151"/>
      <c r="Q17" s="151"/>
      <c r="R17" s="151"/>
      <c r="S17" s="138"/>
      <c r="T17" s="138"/>
      <c r="U17" s="138"/>
      <c r="V17" s="151"/>
    </row>
    <row r="18">
      <c r="A18" s="151"/>
      <c r="B18" s="151"/>
      <c r="C18" s="151"/>
      <c r="D18" s="151"/>
      <c r="E18" s="151"/>
      <c r="F18" s="151"/>
      <c r="G18" s="151"/>
      <c r="H18" s="151"/>
      <c r="I18" s="151"/>
      <c r="J18" s="138"/>
      <c r="K18" s="151"/>
      <c r="L18" s="138"/>
      <c r="M18" s="151"/>
      <c r="N18" s="138"/>
      <c r="O18" s="151"/>
      <c r="P18" s="151"/>
      <c r="Q18" s="151"/>
      <c r="R18" s="151"/>
      <c r="S18" s="138"/>
      <c r="T18" s="138"/>
      <c r="U18" s="138"/>
      <c r="V18" s="151"/>
    </row>
    <row r="19">
      <c r="A19" s="151"/>
      <c r="B19" s="151"/>
      <c r="C19" s="151"/>
      <c r="D19" s="151"/>
      <c r="E19" s="151"/>
      <c r="F19" s="151"/>
      <c r="G19" s="151"/>
      <c r="H19" s="151"/>
      <c r="I19" s="151"/>
      <c r="J19" s="138"/>
      <c r="K19" s="151"/>
      <c r="L19" s="138"/>
      <c r="M19" s="151"/>
      <c r="N19" s="138"/>
      <c r="O19" s="151"/>
      <c r="P19" s="151"/>
      <c r="Q19" s="151"/>
      <c r="R19" s="151"/>
      <c r="S19" s="138"/>
      <c r="T19" s="138"/>
      <c r="U19" s="138"/>
      <c r="V19" s="151"/>
    </row>
    <row r="20">
      <c r="A20" s="151"/>
      <c r="B20" s="151"/>
      <c r="C20" s="151"/>
      <c r="D20" s="151"/>
      <c r="E20" s="151"/>
      <c r="F20" s="151"/>
      <c r="G20" s="151"/>
      <c r="H20" s="151"/>
      <c r="I20" s="151"/>
      <c r="J20" s="138"/>
      <c r="K20" s="151"/>
      <c r="L20" s="138"/>
      <c r="M20" s="151"/>
      <c r="N20" s="138"/>
      <c r="O20" s="151"/>
      <c r="P20" s="151"/>
      <c r="Q20" s="151"/>
      <c r="R20" s="151"/>
      <c r="S20" s="138"/>
      <c r="T20" s="138"/>
      <c r="U20" s="138"/>
      <c r="V20" s="151"/>
    </row>
    <row r="21">
      <c r="A21" s="151"/>
      <c r="B21" s="151"/>
      <c r="C21" s="151"/>
      <c r="D21" s="151"/>
      <c r="E21" s="151"/>
      <c r="F21" s="151"/>
      <c r="G21" s="151"/>
      <c r="H21" s="151"/>
      <c r="I21" s="151"/>
      <c r="J21" s="138"/>
      <c r="K21" s="151"/>
      <c r="L21" s="138"/>
      <c r="M21" s="151"/>
      <c r="N21" s="138"/>
      <c r="O21" s="151"/>
      <c r="P21" s="151"/>
      <c r="Q21" s="151"/>
      <c r="R21" s="151"/>
      <c r="S21" s="138"/>
      <c r="T21" s="138"/>
      <c r="U21" s="138"/>
      <c r="V21" s="151"/>
    </row>
    <row r="22">
      <c r="A22" s="151"/>
      <c r="B22" s="151"/>
      <c r="C22" s="151"/>
      <c r="D22" s="151"/>
      <c r="E22" s="151"/>
      <c r="F22" s="151"/>
      <c r="G22" s="151"/>
      <c r="H22" s="151"/>
      <c r="I22" s="151"/>
      <c r="J22" s="138"/>
      <c r="K22" s="151"/>
      <c r="L22" s="138"/>
      <c r="M22" s="151"/>
      <c r="N22" s="138"/>
      <c r="O22" s="151"/>
      <c r="P22" s="151"/>
      <c r="Q22" s="151"/>
      <c r="R22" s="151"/>
      <c r="S22" s="138"/>
      <c r="T22" s="138"/>
      <c r="U22" s="138"/>
      <c r="V22" s="151"/>
    </row>
    <row r="23">
      <c r="A23" s="151"/>
      <c r="B23" s="151"/>
      <c r="C23" s="151"/>
      <c r="D23" s="151"/>
      <c r="E23" s="151"/>
      <c r="F23" s="151"/>
      <c r="G23" s="151"/>
      <c r="H23" s="151"/>
      <c r="I23" s="151"/>
      <c r="J23" s="138"/>
      <c r="K23" s="151"/>
      <c r="L23" s="138"/>
      <c r="M23" s="151"/>
      <c r="N23" s="138"/>
      <c r="O23" s="151"/>
      <c r="P23" s="151"/>
      <c r="Q23" s="151"/>
      <c r="R23" s="151"/>
      <c r="S23" s="138"/>
      <c r="T23" s="138"/>
      <c r="U23" s="138"/>
      <c r="V23" s="151"/>
    </row>
    <row r="24">
      <c r="A24" s="151"/>
      <c r="B24" s="151"/>
      <c r="C24" s="151"/>
      <c r="D24" s="151"/>
      <c r="E24" s="151"/>
      <c r="F24" s="151"/>
      <c r="G24" s="151"/>
      <c r="H24" s="151"/>
      <c r="I24" s="151"/>
      <c r="J24" s="138"/>
      <c r="K24" s="151"/>
      <c r="L24" s="138"/>
      <c r="M24" s="151"/>
      <c r="N24" s="138"/>
      <c r="O24" s="151"/>
      <c r="P24" s="151"/>
      <c r="Q24" s="151"/>
      <c r="R24" s="151"/>
      <c r="S24" s="138"/>
      <c r="T24" s="138"/>
      <c r="U24" s="138"/>
      <c r="V24" s="151"/>
    </row>
    <row r="25">
      <c r="A25" s="151"/>
      <c r="B25" s="151"/>
      <c r="C25" s="151"/>
      <c r="D25" s="151"/>
      <c r="E25" s="151"/>
      <c r="F25" s="151"/>
      <c r="G25" s="151"/>
      <c r="H25" s="151"/>
      <c r="I25" s="151"/>
      <c r="J25" s="138"/>
      <c r="K25" s="151"/>
      <c r="L25" s="138"/>
      <c r="M25" s="151"/>
      <c r="N25" s="138"/>
      <c r="O25" s="151"/>
      <c r="P25" s="151"/>
      <c r="Q25" s="151"/>
      <c r="R25" s="151"/>
      <c r="S25" s="138"/>
      <c r="T25" s="138"/>
      <c r="U25" s="138"/>
      <c r="V25" s="151"/>
    </row>
    <row r="26">
      <c r="A26" s="151"/>
      <c r="B26" s="151"/>
      <c r="C26" s="151"/>
      <c r="D26" s="151"/>
      <c r="E26" s="151"/>
      <c r="F26" s="151"/>
      <c r="G26" s="151"/>
      <c r="H26" s="151"/>
      <c r="I26" s="151"/>
      <c r="J26" s="138"/>
      <c r="K26" s="151"/>
      <c r="L26" s="138"/>
      <c r="M26" s="151"/>
      <c r="N26" s="138"/>
      <c r="O26" s="151"/>
      <c r="P26" s="151"/>
      <c r="Q26" s="151"/>
      <c r="R26" s="151"/>
      <c r="S26" s="138"/>
      <c r="T26" s="138"/>
      <c r="U26" s="138"/>
      <c r="V26" s="151"/>
    </row>
    <row r="27">
      <c r="A27" s="151"/>
      <c r="B27" s="151"/>
      <c r="C27" s="151"/>
      <c r="D27" s="151"/>
      <c r="E27" s="151"/>
      <c r="F27" s="151"/>
      <c r="G27" s="151"/>
      <c r="H27" s="151"/>
      <c r="I27" s="151"/>
      <c r="J27" s="138"/>
      <c r="K27" s="151"/>
      <c r="L27" s="138"/>
      <c r="M27" s="151"/>
      <c r="N27" s="138"/>
      <c r="O27" s="151"/>
      <c r="P27" s="151"/>
      <c r="Q27" s="151"/>
      <c r="R27" s="151"/>
      <c r="S27" s="138"/>
      <c r="T27" s="138"/>
      <c r="U27" s="138"/>
      <c r="V27" s="151"/>
    </row>
    <row r="28">
      <c r="A28" s="151"/>
      <c r="B28" s="151"/>
      <c r="C28" s="151"/>
      <c r="D28" s="151"/>
      <c r="E28" s="151"/>
      <c r="F28" s="151"/>
      <c r="G28" s="151"/>
      <c r="H28" s="151"/>
      <c r="I28" s="151"/>
      <c r="J28" s="138"/>
      <c r="K28" s="151"/>
      <c r="L28" s="138"/>
      <c r="M28" s="151"/>
      <c r="N28" s="138"/>
      <c r="O28" s="151"/>
      <c r="P28" s="151"/>
      <c r="Q28" s="151"/>
      <c r="R28" s="151"/>
      <c r="S28" s="138"/>
      <c r="T28" s="138"/>
      <c r="U28" s="138"/>
      <c r="V28" s="151"/>
    </row>
    <row r="29">
      <c r="A29" s="151"/>
      <c r="B29" s="151"/>
      <c r="C29" s="151"/>
      <c r="D29" s="151"/>
      <c r="E29" s="151"/>
      <c r="F29" s="151"/>
      <c r="G29" s="151"/>
      <c r="H29" s="151"/>
      <c r="I29" s="151"/>
      <c r="J29" s="138"/>
      <c r="K29" s="151"/>
      <c r="L29" s="138"/>
      <c r="M29" s="151"/>
      <c r="N29" s="138"/>
      <c r="O29" s="151"/>
      <c r="P29" s="151"/>
      <c r="Q29" s="151"/>
      <c r="R29" s="151"/>
      <c r="S29" s="138"/>
      <c r="T29" s="138"/>
      <c r="U29" s="138"/>
      <c r="V29" s="151"/>
    </row>
    <row r="30">
      <c r="A30" s="151"/>
      <c r="B30" s="151"/>
      <c r="C30" s="151"/>
      <c r="D30" s="151"/>
      <c r="E30" s="151"/>
      <c r="F30" s="151"/>
      <c r="G30" s="151"/>
      <c r="H30" s="151"/>
      <c r="I30" s="151"/>
      <c r="J30" s="138"/>
      <c r="K30" s="151"/>
      <c r="L30" s="138"/>
      <c r="M30" s="151"/>
      <c r="N30" s="138"/>
      <c r="O30" s="151"/>
      <c r="P30" s="151"/>
      <c r="Q30" s="151"/>
      <c r="R30" s="151"/>
      <c r="S30" s="138"/>
      <c r="T30" s="138"/>
      <c r="U30" s="138"/>
      <c r="V30" s="151"/>
    </row>
    <row r="31">
      <c r="A31" s="151"/>
      <c r="B31" s="151"/>
      <c r="C31" s="151"/>
      <c r="D31" s="151"/>
      <c r="E31" s="151"/>
      <c r="F31" s="151"/>
      <c r="G31" s="151"/>
      <c r="H31" s="151"/>
      <c r="I31" s="151"/>
      <c r="J31" s="138"/>
      <c r="K31" s="151"/>
      <c r="L31" s="138"/>
      <c r="M31" s="151"/>
      <c r="N31" s="138"/>
      <c r="O31" s="151"/>
      <c r="P31" s="151"/>
      <c r="Q31" s="151"/>
      <c r="R31" s="151"/>
      <c r="S31" s="138"/>
      <c r="T31" s="138"/>
      <c r="U31" s="138"/>
      <c r="V31" s="151"/>
    </row>
    <row r="32">
      <c r="A32" s="151"/>
      <c r="B32" s="151"/>
      <c r="C32" s="151"/>
      <c r="D32" s="151"/>
      <c r="E32" s="151"/>
      <c r="F32" s="151"/>
      <c r="G32" s="151"/>
      <c r="H32" s="151"/>
      <c r="I32" s="151"/>
      <c r="J32" s="138"/>
      <c r="K32" s="151"/>
      <c r="L32" s="138"/>
      <c r="M32" s="151"/>
      <c r="N32" s="138"/>
      <c r="O32" s="151"/>
      <c r="P32" s="151"/>
      <c r="Q32" s="151"/>
      <c r="R32" s="151"/>
      <c r="S32" s="138"/>
      <c r="T32" s="138"/>
      <c r="U32" s="138"/>
      <c r="V32" s="151"/>
    </row>
    <row r="33">
      <c r="A33" s="151"/>
      <c r="B33" s="151"/>
      <c r="C33" s="151"/>
      <c r="D33" s="151"/>
      <c r="E33" s="151"/>
      <c r="F33" s="151"/>
      <c r="G33" s="151"/>
      <c r="H33" s="151"/>
      <c r="I33" s="151"/>
      <c r="J33" s="138"/>
      <c r="K33" s="151"/>
      <c r="L33" s="138"/>
      <c r="M33" s="151"/>
      <c r="N33" s="138"/>
      <c r="O33" s="151"/>
      <c r="P33" s="151"/>
      <c r="Q33" s="151"/>
      <c r="R33" s="151"/>
      <c r="S33" s="138"/>
      <c r="T33" s="138"/>
      <c r="U33" s="138"/>
      <c r="V33" s="151"/>
    </row>
    <row r="34">
      <c r="A34" s="151"/>
      <c r="B34" s="151"/>
      <c r="C34" s="151"/>
      <c r="D34" s="151"/>
      <c r="E34" s="151"/>
      <c r="F34" s="151"/>
      <c r="G34" s="151"/>
      <c r="H34" s="151"/>
      <c r="I34" s="151"/>
      <c r="J34" s="138"/>
      <c r="K34" s="151"/>
      <c r="L34" s="138"/>
      <c r="M34" s="151"/>
      <c r="N34" s="138"/>
      <c r="O34" s="151"/>
      <c r="P34" s="151"/>
      <c r="Q34" s="151"/>
      <c r="R34" s="151"/>
      <c r="S34" s="138"/>
      <c r="T34" s="138"/>
      <c r="U34" s="138"/>
      <c r="V34" s="151"/>
    </row>
    <row r="35">
      <c r="A35" s="151"/>
      <c r="B35" s="151"/>
      <c r="C35" s="151"/>
      <c r="D35" s="151"/>
      <c r="E35" s="151"/>
      <c r="F35" s="151"/>
      <c r="G35" s="151"/>
      <c r="H35" s="151"/>
      <c r="I35" s="151"/>
      <c r="J35" s="138"/>
      <c r="K35" s="151"/>
      <c r="L35" s="138"/>
      <c r="M35" s="151"/>
      <c r="N35" s="138"/>
      <c r="O35" s="151"/>
      <c r="P35" s="151"/>
      <c r="Q35" s="151"/>
      <c r="R35" s="151"/>
      <c r="S35" s="138"/>
      <c r="T35" s="138"/>
      <c r="U35" s="138"/>
      <c r="V35" s="151"/>
    </row>
    <row r="36">
      <c r="A36" s="151"/>
      <c r="B36" s="151"/>
      <c r="C36" s="151"/>
      <c r="D36" s="151"/>
      <c r="E36" s="151"/>
      <c r="F36" s="151"/>
      <c r="G36" s="151"/>
      <c r="H36" s="151"/>
      <c r="I36" s="151"/>
      <c r="J36" s="138"/>
      <c r="K36" s="151"/>
      <c r="L36" s="138"/>
      <c r="M36" s="151"/>
      <c r="N36" s="138"/>
      <c r="O36" s="151"/>
      <c r="P36" s="151"/>
      <c r="Q36" s="151"/>
      <c r="R36" s="151"/>
      <c r="S36" s="138"/>
      <c r="T36" s="138"/>
      <c r="U36" s="138"/>
      <c r="V36" s="151"/>
    </row>
    <row r="37">
      <c r="A37" s="151"/>
      <c r="B37" s="151"/>
      <c r="C37" s="151"/>
      <c r="D37" s="151"/>
      <c r="E37" s="151"/>
      <c r="F37" s="151"/>
      <c r="G37" s="151"/>
      <c r="H37" s="151"/>
      <c r="I37" s="151"/>
      <c r="J37" s="138"/>
      <c r="K37" s="151"/>
      <c r="L37" s="138"/>
      <c r="M37" s="151"/>
      <c r="N37" s="138"/>
      <c r="O37" s="151"/>
      <c r="P37" s="151"/>
      <c r="Q37" s="151"/>
      <c r="R37" s="151"/>
      <c r="S37" s="138"/>
      <c r="T37" s="138"/>
      <c r="U37" s="138"/>
      <c r="V37" s="151"/>
    </row>
    <row r="38">
      <c r="A38" s="151"/>
      <c r="B38" s="151"/>
      <c r="C38" s="151"/>
      <c r="D38" s="151"/>
      <c r="E38" s="151"/>
      <c r="F38" s="151"/>
      <c r="G38" s="151"/>
      <c r="H38" s="151"/>
      <c r="I38" s="151"/>
      <c r="J38" s="138"/>
      <c r="K38" s="151"/>
      <c r="L38" s="138"/>
      <c r="M38" s="151"/>
      <c r="N38" s="138"/>
      <c r="O38" s="151"/>
      <c r="P38" s="151"/>
      <c r="Q38" s="151"/>
      <c r="R38" s="151"/>
      <c r="S38" s="138"/>
      <c r="T38" s="138"/>
      <c r="U38" s="138"/>
      <c r="V38" s="151"/>
    </row>
    <row r="39">
      <c r="A39" s="151"/>
      <c r="B39" s="151"/>
      <c r="C39" s="151"/>
      <c r="D39" s="151"/>
      <c r="E39" s="151"/>
      <c r="F39" s="151"/>
      <c r="G39" s="151"/>
      <c r="H39" s="151"/>
      <c r="I39" s="151"/>
      <c r="J39" s="138"/>
      <c r="K39" s="151"/>
      <c r="L39" s="138"/>
      <c r="M39" s="151"/>
      <c r="N39" s="138"/>
      <c r="O39" s="151"/>
      <c r="P39" s="151"/>
      <c r="Q39" s="151"/>
      <c r="R39" s="151"/>
      <c r="S39" s="138"/>
      <c r="T39" s="138"/>
      <c r="U39" s="138"/>
      <c r="V39" s="151"/>
    </row>
    <row r="40">
      <c r="A40" s="151"/>
      <c r="B40" s="151"/>
      <c r="C40" s="151"/>
      <c r="D40" s="151"/>
      <c r="E40" s="151"/>
      <c r="F40" s="151"/>
      <c r="G40" s="151"/>
      <c r="H40" s="151"/>
      <c r="I40" s="151"/>
      <c r="J40" s="138"/>
      <c r="K40" s="151"/>
      <c r="L40" s="138"/>
      <c r="M40" s="151"/>
      <c r="N40" s="138"/>
      <c r="O40" s="151"/>
      <c r="P40" s="151"/>
      <c r="Q40" s="151"/>
      <c r="R40" s="151"/>
      <c r="S40" s="138"/>
      <c r="T40" s="138"/>
      <c r="U40" s="138"/>
      <c r="V40" s="151"/>
    </row>
    <row r="41">
      <c r="A41" s="151"/>
      <c r="B41" s="151"/>
      <c r="C41" s="151"/>
      <c r="D41" s="151"/>
      <c r="E41" s="151"/>
      <c r="F41" s="151"/>
      <c r="G41" s="151"/>
      <c r="H41" s="151"/>
      <c r="I41" s="151"/>
      <c r="J41" s="138"/>
      <c r="K41" s="151"/>
      <c r="L41" s="138"/>
      <c r="M41" s="151"/>
      <c r="N41" s="138"/>
      <c r="O41" s="151"/>
      <c r="P41" s="151"/>
      <c r="Q41" s="151"/>
      <c r="R41" s="151"/>
      <c r="S41" s="138"/>
      <c r="T41" s="138"/>
      <c r="U41" s="138"/>
      <c r="V41" s="151"/>
    </row>
    <row r="42">
      <c r="A42" s="151"/>
      <c r="B42" s="151"/>
      <c r="C42" s="151"/>
      <c r="D42" s="151"/>
      <c r="E42" s="151"/>
      <c r="F42" s="151"/>
      <c r="G42" s="151"/>
      <c r="H42" s="151"/>
      <c r="I42" s="151"/>
      <c r="J42" s="138"/>
      <c r="K42" s="151"/>
      <c r="L42" s="138"/>
      <c r="M42" s="151"/>
      <c r="N42" s="138"/>
      <c r="O42" s="151"/>
      <c r="P42" s="151"/>
      <c r="Q42" s="151"/>
      <c r="R42" s="151"/>
      <c r="S42" s="138"/>
      <c r="T42" s="138"/>
      <c r="U42" s="138"/>
      <c r="V42" s="151"/>
    </row>
    <row r="43">
      <c r="A43" s="151"/>
      <c r="B43" s="151"/>
      <c r="C43" s="151"/>
      <c r="D43" s="151"/>
      <c r="E43" s="151"/>
      <c r="F43" s="151"/>
      <c r="G43" s="151"/>
      <c r="H43" s="151"/>
      <c r="I43" s="151"/>
      <c r="J43" s="138"/>
      <c r="K43" s="151"/>
      <c r="L43" s="138"/>
      <c r="M43" s="151"/>
      <c r="N43" s="138"/>
      <c r="O43" s="151"/>
      <c r="P43" s="151"/>
      <c r="Q43" s="151"/>
      <c r="R43" s="151"/>
      <c r="S43" s="138"/>
      <c r="T43" s="138"/>
      <c r="U43" s="138"/>
      <c r="V43" s="151"/>
    </row>
    <row r="44">
      <c r="A44" s="151"/>
      <c r="B44" s="151"/>
      <c r="C44" s="151"/>
      <c r="D44" s="151"/>
      <c r="E44" s="151"/>
      <c r="F44" s="151"/>
      <c r="G44" s="151"/>
      <c r="H44" s="151"/>
      <c r="I44" s="151"/>
      <c r="J44" s="138"/>
      <c r="K44" s="151"/>
      <c r="L44" s="138"/>
      <c r="M44" s="151"/>
      <c r="N44" s="138"/>
      <c r="O44" s="151"/>
      <c r="P44" s="151"/>
      <c r="Q44" s="151"/>
      <c r="R44" s="151"/>
      <c r="S44" s="138"/>
      <c r="T44" s="138"/>
      <c r="U44" s="138"/>
      <c r="V44" s="151"/>
    </row>
    <row r="45">
      <c r="A45" s="151"/>
      <c r="B45" s="151"/>
      <c r="C45" s="151"/>
      <c r="D45" s="151"/>
      <c r="E45" s="151"/>
      <c r="F45" s="151"/>
      <c r="G45" s="151"/>
      <c r="H45" s="151"/>
      <c r="I45" s="151"/>
      <c r="J45" s="138"/>
      <c r="K45" s="151"/>
      <c r="L45" s="138"/>
      <c r="M45" s="151"/>
      <c r="N45" s="138"/>
      <c r="O45" s="151"/>
      <c r="P45" s="151"/>
      <c r="Q45" s="151"/>
      <c r="R45" s="151"/>
      <c r="S45" s="138"/>
      <c r="T45" s="138"/>
      <c r="U45" s="138"/>
      <c r="V45" s="151"/>
    </row>
    <row r="46">
      <c r="A46" s="151"/>
      <c r="B46" s="151"/>
      <c r="C46" s="151"/>
      <c r="D46" s="151"/>
      <c r="E46" s="151"/>
      <c r="F46" s="151"/>
      <c r="G46" s="151"/>
      <c r="H46" s="151"/>
      <c r="I46" s="151"/>
      <c r="J46" s="138"/>
      <c r="K46" s="151"/>
      <c r="L46" s="138"/>
      <c r="M46" s="151"/>
      <c r="N46" s="138"/>
      <c r="O46" s="151"/>
      <c r="P46" s="151"/>
      <c r="Q46" s="151"/>
      <c r="R46" s="151"/>
      <c r="S46" s="138"/>
      <c r="T46" s="138"/>
      <c r="U46" s="138"/>
      <c r="V46" s="151"/>
    </row>
    <row r="47">
      <c r="A47" s="151"/>
      <c r="B47" s="151"/>
      <c r="C47" s="151"/>
      <c r="D47" s="151"/>
      <c r="E47" s="151"/>
      <c r="F47" s="151"/>
      <c r="G47" s="151"/>
      <c r="H47" s="151"/>
      <c r="I47" s="151"/>
      <c r="J47" s="138"/>
      <c r="K47" s="151"/>
      <c r="L47" s="138"/>
      <c r="M47" s="151"/>
      <c r="N47" s="138"/>
      <c r="O47" s="151"/>
      <c r="P47" s="151"/>
      <c r="Q47" s="151"/>
      <c r="R47" s="151"/>
      <c r="S47" s="138"/>
      <c r="T47" s="138"/>
      <c r="U47" s="138"/>
      <c r="V47" s="151"/>
    </row>
    <row r="48">
      <c r="A48" s="151"/>
      <c r="B48" s="151"/>
      <c r="C48" s="151"/>
      <c r="D48" s="151"/>
      <c r="E48" s="151"/>
      <c r="F48" s="151"/>
      <c r="G48" s="151"/>
      <c r="H48" s="151"/>
      <c r="I48" s="151"/>
      <c r="J48" s="138"/>
      <c r="K48" s="151"/>
      <c r="L48" s="138"/>
      <c r="M48" s="151"/>
      <c r="N48" s="138"/>
      <c r="O48" s="151"/>
      <c r="P48" s="151"/>
      <c r="Q48" s="151"/>
      <c r="R48" s="151"/>
      <c r="S48" s="138"/>
      <c r="T48" s="138"/>
      <c r="U48" s="138"/>
      <c r="V48" s="151"/>
    </row>
    <row r="49">
      <c r="A49" s="151"/>
      <c r="B49" s="151"/>
      <c r="C49" s="151"/>
      <c r="D49" s="151"/>
      <c r="E49" s="151"/>
      <c r="F49" s="151"/>
      <c r="G49" s="151"/>
      <c r="H49" s="151"/>
      <c r="I49" s="151"/>
      <c r="J49" s="138"/>
      <c r="K49" s="151"/>
      <c r="L49" s="138"/>
      <c r="M49" s="151"/>
      <c r="N49" s="138"/>
      <c r="O49" s="151"/>
      <c r="P49" s="151"/>
      <c r="Q49" s="151"/>
      <c r="R49" s="151"/>
      <c r="S49" s="138"/>
      <c r="T49" s="138"/>
      <c r="U49" s="138"/>
      <c r="V49" s="151"/>
    </row>
    <row r="50">
      <c r="A50" s="151"/>
      <c r="B50" s="151"/>
      <c r="C50" s="151"/>
      <c r="D50" s="151"/>
      <c r="E50" s="151"/>
      <c r="F50" s="151"/>
      <c r="G50" s="151"/>
      <c r="H50" s="151"/>
      <c r="I50" s="151"/>
      <c r="J50" s="138"/>
      <c r="K50" s="151"/>
      <c r="L50" s="138"/>
      <c r="M50" s="151"/>
      <c r="N50" s="138"/>
      <c r="O50" s="151"/>
      <c r="P50" s="151"/>
      <c r="Q50" s="151"/>
      <c r="R50" s="151"/>
      <c r="S50" s="138"/>
      <c r="T50" s="138"/>
      <c r="U50" s="138"/>
      <c r="V50" s="151"/>
    </row>
    <row r="51">
      <c r="A51" s="151"/>
      <c r="B51" s="151"/>
      <c r="C51" s="151"/>
      <c r="D51" s="151"/>
      <c r="E51" s="151"/>
      <c r="F51" s="151"/>
      <c r="G51" s="151"/>
      <c r="H51" s="151"/>
      <c r="I51" s="151"/>
      <c r="J51" s="138"/>
      <c r="K51" s="151"/>
      <c r="L51" s="138"/>
      <c r="M51" s="151"/>
      <c r="N51" s="138"/>
      <c r="O51" s="151"/>
      <c r="P51" s="151"/>
      <c r="Q51" s="151"/>
      <c r="R51" s="151"/>
      <c r="S51" s="138"/>
      <c r="T51" s="138"/>
      <c r="U51" s="138"/>
      <c r="V51" s="151"/>
    </row>
  </sheetData>
  <conditionalFormatting sqref="F3:F10 G3:G10">
    <cfRule type="cellIs" dxfId="3" priority="1" operator="greaterThan">
      <formula>0</formula>
    </cfRule>
  </conditionalFormatting>
  <conditionalFormatting sqref="F3:F10 G3:G10">
    <cfRule type="cellIs" dxfId="4" priority="2" operator="lessThan">
      <formula>0</formula>
    </cfRule>
  </conditionalFormatting>
  <conditionalFormatting sqref="N3:N10">
    <cfRule type="colorScale" priority="3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5" max="15" width="14.25"/>
    <col customWidth="1" min="16" max="16" width="42.38"/>
  </cols>
  <sheetData>
    <row r="1">
      <c r="A1" s="4" t="s">
        <v>185</v>
      </c>
      <c r="B1" s="4" t="s">
        <v>186</v>
      </c>
      <c r="C1" s="4" t="s">
        <v>187</v>
      </c>
      <c r="D1" s="4" t="s">
        <v>188</v>
      </c>
      <c r="E1" s="4" t="s">
        <v>189</v>
      </c>
      <c r="F1" s="4" t="s">
        <v>190</v>
      </c>
      <c r="G1" s="4" t="s">
        <v>191</v>
      </c>
      <c r="H1" s="4" t="s">
        <v>192</v>
      </c>
      <c r="I1" s="4" t="s">
        <v>193</v>
      </c>
      <c r="J1" s="4" t="s">
        <v>194</v>
      </c>
      <c r="K1" s="4" t="s">
        <v>195</v>
      </c>
      <c r="L1" s="4" t="s">
        <v>196</v>
      </c>
      <c r="M1" s="4" t="s">
        <v>197</v>
      </c>
      <c r="N1" s="4" t="s">
        <v>198</v>
      </c>
      <c r="O1" s="4" t="s">
        <v>199</v>
      </c>
      <c r="P1" s="4" t="s">
        <v>184</v>
      </c>
    </row>
    <row r="2">
      <c r="A2" s="153" t="s">
        <v>200</v>
      </c>
      <c r="B2" s="55">
        <v>45789.0</v>
      </c>
      <c r="C2" s="55">
        <v>45807.0</v>
      </c>
      <c r="D2" s="55">
        <v>45807.0</v>
      </c>
      <c r="E2" s="4" t="s">
        <v>143</v>
      </c>
      <c r="F2" s="4" t="s">
        <v>201</v>
      </c>
      <c r="G2" s="4" t="s">
        <v>202</v>
      </c>
      <c r="H2" s="4" t="s">
        <v>203</v>
      </c>
      <c r="I2" s="4">
        <v>1.0</v>
      </c>
      <c r="J2" s="4">
        <v>0.25</v>
      </c>
      <c r="K2" s="4">
        <v>0.0</v>
      </c>
      <c r="L2" s="1">
        <f t="shared" ref="L2:L26" si="1">(J2-K2)*100*I2</f>
        <v>25</v>
      </c>
      <c r="M2" s="1">
        <f t="shared" ref="M2:M26" si="2">D2-B2</f>
        <v>18</v>
      </c>
      <c r="N2" s="2">
        <f t="shared" ref="N2:N26" si="3">L2/(100-L2)</f>
        <v>0.3333333333</v>
      </c>
      <c r="O2" s="2">
        <f t="shared" ref="O2:O7" si="4">(1+N2)^(1/(M2/365))-1</f>
        <v>340.5701707</v>
      </c>
    </row>
    <row r="3">
      <c r="A3" s="153" t="s">
        <v>200</v>
      </c>
      <c r="B3" s="55">
        <v>45804.0</v>
      </c>
      <c r="C3" s="55">
        <v>45806.0</v>
      </c>
      <c r="D3" s="55">
        <v>45806.0</v>
      </c>
      <c r="E3" s="4" t="s">
        <v>204</v>
      </c>
      <c r="F3" s="4" t="s">
        <v>201</v>
      </c>
      <c r="G3" s="4" t="s">
        <v>205</v>
      </c>
      <c r="H3" s="4" t="s">
        <v>203</v>
      </c>
      <c r="I3" s="4">
        <v>1.0</v>
      </c>
      <c r="J3" s="4">
        <v>0.14</v>
      </c>
      <c r="K3" s="4">
        <v>0.0</v>
      </c>
      <c r="L3" s="1">
        <f t="shared" si="1"/>
        <v>14</v>
      </c>
      <c r="M3" s="1">
        <f t="shared" si="2"/>
        <v>2</v>
      </c>
      <c r="N3" s="2">
        <f t="shared" si="3"/>
        <v>0.1627906977</v>
      </c>
      <c r="O3" s="2">
        <f t="shared" si="4"/>
        <v>899565203721</v>
      </c>
    </row>
    <row r="4">
      <c r="A4" s="153" t="s">
        <v>200</v>
      </c>
      <c r="B4" s="55">
        <v>45807.0</v>
      </c>
      <c r="C4" s="55">
        <v>45811.0</v>
      </c>
      <c r="D4" s="55">
        <v>45811.0</v>
      </c>
      <c r="E4" s="4" t="s">
        <v>204</v>
      </c>
      <c r="F4" s="4" t="s">
        <v>201</v>
      </c>
      <c r="G4" s="4" t="s">
        <v>206</v>
      </c>
      <c r="H4" s="4" t="s">
        <v>203</v>
      </c>
      <c r="I4" s="4">
        <v>1.0</v>
      </c>
      <c r="J4" s="4">
        <v>0.15</v>
      </c>
      <c r="K4" s="4">
        <v>0.0</v>
      </c>
      <c r="L4" s="1">
        <f t="shared" si="1"/>
        <v>15</v>
      </c>
      <c r="M4" s="1">
        <f t="shared" si="2"/>
        <v>4</v>
      </c>
      <c r="N4" s="2">
        <f t="shared" si="3"/>
        <v>0.1764705882</v>
      </c>
      <c r="O4" s="2">
        <f t="shared" si="4"/>
        <v>2757546.668</v>
      </c>
    </row>
    <row r="5">
      <c r="A5" s="153" t="s">
        <v>200</v>
      </c>
      <c r="B5" s="55">
        <v>45811.0</v>
      </c>
      <c r="C5" s="55">
        <v>45828.0</v>
      </c>
      <c r="D5" s="55">
        <v>45825.0</v>
      </c>
      <c r="E5" s="4" t="s">
        <v>207</v>
      </c>
      <c r="F5" s="4" t="s">
        <v>208</v>
      </c>
      <c r="G5" s="4" t="s">
        <v>209</v>
      </c>
      <c r="H5" s="40">
        <v>0.248</v>
      </c>
      <c r="I5" s="4">
        <v>1.0</v>
      </c>
      <c r="J5" s="4">
        <v>0.33</v>
      </c>
      <c r="K5" s="4">
        <v>0.1</v>
      </c>
      <c r="L5" s="1">
        <f t="shared" si="1"/>
        <v>23</v>
      </c>
      <c r="M5" s="1">
        <f t="shared" si="2"/>
        <v>14</v>
      </c>
      <c r="N5" s="2">
        <f t="shared" si="3"/>
        <v>0.2987012987</v>
      </c>
      <c r="O5" s="2">
        <f t="shared" si="4"/>
        <v>909.6446718</v>
      </c>
      <c r="P5" s="154" t="s">
        <v>210</v>
      </c>
    </row>
    <row r="6">
      <c r="A6" s="153" t="s">
        <v>200</v>
      </c>
      <c r="B6" s="55">
        <v>45831.0</v>
      </c>
      <c r="C6" s="55">
        <v>45833.0</v>
      </c>
      <c r="D6" s="55">
        <v>45833.0</v>
      </c>
      <c r="E6" s="4" t="s">
        <v>204</v>
      </c>
      <c r="F6" s="4" t="s">
        <v>208</v>
      </c>
      <c r="G6" s="4" t="s">
        <v>211</v>
      </c>
      <c r="H6" s="40">
        <v>0.2037</v>
      </c>
      <c r="I6" s="4">
        <v>1.0</v>
      </c>
      <c r="J6" s="4">
        <v>0.4</v>
      </c>
      <c r="K6" s="4">
        <v>1.0</v>
      </c>
      <c r="L6" s="1">
        <f t="shared" si="1"/>
        <v>-60</v>
      </c>
      <c r="M6" s="1">
        <f t="shared" si="2"/>
        <v>2</v>
      </c>
      <c r="N6" s="2">
        <f t="shared" si="3"/>
        <v>-0.375</v>
      </c>
      <c r="O6" s="2">
        <f t="shared" si="4"/>
        <v>-1</v>
      </c>
      <c r="P6" s="4" t="s">
        <v>212</v>
      </c>
    </row>
    <row r="7">
      <c r="A7" s="153" t="s">
        <v>200</v>
      </c>
      <c r="B7" s="55">
        <v>45852.0</v>
      </c>
      <c r="C7" s="55">
        <v>45856.0</v>
      </c>
      <c r="D7" s="55">
        <v>45856.0</v>
      </c>
      <c r="E7" s="4" t="s">
        <v>204</v>
      </c>
      <c r="F7" s="4" t="s">
        <v>201</v>
      </c>
      <c r="G7" s="4" t="s">
        <v>213</v>
      </c>
      <c r="H7" s="40">
        <v>0.1691</v>
      </c>
      <c r="I7" s="4">
        <v>1.0</v>
      </c>
      <c r="J7" s="4">
        <v>0.17</v>
      </c>
      <c r="K7" s="4">
        <v>0.0</v>
      </c>
      <c r="L7" s="1">
        <f t="shared" si="1"/>
        <v>17</v>
      </c>
      <c r="M7" s="1">
        <f t="shared" si="2"/>
        <v>4</v>
      </c>
      <c r="N7" s="2">
        <f t="shared" si="3"/>
        <v>0.2048192771</v>
      </c>
      <c r="O7" s="2">
        <f t="shared" si="4"/>
        <v>24217206.93</v>
      </c>
      <c r="P7" s="4" t="s">
        <v>214</v>
      </c>
    </row>
    <row r="8">
      <c r="A8" s="153" t="s">
        <v>200</v>
      </c>
      <c r="B8" s="55">
        <v>45861.0</v>
      </c>
      <c r="C8" s="55">
        <v>45870.0</v>
      </c>
      <c r="D8" s="55">
        <v>45862.0</v>
      </c>
      <c r="E8" s="4" t="s">
        <v>143</v>
      </c>
      <c r="F8" s="4" t="s">
        <v>201</v>
      </c>
      <c r="G8" s="4" t="s">
        <v>215</v>
      </c>
      <c r="H8" s="40">
        <v>0.4686</v>
      </c>
      <c r="I8" s="4">
        <v>1.0</v>
      </c>
      <c r="J8" s="4">
        <v>0.1</v>
      </c>
      <c r="K8" s="4">
        <v>0.01</v>
      </c>
      <c r="L8" s="1">
        <f t="shared" si="1"/>
        <v>9</v>
      </c>
      <c r="M8" s="1">
        <f t="shared" si="2"/>
        <v>1</v>
      </c>
      <c r="N8" s="2">
        <f t="shared" si="3"/>
        <v>0.0989010989</v>
      </c>
    </row>
    <row r="9">
      <c r="A9" s="153" t="s">
        <v>200</v>
      </c>
      <c r="B9" s="55">
        <v>45873.0</v>
      </c>
      <c r="C9" s="55">
        <v>45877.0</v>
      </c>
      <c r="D9" s="55">
        <v>45877.0</v>
      </c>
      <c r="E9" s="4" t="s">
        <v>204</v>
      </c>
      <c r="F9" s="4" t="s">
        <v>201</v>
      </c>
      <c r="G9" s="4" t="s">
        <v>216</v>
      </c>
      <c r="H9" s="40">
        <v>0.1681</v>
      </c>
      <c r="I9" s="4">
        <v>1.0</v>
      </c>
      <c r="J9" s="4">
        <v>0.17</v>
      </c>
      <c r="K9" s="4">
        <v>0.0</v>
      </c>
      <c r="L9" s="1">
        <f t="shared" si="1"/>
        <v>17</v>
      </c>
      <c r="M9" s="1">
        <f t="shared" si="2"/>
        <v>4</v>
      </c>
      <c r="N9" s="2">
        <f t="shared" si="3"/>
        <v>0.2048192771</v>
      </c>
      <c r="P9" s="4" t="s">
        <v>217</v>
      </c>
    </row>
    <row r="10">
      <c r="A10" s="153" t="s">
        <v>200</v>
      </c>
      <c r="B10" s="55">
        <v>45880.0</v>
      </c>
      <c r="C10" s="55">
        <v>45884.0</v>
      </c>
      <c r="D10" s="55">
        <v>45884.0</v>
      </c>
      <c r="E10" s="4" t="s">
        <v>204</v>
      </c>
      <c r="F10" s="4" t="s">
        <v>201</v>
      </c>
      <c r="G10" s="4" t="s">
        <v>218</v>
      </c>
      <c r="H10" s="40">
        <v>0.1607</v>
      </c>
      <c r="I10" s="4">
        <v>2.0</v>
      </c>
      <c r="J10" s="4">
        <v>0.11</v>
      </c>
      <c r="K10" s="4">
        <v>0.0</v>
      </c>
      <c r="L10" s="1">
        <f t="shared" si="1"/>
        <v>22</v>
      </c>
      <c r="M10" s="1">
        <f t="shared" si="2"/>
        <v>4</v>
      </c>
      <c r="N10" s="2">
        <f t="shared" si="3"/>
        <v>0.2820512821</v>
      </c>
      <c r="P10" s="4" t="s">
        <v>219</v>
      </c>
    </row>
    <row r="11">
      <c r="A11" s="153" t="s">
        <v>200</v>
      </c>
      <c r="B11" s="55">
        <v>45903.0</v>
      </c>
      <c r="C11" s="55">
        <v>45904.0</v>
      </c>
      <c r="D11" s="55">
        <v>45904.0</v>
      </c>
      <c r="E11" s="4" t="s">
        <v>204</v>
      </c>
      <c r="F11" s="4" t="s">
        <v>201</v>
      </c>
      <c r="G11" s="4" t="s">
        <v>220</v>
      </c>
      <c r="H11" s="40">
        <v>0.1736</v>
      </c>
      <c r="I11" s="4">
        <v>1.0</v>
      </c>
      <c r="J11" s="4">
        <v>0.12</v>
      </c>
      <c r="K11" s="4">
        <v>0.0</v>
      </c>
      <c r="L11" s="1">
        <f t="shared" si="1"/>
        <v>12</v>
      </c>
      <c r="M11" s="1">
        <f t="shared" si="2"/>
        <v>1</v>
      </c>
      <c r="N11" s="2">
        <f t="shared" si="3"/>
        <v>0.1363636364</v>
      </c>
    </row>
    <row r="12">
      <c r="A12" s="153" t="s">
        <v>200</v>
      </c>
      <c r="B12" s="55">
        <v>45903.0</v>
      </c>
      <c r="C12" s="55">
        <v>45919.0</v>
      </c>
      <c r="D12" s="55">
        <v>45919.0</v>
      </c>
      <c r="E12" s="4" t="s">
        <v>204</v>
      </c>
      <c r="F12" s="4" t="s">
        <v>201</v>
      </c>
      <c r="G12" s="4" t="s">
        <v>221</v>
      </c>
      <c r="H12" s="40">
        <v>0.1736</v>
      </c>
      <c r="I12" s="4">
        <v>1.0</v>
      </c>
      <c r="J12" s="4">
        <v>0.15</v>
      </c>
      <c r="K12" s="4">
        <v>0.0</v>
      </c>
      <c r="L12" s="1">
        <f t="shared" si="1"/>
        <v>15</v>
      </c>
      <c r="M12" s="1">
        <f t="shared" si="2"/>
        <v>16</v>
      </c>
      <c r="N12" s="2">
        <f t="shared" si="3"/>
        <v>0.1764705882</v>
      </c>
    </row>
    <row r="13">
      <c r="A13" s="153" t="s">
        <v>200</v>
      </c>
      <c r="B13" s="55">
        <v>45918.0</v>
      </c>
      <c r="C13" s="55">
        <v>45925.0</v>
      </c>
      <c r="D13" s="55">
        <v>45923.0</v>
      </c>
      <c r="E13" s="4" t="s">
        <v>204</v>
      </c>
      <c r="F13" s="4" t="s">
        <v>201</v>
      </c>
      <c r="G13" s="4" t="s">
        <v>222</v>
      </c>
      <c r="H13" s="40">
        <v>0.154</v>
      </c>
      <c r="I13" s="4">
        <v>1.0</v>
      </c>
      <c r="J13" s="4">
        <v>0.21</v>
      </c>
      <c r="K13" s="4">
        <v>0.03</v>
      </c>
      <c r="L13" s="1">
        <f t="shared" si="1"/>
        <v>18</v>
      </c>
      <c r="M13" s="1">
        <f t="shared" si="2"/>
        <v>5</v>
      </c>
      <c r="N13" s="2">
        <f t="shared" si="3"/>
        <v>0.2195121951</v>
      </c>
    </row>
    <row r="14">
      <c r="A14" s="153" t="s">
        <v>200</v>
      </c>
      <c r="B14" s="53">
        <v>45966.0</v>
      </c>
      <c r="C14" s="53">
        <v>45968.0</v>
      </c>
      <c r="D14" s="53">
        <v>45968.0</v>
      </c>
      <c r="E14" s="4" t="s">
        <v>204</v>
      </c>
      <c r="F14" s="4" t="s">
        <v>201</v>
      </c>
      <c r="G14" s="4" t="s">
        <v>223</v>
      </c>
      <c r="H14" s="40">
        <v>0.1898</v>
      </c>
      <c r="I14" s="4">
        <v>1.0</v>
      </c>
      <c r="J14" s="4">
        <v>0.16</v>
      </c>
      <c r="K14" s="4">
        <v>0.57</v>
      </c>
      <c r="L14" s="1">
        <f t="shared" si="1"/>
        <v>-41</v>
      </c>
      <c r="M14" s="1">
        <f t="shared" si="2"/>
        <v>2</v>
      </c>
      <c r="N14" s="2">
        <f t="shared" si="3"/>
        <v>-0.2907801418</v>
      </c>
      <c r="P14" s="4" t="s">
        <v>224</v>
      </c>
    </row>
    <row r="15">
      <c r="A15" s="153" t="s">
        <v>200</v>
      </c>
      <c r="B15" s="55">
        <v>45992.0</v>
      </c>
      <c r="C15" s="55">
        <v>46038.0</v>
      </c>
      <c r="D15" s="55">
        <v>46038.0</v>
      </c>
      <c r="E15" s="4" t="s">
        <v>142</v>
      </c>
      <c r="F15" s="4" t="s">
        <v>225</v>
      </c>
      <c r="G15" s="4">
        <v>5.0</v>
      </c>
      <c r="H15" s="40">
        <v>0.5146</v>
      </c>
      <c r="I15" s="4">
        <v>1.0</v>
      </c>
      <c r="J15" s="4">
        <v>0.2</v>
      </c>
      <c r="K15" s="4">
        <v>5.0</v>
      </c>
      <c r="L15" s="1">
        <f t="shared" si="1"/>
        <v>-480</v>
      </c>
      <c r="M15" s="1">
        <f t="shared" si="2"/>
        <v>46</v>
      </c>
      <c r="N15" s="2">
        <f t="shared" si="3"/>
        <v>-0.8275862069</v>
      </c>
      <c r="P15" s="4" t="s">
        <v>226</v>
      </c>
    </row>
    <row r="16">
      <c r="A16" s="153" t="s">
        <v>200</v>
      </c>
      <c r="B16" s="53">
        <v>46002.0</v>
      </c>
      <c r="C16" s="55">
        <v>46031.0</v>
      </c>
      <c r="D16" s="53">
        <v>46017.0</v>
      </c>
      <c r="E16" s="4" t="s">
        <v>204</v>
      </c>
      <c r="F16" s="4" t="s">
        <v>201</v>
      </c>
      <c r="G16" s="4" t="s">
        <v>227</v>
      </c>
      <c r="H16" s="40">
        <v>0.157</v>
      </c>
      <c r="I16" s="4">
        <v>1.0</v>
      </c>
      <c r="J16" s="4">
        <v>0.25</v>
      </c>
      <c r="K16" s="4">
        <v>0.05</v>
      </c>
      <c r="L16" s="1">
        <f t="shared" si="1"/>
        <v>20</v>
      </c>
      <c r="M16" s="1">
        <f t="shared" si="2"/>
        <v>15</v>
      </c>
      <c r="N16" s="2">
        <f t="shared" si="3"/>
        <v>0.25</v>
      </c>
    </row>
    <row r="17">
      <c r="A17" s="153" t="s">
        <v>200</v>
      </c>
      <c r="B17" s="53">
        <v>46021.0</v>
      </c>
      <c r="C17" s="55">
        <v>46038.0</v>
      </c>
      <c r="D17" s="55">
        <v>46038.0</v>
      </c>
      <c r="E17" s="4" t="s">
        <v>143</v>
      </c>
      <c r="F17" s="4" t="s">
        <v>201</v>
      </c>
      <c r="G17" s="4" t="s">
        <v>228</v>
      </c>
      <c r="H17" s="40">
        <v>0.446</v>
      </c>
      <c r="I17" s="4">
        <v>1.0</v>
      </c>
      <c r="J17" s="4">
        <v>0.14</v>
      </c>
      <c r="K17" s="4">
        <v>0.0</v>
      </c>
      <c r="L17" s="1">
        <f t="shared" si="1"/>
        <v>14</v>
      </c>
      <c r="M17" s="1">
        <f t="shared" si="2"/>
        <v>17</v>
      </c>
      <c r="N17" s="2">
        <f t="shared" si="3"/>
        <v>0.1627906977</v>
      </c>
    </row>
    <row r="18">
      <c r="A18" s="153" t="s">
        <v>200</v>
      </c>
      <c r="B18" s="55">
        <v>46048.0</v>
      </c>
      <c r="C18" s="55">
        <v>46073.0</v>
      </c>
      <c r="D18" s="55">
        <v>46073.0</v>
      </c>
      <c r="E18" s="4" t="s">
        <v>142</v>
      </c>
      <c r="F18" s="4" t="s">
        <v>229</v>
      </c>
      <c r="G18" s="4">
        <v>5.0</v>
      </c>
      <c r="H18" s="40">
        <v>0.4821</v>
      </c>
      <c r="I18" s="4">
        <v>1.0</v>
      </c>
      <c r="J18" s="4">
        <v>0.15</v>
      </c>
      <c r="K18" s="4">
        <v>0.0</v>
      </c>
      <c r="L18" s="1">
        <f t="shared" si="1"/>
        <v>15</v>
      </c>
      <c r="M18" s="1">
        <f t="shared" si="2"/>
        <v>25</v>
      </c>
      <c r="N18" s="2">
        <f t="shared" si="3"/>
        <v>0.1764705882</v>
      </c>
    </row>
    <row r="19">
      <c r="A19" s="153" t="s">
        <v>200</v>
      </c>
      <c r="B19" s="55">
        <v>46050.0</v>
      </c>
      <c r="C19" s="55">
        <v>46052.0</v>
      </c>
      <c r="D19" s="55">
        <v>46051.0</v>
      </c>
      <c r="E19" s="4" t="s">
        <v>230</v>
      </c>
      <c r="F19" s="4" t="s">
        <v>201</v>
      </c>
      <c r="G19" s="4" t="s">
        <v>231</v>
      </c>
      <c r="H19" s="40">
        <v>0.7498</v>
      </c>
      <c r="I19" s="4">
        <v>1.0</v>
      </c>
      <c r="J19" s="4">
        <v>0.45</v>
      </c>
      <c r="K19" s="4">
        <v>0.05</v>
      </c>
      <c r="L19" s="1">
        <f t="shared" si="1"/>
        <v>40</v>
      </c>
      <c r="M19" s="1">
        <f t="shared" si="2"/>
        <v>1</v>
      </c>
      <c r="N19" s="2">
        <f t="shared" si="3"/>
        <v>0.6666666667</v>
      </c>
    </row>
    <row r="20">
      <c r="A20" s="153" t="s">
        <v>200</v>
      </c>
      <c r="B20" s="55">
        <v>46055.0</v>
      </c>
      <c r="C20" s="55">
        <v>46059.0</v>
      </c>
      <c r="D20" s="55">
        <v>46059.0</v>
      </c>
      <c r="E20" s="4" t="s">
        <v>204</v>
      </c>
      <c r="F20" s="4" t="s">
        <v>201</v>
      </c>
      <c r="G20" s="4" t="s">
        <v>232</v>
      </c>
      <c r="H20" s="40">
        <v>0.1685</v>
      </c>
      <c r="I20" s="4">
        <v>1.0</v>
      </c>
      <c r="J20" s="4">
        <v>0.3</v>
      </c>
      <c r="K20" s="4">
        <v>0.19</v>
      </c>
      <c r="L20" s="1">
        <f t="shared" si="1"/>
        <v>11</v>
      </c>
      <c r="M20" s="1">
        <f t="shared" si="2"/>
        <v>4</v>
      </c>
      <c r="N20" s="2">
        <f t="shared" si="3"/>
        <v>0.1235955056</v>
      </c>
    </row>
    <row r="21">
      <c r="A21" s="153" t="s">
        <v>200</v>
      </c>
      <c r="B21" s="55">
        <v>46168.0</v>
      </c>
      <c r="C21" s="55">
        <v>46171.0</v>
      </c>
      <c r="D21" s="55">
        <v>46171.0</v>
      </c>
      <c r="E21" s="4" t="s">
        <v>141</v>
      </c>
      <c r="F21" s="4" t="s">
        <v>201</v>
      </c>
      <c r="G21" s="4" t="s">
        <v>233</v>
      </c>
      <c r="H21" s="155">
        <v>0.91</v>
      </c>
      <c r="I21" s="4">
        <v>1.0</v>
      </c>
      <c r="J21" s="4">
        <v>0.2</v>
      </c>
      <c r="K21" s="4">
        <v>0.01</v>
      </c>
      <c r="L21" s="1">
        <f t="shared" si="1"/>
        <v>19</v>
      </c>
      <c r="M21" s="1">
        <f t="shared" si="2"/>
        <v>3</v>
      </c>
      <c r="N21" s="2">
        <f t="shared" si="3"/>
        <v>0.2345679012</v>
      </c>
    </row>
    <row r="22">
      <c r="A22" s="153"/>
      <c r="L22" s="1">
        <f t="shared" si="1"/>
        <v>0</v>
      </c>
      <c r="M22" s="1">
        <f t="shared" si="2"/>
        <v>0</v>
      </c>
      <c r="N22" s="2">
        <f t="shared" si="3"/>
        <v>0</v>
      </c>
    </row>
    <row r="23">
      <c r="A23" s="153"/>
      <c r="L23" s="1">
        <f t="shared" si="1"/>
        <v>0</v>
      </c>
      <c r="M23" s="1">
        <f t="shared" si="2"/>
        <v>0</v>
      </c>
      <c r="N23" s="2">
        <f t="shared" si="3"/>
        <v>0</v>
      </c>
    </row>
    <row r="24">
      <c r="A24" s="153"/>
      <c r="L24" s="1">
        <f t="shared" si="1"/>
        <v>0</v>
      </c>
      <c r="M24" s="1">
        <f t="shared" si="2"/>
        <v>0</v>
      </c>
      <c r="N24" s="2">
        <f t="shared" si="3"/>
        <v>0</v>
      </c>
    </row>
    <row r="25">
      <c r="A25" s="153"/>
      <c r="L25" s="1">
        <f t="shared" si="1"/>
        <v>0</v>
      </c>
      <c r="M25" s="1">
        <f t="shared" si="2"/>
        <v>0</v>
      </c>
      <c r="N25" s="2">
        <f t="shared" si="3"/>
        <v>0</v>
      </c>
    </row>
    <row r="26">
      <c r="A26" s="153"/>
      <c r="L26" s="1">
        <f t="shared" si="1"/>
        <v>0</v>
      </c>
      <c r="M26" s="1">
        <f t="shared" si="2"/>
        <v>0</v>
      </c>
      <c r="N26" s="2">
        <f t="shared" si="3"/>
        <v>0</v>
      </c>
    </row>
    <row r="29">
      <c r="L29" s="1">
        <f>SUM(L2:L26)</f>
        <v>-275</v>
      </c>
    </row>
  </sheetData>
  <autoFilter ref="$A$1:$AB$26"/>
  <conditionalFormatting sqref="L2:L26">
    <cfRule type="cellIs" dxfId="2" priority="1" operator="greaterThan">
      <formula>0</formula>
    </cfRule>
  </conditionalFormatting>
  <conditionalFormatting sqref="K37">
    <cfRule type="cellIs" dxfId="6" priority="2" operator="lessThan">
      <formula>0</formula>
    </cfRule>
  </conditionalFormatting>
  <conditionalFormatting sqref="K37">
    <cfRule type="notContainsBlanks" dxfId="2" priority="3">
      <formula>LEN(TRIM(K37))&gt;0</formula>
    </cfRule>
  </conditionalFormatting>
  <conditionalFormatting sqref="L2:L26">
    <cfRule type="cellIs" dxfId="6" priority="4" operator="lessThan">
      <formula>0</formula>
    </cfRule>
  </conditionalFormatting>
  <dataValidations>
    <dataValidation type="list" allowBlank="1" showErrorMessage="1" sqref="A2:A26">
      <formula1>"Buy,Sell"</formula1>
    </dataValidation>
  </dataValidations>
  <hyperlinks>
    <hyperlink r:id="rId1" ref="P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156"/>
      <c r="B1" s="64"/>
      <c r="C1" s="64"/>
      <c r="D1" s="64"/>
      <c r="E1" s="64"/>
      <c r="F1" s="64"/>
      <c r="G1" s="64"/>
      <c r="H1" s="64"/>
      <c r="I1" s="64"/>
      <c r="J1" s="157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120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IFERROR(__xludf.DUMMYFUNCTION("GOOGLEFINANCE(B16,""name"")"),"Vanguard Total Stock Market Index Fund ETF")</f>
        <v>Vanguard Total Stock Market Index Fund ETF</v>
      </c>
      <c r="H5" s="64"/>
      <c r="I5" s="64"/>
      <c r="K5" s="64"/>
      <c r="L5" s="64"/>
      <c r="M5" s="64"/>
      <c r="N5" s="64"/>
      <c r="O5" s="163" t="s">
        <v>236</v>
      </c>
      <c r="P5" s="164"/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IFERROR(__xludf.DUMMYFUNCTION("GOOGLEFINANCE(B16,""price"")"),372.54)</f>
        <v>372.54</v>
      </c>
      <c r="D8" s="171">
        <f>IFERROR(__xludf.DUMMYFUNCTION("IFERROR(GOOGLEFINANCE(B16,""change""),""-"")"),0.88)</f>
        <v>0.88</v>
      </c>
      <c r="E8" s="172">
        <f>IFERROR(__xludf.DUMMYFUNCTION("IFERROR(GOOGLEFINANCE(B16,""changepct"")/100,""-"")"),0.0024)</f>
        <v>0.0024</v>
      </c>
      <c r="F8" s="64"/>
      <c r="G8" s="64"/>
      <c r="H8" s="64"/>
      <c r="I8" s="64"/>
      <c r="J8" s="173">
        <f>SUM(K26:K100)</f>
        <v>17.30997</v>
      </c>
      <c r="K8" s="174">
        <f>SUM(N26:N100)</f>
        <v>5325.638549</v>
      </c>
      <c r="L8" s="175">
        <f>K8/J8</f>
        <v>307.6630721</v>
      </c>
      <c r="M8" s="64"/>
      <c r="N8" s="176" t="s">
        <v>163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>
        <f>IFERROR(__xludf.DUMMYFUNCTION("IFERROR(GOOGLEFINANCE(B16,""marketcap""),""-"")"),3.04915912875E11)</f>
        <v>304915912875</v>
      </c>
      <c r="C12" s="181" t="str">
        <f>IFERROR(__xludf.DUMMYFUNCTION("IFERROR(GOOGLEFINANCE(B16,""pe""),""-"")"),"-")</f>
        <v>-</v>
      </c>
      <c r="D12" s="181" t="str">
        <f>IFERROR(__xludf.DUMMYFUNCTION("IFERROR(GOOGLEFINANCE(B16,""beta""),""-"")"),"-")</f>
        <v>-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246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VTI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IFERROR(__xludf.DUMMYFUNCTION("""COMPUTED_VALUE"""),45992.66666666667)</f>
        <v>45992.66667</v>
      </c>
      <c r="C26" s="190">
        <f>IFERROR(__xludf.DUMMYFUNCTION("""COMPUTED_VALUE"""),333.96)</f>
        <v>333.96</v>
      </c>
      <c r="D26" s="190">
        <f>IFERROR(__xludf.DUMMYFUNCTION("""COMPUTED_VALUE"""),336.1)</f>
        <v>336.1</v>
      </c>
      <c r="E26" s="190">
        <f>IFERROR(__xludf.DUMMYFUNCTION("""COMPUTED_VALUE"""),333.75)</f>
        <v>333.75</v>
      </c>
      <c r="F26" s="190">
        <f>IFERROR(__xludf.DUMMYFUNCTION("""COMPUTED_VALUE"""),334.66)</f>
        <v>334.66</v>
      </c>
      <c r="G26" s="191">
        <f>IFERROR(__xludf.DUMMYFUNCTION("""COMPUTED_VALUE"""),4270595.0)</f>
        <v>4270595</v>
      </c>
      <c r="H26" s="112"/>
      <c r="I26" s="112"/>
      <c r="J26" s="192">
        <v>45162.0</v>
      </c>
      <c r="K26" s="193">
        <v>1.0</v>
      </c>
      <c r="L26" s="194">
        <v>217.0</v>
      </c>
      <c r="M26" s="94"/>
      <c r="N26" s="112">
        <f t="shared" ref="N26:N31" si="1">K26*L26+M26</f>
        <v>217</v>
      </c>
      <c r="O26" s="112">
        <f>N26/K26</f>
        <v>217</v>
      </c>
      <c r="P26" s="112"/>
      <c r="Q26" s="112"/>
      <c r="R26" s="112"/>
    </row>
    <row r="27" ht="17.25" customHeight="1">
      <c r="A27" s="112"/>
      <c r="B27" s="189">
        <f>IFERROR(__xludf.DUMMYFUNCTION("""COMPUTED_VALUE"""),45993.66666666667)</f>
        <v>45993.66667</v>
      </c>
      <c r="C27" s="190">
        <f>IFERROR(__xludf.DUMMYFUNCTION("""COMPUTED_VALUE"""),335.65)</f>
        <v>335.65</v>
      </c>
      <c r="D27" s="190">
        <f>IFERROR(__xludf.DUMMYFUNCTION("""COMPUTED_VALUE"""),336.36)</f>
        <v>336.36</v>
      </c>
      <c r="E27" s="190">
        <f>IFERROR(__xludf.DUMMYFUNCTION("""COMPUTED_VALUE"""),334.18)</f>
        <v>334.18</v>
      </c>
      <c r="F27" s="190">
        <f>IFERROR(__xludf.DUMMYFUNCTION("""COMPUTED_VALUE"""),335.06)</f>
        <v>335.06</v>
      </c>
      <c r="G27" s="191">
        <f>IFERROR(__xludf.DUMMYFUNCTION("""COMPUTED_VALUE"""),2920009.0)</f>
        <v>2920009</v>
      </c>
      <c r="H27" s="112"/>
      <c r="I27" s="112"/>
      <c r="J27" s="192">
        <v>45195.0</v>
      </c>
      <c r="K27" s="193">
        <v>0.003</v>
      </c>
      <c r="L27" s="195">
        <v>0.0</v>
      </c>
      <c r="M27" s="195">
        <v>0.56</v>
      </c>
      <c r="N27" s="196">
        <f t="shared" si="1"/>
        <v>0.56</v>
      </c>
      <c r="O27" s="196">
        <f t="shared" ref="O27:O69" si="2">SUM($N$26:N27)/SUM($K$26:K27)</f>
        <v>216.9092722</v>
      </c>
      <c r="P27" s="112"/>
      <c r="Q27" s="112"/>
      <c r="R27" s="112"/>
    </row>
    <row r="28" ht="17.25" customHeight="1">
      <c r="A28" s="112"/>
      <c r="B28" s="189">
        <f>IFERROR(__xludf.DUMMYFUNCTION("""COMPUTED_VALUE"""),45994.66666666667)</f>
        <v>45994.66667</v>
      </c>
      <c r="C28" s="190">
        <f>IFERROR(__xludf.DUMMYFUNCTION("""COMPUTED_VALUE"""),334.76)</f>
        <v>334.76</v>
      </c>
      <c r="D28" s="190">
        <f>IFERROR(__xludf.DUMMYFUNCTION("""COMPUTED_VALUE"""),337.07)</f>
        <v>337.07</v>
      </c>
      <c r="E28" s="190">
        <f>IFERROR(__xludf.DUMMYFUNCTION("""COMPUTED_VALUE"""),334.41)</f>
        <v>334.41</v>
      </c>
      <c r="F28" s="190">
        <f>IFERROR(__xludf.DUMMYFUNCTION("""COMPUTED_VALUE"""),336.56)</f>
        <v>336.56</v>
      </c>
      <c r="G28" s="191">
        <f>IFERROR(__xludf.DUMMYFUNCTION("""COMPUTED_VALUE"""),3779878.0)</f>
        <v>3779878</v>
      </c>
      <c r="H28" s="112"/>
      <c r="I28" s="112"/>
      <c r="J28" s="197">
        <v>45287.0</v>
      </c>
      <c r="K28" s="193">
        <v>0.003</v>
      </c>
      <c r="L28" s="194">
        <v>0.0</v>
      </c>
      <c r="M28" s="194">
        <v>0.7</v>
      </c>
      <c r="N28" s="112">
        <f t="shared" si="1"/>
        <v>0.7</v>
      </c>
      <c r="O28" s="196">
        <f t="shared" si="2"/>
        <v>216.9582505</v>
      </c>
      <c r="P28" s="198"/>
      <c r="Q28" s="112"/>
      <c r="R28" s="112"/>
    </row>
    <row r="29" ht="17.25" customHeight="1">
      <c r="A29" s="112"/>
      <c r="B29" s="189">
        <f>IFERROR(__xludf.DUMMYFUNCTION("""COMPUTED_VALUE"""),45995.66666666667)</f>
        <v>45995.66667</v>
      </c>
      <c r="C29" s="190">
        <f>IFERROR(__xludf.DUMMYFUNCTION("""COMPUTED_VALUE"""),337.24)</f>
        <v>337.24</v>
      </c>
      <c r="D29" s="190">
        <f>IFERROR(__xludf.DUMMYFUNCTION("""COMPUTED_VALUE"""),337.34)</f>
        <v>337.34</v>
      </c>
      <c r="E29" s="190">
        <f>IFERROR(__xludf.DUMMYFUNCTION("""COMPUTED_VALUE"""),335.59)</f>
        <v>335.59</v>
      </c>
      <c r="F29" s="190">
        <f>IFERROR(__xludf.DUMMYFUNCTION("""COMPUTED_VALUE"""),337.09)</f>
        <v>337.09</v>
      </c>
      <c r="G29" s="191">
        <f>IFERROR(__xludf.DUMMYFUNCTION("""COMPUTED_VALUE"""),3587799.0)</f>
        <v>3587799</v>
      </c>
      <c r="H29" s="112"/>
      <c r="I29" s="112"/>
      <c r="J29" s="192">
        <v>45378.0</v>
      </c>
      <c r="K29" s="193">
        <v>0.002</v>
      </c>
      <c r="L29" s="194">
        <v>0.0</v>
      </c>
      <c r="M29" s="194">
        <v>0.64</v>
      </c>
      <c r="N29" s="112">
        <f t="shared" si="1"/>
        <v>0.64</v>
      </c>
      <c r="O29" s="196">
        <f t="shared" si="2"/>
        <v>217.1626984</v>
      </c>
      <c r="P29" s="199"/>
      <c r="Q29" s="112"/>
      <c r="R29" s="112"/>
    </row>
    <row r="30" ht="17.25" customHeight="1">
      <c r="A30" s="112"/>
      <c r="B30" s="189">
        <f>IFERROR(__xludf.DUMMYFUNCTION("""COMPUTED_VALUE"""),45996.66666666667)</f>
        <v>45996.66667</v>
      </c>
      <c r="C30" s="190">
        <f>IFERROR(__xludf.DUMMYFUNCTION("""COMPUTED_VALUE"""),337.57)</f>
        <v>337.57</v>
      </c>
      <c r="D30" s="190">
        <f>IFERROR(__xludf.DUMMYFUNCTION("""COMPUTED_VALUE"""),338.96)</f>
        <v>338.96</v>
      </c>
      <c r="E30" s="190">
        <f>IFERROR(__xludf.DUMMYFUNCTION("""COMPUTED_VALUE"""),337.03)</f>
        <v>337.03</v>
      </c>
      <c r="F30" s="190">
        <f>IFERROR(__xludf.DUMMYFUNCTION("""COMPUTED_VALUE"""),337.56)</f>
        <v>337.56</v>
      </c>
      <c r="G30" s="191">
        <f>IFERROR(__xludf.DUMMYFUNCTION("""COMPUTED_VALUE"""),3340543.0)</f>
        <v>3340543</v>
      </c>
      <c r="H30" s="112"/>
      <c r="I30" s="112"/>
      <c r="J30" s="192">
        <v>45475.0</v>
      </c>
      <c r="K30" s="193">
        <v>0.0025</v>
      </c>
      <c r="L30" s="194">
        <v>0.0</v>
      </c>
      <c r="M30" s="194">
        <v>0.67</v>
      </c>
      <c r="N30" s="112">
        <f t="shared" si="1"/>
        <v>0.67</v>
      </c>
      <c r="O30" s="196">
        <f t="shared" si="2"/>
        <v>217.2884711</v>
      </c>
      <c r="P30" s="200"/>
      <c r="Q30" s="112"/>
      <c r="R30" s="112"/>
    </row>
    <row r="31" ht="17.25" customHeight="1">
      <c r="A31" s="112"/>
      <c r="B31" s="189">
        <f>IFERROR(__xludf.DUMMYFUNCTION("""COMPUTED_VALUE"""),45999.66666666667)</f>
        <v>45999.66667</v>
      </c>
      <c r="C31" s="190">
        <f>IFERROR(__xludf.DUMMYFUNCTION("""COMPUTED_VALUE"""),338.2)</f>
        <v>338.2</v>
      </c>
      <c r="D31" s="190">
        <f>IFERROR(__xludf.DUMMYFUNCTION("""COMPUTED_VALUE"""),338.2)</f>
        <v>338.2</v>
      </c>
      <c r="E31" s="190">
        <f>IFERROR(__xludf.DUMMYFUNCTION("""COMPUTED_VALUE"""),335.6)</f>
        <v>335.6</v>
      </c>
      <c r="F31" s="190">
        <f>IFERROR(__xludf.DUMMYFUNCTION("""COMPUTED_VALUE"""),336.57)</f>
        <v>336.57</v>
      </c>
      <c r="G31" s="191">
        <f>IFERROR(__xludf.DUMMYFUNCTION("""COMPUTED_VALUE"""),3532782.0)</f>
        <v>3532782</v>
      </c>
      <c r="H31" s="112"/>
      <c r="I31" s="112"/>
      <c r="J31" s="192">
        <v>45540.0</v>
      </c>
      <c r="K31" s="193">
        <v>0.73533</v>
      </c>
      <c r="L31" s="194">
        <v>271.98772</v>
      </c>
      <c r="M31" s="94">
        <v>0.1</v>
      </c>
      <c r="N31" s="112">
        <f t="shared" si="1"/>
        <v>200.1007301</v>
      </c>
      <c r="O31" s="196">
        <f t="shared" si="2"/>
        <v>240.3846481</v>
      </c>
      <c r="P31" s="198"/>
      <c r="Q31" s="112"/>
      <c r="R31" s="112"/>
    </row>
    <row r="32" ht="17.25" customHeight="1">
      <c r="A32" s="112"/>
      <c r="B32" s="189">
        <f>IFERROR(__xludf.DUMMYFUNCTION("""COMPUTED_VALUE"""),46000.66666666667)</f>
        <v>46000.66667</v>
      </c>
      <c r="C32" s="190">
        <f>IFERROR(__xludf.DUMMYFUNCTION("""COMPUTED_VALUE"""),336.28)</f>
        <v>336.28</v>
      </c>
      <c r="D32" s="190">
        <f>IFERROR(__xludf.DUMMYFUNCTION("""COMPUTED_VALUE"""),337.55)</f>
        <v>337.55</v>
      </c>
      <c r="E32" s="190">
        <f>IFERROR(__xludf.DUMMYFUNCTION("""COMPUTED_VALUE"""),336.07)</f>
        <v>336.07</v>
      </c>
      <c r="F32" s="190">
        <f>IFERROR(__xludf.DUMMYFUNCTION("""COMPUTED_VALUE"""),336.23)</f>
        <v>336.23</v>
      </c>
      <c r="G32" s="191">
        <f>IFERROR(__xludf.DUMMYFUNCTION("""COMPUTED_VALUE"""),3035694.0)</f>
        <v>3035694</v>
      </c>
      <c r="H32" s="112"/>
      <c r="I32" s="112"/>
      <c r="J32" s="192">
        <v>45566.0</v>
      </c>
      <c r="K32" s="193">
        <v>0.0022</v>
      </c>
      <c r="L32" s="194">
        <v>0.0</v>
      </c>
      <c r="M32" s="194">
        <v>0.62</v>
      </c>
      <c r="N32" s="94"/>
      <c r="O32" s="196">
        <f t="shared" si="2"/>
        <v>240.0821097</v>
      </c>
      <c r="P32" s="198"/>
      <c r="Q32" s="112"/>
      <c r="R32" s="112"/>
    </row>
    <row r="33" ht="17.25" customHeight="1">
      <c r="A33" s="112"/>
      <c r="B33" s="189">
        <f>IFERROR(__xludf.DUMMYFUNCTION("""COMPUTED_VALUE"""),46001.66666666667)</f>
        <v>46001.66667</v>
      </c>
      <c r="C33" s="190">
        <f>IFERROR(__xludf.DUMMYFUNCTION("""COMPUTED_VALUE"""),336.12)</f>
        <v>336.12</v>
      </c>
      <c r="D33" s="190">
        <f>IFERROR(__xludf.DUMMYFUNCTION("""COMPUTED_VALUE"""),339.59)</f>
        <v>339.59</v>
      </c>
      <c r="E33" s="190">
        <f>IFERROR(__xludf.DUMMYFUNCTION("""COMPUTED_VALUE"""),335.5)</f>
        <v>335.5</v>
      </c>
      <c r="F33" s="190">
        <f>IFERROR(__xludf.DUMMYFUNCTION("""COMPUTED_VALUE"""),338.73)</f>
        <v>338.73</v>
      </c>
      <c r="G33" s="191">
        <f>IFERROR(__xludf.DUMMYFUNCTION("""COMPUTED_VALUE"""),5697052.0)</f>
        <v>5697052</v>
      </c>
      <c r="H33" s="112"/>
      <c r="I33" s="112"/>
      <c r="J33" s="192">
        <v>45572.0</v>
      </c>
      <c r="K33" s="193">
        <v>0.70927</v>
      </c>
      <c r="L33" s="194">
        <v>281.979998</v>
      </c>
      <c r="M33" s="94">
        <v>0.1</v>
      </c>
      <c r="N33" s="112">
        <f t="shared" ref="N33:N69" si="3">K33*L33+M33</f>
        <v>200.0999532</v>
      </c>
      <c r="O33" s="196">
        <f t="shared" si="2"/>
        <v>252.2161247</v>
      </c>
      <c r="P33" s="112"/>
      <c r="Q33" s="112"/>
      <c r="R33" s="112"/>
    </row>
    <row r="34" ht="17.25" customHeight="1">
      <c r="A34" s="112"/>
      <c r="B34" s="189">
        <f>IFERROR(__xludf.DUMMYFUNCTION("""COMPUTED_VALUE"""),46002.66666666667)</f>
        <v>46002.66667</v>
      </c>
      <c r="C34" s="190">
        <f>IFERROR(__xludf.DUMMYFUNCTION("""COMPUTED_VALUE"""),337.88)</f>
        <v>337.88</v>
      </c>
      <c r="D34" s="190">
        <f>IFERROR(__xludf.DUMMYFUNCTION("""COMPUTED_VALUE"""),339.94)</f>
        <v>339.94</v>
      </c>
      <c r="E34" s="190">
        <f>IFERROR(__xludf.DUMMYFUNCTION("""COMPUTED_VALUE"""),336.44)</f>
        <v>336.44</v>
      </c>
      <c r="F34" s="190">
        <f>IFERROR(__xludf.DUMMYFUNCTION("""COMPUTED_VALUE"""),339.87)</f>
        <v>339.87</v>
      </c>
      <c r="G34" s="191">
        <f>IFERROR(__xludf.DUMMYFUNCTION("""COMPUTED_VALUE"""),3818952.0)</f>
        <v>3818952</v>
      </c>
      <c r="H34" s="112"/>
      <c r="I34" s="112"/>
      <c r="J34" s="197">
        <v>45601.0</v>
      </c>
      <c r="K34" s="193">
        <v>0.70888</v>
      </c>
      <c r="L34" s="194">
        <v>282.135401</v>
      </c>
      <c r="M34" s="94">
        <v>0.1</v>
      </c>
      <c r="N34" s="112">
        <f t="shared" si="3"/>
        <v>200.1001431</v>
      </c>
      <c r="O34" s="196">
        <f t="shared" si="2"/>
        <v>258.9463727</v>
      </c>
      <c r="P34" s="112"/>
      <c r="Q34" s="112"/>
      <c r="R34" s="112"/>
    </row>
    <row r="35" ht="17.25" customHeight="1">
      <c r="A35" s="112"/>
      <c r="B35" s="189">
        <f>IFERROR(__xludf.DUMMYFUNCTION("""COMPUTED_VALUE"""),46003.66666666667)</f>
        <v>46003.66667</v>
      </c>
      <c r="C35" s="190">
        <f>IFERROR(__xludf.DUMMYFUNCTION("""COMPUTED_VALUE"""),339.5)</f>
        <v>339.5</v>
      </c>
      <c r="D35" s="190">
        <f>IFERROR(__xludf.DUMMYFUNCTION("""COMPUTED_VALUE"""),339.75)</f>
        <v>339.75</v>
      </c>
      <c r="E35" s="190">
        <f>IFERROR(__xludf.DUMMYFUNCTION("""COMPUTED_VALUE"""),334.85)</f>
        <v>334.85</v>
      </c>
      <c r="F35" s="190">
        <f>IFERROR(__xludf.DUMMYFUNCTION("""COMPUTED_VALUE"""),335.99)</f>
        <v>335.99</v>
      </c>
      <c r="G35" s="191">
        <f>IFERROR(__xludf.DUMMYFUNCTION("""COMPUTED_VALUE"""),4258897.0)</f>
        <v>4258897</v>
      </c>
      <c r="H35" s="112"/>
      <c r="I35" s="112"/>
      <c r="J35" s="197">
        <v>45631.0</v>
      </c>
      <c r="K35" s="193">
        <v>0.66099</v>
      </c>
      <c r="L35" s="194">
        <v>302.577496</v>
      </c>
      <c r="M35" s="94">
        <v>0.1</v>
      </c>
      <c r="N35" s="112">
        <f t="shared" si="3"/>
        <v>200.1006991</v>
      </c>
      <c r="O35" s="196">
        <f t="shared" si="2"/>
        <v>266.5080269</v>
      </c>
      <c r="P35" s="112"/>
      <c r="Q35" s="112"/>
      <c r="R35" s="112"/>
    </row>
    <row r="36" ht="17.25" customHeight="1">
      <c r="A36" s="112"/>
      <c r="B36" s="189">
        <f>IFERROR(__xludf.DUMMYFUNCTION("""COMPUTED_VALUE"""),46006.66666666667)</f>
        <v>46006.66667</v>
      </c>
      <c r="C36" s="190">
        <f>IFERROR(__xludf.DUMMYFUNCTION("""COMPUTED_VALUE"""),337.98)</f>
        <v>337.98</v>
      </c>
      <c r="D36" s="190">
        <f>IFERROR(__xludf.DUMMYFUNCTION("""COMPUTED_VALUE"""),338.0)</f>
        <v>338</v>
      </c>
      <c r="E36" s="190">
        <f>IFERROR(__xludf.DUMMYFUNCTION("""COMPUTED_VALUE"""),334.68)</f>
        <v>334.68</v>
      </c>
      <c r="F36" s="190">
        <f>IFERROR(__xludf.DUMMYFUNCTION("""COMPUTED_VALUE"""),335.33)</f>
        <v>335.33</v>
      </c>
      <c r="G36" s="191">
        <f>IFERROR(__xludf.DUMMYFUNCTION("""COMPUTED_VALUE"""),3571852.0)</f>
        <v>3571852</v>
      </c>
      <c r="H36" s="112"/>
      <c r="I36" s="112"/>
      <c r="J36" s="197">
        <v>45652.0</v>
      </c>
      <c r="K36" s="193">
        <v>0.0022</v>
      </c>
      <c r="L36" s="194">
        <v>0.0</v>
      </c>
      <c r="M36" s="194">
        <v>0.66</v>
      </c>
      <c r="N36" s="112">
        <f t="shared" si="3"/>
        <v>0.66</v>
      </c>
      <c r="O36" s="196">
        <f t="shared" si="2"/>
        <v>266.5272683</v>
      </c>
      <c r="P36" s="112"/>
      <c r="Q36" s="112"/>
      <c r="R36" s="112"/>
    </row>
    <row r="37" ht="17.25" customHeight="1">
      <c r="A37" s="112"/>
      <c r="B37" s="189">
        <f>IFERROR(__xludf.DUMMYFUNCTION("""COMPUTED_VALUE"""),46007.66666666667)</f>
        <v>46007.66667</v>
      </c>
      <c r="C37" s="190">
        <f>IFERROR(__xludf.DUMMYFUNCTION("""COMPUTED_VALUE"""),334.59)</f>
        <v>334.59</v>
      </c>
      <c r="D37" s="190">
        <f>IFERROR(__xludf.DUMMYFUNCTION("""COMPUTED_VALUE"""),335.51)</f>
        <v>335.51</v>
      </c>
      <c r="E37" s="190">
        <f>IFERROR(__xludf.DUMMYFUNCTION("""COMPUTED_VALUE"""),332.42)</f>
        <v>332.42</v>
      </c>
      <c r="F37" s="190">
        <f>IFERROR(__xludf.DUMMYFUNCTION("""COMPUTED_VALUE"""),334.36)</f>
        <v>334.36</v>
      </c>
      <c r="G37" s="191">
        <f>IFERROR(__xludf.DUMMYFUNCTION("""COMPUTED_VALUE"""),4129247.0)</f>
        <v>4129247</v>
      </c>
      <c r="H37" s="112"/>
      <c r="I37" s="112"/>
      <c r="J37" s="192">
        <v>45663.0</v>
      </c>
      <c r="K37" s="193">
        <v>0.67756</v>
      </c>
      <c r="L37" s="194">
        <v>295.175441</v>
      </c>
      <c r="M37" s="94">
        <v>0.1</v>
      </c>
      <c r="N37" s="112">
        <f t="shared" si="3"/>
        <v>200.0990718</v>
      </c>
      <c r="O37" s="196">
        <f t="shared" si="2"/>
        <v>270.8563473</v>
      </c>
      <c r="P37" s="112"/>
      <c r="Q37" s="112"/>
      <c r="R37" s="112"/>
    </row>
    <row r="38" ht="17.25" customHeight="1">
      <c r="A38" s="112"/>
      <c r="B38" s="189">
        <f>IFERROR(__xludf.DUMMYFUNCTION("""COMPUTED_VALUE"""),46008.66666666667)</f>
        <v>46008.66667</v>
      </c>
      <c r="C38" s="190">
        <f>IFERROR(__xludf.DUMMYFUNCTION("""COMPUTED_VALUE"""),334.92)</f>
        <v>334.92</v>
      </c>
      <c r="D38" s="190">
        <f>IFERROR(__xludf.DUMMYFUNCTION("""COMPUTED_VALUE"""),335.2)</f>
        <v>335.2</v>
      </c>
      <c r="E38" s="190">
        <f>IFERROR(__xludf.DUMMYFUNCTION("""COMPUTED_VALUE"""),330.63)</f>
        <v>330.63</v>
      </c>
      <c r="F38" s="190">
        <f>IFERROR(__xludf.DUMMYFUNCTION("""COMPUTED_VALUE"""),330.71)</f>
        <v>330.71</v>
      </c>
      <c r="G38" s="191">
        <f>IFERROR(__xludf.DUMMYFUNCTION("""COMPUTED_VALUE"""),3980310.0)</f>
        <v>3980310</v>
      </c>
      <c r="H38" s="112"/>
      <c r="I38" s="112"/>
      <c r="J38" s="192">
        <v>45693.0</v>
      </c>
      <c r="K38" s="193">
        <v>0.67059</v>
      </c>
      <c r="L38" s="194">
        <v>298.244581</v>
      </c>
      <c r="M38" s="94">
        <v>0.1</v>
      </c>
      <c r="N38" s="112">
        <f t="shared" si="3"/>
        <v>200.0998336</v>
      </c>
      <c r="O38" s="196">
        <f t="shared" si="2"/>
        <v>274.4229729</v>
      </c>
      <c r="P38" s="112"/>
      <c r="Q38" s="112"/>
      <c r="R38" s="112"/>
    </row>
    <row r="39" ht="17.25" customHeight="1">
      <c r="A39" s="112"/>
      <c r="B39" s="189">
        <f>IFERROR(__xludf.DUMMYFUNCTION("""COMPUTED_VALUE"""),46009.66666666667)</f>
        <v>46009.66667</v>
      </c>
      <c r="C39" s="190">
        <f>IFERROR(__xludf.DUMMYFUNCTION("""COMPUTED_VALUE"""),333.78)</f>
        <v>333.78</v>
      </c>
      <c r="D39" s="190">
        <f>IFERROR(__xludf.DUMMYFUNCTION("""COMPUTED_VALUE"""),335.35)</f>
        <v>335.35</v>
      </c>
      <c r="E39" s="190">
        <f>IFERROR(__xludf.DUMMYFUNCTION("""COMPUTED_VALUE"""),332.47)</f>
        <v>332.47</v>
      </c>
      <c r="F39" s="190">
        <f>IFERROR(__xludf.DUMMYFUNCTION("""COMPUTED_VALUE"""),333.25)</f>
        <v>333.25</v>
      </c>
      <c r="G39" s="191">
        <f>IFERROR(__xludf.DUMMYFUNCTION("""COMPUTED_VALUE"""),3347732.0)</f>
        <v>3347732</v>
      </c>
      <c r="H39" s="112"/>
      <c r="I39" s="112"/>
      <c r="J39" s="192">
        <v>45721.0</v>
      </c>
      <c r="K39" s="193">
        <v>0.70377</v>
      </c>
      <c r="L39" s="194">
        <v>284.185474</v>
      </c>
      <c r="M39" s="94">
        <v>0.1</v>
      </c>
      <c r="N39" s="112">
        <f t="shared" si="3"/>
        <v>200.101211</v>
      </c>
      <c r="O39" s="196">
        <f t="shared" si="2"/>
        <v>275.6081815</v>
      </c>
      <c r="P39" s="112"/>
      <c r="Q39" s="112"/>
      <c r="R39" s="112"/>
    </row>
    <row r="40" ht="17.25" customHeight="1">
      <c r="A40" s="112"/>
      <c r="B40" s="189">
        <f>IFERROR(__xludf.DUMMYFUNCTION("""COMPUTED_VALUE"""),46010.66666666667)</f>
        <v>46010.66667</v>
      </c>
      <c r="C40" s="190">
        <f>IFERROR(__xludf.DUMMYFUNCTION("""COMPUTED_VALUE"""),334.37)</f>
        <v>334.37</v>
      </c>
      <c r="D40" s="190">
        <f>IFERROR(__xludf.DUMMYFUNCTION("""COMPUTED_VALUE"""),336.59)</f>
        <v>336.59</v>
      </c>
      <c r="E40" s="190">
        <f>IFERROR(__xludf.DUMMYFUNCTION("""COMPUTED_VALUE"""),334.21)</f>
        <v>334.21</v>
      </c>
      <c r="F40" s="190">
        <f>IFERROR(__xludf.DUMMYFUNCTION("""COMPUTED_VALUE"""),336.22)</f>
        <v>336.22</v>
      </c>
      <c r="G40" s="191">
        <f>IFERROR(__xludf.DUMMYFUNCTION("""COMPUTED_VALUE"""),4022606.0)</f>
        <v>4022606</v>
      </c>
      <c r="H40" s="112"/>
      <c r="I40" s="112"/>
      <c r="J40" s="192">
        <v>45747.0</v>
      </c>
      <c r="K40" s="193">
        <v>0.0026</v>
      </c>
      <c r="L40" s="194">
        <v>0.0</v>
      </c>
      <c r="M40" s="194">
        <v>0.7</v>
      </c>
      <c r="N40" s="112">
        <f t="shared" si="3"/>
        <v>0.7</v>
      </c>
      <c r="O40" s="196">
        <f t="shared" si="2"/>
        <v>275.6053634</v>
      </c>
      <c r="P40" s="112"/>
      <c r="Q40" s="112"/>
      <c r="R40" s="112"/>
    </row>
    <row r="41" ht="17.25" customHeight="1">
      <c r="A41" s="112"/>
      <c r="B41" s="189">
        <f>IFERROR(__xludf.DUMMYFUNCTION("""COMPUTED_VALUE"""),46013.66666666667)</f>
        <v>46013.66667</v>
      </c>
      <c r="C41" s="190">
        <f>IFERROR(__xludf.DUMMYFUNCTION("""COMPUTED_VALUE"""),337.0)</f>
        <v>337</v>
      </c>
      <c r="D41" s="190">
        <f>IFERROR(__xludf.DUMMYFUNCTION("""COMPUTED_VALUE"""),337.91)</f>
        <v>337.91</v>
      </c>
      <c r="E41" s="190">
        <f>IFERROR(__xludf.DUMMYFUNCTION("""COMPUTED_VALUE"""),336.61)</f>
        <v>336.61</v>
      </c>
      <c r="F41" s="190">
        <f>IFERROR(__xludf.DUMMYFUNCTION("""COMPUTED_VALUE"""),337.6)</f>
        <v>337.6</v>
      </c>
      <c r="G41" s="191">
        <f>IFERROR(__xludf.DUMMYFUNCTION("""COMPUTED_VALUE"""),3782103.0)</f>
        <v>3782103</v>
      </c>
      <c r="H41" s="112"/>
      <c r="I41" s="112"/>
      <c r="J41" s="192">
        <v>45782.0</v>
      </c>
      <c r="K41" s="193">
        <v>0.72293</v>
      </c>
      <c r="L41" s="194">
        <v>276.650215</v>
      </c>
      <c r="M41" s="94">
        <v>0.1</v>
      </c>
      <c r="N41" s="112">
        <f t="shared" si="3"/>
        <v>200.0987399</v>
      </c>
      <c r="O41" s="196">
        <f t="shared" si="2"/>
        <v>275.7348288</v>
      </c>
      <c r="P41" s="112"/>
      <c r="Q41" s="112"/>
      <c r="R41" s="112"/>
    </row>
    <row r="42" ht="17.25" customHeight="1">
      <c r="A42" s="112"/>
      <c r="B42" s="189">
        <f>IFERROR(__xludf.DUMMYFUNCTION("""COMPUTED_VALUE"""),46014.66666666667)</f>
        <v>46014.66667</v>
      </c>
      <c r="C42" s="190">
        <f>IFERROR(__xludf.DUMMYFUNCTION("""COMPUTED_VALUE"""),337.0)</f>
        <v>337</v>
      </c>
      <c r="D42" s="190">
        <f>IFERROR(__xludf.DUMMYFUNCTION("""COMPUTED_VALUE"""),338.83)</f>
        <v>338.83</v>
      </c>
      <c r="E42" s="190">
        <f>IFERROR(__xludf.DUMMYFUNCTION("""COMPUTED_VALUE"""),337.0)</f>
        <v>337</v>
      </c>
      <c r="F42" s="190">
        <f>IFERROR(__xludf.DUMMYFUNCTION("""COMPUTED_VALUE"""),338.72)</f>
        <v>338.72</v>
      </c>
      <c r="G42" s="191">
        <f>IFERROR(__xludf.DUMMYFUNCTION("""COMPUTED_VALUE"""),3611146.0)</f>
        <v>3611146</v>
      </c>
      <c r="H42" s="112"/>
      <c r="I42" s="112"/>
      <c r="J42" s="192">
        <v>45813.0</v>
      </c>
      <c r="K42" s="193">
        <v>0.68032</v>
      </c>
      <c r="L42" s="195">
        <v>293.980081</v>
      </c>
      <c r="M42" s="94">
        <v>0.1</v>
      </c>
      <c r="N42" s="112">
        <f t="shared" si="3"/>
        <v>200.1005287</v>
      </c>
      <c r="O42" s="196">
        <f t="shared" si="2"/>
        <v>277.4519099</v>
      </c>
      <c r="P42" s="112"/>
      <c r="Q42" s="112"/>
      <c r="R42" s="112"/>
    </row>
    <row r="43" ht="17.25" customHeight="1">
      <c r="A43" s="112"/>
      <c r="B43" s="189">
        <f>IFERROR(__xludf.DUMMYFUNCTION("""COMPUTED_VALUE"""),46015.54166666667)</f>
        <v>46015.54167</v>
      </c>
      <c r="C43" s="190">
        <f>IFERROR(__xludf.DUMMYFUNCTION("""COMPUTED_VALUE"""),338.78)</f>
        <v>338.78</v>
      </c>
      <c r="D43" s="190">
        <f>IFERROR(__xludf.DUMMYFUNCTION("""COMPUTED_VALUE"""),340.1)</f>
        <v>340.1</v>
      </c>
      <c r="E43" s="190">
        <f>IFERROR(__xludf.DUMMYFUNCTION("""COMPUTED_VALUE"""),338.71)</f>
        <v>338.71</v>
      </c>
      <c r="F43" s="190">
        <f>IFERROR(__xludf.DUMMYFUNCTION("""COMPUTED_VALUE"""),339.88)</f>
        <v>339.88</v>
      </c>
      <c r="G43" s="191">
        <f>IFERROR(__xludf.DUMMYFUNCTION("""COMPUTED_VALUE"""),4006460.0)</f>
        <v>4006460</v>
      </c>
      <c r="H43" s="112"/>
      <c r="I43" s="112"/>
      <c r="J43" s="192">
        <v>45840.0</v>
      </c>
      <c r="K43" s="193">
        <v>0.0021</v>
      </c>
      <c r="L43" s="195">
        <v>0.0</v>
      </c>
      <c r="M43" s="195">
        <v>0.65</v>
      </c>
      <c r="N43" s="196">
        <f t="shared" si="3"/>
        <v>0.65</v>
      </c>
      <c r="O43" s="196">
        <f t="shared" si="2"/>
        <v>277.4611497</v>
      </c>
      <c r="P43" s="112"/>
      <c r="Q43" s="112"/>
      <c r="R43" s="112"/>
    </row>
    <row r="44" ht="17.25" customHeight="1">
      <c r="A44" s="112"/>
      <c r="B44" s="189">
        <f>IFERROR(__xludf.DUMMYFUNCTION("""COMPUTED_VALUE"""),46017.66666666667)</f>
        <v>46017.66667</v>
      </c>
      <c r="C44" s="190">
        <f>IFERROR(__xludf.DUMMYFUNCTION("""COMPUTED_VALUE"""),340.14)</f>
        <v>340.14</v>
      </c>
      <c r="D44" s="190">
        <f>IFERROR(__xludf.DUMMYFUNCTION("""COMPUTED_VALUE"""),340.33)</f>
        <v>340.33</v>
      </c>
      <c r="E44" s="190">
        <f>IFERROR(__xludf.DUMMYFUNCTION("""COMPUTED_VALUE"""),339.17)</f>
        <v>339.17</v>
      </c>
      <c r="F44" s="190">
        <f>IFERROR(__xludf.DUMMYFUNCTION("""COMPUTED_VALUE"""),339.67)</f>
        <v>339.67</v>
      </c>
      <c r="G44" s="191">
        <f>IFERROR(__xludf.DUMMYFUNCTION("""COMPUTED_VALUE"""),3543603.0)</f>
        <v>3543603</v>
      </c>
      <c r="H44" s="112"/>
      <c r="I44" s="112"/>
      <c r="J44" s="192">
        <v>45845.0</v>
      </c>
      <c r="K44" s="193">
        <v>0.97723</v>
      </c>
      <c r="L44" s="195">
        <v>306.9906</v>
      </c>
      <c r="M44" s="94">
        <v>0.1</v>
      </c>
      <c r="N44" s="112">
        <f t="shared" si="3"/>
        <v>300.100424</v>
      </c>
      <c r="O44" s="196">
        <f t="shared" si="2"/>
        <v>280.9641037</v>
      </c>
      <c r="P44" s="112"/>
      <c r="Q44" s="112"/>
      <c r="R44" s="112"/>
    </row>
    <row r="45" ht="17.25" customHeight="1">
      <c r="A45" s="112"/>
      <c r="B45" s="189">
        <f>IFERROR(__xludf.DUMMYFUNCTION("""COMPUTED_VALUE"""),46020.66666666667)</f>
        <v>46020.66667</v>
      </c>
      <c r="C45" s="190">
        <f>IFERROR(__xludf.DUMMYFUNCTION("""COMPUTED_VALUE"""),338.4)</f>
        <v>338.4</v>
      </c>
      <c r="D45" s="190">
        <f>IFERROR(__xludf.DUMMYFUNCTION("""COMPUTED_VALUE"""),339.27)</f>
        <v>339.27</v>
      </c>
      <c r="E45" s="190">
        <f>IFERROR(__xludf.DUMMYFUNCTION("""COMPUTED_VALUE"""),337.57)</f>
        <v>337.57</v>
      </c>
      <c r="F45" s="190">
        <f>IFERROR(__xludf.DUMMYFUNCTION("""COMPUTED_VALUE"""),338.39)</f>
        <v>338.39</v>
      </c>
      <c r="G45" s="191">
        <f>IFERROR(__xludf.DUMMYFUNCTION("""COMPUTED_VALUE"""),3795871.0)</f>
        <v>3795871</v>
      </c>
      <c r="H45" s="112"/>
      <c r="I45" s="112"/>
      <c r="J45" s="192">
        <v>45874.0</v>
      </c>
      <c r="K45" s="193">
        <v>0.96506</v>
      </c>
      <c r="L45" s="195">
        <v>310.860391</v>
      </c>
      <c r="M45" s="94">
        <v>0.1</v>
      </c>
      <c r="N45" s="112">
        <f t="shared" si="3"/>
        <v>300.0989289</v>
      </c>
      <c r="O45" s="196">
        <f t="shared" si="2"/>
        <v>284.1002806</v>
      </c>
      <c r="P45" s="112"/>
      <c r="Q45" s="112"/>
      <c r="R45" s="112"/>
    </row>
    <row r="46" ht="17.25" customHeight="1">
      <c r="A46" s="112"/>
      <c r="B46" s="189">
        <f>IFERROR(__xludf.DUMMYFUNCTION("""COMPUTED_VALUE"""),46021.66666666667)</f>
        <v>46021.66667</v>
      </c>
      <c r="C46" s="190">
        <f>IFERROR(__xludf.DUMMYFUNCTION("""COMPUTED_VALUE"""),338.39)</f>
        <v>338.39</v>
      </c>
      <c r="D46" s="190">
        <f>IFERROR(__xludf.DUMMYFUNCTION("""COMPUTED_VALUE"""),338.78)</f>
        <v>338.78</v>
      </c>
      <c r="E46" s="190">
        <f>IFERROR(__xludf.DUMMYFUNCTION("""COMPUTED_VALUE"""),337.75)</f>
        <v>337.75</v>
      </c>
      <c r="F46" s="190">
        <f>IFERROR(__xludf.DUMMYFUNCTION("""COMPUTED_VALUE"""),337.85)</f>
        <v>337.85</v>
      </c>
      <c r="G46" s="191">
        <f>IFERROR(__xludf.DUMMYFUNCTION("""COMPUTED_VALUE"""),3576246.0)</f>
        <v>3576246</v>
      </c>
      <c r="H46" s="112"/>
      <c r="I46" s="112"/>
      <c r="J46" s="192">
        <v>45905.0</v>
      </c>
      <c r="K46" s="193">
        <v>0.93281</v>
      </c>
      <c r="L46" s="195">
        <v>321.61</v>
      </c>
      <c r="M46" s="94">
        <v>0.1</v>
      </c>
      <c r="N46" s="112">
        <f t="shared" si="3"/>
        <v>300.1010241</v>
      </c>
      <c r="O46" s="196">
        <f t="shared" si="2"/>
        <v>287.5524911</v>
      </c>
      <c r="P46" s="112"/>
      <c r="Q46" s="112"/>
      <c r="R46" s="112"/>
    </row>
    <row r="47" ht="17.25" customHeight="1">
      <c r="A47" s="112"/>
      <c r="B47" s="189">
        <f>IFERROR(__xludf.DUMMYFUNCTION("""COMPUTED_VALUE"""),46022.66666666667)</f>
        <v>46022.66667</v>
      </c>
      <c r="C47" s="190">
        <f>IFERROR(__xludf.DUMMYFUNCTION("""COMPUTED_VALUE"""),338.04)</f>
        <v>338.04</v>
      </c>
      <c r="D47" s="190">
        <f>IFERROR(__xludf.DUMMYFUNCTION("""COMPUTED_VALUE"""),338.13)</f>
        <v>338.13</v>
      </c>
      <c r="E47" s="190">
        <f>IFERROR(__xludf.DUMMYFUNCTION("""COMPUTED_VALUE"""),335.22)</f>
        <v>335.22</v>
      </c>
      <c r="F47" s="190">
        <f>IFERROR(__xludf.DUMMYFUNCTION("""COMPUTED_VALUE"""),335.27)</f>
        <v>335.27</v>
      </c>
      <c r="G47" s="191">
        <f>IFERROR(__xludf.DUMMYFUNCTION("""COMPUTED_VALUE"""),3493687.0)</f>
        <v>3493687</v>
      </c>
      <c r="H47" s="112"/>
      <c r="I47" s="112"/>
      <c r="J47" s="192">
        <v>45931.0</v>
      </c>
      <c r="K47" s="193">
        <v>0.002</v>
      </c>
      <c r="L47" s="195">
        <v>0.0</v>
      </c>
      <c r="M47" s="195">
        <v>0.64</v>
      </c>
      <c r="N47" s="196">
        <f t="shared" si="3"/>
        <v>0.64</v>
      </c>
      <c r="O47" s="196">
        <f t="shared" si="2"/>
        <v>287.5588744</v>
      </c>
      <c r="P47" s="112"/>
      <c r="Q47" s="112"/>
      <c r="R47" s="112"/>
    </row>
    <row r="48" ht="17.25" customHeight="1">
      <c r="A48" s="112"/>
      <c r="B48" s="189">
        <f>IFERROR(__xludf.DUMMYFUNCTION("""COMPUTED_VALUE"""),46024.66666666667)</f>
        <v>46024.66667</v>
      </c>
      <c r="C48" s="190">
        <f>IFERROR(__xludf.DUMMYFUNCTION("""COMPUTED_VALUE"""),337.15)</f>
        <v>337.15</v>
      </c>
      <c r="D48" s="190">
        <f>IFERROR(__xludf.DUMMYFUNCTION("""COMPUTED_VALUE"""),337.74)</f>
        <v>337.74</v>
      </c>
      <c r="E48" s="190">
        <f>IFERROR(__xludf.DUMMYFUNCTION("""COMPUTED_VALUE"""),334.6)</f>
        <v>334.6</v>
      </c>
      <c r="F48" s="190">
        <f>IFERROR(__xludf.DUMMYFUNCTION("""COMPUTED_VALUE"""),336.31)</f>
        <v>336.31</v>
      </c>
      <c r="G48" s="191">
        <f>IFERROR(__xludf.DUMMYFUNCTION("""COMPUTED_VALUE"""),5177284.0)</f>
        <v>5177284</v>
      </c>
      <c r="H48" s="112"/>
      <c r="I48" s="112"/>
      <c r="J48" s="192">
        <v>45936.0</v>
      </c>
      <c r="K48" s="193">
        <v>0.90522</v>
      </c>
      <c r="L48" s="195">
        <v>331.409989</v>
      </c>
      <c r="M48" s="94">
        <v>0.1</v>
      </c>
      <c r="N48" s="112">
        <f t="shared" si="3"/>
        <v>300.0989502</v>
      </c>
      <c r="O48" s="196">
        <f t="shared" si="2"/>
        <v>291.1532104</v>
      </c>
      <c r="P48" s="112"/>
      <c r="Q48" s="112"/>
      <c r="R48" s="112"/>
    </row>
    <row r="49" ht="17.25" customHeight="1">
      <c r="A49" s="112"/>
      <c r="B49" s="189">
        <f>IFERROR(__xludf.DUMMYFUNCTION("""COMPUTED_VALUE"""),46027.66666666667)</f>
        <v>46027.66667</v>
      </c>
      <c r="C49" s="190">
        <f>IFERROR(__xludf.DUMMYFUNCTION("""COMPUTED_VALUE"""),338.0)</f>
        <v>338</v>
      </c>
      <c r="D49" s="190">
        <f>IFERROR(__xludf.DUMMYFUNCTION("""COMPUTED_VALUE"""),339.61)</f>
        <v>339.61</v>
      </c>
      <c r="E49" s="190">
        <f>IFERROR(__xludf.DUMMYFUNCTION("""COMPUTED_VALUE"""),337.85)</f>
        <v>337.85</v>
      </c>
      <c r="F49" s="190">
        <f>IFERROR(__xludf.DUMMYFUNCTION("""COMPUTED_VALUE"""),338.84)</f>
        <v>338.84</v>
      </c>
      <c r="G49" s="191">
        <f>IFERROR(__xludf.DUMMYFUNCTION("""COMPUTED_VALUE"""),5442161.0)</f>
        <v>5442161</v>
      </c>
      <c r="H49" s="112"/>
      <c r="I49" s="112"/>
      <c r="J49" s="192">
        <v>45966.0</v>
      </c>
      <c r="K49" s="193">
        <v>0.90408</v>
      </c>
      <c r="L49" s="195">
        <v>331.83</v>
      </c>
      <c r="M49" s="94">
        <v>0.1</v>
      </c>
      <c r="N49" s="112">
        <f t="shared" si="3"/>
        <v>300.1008664</v>
      </c>
      <c r="O49" s="196">
        <f t="shared" si="2"/>
        <v>294.2323838</v>
      </c>
      <c r="P49" s="112"/>
      <c r="Q49" s="112"/>
      <c r="R49" s="112"/>
    </row>
    <row r="50" ht="17.25" customHeight="1">
      <c r="A50" s="112"/>
      <c r="B50" s="189">
        <f>IFERROR(__xludf.DUMMYFUNCTION("""COMPUTED_VALUE"""),46028.66666666667)</f>
        <v>46028.66667</v>
      </c>
      <c r="C50" s="190">
        <f>IFERROR(__xludf.DUMMYFUNCTION("""COMPUTED_VALUE"""),338.99)</f>
        <v>338.99</v>
      </c>
      <c r="D50" s="190">
        <f>IFERROR(__xludf.DUMMYFUNCTION("""COMPUTED_VALUE"""),341.39)</f>
        <v>341.39</v>
      </c>
      <c r="E50" s="190">
        <f>IFERROR(__xludf.DUMMYFUNCTION("""COMPUTED_VALUE"""),338.81)</f>
        <v>338.81</v>
      </c>
      <c r="F50" s="190">
        <f>IFERROR(__xludf.DUMMYFUNCTION("""COMPUTED_VALUE"""),341.21)</f>
        <v>341.21</v>
      </c>
      <c r="G50" s="191">
        <f>IFERROR(__xludf.DUMMYFUNCTION("""COMPUTED_VALUE"""),6054463.0)</f>
        <v>6054463</v>
      </c>
      <c r="H50" s="112"/>
      <c r="I50" s="112"/>
      <c r="J50" s="192">
        <v>45996.0</v>
      </c>
      <c r="K50" s="193">
        <v>0.8887</v>
      </c>
      <c r="L50" s="195">
        <v>337.570021</v>
      </c>
      <c r="M50" s="94">
        <v>0.1</v>
      </c>
      <c r="N50" s="112">
        <f t="shared" si="3"/>
        <v>300.0984777</v>
      </c>
      <c r="O50" s="196">
        <f t="shared" si="2"/>
        <v>297.2340269</v>
      </c>
      <c r="P50" s="112"/>
      <c r="Q50" s="112"/>
      <c r="R50" s="112"/>
    </row>
    <row r="51" ht="17.25" customHeight="1">
      <c r="A51" s="112"/>
      <c r="B51" s="189">
        <f>IFERROR(__xludf.DUMMYFUNCTION("""COMPUTED_VALUE"""),46029.66666666667)</f>
        <v>46029.66667</v>
      </c>
      <c r="C51" s="190">
        <f>IFERROR(__xludf.DUMMYFUNCTION("""COMPUTED_VALUE"""),341.36)</f>
        <v>341.36</v>
      </c>
      <c r="D51" s="190">
        <f>IFERROR(__xludf.DUMMYFUNCTION("""COMPUTED_VALUE"""),342.08)</f>
        <v>342.08</v>
      </c>
      <c r="E51" s="190">
        <f>IFERROR(__xludf.DUMMYFUNCTION("""COMPUTED_VALUE"""),339.88)</f>
        <v>339.88</v>
      </c>
      <c r="F51" s="190">
        <f>IFERROR(__xludf.DUMMYFUNCTION("""COMPUTED_VALUE"""),340.05)</f>
        <v>340.05</v>
      </c>
      <c r="G51" s="191">
        <f>IFERROR(__xludf.DUMMYFUNCTION("""COMPUTED_VALUE"""),6629562.0)</f>
        <v>6629562</v>
      </c>
      <c r="H51" s="112"/>
      <c r="I51" s="112"/>
      <c r="J51" s="192">
        <v>46015.0</v>
      </c>
      <c r="K51" s="193">
        <v>0.002</v>
      </c>
      <c r="L51" s="195">
        <v>0.0</v>
      </c>
      <c r="M51" s="94">
        <v>0.71</v>
      </c>
      <c r="N51" s="112">
        <f t="shared" si="3"/>
        <v>0.71</v>
      </c>
      <c r="O51" s="196">
        <f t="shared" si="2"/>
        <v>297.2430063</v>
      </c>
      <c r="P51" s="112"/>
      <c r="Q51" s="112"/>
      <c r="R51" s="112"/>
    </row>
    <row r="52" ht="17.25" customHeight="1">
      <c r="A52" s="112"/>
      <c r="B52" s="189">
        <f>IFERROR(__xludf.DUMMYFUNCTION("""COMPUTED_VALUE"""),46030.66666666667)</f>
        <v>46030.66667</v>
      </c>
      <c r="C52" s="190">
        <f>IFERROR(__xludf.DUMMYFUNCTION("""COMPUTED_VALUE"""),339.77)</f>
        <v>339.77</v>
      </c>
      <c r="D52" s="190">
        <f>IFERROR(__xludf.DUMMYFUNCTION("""COMPUTED_VALUE"""),340.75)</f>
        <v>340.75</v>
      </c>
      <c r="E52" s="190">
        <f>IFERROR(__xludf.DUMMYFUNCTION("""COMPUTED_VALUE"""),339.09)</f>
        <v>339.09</v>
      </c>
      <c r="F52" s="190">
        <f>IFERROR(__xludf.DUMMYFUNCTION("""COMPUTED_VALUE"""),340.14)</f>
        <v>340.14</v>
      </c>
      <c r="G52" s="191">
        <f>IFERROR(__xludf.DUMMYFUNCTION("""COMPUTED_VALUE"""),6800029.0)</f>
        <v>6800029</v>
      </c>
      <c r="H52" s="112"/>
      <c r="I52" s="112"/>
      <c r="J52" s="192">
        <v>46027.0</v>
      </c>
      <c r="K52" s="193">
        <v>0.88757</v>
      </c>
      <c r="L52" s="195">
        <v>338.0</v>
      </c>
      <c r="M52" s="94">
        <v>0.1</v>
      </c>
      <c r="N52" s="112">
        <f t="shared" si="3"/>
        <v>300.09866</v>
      </c>
      <c r="O52" s="196">
        <f t="shared" si="2"/>
        <v>299.8804152</v>
      </c>
      <c r="P52" s="112"/>
      <c r="Q52" s="112"/>
      <c r="R52" s="112"/>
    </row>
    <row r="53" ht="17.25" customHeight="1">
      <c r="A53" s="112"/>
      <c r="B53" s="189">
        <f>IFERROR(__xludf.DUMMYFUNCTION("""COMPUTED_VALUE"""),46031.66666666667)</f>
        <v>46031.66667</v>
      </c>
      <c r="C53" s="190">
        <f>IFERROR(__xludf.DUMMYFUNCTION("""COMPUTED_VALUE"""),340.85)</f>
        <v>340.85</v>
      </c>
      <c r="D53" s="190">
        <f>IFERROR(__xludf.DUMMYFUNCTION("""COMPUTED_VALUE"""),342.94)</f>
        <v>342.94</v>
      </c>
      <c r="E53" s="190">
        <f>IFERROR(__xludf.DUMMYFUNCTION("""COMPUTED_VALUE"""),340.0)</f>
        <v>340</v>
      </c>
      <c r="F53" s="190">
        <f>IFERROR(__xludf.DUMMYFUNCTION("""COMPUTED_VALUE"""),342.4)</f>
        <v>342.4</v>
      </c>
      <c r="G53" s="191">
        <f>IFERROR(__xludf.DUMMYFUNCTION("""COMPUTED_VALUE"""),6854092.0)</f>
        <v>6854092</v>
      </c>
      <c r="H53" s="112"/>
      <c r="I53" s="112"/>
      <c r="J53" s="192">
        <v>46058.0</v>
      </c>
      <c r="K53" s="193">
        <v>0.89328</v>
      </c>
      <c r="L53" s="195">
        <v>335.840297</v>
      </c>
      <c r="M53" s="94">
        <v>0.1</v>
      </c>
      <c r="N53" s="112">
        <f t="shared" si="3"/>
        <v>300.0994205</v>
      </c>
      <c r="O53" s="196">
        <f t="shared" si="2"/>
        <v>302.0803077</v>
      </c>
      <c r="P53" s="112"/>
      <c r="Q53" s="112"/>
      <c r="R53" s="112"/>
    </row>
    <row r="54" ht="17.25" customHeight="1">
      <c r="A54" s="112"/>
      <c r="B54" s="189">
        <f>IFERROR(__xludf.DUMMYFUNCTION("""COMPUTED_VALUE"""),46034.66666666667)</f>
        <v>46034.66667</v>
      </c>
      <c r="C54" s="190">
        <f>IFERROR(__xludf.DUMMYFUNCTION("""COMPUTED_VALUE"""),340.91)</f>
        <v>340.91</v>
      </c>
      <c r="D54" s="190">
        <f>IFERROR(__xludf.DUMMYFUNCTION("""COMPUTED_VALUE"""),343.41)</f>
        <v>343.41</v>
      </c>
      <c r="E54" s="190">
        <f>IFERROR(__xludf.DUMMYFUNCTION("""COMPUTED_VALUE"""),340.78)</f>
        <v>340.78</v>
      </c>
      <c r="F54" s="190">
        <f>IFERROR(__xludf.DUMMYFUNCTION("""COMPUTED_VALUE"""),343.03)</f>
        <v>343.03</v>
      </c>
      <c r="G54" s="191">
        <f>IFERROR(__xludf.DUMMYFUNCTION("""COMPUTED_VALUE"""),5775945.0)</f>
        <v>5775945</v>
      </c>
      <c r="H54" s="112"/>
      <c r="I54" s="112"/>
      <c r="J54" s="192">
        <v>46086.0</v>
      </c>
      <c r="K54" s="193">
        <v>0.89132</v>
      </c>
      <c r="L54" s="195">
        <v>336.581329</v>
      </c>
      <c r="M54" s="94">
        <v>0.1</v>
      </c>
      <c r="N54" s="112">
        <f t="shared" si="3"/>
        <v>300.1016702</v>
      </c>
      <c r="O54" s="196">
        <f t="shared" si="2"/>
        <v>304.0657909</v>
      </c>
      <c r="P54" s="112"/>
      <c r="Q54" s="112"/>
      <c r="R54" s="112"/>
    </row>
    <row r="55" ht="17.25" customHeight="1">
      <c r="A55" s="112"/>
      <c r="B55" s="189">
        <f>IFERROR(__xludf.DUMMYFUNCTION("""COMPUTED_VALUE"""),46035.66666666667)</f>
        <v>46035.66667</v>
      </c>
      <c r="C55" s="190">
        <f>IFERROR(__xludf.DUMMYFUNCTION("""COMPUTED_VALUE"""),343.4)</f>
        <v>343.4</v>
      </c>
      <c r="D55" s="190">
        <f>IFERROR(__xludf.DUMMYFUNCTION("""COMPUTED_VALUE"""),343.54)</f>
        <v>343.54</v>
      </c>
      <c r="E55" s="190">
        <f>IFERROR(__xludf.DUMMYFUNCTION("""COMPUTED_VALUE"""),341.26)</f>
        <v>341.26</v>
      </c>
      <c r="F55" s="190">
        <f>IFERROR(__xludf.DUMMYFUNCTION("""COMPUTED_VALUE"""),342.34)</f>
        <v>342.34</v>
      </c>
      <c r="G55" s="191">
        <f>IFERROR(__xludf.DUMMYFUNCTION("""COMPUTED_VALUE"""),8088126.0)</f>
        <v>8088126</v>
      </c>
      <c r="H55" s="112"/>
      <c r="I55" s="112"/>
      <c r="J55" s="192">
        <v>46112.0</v>
      </c>
      <c r="K55" s="193">
        <v>0.0022</v>
      </c>
      <c r="L55" s="195">
        <v>0.0</v>
      </c>
      <c r="M55" s="94">
        <v>0.71</v>
      </c>
      <c r="N55" s="112">
        <f t="shared" si="3"/>
        <v>0.71</v>
      </c>
      <c r="O55" s="196">
        <f t="shared" si="2"/>
        <v>304.0684327</v>
      </c>
      <c r="P55" s="112"/>
      <c r="Q55" s="112"/>
      <c r="R55" s="112"/>
    </row>
    <row r="56" ht="17.25" customHeight="1">
      <c r="A56" s="112"/>
      <c r="B56" s="189">
        <f>IFERROR(__xludf.DUMMYFUNCTION("""COMPUTED_VALUE"""),46036.66666666667)</f>
        <v>46036.66667</v>
      </c>
      <c r="C56" s="190">
        <f>IFERROR(__xludf.DUMMYFUNCTION("""COMPUTED_VALUE"""),341.2)</f>
        <v>341.2</v>
      </c>
      <c r="D56" s="190">
        <f>IFERROR(__xludf.DUMMYFUNCTION("""COMPUTED_VALUE"""),341.47)</f>
        <v>341.47</v>
      </c>
      <c r="E56" s="190">
        <f>IFERROR(__xludf.DUMMYFUNCTION("""COMPUTED_VALUE"""),338.91)</f>
        <v>338.91</v>
      </c>
      <c r="F56" s="190">
        <f>IFERROR(__xludf.DUMMYFUNCTION("""COMPUTED_VALUE"""),341.0)</f>
        <v>341</v>
      </c>
      <c r="G56" s="191">
        <f>IFERROR(__xludf.DUMMYFUNCTION("""COMPUTED_VALUE"""),1.2154775E7)</f>
        <v>12154775</v>
      </c>
      <c r="H56" s="112"/>
      <c r="I56" s="112"/>
      <c r="J56" s="192">
        <v>46118.0</v>
      </c>
      <c r="K56" s="193">
        <v>0.92607</v>
      </c>
      <c r="L56" s="195">
        <v>323.9503</v>
      </c>
      <c r="M56" s="94">
        <v>0.1</v>
      </c>
      <c r="N56" s="112">
        <f t="shared" si="3"/>
        <v>300.1006543</v>
      </c>
      <c r="O56" s="196">
        <f t="shared" si="2"/>
        <v>305.1926355</v>
      </c>
      <c r="P56" s="112"/>
      <c r="Q56" s="112"/>
      <c r="R56" s="112"/>
    </row>
    <row r="57" ht="17.25" customHeight="1">
      <c r="A57" s="112"/>
      <c r="B57" s="189">
        <f>IFERROR(__xludf.DUMMYFUNCTION("""COMPUTED_VALUE"""),46037.66666666667)</f>
        <v>46037.66667</v>
      </c>
      <c r="C57" s="190">
        <f>IFERROR(__xludf.DUMMYFUNCTION("""COMPUTED_VALUE"""),343.01)</f>
        <v>343.01</v>
      </c>
      <c r="D57" s="190">
        <f>IFERROR(__xludf.DUMMYFUNCTION("""COMPUTED_VALUE"""),343.67)</f>
        <v>343.67</v>
      </c>
      <c r="E57" s="190">
        <f>IFERROR(__xludf.DUMMYFUNCTION("""COMPUTED_VALUE"""),341.68)</f>
        <v>341.68</v>
      </c>
      <c r="F57" s="190">
        <f>IFERROR(__xludf.DUMMYFUNCTION("""COMPUTED_VALUE"""),342.05)</f>
        <v>342.05</v>
      </c>
      <c r="G57" s="191">
        <f>IFERROR(__xludf.DUMMYFUNCTION("""COMPUTED_VALUE"""),8296861.0)</f>
        <v>8296861</v>
      </c>
      <c r="H57" s="112"/>
      <c r="I57" s="112"/>
      <c r="J57" s="192">
        <v>46147.0</v>
      </c>
      <c r="K57" s="193">
        <v>0.84319</v>
      </c>
      <c r="L57" s="195">
        <v>355.78999</v>
      </c>
      <c r="M57" s="94">
        <v>0.1</v>
      </c>
      <c r="N57" s="112">
        <f t="shared" si="3"/>
        <v>300.0985617</v>
      </c>
      <c r="O57" s="196">
        <f t="shared" si="2"/>
        <v>307.6630721</v>
      </c>
      <c r="P57" s="112"/>
      <c r="Q57" s="112"/>
      <c r="R57" s="112"/>
    </row>
    <row r="58" ht="17.25" customHeight="1">
      <c r="A58" s="112"/>
      <c r="B58" s="189">
        <f>IFERROR(__xludf.DUMMYFUNCTION("""COMPUTED_VALUE"""),46038.66666666667)</f>
        <v>46038.66667</v>
      </c>
      <c r="C58" s="190">
        <f>IFERROR(__xludf.DUMMYFUNCTION("""COMPUTED_VALUE"""),342.87)</f>
        <v>342.87</v>
      </c>
      <c r="D58" s="190">
        <f>IFERROR(__xludf.DUMMYFUNCTION("""COMPUTED_VALUE"""),343.05)</f>
        <v>343.05</v>
      </c>
      <c r="E58" s="190">
        <f>IFERROR(__xludf.DUMMYFUNCTION("""COMPUTED_VALUE"""),341.07)</f>
        <v>341.07</v>
      </c>
      <c r="F58" s="190">
        <f>IFERROR(__xludf.DUMMYFUNCTION("""COMPUTED_VALUE"""),341.85)</f>
        <v>341.85</v>
      </c>
      <c r="G58" s="191">
        <f>IFERROR(__xludf.DUMMYFUNCTION("""COMPUTED_VALUE"""),6418521.0)</f>
        <v>6418521</v>
      </c>
      <c r="H58" s="112"/>
      <c r="I58" s="112"/>
      <c r="J58" s="192"/>
      <c r="K58" s="193"/>
      <c r="L58" s="195"/>
      <c r="M58" s="94"/>
      <c r="N58" s="112">
        <f t="shared" si="3"/>
        <v>0</v>
      </c>
      <c r="O58" s="196">
        <f t="shared" si="2"/>
        <v>307.6630721</v>
      </c>
      <c r="P58" s="112"/>
      <c r="Q58" s="112"/>
      <c r="R58" s="112"/>
    </row>
    <row r="59" ht="17.25" customHeight="1">
      <c r="A59" s="112"/>
      <c r="B59" s="189">
        <f>IFERROR(__xludf.DUMMYFUNCTION("""COMPUTED_VALUE"""),46042.66666666667)</f>
        <v>46042.66667</v>
      </c>
      <c r="C59" s="190">
        <f>IFERROR(__xludf.DUMMYFUNCTION("""COMPUTED_VALUE"""),336.72)</f>
        <v>336.72</v>
      </c>
      <c r="D59" s="190">
        <f>IFERROR(__xludf.DUMMYFUNCTION("""COMPUTED_VALUE"""),338.63)</f>
        <v>338.63</v>
      </c>
      <c r="E59" s="190">
        <f>IFERROR(__xludf.DUMMYFUNCTION("""COMPUTED_VALUE"""),334.67)</f>
        <v>334.67</v>
      </c>
      <c r="F59" s="190">
        <f>IFERROR(__xludf.DUMMYFUNCTION("""COMPUTED_VALUE"""),335.11)</f>
        <v>335.11</v>
      </c>
      <c r="G59" s="191">
        <f>IFERROR(__xludf.DUMMYFUNCTION("""COMPUTED_VALUE"""),1.3144324E7)</f>
        <v>13144324</v>
      </c>
      <c r="H59" s="112"/>
      <c r="I59" s="112"/>
      <c r="J59" s="192"/>
      <c r="K59" s="193"/>
      <c r="L59" s="195"/>
      <c r="M59" s="94"/>
      <c r="N59" s="112">
        <f t="shared" si="3"/>
        <v>0</v>
      </c>
      <c r="O59" s="196">
        <f t="shared" si="2"/>
        <v>307.6630721</v>
      </c>
      <c r="P59" s="112"/>
      <c r="Q59" s="112"/>
      <c r="R59" s="112"/>
    </row>
    <row r="60" ht="17.25" customHeight="1">
      <c r="A60" s="112"/>
      <c r="B60" s="189">
        <f>IFERROR(__xludf.DUMMYFUNCTION("""COMPUTED_VALUE"""),46043.66666666667)</f>
        <v>46043.66667</v>
      </c>
      <c r="C60" s="190">
        <f>IFERROR(__xludf.DUMMYFUNCTION("""COMPUTED_VALUE"""),336.19)</f>
        <v>336.19</v>
      </c>
      <c r="D60" s="190">
        <f>IFERROR(__xludf.DUMMYFUNCTION("""COMPUTED_VALUE"""),340.71)</f>
        <v>340.71</v>
      </c>
      <c r="E60" s="190">
        <f>IFERROR(__xludf.DUMMYFUNCTION("""COMPUTED_VALUE"""),335.44)</f>
        <v>335.44</v>
      </c>
      <c r="F60" s="190">
        <f>IFERROR(__xludf.DUMMYFUNCTION("""COMPUTED_VALUE"""),339.08)</f>
        <v>339.08</v>
      </c>
      <c r="G60" s="191">
        <f>IFERROR(__xludf.DUMMYFUNCTION("""COMPUTED_VALUE"""),9761843.0)</f>
        <v>9761843</v>
      </c>
      <c r="H60" s="112"/>
      <c r="I60" s="112"/>
      <c r="J60" s="192"/>
      <c r="K60" s="193"/>
      <c r="L60" s="195"/>
      <c r="M60" s="94"/>
      <c r="N60" s="112">
        <f t="shared" si="3"/>
        <v>0</v>
      </c>
      <c r="O60" s="196">
        <f t="shared" si="2"/>
        <v>307.6630721</v>
      </c>
      <c r="P60" s="112"/>
      <c r="Q60" s="112"/>
      <c r="R60" s="112"/>
    </row>
    <row r="61" ht="17.25" customHeight="1">
      <c r="A61" s="112"/>
      <c r="B61" s="189">
        <f>IFERROR(__xludf.DUMMYFUNCTION("""COMPUTED_VALUE"""),46044.66666666667)</f>
        <v>46044.66667</v>
      </c>
      <c r="C61" s="190">
        <f>IFERROR(__xludf.DUMMYFUNCTION("""COMPUTED_VALUE"""),341.47)</f>
        <v>341.47</v>
      </c>
      <c r="D61" s="190">
        <f>IFERROR(__xludf.DUMMYFUNCTION("""COMPUTED_VALUE"""),342.01)</f>
        <v>342.01</v>
      </c>
      <c r="E61" s="190">
        <f>IFERROR(__xludf.DUMMYFUNCTION("""COMPUTED_VALUE"""),339.99)</f>
        <v>339.99</v>
      </c>
      <c r="F61" s="190">
        <f>IFERROR(__xludf.DUMMYFUNCTION("""COMPUTED_VALUE"""),340.87)</f>
        <v>340.87</v>
      </c>
      <c r="G61" s="191">
        <f>IFERROR(__xludf.DUMMYFUNCTION("""COMPUTED_VALUE"""),5505899.0)</f>
        <v>5505899</v>
      </c>
      <c r="H61" s="112"/>
      <c r="I61" s="112"/>
      <c r="J61" s="192"/>
      <c r="K61" s="193"/>
      <c r="L61" s="195"/>
      <c r="M61" s="94"/>
      <c r="N61" s="112">
        <f t="shared" si="3"/>
        <v>0</v>
      </c>
      <c r="O61" s="196">
        <f t="shared" si="2"/>
        <v>307.6630721</v>
      </c>
      <c r="P61" s="112"/>
      <c r="Q61" s="112"/>
      <c r="R61" s="112"/>
    </row>
    <row r="62" ht="17.25" customHeight="1">
      <c r="A62" s="112"/>
      <c r="B62" s="189">
        <f>IFERROR(__xludf.DUMMYFUNCTION("""COMPUTED_VALUE"""),46045.66666666667)</f>
        <v>46045.66667</v>
      </c>
      <c r="C62" s="190">
        <f>IFERROR(__xludf.DUMMYFUNCTION("""COMPUTED_VALUE"""),340.7)</f>
        <v>340.7</v>
      </c>
      <c r="D62" s="190">
        <f>IFERROR(__xludf.DUMMYFUNCTION("""COMPUTED_VALUE"""),341.55)</f>
        <v>341.55</v>
      </c>
      <c r="E62" s="190">
        <f>IFERROR(__xludf.DUMMYFUNCTION("""COMPUTED_VALUE"""),339.84)</f>
        <v>339.84</v>
      </c>
      <c r="F62" s="190">
        <f>IFERROR(__xludf.DUMMYFUNCTION("""COMPUTED_VALUE"""),340.56)</f>
        <v>340.56</v>
      </c>
      <c r="G62" s="191">
        <f>IFERROR(__xludf.DUMMYFUNCTION("""COMPUTED_VALUE"""),4905901.0)</f>
        <v>4905901</v>
      </c>
      <c r="H62" s="112"/>
      <c r="I62" s="112"/>
      <c r="J62" s="192"/>
      <c r="K62" s="193"/>
      <c r="L62" s="195"/>
      <c r="M62" s="94"/>
      <c r="N62" s="112">
        <f t="shared" si="3"/>
        <v>0</v>
      </c>
      <c r="O62" s="196">
        <f t="shared" si="2"/>
        <v>307.6630721</v>
      </c>
      <c r="P62" s="112"/>
      <c r="Q62" s="112"/>
      <c r="R62" s="112"/>
    </row>
    <row r="63" ht="17.25" customHeight="1">
      <c r="A63" s="112"/>
      <c r="B63" s="189">
        <f>IFERROR(__xludf.DUMMYFUNCTION("""COMPUTED_VALUE"""),46048.66666666667)</f>
        <v>46048.66667</v>
      </c>
      <c r="C63" s="190">
        <f>IFERROR(__xludf.DUMMYFUNCTION("""COMPUTED_VALUE"""),341.15)</f>
        <v>341.15</v>
      </c>
      <c r="D63" s="190">
        <f>IFERROR(__xludf.DUMMYFUNCTION("""COMPUTED_VALUE"""),342.67)</f>
        <v>342.67</v>
      </c>
      <c r="E63" s="190">
        <f>IFERROR(__xludf.DUMMYFUNCTION("""COMPUTED_VALUE"""),340.8)</f>
        <v>340.8</v>
      </c>
      <c r="F63" s="190">
        <f>IFERROR(__xludf.DUMMYFUNCTION("""COMPUTED_VALUE"""),342.03)</f>
        <v>342.03</v>
      </c>
      <c r="G63" s="191">
        <f>IFERROR(__xludf.DUMMYFUNCTION("""COMPUTED_VALUE"""),4957219.0)</f>
        <v>4957219</v>
      </c>
      <c r="H63" s="112"/>
      <c r="I63" s="112"/>
      <c r="J63" s="192"/>
      <c r="K63" s="193"/>
      <c r="L63" s="195"/>
      <c r="M63" s="94"/>
      <c r="N63" s="112">
        <f t="shared" si="3"/>
        <v>0</v>
      </c>
      <c r="O63" s="196">
        <f t="shared" si="2"/>
        <v>307.6630721</v>
      </c>
      <c r="P63" s="112"/>
      <c r="Q63" s="112"/>
      <c r="R63" s="112"/>
    </row>
    <row r="64" ht="17.25" customHeight="1">
      <c r="A64" s="112"/>
      <c r="B64" s="189">
        <f>IFERROR(__xludf.DUMMYFUNCTION("""COMPUTED_VALUE"""),46049.66666666667)</f>
        <v>46049.66667</v>
      </c>
      <c r="C64" s="190">
        <f>IFERROR(__xludf.DUMMYFUNCTION("""COMPUTED_VALUE"""),342.85)</f>
        <v>342.85</v>
      </c>
      <c r="D64" s="190">
        <f>IFERROR(__xludf.DUMMYFUNCTION("""COMPUTED_VALUE"""),343.73)</f>
        <v>343.73</v>
      </c>
      <c r="E64" s="190">
        <f>IFERROR(__xludf.DUMMYFUNCTION("""COMPUTED_VALUE"""),342.29)</f>
        <v>342.29</v>
      </c>
      <c r="F64" s="190">
        <f>IFERROR(__xludf.DUMMYFUNCTION("""COMPUTED_VALUE"""),343.27)</f>
        <v>343.27</v>
      </c>
      <c r="G64" s="191">
        <f>IFERROR(__xludf.DUMMYFUNCTION("""COMPUTED_VALUE"""),3689039.0)</f>
        <v>3689039</v>
      </c>
      <c r="H64" s="112"/>
      <c r="I64" s="112"/>
      <c r="J64" s="192"/>
      <c r="K64" s="193"/>
      <c r="L64" s="195"/>
      <c r="M64" s="94"/>
      <c r="N64" s="112">
        <f t="shared" si="3"/>
        <v>0</v>
      </c>
      <c r="O64" s="196">
        <f t="shared" si="2"/>
        <v>307.6630721</v>
      </c>
      <c r="P64" s="112"/>
      <c r="Q64" s="112"/>
      <c r="R64" s="112"/>
    </row>
    <row r="65" ht="17.25" customHeight="1">
      <c r="A65" s="112"/>
      <c r="B65" s="189">
        <f>IFERROR(__xludf.DUMMYFUNCTION("""COMPUTED_VALUE"""),46050.66666666667)</f>
        <v>46050.66667</v>
      </c>
      <c r="C65" s="190">
        <f>IFERROR(__xludf.DUMMYFUNCTION("""COMPUTED_VALUE"""),344.06)</f>
        <v>344.06</v>
      </c>
      <c r="D65" s="190">
        <f>IFERROR(__xludf.DUMMYFUNCTION("""COMPUTED_VALUE"""),344.42)</f>
        <v>344.42</v>
      </c>
      <c r="E65" s="190">
        <f>IFERROR(__xludf.DUMMYFUNCTION("""COMPUTED_VALUE"""),342.32)</f>
        <v>342.32</v>
      </c>
      <c r="F65" s="190">
        <f>IFERROR(__xludf.DUMMYFUNCTION("""COMPUTED_VALUE"""),343.08)</f>
        <v>343.08</v>
      </c>
      <c r="G65" s="191">
        <f>IFERROR(__xludf.DUMMYFUNCTION("""COMPUTED_VALUE"""),5854752.0)</f>
        <v>5854752</v>
      </c>
      <c r="H65" s="112"/>
      <c r="I65" s="112"/>
      <c r="J65" s="192"/>
      <c r="K65" s="193"/>
      <c r="L65" s="195"/>
      <c r="M65" s="94"/>
      <c r="N65" s="112">
        <f t="shared" si="3"/>
        <v>0</v>
      </c>
      <c r="O65" s="196">
        <f t="shared" si="2"/>
        <v>307.6630721</v>
      </c>
      <c r="P65" s="112"/>
      <c r="Q65" s="112"/>
      <c r="R65" s="112"/>
    </row>
    <row r="66" ht="17.25" customHeight="1">
      <c r="A66" s="112"/>
      <c r="B66" s="189">
        <f>IFERROR(__xludf.DUMMYFUNCTION("""COMPUTED_VALUE"""),46051.66666666667)</f>
        <v>46051.66667</v>
      </c>
      <c r="C66" s="190">
        <f>IFERROR(__xludf.DUMMYFUNCTION("""COMPUTED_VALUE"""),343.54)</f>
        <v>343.54</v>
      </c>
      <c r="D66" s="190">
        <f>IFERROR(__xludf.DUMMYFUNCTION("""COMPUTED_VALUE"""),343.83)</f>
        <v>343.83</v>
      </c>
      <c r="E66" s="190">
        <f>IFERROR(__xludf.DUMMYFUNCTION("""COMPUTED_VALUE"""),337.69)</f>
        <v>337.69</v>
      </c>
      <c r="F66" s="190">
        <f>IFERROR(__xludf.DUMMYFUNCTION("""COMPUTED_VALUE"""),342.29)</f>
        <v>342.29</v>
      </c>
      <c r="G66" s="191">
        <f>IFERROR(__xludf.DUMMYFUNCTION("""COMPUTED_VALUE"""),8936851.0)</f>
        <v>8936851</v>
      </c>
      <c r="H66" s="112"/>
      <c r="I66" s="112"/>
      <c r="J66" s="192"/>
      <c r="K66" s="193"/>
      <c r="L66" s="195"/>
      <c r="M66" s="94"/>
      <c r="N66" s="112">
        <f t="shared" si="3"/>
        <v>0</v>
      </c>
      <c r="O66" s="196">
        <f t="shared" si="2"/>
        <v>307.6630721</v>
      </c>
      <c r="P66" s="112"/>
      <c r="Q66" s="112"/>
      <c r="R66" s="112"/>
    </row>
    <row r="67" ht="17.25" customHeight="1">
      <c r="A67" s="112"/>
      <c r="B67" s="189">
        <f>IFERROR(__xludf.DUMMYFUNCTION("""COMPUTED_VALUE"""),46052.66666666667)</f>
        <v>46052.66667</v>
      </c>
      <c r="C67" s="190">
        <f>IFERROR(__xludf.DUMMYFUNCTION("""COMPUTED_VALUE"""),340.79)</f>
        <v>340.79</v>
      </c>
      <c r="D67" s="190">
        <f>IFERROR(__xludf.DUMMYFUNCTION("""COMPUTED_VALUE"""),342.04)</f>
        <v>342.04</v>
      </c>
      <c r="E67" s="190">
        <f>IFERROR(__xludf.DUMMYFUNCTION("""COMPUTED_VALUE"""),338.36)</f>
        <v>338.36</v>
      </c>
      <c r="F67" s="190">
        <f>IFERROR(__xludf.DUMMYFUNCTION("""COMPUTED_VALUE"""),340.57)</f>
        <v>340.57</v>
      </c>
      <c r="G67" s="191">
        <f>IFERROR(__xludf.DUMMYFUNCTION("""COMPUTED_VALUE"""),9905765.0)</f>
        <v>9905765</v>
      </c>
      <c r="H67" s="112"/>
      <c r="I67" s="112"/>
      <c r="J67" s="192"/>
      <c r="K67" s="193"/>
      <c r="L67" s="195"/>
      <c r="M67" s="94"/>
      <c r="N67" s="112">
        <f t="shared" si="3"/>
        <v>0</v>
      </c>
      <c r="O67" s="196">
        <f t="shared" si="2"/>
        <v>307.6630721</v>
      </c>
      <c r="P67" s="112"/>
      <c r="Q67" s="112"/>
      <c r="R67" s="112"/>
    </row>
    <row r="68" ht="17.25" customHeight="1">
      <c r="A68" s="112"/>
      <c r="B68" s="189">
        <f>IFERROR(__xludf.DUMMYFUNCTION("""COMPUTED_VALUE"""),46055.66666666667)</f>
        <v>46055.66667</v>
      </c>
      <c r="C68" s="190">
        <f>IFERROR(__xludf.DUMMYFUNCTION("""COMPUTED_VALUE"""),339.55)</f>
        <v>339.55</v>
      </c>
      <c r="D68" s="190">
        <f>IFERROR(__xludf.DUMMYFUNCTION("""COMPUTED_VALUE"""),343.29)</f>
        <v>343.29</v>
      </c>
      <c r="E68" s="190">
        <f>IFERROR(__xludf.DUMMYFUNCTION("""COMPUTED_VALUE"""),339.49)</f>
        <v>339.49</v>
      </c>
      <c r="F68" s="190">
        <f>IFERROR(__xludf.DUMMYFUNCTION("""COMPUTED_VALUE"""),342.48)</f>
        <v>342.48</v>
      </c>
      <c r="G68" s="191">
        <f>IFERROR(__xludf.DUMMYFUNCTION("""COMPUTED_VALUE"""),6024494.0)</f>
        <v>6024494</v>
      </c>
      <c r="H68" s="112"/>
      <c r="I68" s="112"/>
      <c r="J68" s="192"/>
      <c r="K68" s="193"/>
      <c r="L68" s="195"/>
      <c r="M68" s="94"/>
      <c r="N68" s="112">
        <f t="shared" si="3"/>
        <v>0</v>
      </c>
      <c r="O68" s="196">
        <f t="shared" si="2"/>
        <v>307.6630721</v>
      </c>
      <c r="P68" s="112"/>
      <c r="Q68" s="112"/>
      <c r="R68" s="112"/>
    </row>
    <row r="69" ht="17.25" customHeight="1">
      <c r="A69" s="112"/>
      <c r="B69" s="189">
        <f>IFERROR(__xludf.DUMMYFUNCTION("""COMPUTED_VALUE"""),46056.66666666667)</f>
        <v>46056.66667</v>
      </c>
      <c r="C69" s="190">
        <f>IFERROR(__xludf.DUMMYFUNCTION("""COMPUTED_VALUE"""),343.02)</f>
        <v>343.02</v>
      </c>
      <c r="D69" s="190">
        <f>IFERROR(__xludf.DUMMYFUNCTION("""COMPUTED_VALUE"""),343.4)</f>
        <v>343.4</v>
      </c>
      <c r="E69" s="190">
        <f>IFERROR(__xludf.DUMMYFUNCTION("""COMPUTED_VALUE"""),336.91)</f>
        <v>336.91</v>
      </c>
      <c r="F69" s="190">
        <f>IFERROR(__xludf.DUMMYFUNCTION("""COMPUTED_VALUE"""),339.85)</f>
        <v>339.85</v>
      </c>
      <c r="G69" s="191">
        <f>IFERROR(__xludf.DUMMYFUNCTION("""COMPUTED_VALUE"""),9060918.0)</f>
        <v>9060918</v>
      </c>
      <c r="H69" s="112"/>
      <c r="I69" s="112"/>
      <c r="J69" s="192">
        <f>TODAY()</f>
        <v>46172</v>
      </c>
      <c r="K69" s="193"/>
      <c r="L69" s="195">
        <f>B8</f>
        <v>372.54</v>
      </c>
      <c r="M69" s="94"/>
      <c r="N69" s="112">
        <f t="shared" si="3"/>
        <v>0</v>
      </c>
      <c r="O69" s="196">
        <f t="shared" si="2"/>
        <v>307.6630721</v>
      </c>
      <c r="P69" s="112"/>
      <c r="Q69" s="112"/>
      <c r="R69" s="112"/>
    </row>
    <row r="70" ht="17.25" customHeight="1">
      <c r="A70" s="112"/>
      <c r="B70" s="189">
        <f>IFERROR(__xludf.DUMMYFUNCTION("""COMPUTED_VALUE"""),46057.66666666667)</f>
        <v>46057.66667</v>
      </c>
      <c r="C70" s="190">
        <f>IFERROR(__xludf.DUMMYFUNCTION("""COMPUTED_VALUE"""),340.38)</f>
        <v>340.38</v>
      </c>
      <c r="D70" s="190">
        <f>IFERROR(__xludf.DUMMYFUNCTION("""COMPUTED_VALUE"""),340.94)</f>
        <v>340.94</v>
      </c>
      <c r="E70" s="190">
        <f>IFERROR(__xludf.DUMMYFUNCTION("""COMPUTED_VALUE"""),335.93)</f>
        <v>335.93</v>
      </c>
      <c r="F70" s="190">
        <f>IFERROR(__xludf.DUMMYFUNCTION("""COMPUTED_VALUE"""),338.25)</f>
        <v>338.25</v>
      </c>
      <c r="G70" s="191">
        <f>IFERROR(__xludf.DUMMYFUNCTION("""COMPUTED_VALUE"""),8973461.0)</f>
        <v>8973461</v>
      </c>
      <c r="H70" s="112"/>
      <c r="I70" s="112"/>
      <c r="J70" s="192"/>
      <c r="K70" s="193"/>
      <c r="L70" s="195"/>
      <c r="M70" s="94"/>
      <c r="N70" s="112"/>
      <c r="O70" s="196"/>
      <c r="P70" s="112"/>
      <c r="Q70" s="112"/>
      <c r="R70" s="112"/>
    </row>
    <row r="71" ht="17.25" customHeight="1">
      <c r="A71" s="112"/>
      <c r="B71" s="189">
        <f>IFERROR(__xludf.DUMMYFUNCTION("""COMPUTED_VALUE"""),46058.66666666667)</f>
        <v>46058.66667</v>
      </c>
      <c r="C71" s="190">
        <f>IFERROR(__xludf.DUMMYFUNCTION("""COMPUTED_VALUE"""),335.84)</f>
        <v>335.84</v>
      </c>
      <c r="D71" s="190">
        <f>IFERROR(__xludf.DUMMYFUNCTION("""COMPUTED_VALUE"""),337.23)</f>
        <v>337.23</v>
      </c>
      <c r="E71" s="190">
        <f>IFERROR(__xludf.DUMMYFUNCTION("""COMPUTED_VALUE"""),333.19)</f>
        <v>333.19</v>
      </c>
      <c r="F71" s="190">
        <f>IFERROR(__xludf.DUMMYFUNCTION("""COMPUTED_VALUE"""),333.9)</f>
        <v>333.9</v>
      </c>
      <c r="G71" s="191">
        <f>IFERROR(__xludf.DUMMYFUNCTION("""COMPUTED_VALUE"""),8838501.0)</f>
        <v>8838501</v>
      </c>
      <c r="H71" s="112"/>
      <c r="I71" s="112"/>
      <c r="J71" s="192"/>
      <c r="K71" s="193"/>
      <c r="L71" s="195"/>
      <c r="M71" s="94"/>
      <c r="N71" s="112"/>
      <c r="O71" s="196"/>
      <c r="P71" s="112"/>
      <c r="Q71" s="112"/>
      <c r="R71" s="112"/>
    </row>
    <row r="72" ht="17.25" customHeight="1">
      <c r="A72" s="112"/>
      <c r="B72" s="189">
        <f>IFERROR(__xludf.DUMMYFUNCTION("""COMPUTED_VALUE"""),46059.66666666667)</f>
        <v>46059.66667</v>
      </c>
      <c r="C72" s="190">
        <f>IFERROR(__xludf.DUMMYFUNCTION("""COMPUTED_VALUE"""),336.07)</f>
        <v>336.07</v>
      </c>
      <c r="D72" s="190">
        <f>IFERROR(__xludf.DUMMYFUNCTION("""COMPUTED_VALUE"""),341.7)</f>
        <v>341.7</v>
      </c>
      <c r="E72" s="190">
        <f>IFERROR(__xludf.DUMMYFUNCTION("""COMPUTED_VALUE"""),335.97)</f>
        <v>335.97</v>
      </c>
      <c r="F72" s="190">
        <f>IFERROR(__xludf.DUMMYFUNCTION("""COMPUTED_VALUE"""),340.96)</f>
        <v>340.96</v>
      </c>
      <c r="G72" s="191">
        <f>IFERROR(__xludf.DUMMYFUNCTION("""COMPUTED_VALUE"""),5093784.0)</f>
        <v>5093784</v>
      </c>
      <c r="H72" s="112"/>
      <c r="I72" s="112"/>
      <c r="J72" s="192"/>
      <c r="K72" s="193"/>
      <c r="L72" s="195"/>
      <c r="M72" s="94"/>
      <c r="N72" s="112"/>
      <c r="O72" s="196"/>
      <c r="P72" s="112"/>
      <c r="Q72" s="112"/>
      <c r="R72" s="112"/>
    </row>
    <row r="73" ht="17.25" customHeight="1">
      <c r="A73" s="112"/>
      <c r="B73" s="189">
        <f>IFERROR(__xludf.DUMMYFUNCTION("""COMPUTED_VALUE"""),46062.66666666667)</f>
        <v>46062.66667</v>
      </c>
      <c r="C73" s="190">
        <f>IFERROR(__xludf.DUMMYFUNCTION("""COMPUTED_VALUE"""),340.37)</f>
        <v>340.37</v>
      </c>
      <c r="D73" s="190">
        <f>IFERROR(__xludf.DUMMYFUNCTION("""COMPUTED_VALUE"""),343.51)</f>
        <v>343.51</v>
      </c>
      <c r="E73" s="190">
        <f>IFERROR(__xludf.DUMMYFUNCTION("""COMPUTED_VALUE"""),339.8)</f>
        <v>339.8</v>
      </c>
      <c r="F73" s="190">
        <f>IFERROR(__xludf.DUMMYFUNCTION("""COMPUTED_VALUE"""),342.64)</f>
        <v>342.64</v>
      </c>
      <c r="G73" s="191">
        <f>IFERROR(__xludf.DUMMYFUNCTION("""COMPUTED_VALUE"""),4562333.0)</f>
        <v>4562333</v>
      </c>
      <c r="H73" s="112"/>
      <c r="I73" s="112"/>
      <c r="J73" s="192"/>
      <c r="K73" s="193"/>
      <c r="L73" s="195"/>
      <c r="M73" s="94"/>
      <c r="N73" s="112"/>
      <c r="O73" s="196"/>
      <c r="P73" s="112"/>
      <c r="Q73" s="112"/>
      <c r="R73" s="112"/>
    </row>
    <row r="74" ht="17.25" customHeight="1">
      <c r="A74" s="112"/>
      <c r="B74" s="189">
        <f>IFERROR(__xludf.DUMMYFUNCTION("""COMPUTED_VALUE"""),46063.66666666667)</f>
        <v>46063.66667</v>
      </c>
      <c r="C74" s="190">
        <f>IFERROR(__xludf.DUMMYFUNCTION("""COMPUTED_VALUE"""),343.15)</f>
        <v>343.15</v>
      </c>
      <c r="D74" s="190">
        <f>IFERROR(__xludf.DUMMYFUNCTION("""COMPUTED_VALUE"""),343.93)</f>
        <v>343.93</v>
      </c>
      <c r="E74" s="190">
        <f>IFERROR(__xludf.DUMMYFUNCTION("""COMPUTED_VALUE"""),341.55)</f>
        <v>341.55</v>
      </c>
      <c r="F74" s="190">
        <f>IFERROR(__xludf.DUMMYFUNCTION("""COMPUTED_VALUE"""),341.8)</f>
        <v>341.8</v>
      </c>
      <c r="G74" s="191">
        <f>IFERROR(__xludf.DUMMYFUNCTION("""COMPUTED_VALUE"""),3879358.0)</f>
        <v>3879358</v>
      </c>
      <c r="H74" s="112"/>
      <c r="I74" s="112"/>
      <c r="J74" s="192"/>
      <c r="K74" s="193"/>
      <c r="L74" s="195"/>
      <c r="M74" s="94"/>
      <c r="N74" s="112"/>
      <c r="O74" s="196"/>
      <c r="P74" s="112"/>
      <c r="Q74" s="112"/>
      <c r="R74" s="112"/>
    </row>
    <row r="75" ht="17.25" customHeight="1">
      <c r="A75" s="112"/>
      <c r="B75" s="189">
        <f>IFERROR(__xludf.DUMMYFUNCTION("""COMPUTED_VALUE"""),46064.66666666667)</f>
        <v>46064.66667</v>
      </c>
      <c r="C75" s="190">
        <f>IFERROR(__xludf.DUMMYFUNCTION("""COMPUTED_VALUE"""),343.95)</f>
        <v>343.95</v>
      </c>
      <c r="D75" s="190">
        <f>IFERROR(__xludf.DUMMYFUNCTION("""COMPUTED_VALUE"""),344.3)</f>
        <v>344.3</v>
      </c>
      <c r="E75" s="190">
        <f>IFERROR(__xludf.DUMMYFUNCTION("""COMPUTED_VALUE"""),339.92)</f>
        <v>339.92</v>
      </c>
      <c r="F75" s="190">
        <f>IFERROR(__xludf.DUMMYFUNCTION("""COMPUTED_VALUE"""),341.47)</f>
        <v>341.47</v>
      </c>
      <c r="G75" s="191">
        <f>IFERROR(__xludf.DUMMYFUNCTION("""COMPUTED_VALUE"""),5056582.0)</f>
        <v>5056582</v>
      </c>
      <c r="H75" s="112"/>
      <c r="I75" s="112"/>
      <c r="J75" s="192"/>
      <c r="K75" s="193"/>
      <c r="L75" s="195"/>
      <c r="M75" s="94"/>
      <c r="N75" s="112"/>
      <c r="O75" s="196"/>
      <c r="P75" s="112"/>
      <c r="Q75" s="112"/>
      <c r="R75" s="112"/>
    </row>
    <row r="76" ht="17.25" customHeight="1">
      <c r="A76" s="112"/>
      <c r="B76" s="189">
        <f>IFERROR(__xludf.DUMMYFUNCTION("""COMPUTED_VALUE"""),46065.66666666667)</f>
        <v>46065.66667</v>
      </c>
      <c r="C76" s="190">
        <f>IFERROR(__xludf.DUMMYFUNCTION("""COMPUTED_VALUE"""),342.69)</f>
        <v>342.69</v>
      </c>
      <c r="D76" s="190">
        <f>IFERROR(__xludf.DUMMYFUNCTION("""COMPUTED_VALUE"""),343.33)</f>
        <v>343.33</v>
      </c>
      <c r="E76" s="190">
        <f>IFERROR(__xludf.DUMMYFUNCTION("""COMPUTED_VALUE"""),335.63)</f>
        <v>335.63</v>
      </c>
      <c r="F76" s="190">
        <f>IFERROR(__xludf.DUMMYFUNCTION("""COMPUTED_VALUE"""),336.01)</f>
        <v>336.01</v>
      </c>
      <c r="G76" s="191">
        <f>IFERROR(__xludf.DUMMYFUNCTION("""COMPUTED_VALUE"""),7012468.0)</f>
        <v>7012468</v>
      </c>
      <c r="H76" s="112"/>
      <c r="I76" s="112"/>
      <c r="J76" s="192"/>
      <c r="K76" s="193"/>
      <c r="L76" s="195"/>
      <c r="M76" s="94"/>
      <c r="N76" s="112"/>
      <c r="O76" s="196"/>
      <c r="P76" s="112"/>
      <c r="Q76" s="112"/>
      <c r="R76" s="112"/>
    </row>
    <row r="77" ht="17.25" customHeight="1">
      <c r="A77" s="112"/>
      <c r="B77" s="189">
        <f>IFERROR(__xludf.DUMMYFUNCTION("""COMPUTED_VALUE"""),46066.66666666667)</f>
        <v>46066.66667</v>
      </c>
      <c r="C77" s="190">
        <f>IFERROR(__xludf.DUMMYFUNCTION("""COMPUTED_VALUE"""),336.61)</f>
        <v>336.61</v>
      </c>
      <c r="D77" s="190">
        <f>IFERROR(__xludf.DUMMYFUNCTION("""COMPUTED_VALUE"""),338.98)</f>
        <v>338.98</v>
      </c>
      <c r="E77" s="190">
        <f>IFERROR(__xludf.DUMMYFUNCTION("""COMPUTED_VALUE"""),334.27)</f>
        <v>334.27</v>
      </c>
      <c r="F77" s="190">
        <f>IFERROR(__xludf.DUMMYFUNCTION("""COMPUTED_VALUE"""),336.65)</f>
        <v>336.65</v>
      </c>
      <c r="G77" s="191">
        <f>IFERROR(__xludf.DUMMYFUNCTION("""COMPUTED_VALUE"""),8039375.0)</f>
        <v>8039375</v>
      </c>
      <c r="H77" s="112"/>
      <c r="I77" s="112"/>
      <c r="J77" s="192"/>
      <c r="K77" s="193"/>
      <c r="L77" s="195"/>
      <c r="M77" s="94"/>
      <c r="N77" s="112"/>
      <c r="O77" s="196"/>
      <c r="P77" s="112"/>
      <c r="Q77" s="112"/>
      <c r="R77" s="112"/>
    </row>
    <row r="78" ht="17.25" customHeight="1">
      <c r="A78" s="112"/>
      <c r="B78" s="189">
        <f>IFERROR(__xludf.DUMMYFUNCTION("""COMPUTED_VALUE"""),46070.66666666667)</f>
        <v>46070.66667</v>
      </c>
      <c r="C78" s="190">
        <f>IFERROR(__xludf.DUMMYFUNCTION("""COMPUTED_VALUE"""),335.94)</f>
        <v>335.94</v>
      </c>
      <c r="D78" s="190">
        <f>IFERROR(__xludf.DUMMYFUNCTION("""COMPUTED_VALUE"""),338.18)</f>
        <v>338.18</v>
      </c>
      <c r="E78" s="190">
        <f>IFERROR(__xludf.DUMMYFUNCTION("""COMPUTED_VALUE"""),333.57)</f>
        <v>333.57</v>
      </c>
      <c r="F78" s="190">
        <f>IFERROR(__xludf.DUMMYFUNCTION("""COMPUTED_VALUE"""),337.07)</f>
        <v>337.07</v>
      </c>
      <c r="G78" s="191">
        <f>IFERROR(__xludf.DUMMYFUNCTION("""COMPUTED_VALUE"""),7112291.0)</f>
        <v>7112291</v>
      </c>
      <c r="H78" s="112"/>
      <c r="I78" s="112"/>
      <c r="J78" s="192"/>
      <c r="K78" s="193"/>
      <c r="L78" s="195"/>
      <c r="M78" s="94"/>
      <c r="N78" s="112"/>
      <c r="O78" s="196"/>
      <c r="P78" s="112"/>
      <c r="Q78" s="112"/>
      <c r="R78" s="112"/>
    </row>
    <row r="79" ht="17.25" customHeight="1">
      <c r="A79" s="112"/>
      <c r="B79" s="189">
        <f>IFERROR(__xludf.DUMMYFUNCTION("""COMPUTED_VALUE"""),46071.66666666667)</f>
        <v>46071.66667</v>
      </c>
      <c r="C79" s="190">
        <f>IFERROR(__xludf.DUMMYFUNCTION("""COMPUTED_VALUE"""),337.89)</f>
        <v>337.89</v>
      </c>
      <c r="D79" s="190">
        <f>IFERROR(__xludf.DUMMYFUNCTION("""COMPUTED_VALUE"""),340.37)</f>
        <v>340.37</v>
      </c>
      <c r="E79" s="190">
        <f>IFERROR(__xludf.DUMMYFUNCTION("""COMPUTED_VALUE"""),337.06)</f>
        <v>337.06</v>
      </c>
      <c r="F79" s="190">
        <f>IFERROR(__xludf.DUMMYFUNCTION("""COMPUTED_VALUE"""),338.83)</f>
        <v>338.83</v>
      </c>
      <c r="G79" s="191">
        <f>IFERROR(__xludf.DUMMYFUNCTION("""COMPUTED_VALUE"""),5718303.0)</f>
        <v>5718303</v>
      </c>
      <c r="H79" s="112"/>
      <c r="I79" s="112"/>
      <c r="J79" s="192"/>
      <c r="K79" s="193"/>
      <c r="L79" s="195"/>
      <c r="M79" s="94"/>
      <c r="N79" s="112"/>
      <c r="O79" s="196"/>
      <c r="P79" s="112"/>
      <c r="Q79" s="112"/>
      <c r="R79" s="112"/>
    </row>
    <row r="80" ht="17.25" customHeight="1">
      <c r="A80" s="112"/>
      <c r="B80" s="189">
        <f>IFERROR(__xludf.DUMMYFUNCTION("""COMPUTED_VALUE"""),46072.66666666667)</f>
        <v>46072.66667</v>
      </c>
      <c r="C80" s="190">
        <f>IFERROR(__xludf.DUMMYFUNCTION("""COMPUTED_VALUE"""),337.73)</f>
        <v>337.73</v>
      </c>
      <c r="D80" s="190">
        <f>IFERROR(__xludf.DUMMYFUNCTION("""COMPUTED_VALUE"""),338.88)</f>
        <v>338.88</v>
      </c>
      <c r="E80" s="190">
        <f>IFERROR(__xludf.DUMMYFUNCTION("""COMPUTED_VALUE"""),336.6)</f>
        <v>336.6</v>
      </c>
      <c r="F80" s="190">
        <f>IFERROR(__xludf.DUMMYFUNCTION("""COMPUTED_VALUE"""),338.19)</f>
        <v>338.19</v>
      </c>
      <c r="G80" s="191">
        <f>IFERROR(__xludf.DUMMYFUNCTION("""COMPUTED_VALUE"""),4401624.0)</f>
        <v>4401624</v>
      </c>
      <c r="H80" s="112"/>
      <c r="I80" s="112"/>
      <c r="J80" s="192"/>
      <c r="K80" s="193"/>
      <c r="L80" s="195"/>
      <c r="M80" s="94"/>
      <c r="N80" s="112"/>
      <c r="O80" s="196"/>
      <c r="P80" s="112"/>
      <c r="Q80" s="112"/>
      <c r="R80" s="112"/>
    </row>
    <row r="81" ht="17.25" customHeight="1">
      <c r="A81" s="112"/>
      <c r="B81" s="189">
        <f>IFERROR(__xludf.DUMMYFUNCTION("""COMPUTED_VALUE"""),46073.66666666667)</f>
        <v>46073.66667</v>
      </c>
      <c r="C81" s="190">
        <f>IFERROR(__xludf.DUMMYFUNCTION("""COMPUTED_VALUE"""),336.99)</f>
        <v>336.99</v>
      </c>
      <c r="D81" s="190">
        <f>IFERROR(__xludf.DUMMYFUNCTION("""COMPUTED_VALUE"""),340.71)</f>
        <v>340.71</v>
      </c>
      <c r="E81" s="190">
        <f>IFERROR(__xludf.DUMMYFUNCTION("""COMPUTED_VALUE"""),336.82)</f>
        <v>336.82</v>
      </c>
      <c r="F81" s="190">
        <f>IFERROR(__xludf.DUMMYFUNCTION("""COMPUTED_VALUE"""),340.27)</f>
        <v>340.27</v>
      </c>
      <c r="G81" s="191">
        <f>IFERROR(__xludf.DUMMYFUNCTION("""COMPUTED_VALUE"""),7051498.0)</f>
        <v>7051498</v>
      </c>
      <c r="H81" s="112"/>
      <c r="I81" s="112"/>
      <c r="J81" s="192"/>
      <c r="K81" s="193"/>
      <c r="L81" s="195"/>
      <c r="M81" s="94"/>
      <c r="N81" s="112"/>
      <c r="O81" s="196"/>
      <c r="P81" s="112"/>
      <c r="Q81" s="112"/>
      <c r="R81" s="112"/>
    </row>
    <row r="82" ht="17.25" customHeight="1">
      <c r="A82" s="112"/>
      <c r="B82" s="189">
        <f>IFERROR(__xludf.DUMMYFUNCTION("""COMPUTED_VALUE"""),46076.66666666667)</f>
        <v>46076.66667</v>
      </c>
      <c r="C82" s="190">
        <f>IFERROR(__xludf.DUMMYFUNCTION("""COMPUTED_VALUE"""),339.5)</f>
        <v>339.5</v>
      </c>
      <c r="D82" s="190">
        <f>IFERROR(__xludf.DUMMYFUNCTION("""COMPUTED_VALUE"""),340.46)</f>
        <v>340.46</v>
      </c>
      <c r="E82" s="190">
        <f>IFERROR(__xludf.DUMMYFUNCTION("""COMPUTED_VALUE"""),335.44)</f>
        <v>335.44</v>
      </c>
      <c r="F82" s="190">
        <f>IFERROR(__xludf.DUMMYFUNCTION("""COMPUTED_VALUE"""),336.46)</f>
        <v>336.46</v>
      </c>
      <c r="G82" s="191">
        <f>IFERROR(__xludf.DUMMYFUNCTION("""COMPUTED_VALUE"""),1.0762617E7)</f>
        <v>10762617</v>
      </c>
      <c r="H82" s="112"/>
      <c r="I82" s="112"/>
      <c r="J82" s="192"/>
      <c r="K82" s="193"/>
      <c r="L82" s="195"/>
      <c r="M82" s="94"/>
      <c r="N82" s="112"/>
      <c r="O82" s="196"/>
      <c r="P82" s="112"/>
      <c r="Q82" s="112"/>
      <c r="R82" s="112"/>
    </row>
    <row r="83" ht="17.25" customHeight="1">
      <c r="A83" s="112"/>
      <c r="B83" s="189">
        <f>IFERROR(__xludf.DUMMYFUNCTION("""COMPUTED_VALUE"""),46077.66666666667)</f>
        <v>46077.66667</v>
      </c>
      <c r="C83" s="190">
        <f>IFERROR(__xludf.DUMMYFUNCTION("""COMPUTED_VALUE"""),336.35)</f>
        <v>336.35</v>
      </c>
      <c r="D83" s="190">
        <f>IFERROR(__xludf.DUMMYFUNCTION("""COMPUTED_VALUE"""),339.62)</f>
        <v>339.62</v>
      </c>
      <c r="E83" s="190">
        <f>IFERROR(__xludf.DUMMYFUNCTION("""COMPUTED_VALUE"""),335.49)</f>
        <v>335.49</v>
      </c>
      <c r="F83" s="190">
        <f>IFERROR(__xludf.DUMMYFUNCTION("""COMPUTED_VALUE"""),339.21)</f>
        <v>339.21</v>
      </c>
      <c r="G83" s="191">
        <f>IFERROR(__xludf.DUMMYFUNCTION("""COMPUTED_VALUE"""),3633370.0)</f>
        <v>3633370</v>
      </c>
      <c r="H83" s="112"/>
      <c r="I83" s="112"/>
      <c r="J83" s="192"/>
      <c r="K83" s="193"/>
      <c r="L83" s="195"/>
      <c r="M83" s="94"/>
      <c r="N83" s="112"/>
      <c r="O83" s="196"/>
      <c r="P83" s="112"/>
      <c r="Q83" s="112"/>
      <c r="R83" s="112"/>
    </row>
    <row r="84" ht="17.25" customHeight="1">
      <c r="A84" s="112"/>
      <c r="B84" s="189">
        <f>IFERROR(__xludf.DUMMYFUNCTION("""COMPUTED_VALUE"""),46078.66666666667)</f>
        <v>46078.66667</v>
      </c>
      <c r="C84" s="190">
        <f>IFERROR(__xludf.DUMMYFUNCTION("""COMPUTED_VALUE"""),340.6)</f>
        <v>340.6</v>
      </c>
      <c r="D84" s="190">
        <f>IFERROR(__xludf.DUMMYFUNCTION("""COMPUTED_VALUE"""),342.13)</f>
        <v>342.13</v>
      </c>
      <c r="E84" s="190">
        <f>IFERROR(__xludf.DUMMYFUNCTION("""COMPUTED_VALUE"""),340.32)</f>
        <v>340.32</v>
      </c>
      <c r="F84" s="190">
        <f>IFERROR(__xludf.DUMMYFUNCTION("""COMPUTED_VALUE"""),341.83)</f>
        <v>341.83</v>
      </c>
      <c r="G84" s="191">
        <f>IFERROR(__xludf.DUMMYFUNCTION("""COMPUTED_VALUE"""),3962740.0)</f>
        <v>3962740</v>
      </c>
      <c r="H84" s="112"/>
      <c r="I84" s="112"/>
      <c r="J84" s="192"/>
      <c r="K84" s="193"/>
      <c r="L84" s="195"/>
      <c r="M84" s="94"/>
      <c r="N84" s="112"/>
      <c r="O84" s="196"/>
      <c r="P84" s="112"/>
      <c r="Q84" s="112"/>
      <c r="R84" s="112"/>
    </row>
    <row r="85" ht="17.25" customHeight="1">
      <c r="A85" s="112"/>
      <c r="B85" s="189">
        <f>IFERROR(__xludf.DUMMYFUNCTION("""COMPUTED_VALUE"""),46079.66666666667)</f>
        <v>46079.66667</v>
      </c>
      <c r="C85" s="190">
        <f>IFERROR(__xludf.DUMMYFUNCTION("""COMPUTED_VALUE"""),342.0)</f>
        <v>342</v>
      </c>
      <c r="D85" s="190">
        <f>IFERROR(__xludf.DUMMYFUNCTION("""COMPUTED_VALUE"""),342.13)</f>
        <v>342.13</v>
      </c>
      <c r="E85" s="190">
        <f>IFERROR(__xludf.DUMMYFUNCTION("""COMPUTED_VALUE"""),337.9)</f>
        <v>337.9</v>
      </c>
      <c r="F85" s="190">
        <f>IFERROR(__xludf.DUMMYFUNCTION("""COMPUTED_VALUE"""),340.49)</f>
        <v>340.49</v>
      </c>
      <c r="G85" s="191">
        <f>IFERROR(__xludf.DUMMYFUNCTION("""COMPUTED_VALUE"""),4967288.0)</f>
        <v>4967288</v>
      </c>
      <c r="H85" s="112"/>
      <c r="I85" s="112"/>
      <c r="J85" s="192"/>
      <c r="K85" s="193"/>
      <c r="L85" s="195"/>
      <c r="M85" s="94"/>
      <c r="N85" s="112"/>
      <c r="O85" s="196"/>
      <c r="P85" s="112"/>
      <c r="Q85" s="112"/>
      <c r="R85" s="112"/>
    </row>
    <row r="86" ht="17.25" customHeight="1">
      <c r="A86" s="112"/>
      <c r="B86" s="189">
        <f>IFERROR(__xludf.DUMMYFUNCTION("""COMPUTED_VALUE"""),46080.66666666667)</f>
        <v>46080.66667</v>
      </c>
      <c r="C86" s="190">
        <f>IFERROR(__xludf.DUMMYFUNCTION("""COMPUTED_VALUE"""),337.33)</f>
        <v>337.33</v>
      </c>
      <c r="D86" s="190">
        <f>IFERROR(__xludf.DUMMYFUNCTION("""COMPUTED_VALUE"""),338.99)</f>
        <v>338.99</v>
      </c>
      <c r="E86" s="190">
        <f>IFERROR(__xludf.DUMMYFUNCTION("""COMPUTED_VALUE"""),336.49)</f>
        <v>336.49</v>
      </c>
      <c r="F86" s="190">
        <f>IFERROR(__xludf.DUMMYFUNCTION("""COMPUTED_VALUE"""),338.77)</f>
        <v>338.77</v>
      </c>
      <c r="G86" s="191">
        <f>IFERROR(__xludf.DUMMYFUNCTION("""COMPUTED_VALUE"""),6033108.0)</f>
        <v>6033108</v>
      </c>
      <c r="H86" s="112"/>
      <c r="I86" s="112"/>
      <c r="J86" s="192"/>
      <c r="K86" s="193"/>
      <c r="L86" s="195"/>
      <c r="M86" s="94"/>
      <c r="N86" s="112"/>
      <c r="O86" s="196"/>
      <c r="P86" s="112"/>
      <c r="Q86" s="112"/>
      <c r="R86" s="112"/>
    </row>
    <row r="87" ht="17.25" customHeight="1">
      <c r="A87" s="112"/>
      <c r="B87" s="189">
        <f>IFERROR(__xludf.DUMMYFUNCTION("""COMPUTED_VALUE"""),46083.66666666667)</f>
        <v>46083.66667</v>
      </c>
      <c r="C87" s="190">
        <f>IFERROR(__xludf.DUMMYFUNCTION("""COMPUTED_VALUE"""),335.01)</f>
        <v>335.01</v>
      </c>
      <c r="D87" s="190">
        <f>IFERROR(__xludf.DUMMYFUNCTION("""COMPUTED_VALUE"""),340.13)</f>
        <v>340.13</v>
      </c>
      <c r="E87" s="190">
        <f>IFERROR(__xludf.DUMMYFUNCTION("""COMPUTED_VALUE"""),334.69)</f>
        <v>334.69</v>
      </c>
      <c r="F87" s="190">
        <f>IFERROR(__xludf.DUMMYFUNCTION("""COMPUTED_VALUE"""),339.12)</f>
        <v>339.12</v>
      </c>
      <c r="G87" s="191">
        <f>IFERROR(__xludf.DUMMYFUNCTION("""COMPUTED_VALUE"""),7211859.0)</f>
        <v>7211859</v>
      </c>
      <c r="H87" s="112"/>
      <c r="I87" s="112"/>
      <c r="J87" s="192"/>
      <c r="K87" s="193"/>
      <c r="L87" s="195"/>
      <c r="M87" s="94"/>
      <c r="N87" s="112"/>
      <c r="O87" s="196"/>
      <c r="P87" s="112"/>
      <c r="Q87" s="112"/>
      <c r="R87" s="112"/>
    </row>
    <row r="88" ht="17.25" customHeight="1">
      <c r="A88" s="112"/>
      <c r="B88" s="189">
        <f>IFERROR(__xludf.DUMMYFUNCTION("""COMPUTED_VALUE"""),46084.66666666667)</f>
        <v>46084.66667</v>
      </c>
      <c r="C88" s="190">
        <f>IFERROR(__xludf.DUMMYFUNCTION("""COMPUTED_VALUE"""),333.08)</f>
        <v>333.08</v>
      </c>
      <c r="D88" s="190">
        <f>IFERROR(__xludf.DUMMYFUNCTION("""COMPUTED_VALUE"""),337.0)</f>
        <v>337</v>
      </c>
      <c r="E88" s="190">
        <f>IFERROR(__xludf.DUMMYFUNCTION("""COMPUTED_VALUE"""),330.19)</f>
        <v>330.19</v>
      </c>
      <c r="F88" s="190">
        <f>IFERROR(__xludf.DUMMYFUNCTION("""COMPUTED_VALUE"""),335.73)</f>
        <v>335.73</v>
      </c>
      <c r="G88" s="191">
        <f>IFERROR(__xludf.DUMMYFUNCTION("""COMPUTED_VALUE"""),1.0735489E7)</f>
        <v>10735489</v>
      </c>
      <c r="H88" s="112"/>
      <c r="I88" s="112"/>
      <c r="J88" s="192"/>
      <c r="K88" s="193"/>
      <c r="L88" s="195"/>
      <c r="M88" s="94"/>
      <c r="N88" s="112"/>
      <c r="O88" s="196"/>
      <c r="P88" s="112"/>
      <c r="Q88" s="112"/>
      <c r="R88" s="112"/>
    </row>
    <row r="89" ht="17.25" customHeight="1">
      <c r="A89" s="112"/>
      <c r="B89" s="189">
        <f>IFERROR(__xludf.DUMMYFUNCTION("""COMPUTED_VALUE"""),46085.66666666667)</f>
        <v>46085.66667</v>
      </c>
      <c r="C89" s="190">
        <f>IFERROR(__xludf.DUMMYFUNCTION("""COMPUTED_VALUE"""),336.79)</f>
        <v>336.79</v>
      </c>
      <c r="D89" s="190">
        <f>IFERROR(__xludf.DUMMYFUNCTION("""COMPUTED_VALUE"""),339.06)</f>
        <v>339.06</v>
      </c>
      <c r="E89" s="190">
        <f>IFERROR(__xludf.DUMMYFUNCTION("""COMPUTED_VALUE"""),335.34)</f>
        <v>335.34</v>
      </c>
      <c r="F89" s="190">
        <f>IFERROR(__xludf.DUMMYFUNCTION("""COMPUTED_VALUE"""),338.19)</f>
        <v>338.19</v>
      </c>
      <c r="G89" s="191">
        <f>IFERROR(__xludf.DUMMYFUNCTION("""COMPUTED_VALUE"""),5448797.0)</f>
        <v>5448797</v>
      </c>
      <c r="H89" s="112"/>
      <c r="I89" s="112"/>
      <c r="J89" s="192"/>
      <c r="K89" s="193"/>
      <c r="L89" s="195"/>
      <c r="M89" s="94"/>
      <c r="N89" s="112"/>
      <c r="O89" s="196"/>
      <c r="P89" s="112"/>
      <c r="Q89" s="112"/>
      <c r="R89" s="112"/>
    </row>
    <row r="90" ht="17.25" customHeight="1">
      <c r="A90" s="112"/>
      <c r="B90" s="189">
        <f>IFERROR(__xludf.DUMMYFUNCTION("""COMPUTED_VALUE"""),46086.66666666667)</f>
        <v>46086.66667</v>
      </c>
      <c r="C90" s="190">
        <f>IFERROR(__xludf.DUMMYFUNCTION("""COMPUTED_VALUE"""),336.58)</f>
        <v>336.58</v>
      </c>
      <c r="D90" s="190">
        <f>IFERROR(__xludf.DUMMYFUNCTION("""COMPUTED_VALUE"""),338.36)</f>
        <v>338.36</v>
      </c>
      <c r="E90" s="190">
        <f>IFERROR(__xludf.DUMMYFUNCTION("""COMPUTED_VALUE"""),333.14)</f>
        <v>333.14</v>
      </c>
      <c r="F90" s="190">
        <f>IFERROR(__xludf.DUMMYFUNCTION("""COMPUTED_VALUE"""),336.0)</f>
        <v>336</v>
      </c>
      <c r="G90" s="191">
        <f>IFERROR(__xludf.DUMMYFUNCTION("""COMPUTED_VALUE"""),8658975.0)</f>
        <v>8658975</v>
      </c>
      <c r="H90" s="112"/>
      <c r="I90" s="112"/>
      <c r="J90" s="192"/>
      <c r="K90" s="193"/>
      <c r="L90" s="195"/>
      <c r="M90" s="94"/>
      <c r="N90" s="112"/>
      <c r="O90" s="196"/>
      <c r="P90" s="112"/>
      <c r="Q90" s="112"/>
      <c r="R90" s="112"/>
    </row>
    <row r="91" ht="17.25" customHeight="1">
      <c r="A91" s="112"/>
      <c r="B91" s="189">
        <f>IFERROR(__xludf.DUMMYFUNCTION("""COMPUTED_VALUE"""),46087.66666666667)</f>
        <v>46087.66667</v>
      </c>
      <c r="C91" s="190">
        <f>IFERROR(__xludf.DUMMYFUNCTION("""COMPUTED_VALUE"""),331.91)</f>
        <v>331.91</v>
      </c>
      <c r="D91" s="190">
        <f>IFERROR(__xludf.DUMMYFUNCTION("""COMPUTED_VALUE"""),333.15)</f>
        <v>333.15</v>
      </c>
      <c r="E91" s="190">
        <f>IFERROR(__xludf.DUMMYFUNCTION("""COMPUTED_VALUE"""),330.0)</f>
        <v>330</v>
      </c>
      <c r="F91" s="190">
        <f>IFERROR(__xludf.DUMMYFUNCTION("""COMPUTED_VALUE"""),331.41)</f>
        <v>331.41</v>
      </c>
      <c r="G91" s="191">
        <f>IFERROR(__xludf.DUMMYFUNCTION("""COMPUTED_VALUE"""),8621980.0)</f>
        <v>8621980</v>
      </c>
      <c r="H91" s="112"/>
      <c r="I91" s="112"/>
      <c r="J91" s="192"/>
      <c r="K91" s="193"/>
      <c r="L91" s="195"/>
      <c r="M91" s="94"/>
      <c r="N91" s="112"/>
      <c r="O91" s="196"/>
      <c r="P91" s="112"/>
      <c r="Q91" s="112"/>
      <c r="R91" s="112"/>
    </row>
    <row r="92" ht="17.25" customHeight="1">
      <c r="A92" s="112"/>
      <c r="B92" s="189">
        <f>IFERROR(__xludf.DUMMYFUNCTION("""COMPUTED_VALUE"""),46090.66666666667)</f>
        <v>46090.66667</v>
      </c>
      <c r="C92" s="190">
        <f>IFERROR(__xludf.DUMMYFUNCTION("""COMPUTED_VALUE"""),328.2)</f>
        <v>328.2</v>
      </c>
      <c r="D92" s="190">
        <f>IFERROR(__xludf.DUMMYFUNCTION("""COMPUTED_VALUE"""),335.1)</f>
        <v>335.1</v>
      </c>
      <c r="E92" s="190">
        <f>IFERROR(__xludf.DUMMYFUNCTION("""COMPUTED_VALUE"""),326.13)</f>
        <v>326.13</v>
      </c>
      <c r="F92" s="190">
        <f>IFERROR(__xludf.DUMMYFUNCTION("""COMPUTED_VALUE"""),334.28)</f>
        <v>334.28</v>
      </c>
      <c r="G92" s="191">
        <f>IFERROR(__xludf.DUMMYFUNCTION("""COMPUTED_VALUE"""),8379085.0)</f>
        <v>8379085</v>
      </c>
      <c r="H92" s="112"/>
      <c r="I92" s="112"/>
      <c r="J92" s="192"/>
      <c r="K92" s="193"/>
      <c r="L92" s="195"/>
      <c r="M92" s="94"/>
      <c r="N92" s="112"/>
      <c r="O92" s="196"/>
      <c r="P92" s="112"/>
      <c r="Q92" s="112"/>
      <c r="R92" s="112"/>
    </row>
    <row r="93" ht="17.25" customHeight="1">
      <c r="A93" s="112"/>
      <c r="B93" s="189">
        <f>IFERROR(__xludf.DUMMYFUNCTION("""COMPUTED_VALUE"""),46091.66666666667)</f>
        <v>46091.66667</v>
      </c>
      <c r="C93" s="190">
        <f>IFERROR(__xludf.DUMMYFUNCTION("""COMPUTED_VALUE"""),334.06)</f>
        <v>334.06</v>
      </c>
      <c r="D93" s="190">
        <f>IFERROR(__xludf.DUMMYFUNCTION("""COMPUTED_VALUE"""),336.9)</f>
        <v>336.9</v>
      </c>
      <c r="E93" s="190">
        <f>IFERROR(__xludf.DUMMYFUNCTION("""COMPUTED_VALUE"""),332.49)</f>
        <v>332.49</v>
      </c>
      <c r="F93" s="190">
        <f>IFERROR(__xludf.DUMMYFUNCTION("""COMPUTED_VALUE"""),333.51)</f>
        <v>333.51</v>
      </c>
      <c r="G93" s="191">
        <f>IFERROR(__xludf.DUMMYFUNCTION("""COMPUTED_VALUE"""),7761384.0)</f>
        <v>7761384</v>
      </c>
      <c r="H93" s="112"/>
      <c r="I93" s="112"/>
      <c r="J93" s="192"/>
      <c r="K93" s="193"/>
      <c r="L93" s="195"/>
      <c r="M93" s="94"/>
      <c r="N93" s="112"/>
      <c r="O93" s="196"/>
      <c r="P93" s="112"/>
      <c r="Q93" s="112"/>
      <c r="R93" s="112"/>
    </row>
    <row r="94" ht="17.25" customHeight="1">
      <c r="A94" s="112"/>
      <c r="B94" s="189">
        <f>IFERROR(__xludf.DUMMYFUNCTION("""COMPUTED_VALUE"""),46092.66666666667)</f>
        <v>46092.66667</v>
      </c>
      <c r="C94" s="190">
        <f>IFERROR(__xludf.DUMMYFUNCTION("""COMPUTED_VALUE"""),333.76)</f>
        <v>333.76</v>
      </c>
      <c r="D94" s="190">
        <f>IFERROR(__xludf.DUMMYFUNCTION("""COMPUTED_VALUE"""),334.94)</f>
        <v>334.94</v>
      </c>
      <c r="E94" s="190">
        <f>IFERROR(__xludf.DUMMYFUNCTION("""COMPUTED_VALUE"""),331.66)</f>
        <v>331.66</v>
      </c>
      <c r="F94" s="190">
        <f>IFERROR(__xludf.DUMMYFUNCTION("""COMPUTED_VALUE"""),333.24)</f>
        <v>333.24</v>
      </c>
      <c r="G94" s="191">
        <f>IFERROR(__xludf.DUMMYFUNCTION("""COMPUTED_VALUE"""),8631905.0)</f>
        <v>8631905</v>
      </c>
      <c r="H94" s="112"/>
      <c r="I94" s="112"/>
      <c r="J94" s="192"/>
      <c r="K94" s="193"/>
      <c r="L94" s="195"/>
      <c r="M94" s="94"/>
      <c r="N94" s="112"/>
      <c r="O94" s="196"/>
      <c r="P94" s="112"/>
      <c r="Q94" s="112"/>
      <c r="R94" s="112"/>
    </row>
    <row r="95" ht="17.25" customHeight="1">
      <c r="A95" s="112"/>
      <c r="B95" s="189">
        <f>IFERROR(__xludf.DUMMYFUNCTION("""COMPUTED_VALUE"""),46093.66666666667)</f>
        <v>46093.66667</v>
      </c>
      <c r="C95" s="190">
        <f>IFERROR(__xludf.DUMMYFUNCTION("""COMPUTED_VALUE"""),330.59)</f>
        <v>330.59</v>
      </c>
      <c r="D95" s="190">
        <f>IFERROR(__xludf.DUMMYFUNCTION("""COMPUTED_VALUE"""),330.82)</f>
        <v>330.82</v>
      </c>
      <c r="E95" s="190">
        <f>IFERROR(__xludf.DUMMYFUNCTION("""COMPUTED_VALUE"""),327.83)</f>
        <v>327.83</v>
      </c>
      <c r="F95" s="190">
        <f>IFERROR(__xludf.DUMMYFUNCTION("""COMPUTED_VALUE"""),327.92)</f>
        <v>327.92</v>
      </c>
      <c r="G95" s="191">
        <f>IFERROR(__xludf.DUMMYFUNCTION("""COMPUTED_VALUE"""),7011933.0)</f>
        <v>7011933</v>
      </c>
      <c r="H95" s="112"/>
      <c r="I95" s="112"/>
      <c r="J95" s="192"/>
      <c r="K95" s="193"/>
      <c r="L95" s="195"/>
      <c r="M95" s="94"/>
      <c r="N95" s="112"/>
      <c r="O95" s="196"/>
      <c r="P95" s="112"/>
      <c r="Q95" s="112"/>
      <c r="R95" s="112"/>
    </row>
    <row r="96" ht="17.25" customHeight="1">
      <c r="A96" s="112"/>
      <c r="B96" s="189">
        <f>IFERROR(__xludf.DUMMYFUNCTION("""COMPUTED_VALUE"""),46094.66666666667)</f>
        <v>46094.66667</v>
      </c>
      <c r="C96" s="190">
        <f>IFERROR(__xludf.DUMMYFUNCTION("""COMPUTED_VALUE"""),329.5)</f>
        <v>329.5</v>
      </c>
      <c r="D96" s="190">
        <f>IFERROR(__xludf.DUMMYFUNCTION("""COMPUTED_VALUE"""),331.1)</f>
        <v>331.1</v>
      </c>
      <c r="E96" s="190">
        <f>IFERROR(__xludf.DUMMYFUNCTION("""COMPUTED_VALUE"""),325.67)</f>
        <v>325.67</v>
      </c>
      <c r="F96" s="190">
        <f>IFERROR(__xludf.DUMMYFUNCTION("""COMPUTED_VALUE"""),326.13)</f>
        <v>326.13</v>
      </c>
      <c r="G96" s="191">
        <f>IFERROR(__xludf.DUMMYFUNCTION("""COMPUTED_VALUE"""),6294852.0)</f>
        <v>6294852</v>
      </c>
      <c r="H96" s="112"/>
      <c r="I96" s="112"/>
      <c r="J96" s="192"/>
      <c r="K96" s="193"/>
      <c r="L96" s="195"/>
      <c r="M96" s="94"/>
      <c r="N96" s="112"/>
      <c r="O96" s="196"/>
      <c r="P96" s="112"/>
      <c r="Q96" s="112"/>
      <c r="R96" s="112"/>
    </row>
    <row r="97" ht="17.25" customHeight="1">
      <c r="A97" s="112"/>
      <c r="B97" s="189">
        <f>IFERROR(__xludf.DUMMYFUNCTION("""COMPUTED_VALUE"""),46097.66666666667)</f>
        <v>46097.66667</v>
      </c>
      <c r="C97" s="190">
        <f>IFERROR(__xludf.DUMMYFUNCTION("""COMPUTED_VALUE"""),329.19)</f>
        <v>329.19</v>
      </c>
      <c r="D97" s="190">
        <f>IFERROR(__xludf.DUMMYFUNCTION("""COMPUTED_VALUE"""),330.97)</f>
        <v>330.97</v>
      </c>
      <c r="E97" s="190">
        <f>IFERROR(__xludf.DUMMYFUNCTION("""COMPUTED_VALUE"""),328.57)</f>
        <v>328.57</v>
      </c>
      <c r="F97" s="190">
        <f>IFERROR(__xludf.DUMMYFUNCTION("""COMPUTED_VALUE"""),329.46)</f>
        <v>329.46</v>
      </c>
      <c r="G97" s="191">
        <f>IFERROR(__xludf.DUMMYFUNCTION("""COMPUTED_VALUE"""),3766899.0)</f>
        <v>3766899</v>
      </c>
      <c r="H97" s="112"/>
      <c r="I97" s="112"/>
      <c r="J97" s="192"/>
      <c r="K97" s="193"/>
      <c r="L97" s="195"/>
      <c r="M97" s="94"/>
      <c r="N97" s="112"/>
      <c r="O97" s="196"/>
      <c r="P97" s="112"/>
      <c r="Q97" s="112"/>
      <c r="R97" s="112"/>
    </row>
    <row r="98" ht="17.25" customHeight="1">
      <c r="A98" s="112"/>
      <c r="B98" s="189">
        <f>IFERROR(__xludf.DUMMYFUNCTION("""COMPUTED_VALUE"""),46098.66666666667)</f>
        <v>46098.66667</v>
      </c>
      <c r="C98" s="190">
        <f>IFERROR(__xludf.DUMMYFUNCTION("""COMPUTED_VALUE"""),331.07)</f>
        <v>331.07</v>
      </c>
      <c r="D98" s="190">
        <f>IFERROR(__xludf.DUMMYFUNCTION("""COMPUTED_VALUE"""),332.32)</f>
        <v>332.32</v>
      </c>
      <c r="E98" s="190">
        <f>IFERROR(__xludf.DUMMYFUNCTION("""COMPUTED_VALUE"""),330.14)</f>
        <v>330.14</v>
      </c>
      <c r="F98" s="190">
        <f>IFERROR(__xludf.DUMMYFUNCTION("""COMPUTED_VALUE"""),330.57)</f>
        <v>330.57</v>
      </c>
      <c r="G98" s="191">
        <f>IFERROR(__xludf.DUMMYFUNCTION("""COMPUTED_VALUE"""),3181374.0)</f>
        <v>3181374</v>
      </c>
      <c r="H98" s="112"/>
      <c r="I98" s="112"/>
      <c r="J98" s="192"/>
      <c r="K98" s="193"/>
      <c r="L98" s="195"/>
      <c r="M98" s="94"/>
      <c r="N98" s="112"/>
      <c r="O98" s="196"/>
      <c r="P98" s="112"/>
      <c r="Q98" s="112"/>
      <c r="R98" s="112"/>
    </row>
    <row r="99" ht="17.25" customHeight="1">
      <c r="A99" s="112"/>
      <c r="B99" s="189">
        <f>IFERROR(__xludf.DUMMYFUNCTION("""COMPUTED_VALUE"""),46099.66666666667)</f>
        <v>46099.66667</v>
      </c>
      <c r="C99" s="190">
        <f>IFERROR(__xludf.DUMMYFUNCTION("""COMPUTED_VALUE"""),329.45)</f>
        <v>329.45</v>
      </c>
      <c r="D99" s="190">
        <f>IFERROR(__xludf.DUMMYFUNCTION("""COMPUTED_VALUE"""),330.0)</f>
        <v>330</v>
      </c>
      <c r="E99" s="190">
        <f>IFERROR(__xludf.DUMMYFUNCTION("""COMPUTED_VALUE"""),325.9)</f>
        <v>325.9</v>
      </c>
      <c r="F99" s="190">
        <f>IFERROR(__xludf.DUMMYFUNCTION("""COMPUTED_VALUE"""),326.02)</f>
        <v>326.02</v>
      </c>
      <c r="G99" s="191">
        <f>IFERROR(__xludf.DUMMYFUNCTION("""COMPUTED_VALUE"""),3919432.0)</f>
        <v>3919432</v>
      </c>
      <c r="H99" s="112"/>
      <c r="I99" s="112"/>
      <c r="J99" s="192"/>
      <c r="K99" s="193"/>
      <c r="L99" s="195"/>
      <c r="M99" s="94"/>
      <c r="N99" s="112"/>
      <c r="O99" s="196"/>
      <c r="P99" s="112"/>
      <c r="Q99" s="112"/>
      <c r="R99" s="112"/>
    </row>
    <row r="100" ht="17.25" customHeight="1">
      <c r="A100" s="112"/>
      <c r="B100" s="189">
        <f>IFERROR(__xludf.DUMMYFUNCTION("""COMPUTED_VALUE"""),46100.66666666667)</f>
        <v>46100.66667</v>
      </c>
      <c r="C100" s="190">
        <f>IFERROR(__xludf.DUMMYFUNCTION("""COMPUTED_VALUE"""),324.12)</f>
        <v>324.12</v>
      </c>
      <c r="D100" s="190">
        <f>IFERROR(__xludf.DUMMYFUNCTION("""COMPUTED_VALUE"""),327.01)</f>
        <v>327.01</v>
      </c>
      <c r="E100" s="190">
        <f>IFERROR(__xludf.DUMMYFUNCTION("""COMPUTED_VALUE"""),322.76)</f>
        <v>322.76</v>
      </c>
      <c r="F100" s="190">
        <f>IFERROR(__xludf.DUMMYFUNCTION("""COMPUTED_VALUE"""),325.44)</f>
        <v>325.44</v>
      </c>
      <c r="G100" s="191">
        <f>IFERROR(__xludf.DUMMYFUNCTION("""COMPUTED_VALUE"""),5183144.0)</f>
        <v>5183144</v>
      </c>
      <c r="H100" s="112"/>
      <c r="I100" s="112"/>
      <c r="J100" s="192"/>
      <c r="K100" s="193"/>
      <c r="L100" s="195"/>
      <c r="M100" s="94"/>
      <c r="N100" s="112"/>
      <c r="O100" s="196"/>
      <c r="P100" s="112"/>
      <c r="Q100" s="112"/>
      <c r="R100" s="112"/>
    </row>
    <row r="101" ht="17.25" customHeight="1">
      <c r="A101" s="112"/>
      <c r="B101" s="189">
        <f>IFERROR(__xludf.DUMMYFUNCTION("""COMPUTED_VALUE"""),46101.66666666667)</f>
        <v>46101.66667</v>
      </c>
      <c r="C101" s="190">
        <f>IFERROR(__xludf.DUMMYFUNCTION("""COMPUTED_VALUE"""),324.75)</f>
        <v>324.75</v>
      </c>
      <c r="D101" s="190">
        <f>IFERROR(__xludf.DUMMYFUNCTION("""COMPUTED_VALUE"""),324.99)</f>
        <v>324.99</v>
      </c>
      <c r="E101" s="190">
        <f>IFERROR(__xludf.DUMMYFUNCTION("""COMPUTED_VALUE"""),318.57)</f>
        <v>318.57</v>
      </c>
      <c r="F101" s="190">
        <f>IFERROR(__xludf.DUMMYFUNCTION("""COMPUTED_VALUE"""),320.34)</f>
        <v>320.34</v>
      </c>
      <c r="G101" s="191">
        <f>IFERROR(__xludf.DUMMYFUNCTION("""COMPUTED_VALUE"""),6532894.0)</f>
        <v>6532894</v>
      </c>
      <c r="H101" s="112"/>
      <c r="I101" s="112"/>
      <c r="J101" s="192"/>
      <c r="K101" s="193"/>
      <c r="L101" s="195"/>
      <c r="M101" s="94"/>
      <c r="N101" s="112"/>
      <c r="O101" s="196"/>
      <c r="P101" s="112"/>
      <c r="Q101" s="112"/>
      <c r="R101" s="112"/>
    </row>
    <row r="102" ht="17.25" customHeight="1">
      <c r="A102" s="112"/>
      <c r="B102" s="189">
        <f>IFERROR(__xludf.DUMMYFUNCTION("""COMPUTED_VALUE"""),46104.66666666667)</f>
        <v>46104.66667</v>
      </c>
      <c r="C102" s="190">
        <f>IFERROR(__xludf.DUMMYFUNCTION("""COMPUTED_VALUE"""),325.02)</f>
        <v>325.02</v>
      </c>
      <c r="D102" s="190">
        <f>IFERROR(__xludf.DUMMYFUNCTION("""COMPUTED_VALUE"""),327.85)</f>
        <v>327.85</v>
      </c>
      <c r="E102" s="190">
        <f>IFERROR(__xludf.DUMMYFUNCTION("""COMPUTED_VALUE"""),323.47)</f>
        <v>323.47</v>
      </c>
      <c r="F102" s="190">
        <f>IFERROR(__xludf.DUMMYFUNCTION("""COMPUTED_VALUE"""),324.19)</f>
        <v>324.19</v>
      </c>
      <c r="G102" s="191">
        <f>IFERROR(__xludf.DUMMYFUNCTION("""COMPUTED_VALUE"""),7888310.0)</f>
        <v>7888310</v>
      </c>
      <c r="H102" s="112"/>
      <c r="I102" s="112"/>
      <c r="J102" s="192"/>
      <c r="K102" s="193"/>
      <c r="L102" s="195"/>
      <c r="M102" s="94"/>
      <c r="N102" s="112"/>
      <c r="O102" s="196"/>
      <c r="P102" s="112"/>
      <c r="Q102" s="112"/>
      <c r="R102" s="112"/>
    </row>
    <row r="103" ht="17.25" customHeight="1">
      <c r="A103" s="112"/>
      <c r="B103" s="189">
        <f>IFERROR(__xludf.DUMMYFUNCTION("""COMPUTED_VALUE"""),46105.66666666667)</f>
        <v>46105.66667</v>
      </c>
      <c r="C103" s="190">
        <f>IFERROR(__xludf.DUMMYFUNCTION("""COMPUTED_VALUE"""),321.66)</f>
        <v>321.66</v>
      </c>
      <c r="D103" s="190">
        <f>IFERROR(__xludf.DUMMYFUNCTION("""COMPUTED_VALUE"""),325.13)</f>
        <v>325.13</v>
      </c>
      <c r="E103" s="190">
        <f>IFERROR(__xludf.DUMMYFUNCTION("""COMPUTED_VALUE"""),321.35)</f>
        <v>321.35</v>
      </c>
      <c r="F103" s="190">
        <f>IFERROR(__xludf.DUMMYFUNCTION("""COMPUTED_VALUE"""),323.18)</f>
        <v>323.18</v>
      </c>
      <c r="G103" s="191">
        <f>IFERROR(__xludf.DUMMYFUNCTION("""COMPUTED_VALUE"""),4382400.0)</f>
        <v>4382400</v>
      </c>
      <c r="H103" s="112"/>
      <c r="I103" s="112"/>
      <c r="J103" s="192"/>
      <c r="K103" s="193"/>
      <c r="L103" s="195"/>
      <c r="M103" s="94"/>
      <c r="N103" s="112"/>
      <c r="O103" s="196"/>
      <c r="P103" s="112"/>
      <c r="Q103" s="112"/>
      <c r="R103" s="112"/>
    </row>
    <row r="104" ht="17.25" customHeight="1">
      <c r="A104" s="112"/>
      <c r="B104" s="189">
        <f>IFERROR(__xludf.DUMMYFUNCTION("""COMPUTED_VALUE"""),46106.66666666667)</f>
        <v>46106.66667</v>
      </c>
      <c r="C104" s="190">
        <f>IFERROR(__xludf.DUMMYFUNCTION("""COMPUTED_VALUE"""),326.13)</f>
        <v>326.13</v>
      </c>
      <c r="D104" s="190">
        <f>IFERROR(__xludf.DUMMYFUNCTION("""COMPUTED_VALUE"""),327.2)</f>
        <v>327.2</v>
      </c>
      <c r="E104" s="190">
        <f>IFERROR(__xludf.DUMMYFUNCTION("""COMPUTED_VALUE"""),323.72)</f>
        <v>323.72</v>
      </c>
      <c r="F104" s="190">
        <f>IFERROR(__xludf.DUMMYFUNCTION("""COMPUTED_VALUE"""),325.15)</f>
        <v>325.15</v>
      </c>
      <c r="G104" s="191">
        <f>IFERROR(__xludf.DUMMYFUNCTION("""COMPUTED_VALUE"""),3625552.0)</f>
        <v>3625552</v>
      </c>
      <c r="H104" s="112"/>
      <c r="I104" s="112"/>
      <c r="J104" s="192"/>
      <c r="K104" s="193"/>
      <c r="L104" s="195"/>
      <c r="M104" s="94"/>
      <c r="N104" s="112"/>
      <c r="O104" s="196"/>
      <c r="P104" s="112"/>
      <c r="Q104" s="112"/>
      <c r="R104" s="112"/>
    </row>
    <row r="105" ht="17.25" customHeight="1">
      <c r="A105" s="112"/>
      <c r="B105" s="189">
        <f>IFERROR(__xludf.DUMMYFUNCTION("""COMPUTED_VALUE"""),46107.66666666667)</f>
        <v>46107.66667</v>
      </c>
      <c r="C105" s="190">
        <f>IFERROR(__xludf.DUMMYFUNCTION("""COMPUTED_VALUE"""),322.85)</f>
        <v>322.85</v>
      </c>
      <c r="D105" s="190">
        <f>IFERROR(__xludf.DUMMYFUNCTION("""COMPUTED_VALUE"""),324.42)</f>
        <v>324.42</v>
      </c>
      <c r="E105" s="190">
        <f>IFERROR(__xludf.DUMMYFUNCTION("""COMPUTED_VALUE"""),319.39)</f>
        <v>319.39</v>
      </c>
      <c r="F105" s="190">
        <f>IFERROR(__xludf.DUMMYFUNCTION("""COMPUTED_VALUE"""),319.55)</f>
        <v>319.55</v>
      </c>
      <c r="G105" s="191">
        <f>IFERROR(__xludf.DUMMYFUNCTION("""COMPUTED_VALUE"""),4794445.0)</f>
        <v>4794445</v>
      </c>
      <c r="H105" s="112"/>
      <c r="I105" s="112"/>
      <c r="J105" s="192"/>
      <c r="K105" s="193"/>
      <c r="L105" s="195"/>
      <c r="M105" s="94"/>
      <c r="N105" s="112"/>
      <c r="O105" s="196"/>
      <c r="P105" s="112"/>
      <c r="Q105" s="112"/>
      <c r="R105" s="112"/>
    </row>
    <row r="106" ht="17.25" customHeight="1">
      <c r="A106" s="112"/>
      <c r="B106" s="189">
        <f>IFERROR(__xludf.DUMMYFUNCTION("""COMPUTED_VALUE"""),46108.66666666667)</f>
        <v>46108.66667</v>
      </c>
      <c r="C106" s="190">
        <f>IFERROR(__xludf.DUMMYFUNCTION("""COMPUTED_VALUE"""),317.27)</f>
        <v>317.27</v>
      </c>
      <c r="D106" s="190">
        <f>IFERROR(__xludf.DUMMYFUNCTION("""COMPUTED_VALUE"""),317.47)</f>
        <v>317.47</v>
      </c>
      <c r="E106" s="190">
        <f>IFERROR(__xludf.DUMMYFUNCTION("""COMPUTED_VALUE"""),312.5)</f>
        <v>312.5</v>
      </c>
      <c r="F106" s="190">
        <f>IFERROR(__xludf.DUMMYFUNCTION("""COMPUTED_VALUE"""),313.09)</f>
        <v>313.09</v>
      </c>
      <c r="G106" s="191">
        <f>IFERROR(__xludf.DUMMYFUNCTION("""COMPUTED_VALUE"""),7027267.0)</f>
        <v>7027267</v>
      </c>
      <c r="H106" s="112"/>
      <c r="I106" s="112"/>
      <c r="J106" s="192"/>
      <c r="K106" s="193"/>
      <c r="L106" s="195"/>
      <c r="M106" s="94"/>
      <c r="N106" s="112"/>
      <c r="O106" s="196"/>
      <c r="P106" s="112"/>
      <c r="Q106" s="112"/>
      <c r="R106" s="112"/>
    </row>
    <row r="107" ht="17.25" customHeight="1">
      <c r="A107" s="112"/>
      <c r="B107" s="189">
        <f>IFERROR(__xludf.DUMMYFUNCTION("""COMPUTED_VALUE"""),46111.66666666667)</f>
        <v>46111.66667</v>
      </c>
      <c r="C107" s="190">
        <f>IFERROR(__xludf.DUMMYFUNCTION("""COMPUTED_VALUE"""),315.9)</f>
        <v>315.9</v>
      </c>
      <c r="D107" s="190">
        <f>IFERROR(__xludf.DUMMYFUNCTION("""COMPUTED_VALUE"""),316.0)</f>
        <v>316</v>
      </c>
      <c r="E107" s="190">
        <f>IFERROR(__xludf.DUMMYFUNCTION("""COMPUTED_VALUE"""),310.4)</f>
        <v>310.4</v>
      </c>
      <c r="F107" s="190">
        <f>IFERROR(__xludf.DUMMYFUNCTION("""COMPUTED_VALUE"""),311.68)</f>
        <v>311.68</v>
      </c>
      <c r="G107" s="191">
        <f>IFERROR(__xludf.DUMMYFUNCTION("""COMPUTED_VALUE"""),6510922.0)</f>
        <v>6510922</v>
      </c>
      <c r="H107" s="112"/>
      <c r="I107" s="112"/>
      <c r="J107" s="192"/>
      <c r="K107" s="193"/>
      <c r="L107" s="195"/>
      <c r="M107" s="94"/>
      <c r="N107" s="112"/>
      <c r="O107" s="196"/>
      <c r="P107" s="112"/>
      <c r="Q107" s="112"/>
      <c r="R107" s="112"/>
    </row>
    <row r="108" ht="17.25" customHeight="1">
      <c r="A108" s="112"/>
      <c r="B108" s="189">
        <f>IFERROR(__xludf.DUMMYFUNCTION("""COMPUTED_VALUE"""),46112.66666666667)</f>
        <v>46112.66667</v>
      </c>
      <c r="C108" s="190">
        <f>IFERROR(__xludf.DUMMYFUNCTION("""COMPUTED_VALUE"""),315.35)</f>
        <v>315.35</v>
      </c>
      <c r="D108" s="190">
        <f>IFERROR(__xludf.DUMMYFUNCTION("""COMPUTED_VALUE"""),321.52)</f>
        <v>321.52</v>
      </c>
      <c r="E108" s="190">
        <f>IFERROR(__xludf.DUMMYFUNCTION("""COMPUTED_VALUE"""),314.75)</f>
        <v>314.75</v>
      </c>
      <c r="F108" s="190">
        <f>IFERROR(__xludf.DUMMYFUNCTION("""COMPUTED_VALUE"""),320.81)</f>
        <v>320.81</v>
      </c>
      <c r="G108" s="191">
        <f>IFERROR(__xludf.DUMMYFUNCTION("""COMPUTED_VALUE"""),6764033.0)</f>
        <v>6764033</v>
      </c>
      <c r="H108" s="112"/>
      <c r="I108" s="112"/>
      <c r="J108" s="192"/>
      <c r="K108" s="193"/>
      <c r="L108" s="195"/>
      <c r="M108" s="94"/>
      <c r="N108" s="112"/>
      <c r="O108" s="196"/>
      <c r="P108" s="112"/>
      <c r="Q108" s="112"/>
      <c r="R108" s="112"/>
    </row>
    <row r="109" ht="17.25" customHeight="1">
      <c r="A109" s="112"/>
      <c r="B109" s="189">
        <f>IFERROR(__xludf.DUMMYFUNCTION("""COMPUTED_VALUE"""),46113.66666666667)</f>
        <v>46113.66667</v>
      </c>
      <c r="C109" s="190">
        <f>IFERROR(__xludf.DUMMYFUNCTION("""COMPUTED_VALUE"""),322.91)</f>
        <v>322.91</v>
      </c>
      <c r="D109" s="190">
        <f>IFERROR(__xludf.DUMMYFUNCTION("""COMPUTED_VALUE"""),325.09)</f>
        <v>325.09</v>
      </c>
      <c r="E109" s="190">
        <f>IFERROR(__xludf.DUMMYFUNCTION("""COMPUTED_VALUE"""),322.28)</f>
        <v>322.28</v>
      </c>
      <c r="F109" s="190">
        <f>IFERROR(__xludf.DUMMYFUNCTION("""COMPUTED_VALUE"""),323.24)</f>
        <v>323.24</v>
      </c>
      <c r="G109" s="191">
        <f>IFERROR(__xludf.DUMMYFUNCTION("""COMPUTED_VALUE"""),5540502.0)</f>
        <v>5540502</v>
      </c>
      <c r="H109" s="112"/>
      <c r="I109" s="112"/>
      <c r="J109" s="192"/>
      <c r="K109" s="193"/>
      <c r="L109" s="195"/>
      <c r="M109" s="94"/>
      <c r="N109" s="112"/>
      <c r="O109" s="196"/>
      <c r="P109" s="112"/>
      <c r="Q109" s="112"/>
      <c r="R109" s="112"/>
    </row>
    <row r="110" ht="17.25" customHeight="1">
      <c r="A110" s="112"/>
      <c r="B110" s="189">
        <f>IFERROR(__xludf.DUMMYFUNCTION("""COMPUTED_VALUE"""),46114.66666666667)</f>
        <v>46114.66667</v>
      </c>
      <c r="C110" s="190">
        <f>IFERROR(__xludf.DUMMYFUNCTION("""COMPUTED_VALUE"""),318.97)</f>
        <v>318.97</v>
      </c>
      <c r="D110" s="190">
        <f>IFERROR(__xludf.DUMMYFUNCTION("""COMPUTED_VALUE"""),324.9)</f>
        <v>324.9</v>
      </c>
      <c r="E110" s="190">
        <f>IFERROR(__xludf.DUMMYFUNCTION("""COMPUTED_VALUE"""),318.23)</f>
        <v>318.23</v>
      </c>
      <c r="F110" s="190">
        <f>IFERROR(__xludf.DUMMYFUNCTION("""COMPUTED_VALUE"""),323.76)</f>
        <v>323.76</v>
      </c>
      <c r="G110" s="191">
        <f>IFERROR(__xludf.DUMMYFUNCTION("""COMPUTED_VALUE"""),3653372.0)</f>
        <v>3653372</v>
      </c>
      <c r="H110" s="112"/>
      <c r="I110" s="112"/>
      <c r="J110" s="192"/>
      <c r="K110" s="193"/>
      <c r="L110" s="195"/>
      <c r="M110" s="94"/>
      <c r="N110" s="112"/>
      <c r="O110" s="196"/>
      <c r="P110" s="112"/>
      <c r="Q110" s="112"/>
      <c r="R110" s="112"/>
    </row>
    <row r="111" ht="17.25" customHeight="1">
      <c r="A111" s="112"/>
      <c r="B111" s="189">
        <f>IFERROR(__xludf.DUMMYFUNCTION("""COMPUTED_VALUE"""),46118.66666666667)</f>
        <v>46118.66667</v>
      </c>
      <c r="C111" s="190">
        <f>IFERROR(__xludf.DUMMYFUNCTION("""COMPUTED_VALUE"""),323.95)</f>
        <v>323.95</v>
      </c>
      <c r="D111" s="190">
        <f>IFERROR(__xludf.DUMMYFUNCTION("""COMPUTED_VALUE"""),325.62)</f>
        <v>325.62</v>
      </c>
      <c r="E111" s="190">
        <f>IFERROR(__xludf.DUMMYFUNCTION("""COMPUTED_VALUE"""),323.58)</f>
        <v>323.58</v>
      </c>
      <c r="F111" s="190">
        <f>IFERROR(__xludf.DUMMYFUNCTION("""COMPUTED_VALUE"""),325.21)</f>
        <v>325.21</v>
      </c>
      <c r="G111" s="191">
        <f>IFERROR(__xludf.DUMMYFUNCTION("""COMPUTED_VALUE"""),4401880.0)</f>
        <v>4401880</v>
      </c>
      <c r="H111" s="112"/>
      <c r="I111" s="112"/>
      <c r="J111" s="192"/>
      <c r="K111" s="193"/>
      <c r="L111" s="195"/>
      <c r="M111" s="94"/>
      <c r="N111" s="112"/>
      <c r="O111" s="196"/>
      <c r="P111" s="112"/>
      <c r="Q111" s="112"/>
      <c r="R111" s="112"/>
    </row>
    <row r="112" ht="17.25" customHeight="1">
      <c r="A112" s="112"/>
      <c r="B112" s="189">
        <f>IFERROR(__xludf.DUMMYFUNCTION("""COMPUTED_VALUE"""),46119.66666666667)</f>
        <v>46119.66667</v>
      </c>
      <c r="C112" s="190">
        <f>IFERROR(__xludf.DUMMYFUNCTION("""COMPUTED_VALUE"""),324.22)</f>
        <v>324.22</v>
      </c>
      <c r="D112" s="190">
        <f>IFERROR(__xludf.DUMMYFUNCTION("""COMPUTED_VALUE"""),325.58)</f>
        <v>325.58</v>
      </c>
      <c r="E112" s="190">
        <f>IFERROR(__xludf.DUMMYFUNCTION("""COMPUTED_VALUE"""),321.46)</f>
        <v>321.46</v>
      </c>
      <c r="F112" s="190">
        <f>IFERROR(__xludf.DUMMYFUNCTION("""COMPUTED_VALUE"""),325.43)</f>
        <v>325.43</v>
      </c>
      <c r="G112" s="191">
        <f>IFERROR(__xludf.DUMMYFUNCTION("""COMPUTED_VALUE"""),3567506.0)</f>
        <v>3567506</v>
      </c>
      <c r="H112" s="112"/>
      <c r="I112" s="112"/>
      <c r="J112" s="192"/>
      <c r="K112" s="193"/>
      <c r="L112" s="195"/>
      <c r="M112" s="94"/>
      <c r="N112" s="112"/>
      <c r="O112" s="196"/>
      <c r="P112" s="112"/>
      <c r="Q112" s="112"/>
      <c r="R112" s="112"/>
    </row>
    <row r="113" ht="17.25" customHeight="1">
      <c r="A113" s="112"/>
      <c r="B113" s="189">
        <f>IFERROR(__xludf.DUMMYFUNCTION("""COMPUTED_VALUE"""),46120.66666666667)</f>
        <v>46120.66667</v>
      </c>
      <c r="C113" s="190">
        <f>IFERROR(__xludf.DUMMYFUNCTION("""COMPUTED_VALUE"""),334.19)</f>
        <v>334.19</v>
      </c>
      <c r="D113" s="190">
        <f>IFERROR(__xludf.DUMMYFUNCTION("""COMPUTED_VALUE"""),334.48)</f>
        <v>334.48</v>
      </c>
      <c r="E113" s="190">
        <f>IFERROR(__xludf.DUMMYFUNCTION("""COMPUTED_VALUE"""),331.58)</f>
        <v>331.58</v>
      </c>
      <c r="F113" s="190">
        <f>IFERROR(__xludf.DUMMYFUNCTION("""COMPUTED_VALUE"""),333.7)</f>
        <v>333.7</v>
      </c>
      <c r="G113" s="191">
        <f>IFERROR(__xludf.DUMMYFUNCTION("""COMPUTED_VALUE"""),5384336.0)</f>
        <v>5384336</v>
      </c>
      <c r="H113" s="112"/>
      <c r="I113" s="112"/>
      <c r="J113" s="192"/>
      <c r="K113" s="193"/>
      <c r="L113" s="195"/>
      <c r="M113" s="94"/>
      <c r="N113" s="112"/>
      <c r="O113" s="196"/>
      <c r="P113" s="112"/>
      <c r="Q113" s="112"/>
      <c r="R113" s="112"/>
    </row>
    <row r="114" ht="17.25" customHeight="1">
      <c r="A114" s="112"/>
      <c r="B114" s="189">
        <f>IFERROR(__xludf.DUMMYFUNCTION("""COMPUTED_VALUE"""),46121.66666666667)</f>
        <v>46121.66667</v>
      </c>
      <c r="C114" s="190">
        <f>IFERROR(__xludf.DUMMYFUNCTION("""COMPUTED_VALUE"""),333.31)</f>
        <v>333.31</v>
      </c>
      <c r="D114" s="190">
        <f>IFERROR(__xludf.DUMMYFUNCTION("""COMPUTED_VALUE"""),336.13)</f>
        <v>336.13</v>
      </c>
      <c r="E114" s="190">
        <f>IFERROR(__xludf.DUMMYFUNCTION("""COMPUTED_VALUE"""),332.44)</f>
        <v>332.44</v>
      </c>
      <c r="F114" s="190">
        <f>IFERROR(__xludf.DUMMYFUNCTION("""COMPUTED_VALUE"""),335.45)</f>
        <v>335.45</v>
      </c>
      <c r="G114" s="191">
        <f>IFERROR(__xludf.DUMMYFUNCTION("""COMPUTED_VALUE"""),3436811.0)</f>
        <v>3436811</v>
      </c>
      <c r="H114" s="112"/>
      <c r="I114" s="112"/>
      <c r="J114" s="192"/>
      <c r="K114" s="193"/>
      <c r="L114" s="195"/>
      <c r="M114" s="94"/>
      <c r="N114" s="112"/>
      <c r="O114" s="196"/>
      <c r="P114" s="112"/>
      <c r="Q114" s="112"/>
      <c r="R114" s="112"/>
    </row>
    <row r="115" ht="17.25" customHeight="1">
      <c r="A115" s="112"/>
      <c r="B115" s="189">
        <f>IFERROR(__xludf.DUMMYFUNCTION("""COMPUTED_VALUE"""),46122.66666666667)</f>
        <v>46122.66667</v>
      </c>
      <c r="C115" s="190">
        <f>IFERROR(__xludf.DUMMYFUNCTION("""COMPUTED_VALUE"""),336.13)</f>
        <v>336.13</v>
      </c>
      <c r="D115" s="190">
        <f>IFERROR(__xludf.DUMMYFUNCTION("""COMPUTED_VALUE"""),336.55)</f>
        <v>336.55</v>
      </c>
      <c r="E115" s="190">
        <f>IFERROR(__xludf.DUMMYFUNCTION("""COMPUTED_VALUE"""),334.57)</f>
        <v>334.57</v>
      </c>
      <c r="F115" s="190">
        <f>IFERROR(__xludf.DUMMYFUNCTION("""COMPUTED_VALUE"""),335.05)</f>
        <v>335.05</v>
      </c>
      <c r="G115" s="191">
        <f>IFERROR(__xludf.DUMMYFUNCTION("""COMPUTED_VALUE"""),2581278.0)</f>
        <v>2581278</v>
      </c>
      <c r="H115" s="112"/>
      <c r="I115" s="112"/>
      <c r="J115" s="192"/>
      <c r="K115" s="193"/>
      <c r="L115" s="195"/>
      <c r="M115" s="94"/>
      <c r="N115" s="112"/>
      <c r="O115" s="196"/>
      <c r="P115" s="112"/>
      <c r="Q115" s="112"/>
      <c r="R115" s="112"/>
    </row>
    <row r="116" ht="17.25" customHeight="1">
      <c r="A116" s="112"/>
      <c r="B116" s="189">
        <f>IFERROR(__xludf.DUMMYFUNCTION("""COMPUTED_VALUE"""),46125.66666666667)</f>
        <v>46125.66667</v>
      </c>
      <c r="C116" s="190">
        <f>IFERROR(__xludf.DUMMYFUNCTION("""COMPUTED_VALUE"""),333.94)</f>
        <v>333.94</v>
      </c>
      <c r="D116" s="190">
        <f>IFERROR(__xludf.DUMMYFUNCTION("""COMPUTED_VALUE"""),338.74)</f>
        <v>338.74</v>
      </c>
      <c r="E116" s="190">
        <f>IFERROR(__xludf.DUMMYFUNCTION("""COMPUTED_VALUE"""),333.64)</f>
        <v>333.64</v>
      </c>
      <c r="F116" s="190">
        <f>IFERROR(__xludf.DUMMYFUNCTION("""COMPUTED_VALUE"""),338.67)</f>
        <v>338.67</v>
      </c>
      <c r="G116" s="191">
        <f>IFERROR(__xludf.DUMMYFUNCTION("""COMPUTED_VALUE"""),3027336.0)</f>
        <v>3027336</v>
      </c>
      <c r="H116" s="112"/>
      <c r="I116" s="112"/>
      <c r="J116" s="192"/>
      <c r="K116" s="193"/>
      <c r="L116" s="195"/>
      <c r="M116" s="94"/>
      <c r="N116" s="112"/>
      <c r="O116" s="196"/>
      <c r="P116" s="112"/>
      <c r="Q116" s="112"/>
      <c r="R116" s="112"/>
    </row>
    <row r="117" ht="17.25" customHeight="1">
      <c r="A117" s="112"/>
      <c r="B117" s="189">
        <f>IFERROR(__xludf.DUMMYFUNCTION("""COMPUTED_VALUE"""),46126.66666666667)</f>
        <v>46126.66667</v>
      </c>
      <c r="C117" s="190">
        <f>IFERROR(__xludf.DUMMYFUNCTION("""COMPUTED_VALUE"""),339.8)</f>
        <v>339.8</v>
      </c>
      <c r="D117" s="190">
        <f>IFERROR(__xludf.DUMMYFUNCTION("""COMPUTED_VALUE"""),342.78)</f>
        <v>342.78</v>
      </c>
      <c r="E117" s="190">
        <f>IFERROR(__xludf.DUMMYFUNCTION("""COMPUTED_VALUE"""),339.6)</f>
        <v>339.6</v>
      </c>
      <c r="F117" s="190">
        <f>IFERROR(__xludf.DUMMYFUNCTION("""COMPUTED_VALUE"""),342.65)</f>
        <v>342.65</v>
      </c>
      <c r="G117" s="191">
        <f>IFERROR(__xludf.DUMMYFUNCTION("""COMPUTED_VALUE"""),3380537.0)</f>
        <v>3380537</v>
      </c>
      <c r="H117" s="112"/>
      <c r="I117" s="112"/>
      <c r="J117" s="192"/>
      <c r="K117" s="193"/>
      <c r="L117" s="195"/>
      <c r="M117" s="94"/>
      <c r="N117" s="112"/>
      <c r="O117" s="196"/>
      <c r="P117" s="112"/>
      <c r="Q117" s="112"/>
      <c r="R117" s="112"/>
    </row>
    <row r="118" ht="17.25" customHeight="1">
      <c r="A118" s="112"/>
      <c r="B118" s="189">
        <f>IFERROR(__xludf.DUMMYFUNCTION("""COMPUTED_VALUE"""),46127.66666666667)</f>
        <v>46127.66667</v>
      </c>
      <c r="C118" s="190">
        <f>IFERROR(__xludf.DUMMYFUNCTION("""COMPUTED_VALUE"""),343.25)</f>
        <v>343.25</v>
      </c>
      <c r="D118" s="190">
        <f>IFERROR(__xludf.DUMMYFUNCTION("""COMPUTED_VALUE"""),345.41)</f>
        <v>345.41</v>
      </c>
      <c r="E118" s="190">
        <f>IFERROR(__xludf.DUMMYFUNCTION("""COMPUTED_VALUE"""),342.61)</f>
        <v>342.61</v>
      </c>
      <c r="F118" s="190">
        <f>IFERROR(__xludf.DUMMYFUNCTION("""COMPUTED_VALUE"""),345.24)</f>
        <v>345.24</v>
      </c>
      <c r="G118" s="191">
        <f>IFERROR(__xludf.DUMMYFUNCTION("""COMPUTED_VALUE"""),3978475.0)</f>
        <v>3978475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ht="17.25" customHeight="1">
      <c r="A119" s="112"/>
      <c r="B119" s="189">
        <f>IFERROR(__xludf.DUMMYFUNCTION("""COMPUTED_VALUE"""),46128.66666666667)</f>
        <v>46128.66667</v>
      </c>
      <c r="C119" s="190">
        <f>IFERROR(__xludf.DUMMYFUNCTION("""COMPUTED_VALUE"""),345.7)</f>
        <v>345.7</v>
      </c>
      <c r="D119" s="190">
        <f>IFERROR(__xludf.DUMMYFUNCTION("""COMPUTED_VALUE"""),346.64)</f>
        <v>346.64</v>
      </c>
      <c r="E119" s="190">
        <f>IFERROR(__xludf.DUMMYFUNCTION("""COMPUTED_VALUE"""),344.56)</f>
        <v>344.56</v>
      </c>
      <c r="F119" s="190">
        <f>IFERROR(__xludf.DUMMYFUNCTION("""COMPUTED_VALUE"""),346.03)</f>
        <v>346.03</v>
      </c>
      <c r="G119" s="191">
        <f>IFERROR(__xludf.DUMMYFUNCTION("""COMPUTED_VALUE"""),3837250.0)</f>
        <v>3837250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ht="17.25" customHeight="1">
      <c r="A120" s="112"/>
      <c r="B120" s="189">
        <f>IFERROR(__xludf.DUMMYFUNCTION("""COMPUTED_VALUE"""),46129.66666666667)</f>
        <v>46129.66667</v>
      </c>
      <c r="C120" s="190">
        <f>IFERROR(__xludf.DUMMYFUNCTION("""COMPUTED_VALUE"""),348.43)</f>
        <v>348.43</v>
      </c>
      <c r="D120" s="190">
        <f>IFERROR(__xludf.DUMMYFUNCTION("""COMPUTED_VALUE"""),351.75)</f>
        <v>351.75</v>
      </c>
      <c r="E120" s="190">
        <f>IFERROR(__xludf.DUMMYFUNCTION("""COMPUTED_VALUE"""),348.18)</f>
        <v>348.18</v>
      </c>
      <c r="F120" s="190">
        <f>IFERROR(__xludf.DUMMYFUNCTION("""COMPUTED_VALUE"""),350.53)</f>
        <v>350.53</v>
      </c>
      <c r="G120" s="191">
        <f>IFERROR(__xludf.DUMMYFUNCTION("""COMPUTED_VALUE"""),4258458.0)</f>
        <v>4258458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</row>
    <row r="121" ht="17.25" customHeight="1">
      <c r="A121" s="112"/>
      <c r="B121" s="189">
        <f>IFERROR(__xludf.DUMMYFUNCTION("""COMPUTED_VALUE"""),46132.66666666667)</f>
        <v>46132.66667</v>
      </c>
      <c r="C121" s="190">
        <f>IFERROR(__xludf.DUMMYFUNCTION("""COMPUTED_VALUE"""),349.9)</f>
        <v>349.9</v>
      </c>
      <c r="D121" s="190">
        <f>IFERROR(__xludf.DUMMYFUNCTION("""COMPUTED_VALUE"""),350.61)</f>
        <v>350.61</v>
      </c>
      <c r="E121" s="190">
        <f>IFERROR(__xludf.DUMMYFUNCTION("""COMPUTED_VALUE"""),348.84)</f>
        <v>348.84</v>
      </c>
      <c r="F121" s="190">
        <f>IFERROR(__xludf.DUMMYFUNCTION("""COMPUTED_VALUE"""),350.21)</f>
        <v>350.21</v>
      </c>
      <c r="G121" s="191">
        <f>IFERROR(__xludf.DUMMYFUNCTION("""COMPUTED_VALUE"""),4054133.0)</f>
        <v>4054133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</row>
    <row r="122" ht="17.25" customHeight="1">
      <c r="A122" s="112"/>
      <c r="B122" s="189">
        <f>IFERROR(__xludf.DUMMYFUNCTION("""COMPUTED_VALUE"""),46133.66666666667)</f>
        <v>46133.66667</v>
      </c>
      <c r="C122" s="190">
        <f>IFERROR(__xludf.DUMMYFUNCTION("""COMPUTED_VALUE"""),351.05)</f>
        <v>351.05</v>
      </c>
      <c r="D122" s="190">
        <f>IFERROR(__xludf.DUMMYFUNCTION("""COMPUTED_VALUE"""),351.74)</f>
        <v>351.74</v>
      </c>
      <c r="E122" s="190">
        <f>IFERROR(__xludf.DUMMYFUNCTION("""COMPUTED_VALUE"""),347.17)</f>
        <v>347.17</v>
      </c>
      <c r="F122" s="190">
        <f>IFERROR(__xludf.DUMMYFUNCTION("""COMPUTED_VALUE"""),347.84)</f>
        <v>347.84</v>
      </c>
      <c r="G122" s="191">
        <f>IFERROR(__xludf.DUMMYFUNCTION("""COMPUTED_VALUE"""),4910091.0)</f>
        <v>4910091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</row>
    <row r="123" ht="17.25" customHeight="1">
      <c r="A123" s="112"/>
      <c r="B123" s="189">
        <f>IFERROR(__xludf.DUMMYFUNCTION("""COMPUTED_VALUE"""),46134.66666666667)</f>
        <v>46134.66667</v>
      </c>
      <c r="C123" s="190">
        <f>IFERROR(__xludf.DUMMYFUNCTION("""COMPUTED_VALUE"""),350.31)</f>
        <v>350.31</v>
      </c>
      <c r="D123" s="190">
        <f>IFERROR(__xludf.DUMMYFUNCTION("""COMPUTED_VALUE"""),351.31)</f>
        <v>351.31</v>
      </c>
      <c r="E123" s="190">
        <f>IFERROR(__xludf.DUMMYFUNCTION("""COMPUTED_VALUE"""),349.95)</f>
        <v>349.95</v>
      </c>
      <c r="F123" s="190">
        <f>IFERROR(__xludf.DUMMYFUNCTION("""COMPUTED_VALUE"""),351.22)</f>
        <v>351.22</v>
      </c>
      <c r="G123" s="191">
        <f>IFERROR(__xludf.DUMMYFUNCTION("""COMPUTED_VALUE"""),2486041.0)</f>
        <v>2486041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</row>
    <row r="124" ht="17.25" customHeight="1">
      <c r="A124" s="112"/>
      <c r="B124" s="189">
        <f>IFERROR(__xludf.DUMMYFUNCTION("""COMPUTED_VALUE"""),46135.66666666667)</f>
        <v>46135.66667</v>
      </c>
      <c r="C124" s="190">
        <f>IFERROR(__xludf.DUMMYFUNCTION("""COMPUTED_VALUE"""),350.52)</f>
        <v>350.52</v>
      </c>
      <c r="D124" s="190">
        <f>IFERROR(__xludf.DUMMYFUNCTION("""COMPUTED_VALUE"""),351.69)</f>
        <v>351.69</v>
      </c>
      <c r="E124" s="190">
        <f>IFERROR(__xludf.DUMMYFUNCTION("""COMPUTED_VALUE"""),346.55)</f>
        <v>346.55</v>
      </c>
      <c r="F124" s="190">
        <f>IFERROR(__xludf.DUMMYFUNCTION("""COMPUTED_VALUE"""),349.8)</f>
        <v>349.8</v>
      </c>
      <c r="G124" s="191">
        <f>IFERROR(__xludf.DUMMYFUNCTION("""COMPUTED_VALUE"""),3366712.0)</f>
        <v>3366712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</row>
    <row r="125" ht="17.25" customHeight="1">
      <c r="A125" s="112"/>
      <c r="B125" s="189">
        <f>IFERROR(__xludf.DUMMYFUNCTION("""COMPUTED_VALUE"""),46136.66666666667)</f>
        <v>46136.66667</v>
      </c>
      <c r="C125" s="190">
        <f>IFERROR(__xludf.DUMMYFUNCTION("""COMPUTED_VALUE"""),350.87)</f>
        <v>350.87</v>
      </c>
      <c r="D125" s="190">
        <f>IFERROR(__xludf.DUMMYFUNCTION("""COMPUTED_VALUE"""),352.37)</f>
        <v>352.37</v>
      </c>
      <c r="E125" s="190">
        <f>IFERROR(__xludf.DUMMYFUNCTION("""COMPUTED_VALUE"""),349.67)</f>
        <v>349.67</v>
      </c>
      <c r="F125" s="190">
        <f>IFERROR(__xludf.DUMMYFUNCTION("""COMPUTED_VALUE"""),352.05)</f>
        <v>352.05</v>
      </c>
      <c r="G125" s="191">
        <f>IFERROR(__xludf.DUMMYFUNCTION("""COMPUTED_VALUE"""),2705683.0)</f>
        <v>2705683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</row>
    <row r="126" ht="17.25" customHeight="1">
      <c r="A126" s="112"/>
      <c r="B126" s="189">
        <f>IFERROR(__xludf.DUMMYFUNCTION("""COMPUTED_VALUE"""),46139.66666666667)</f>
        <v>46139.66667</v>
      </c>
      <c r="C126" s="190">
        <f>IFERROR(__xludf.DUMMYFUNCTION("""COMPUTED_VALUE"""),352.0)</f>
        <v>352</v>
      </c>
      <c r="D126" s="190">
        <f>IFERROR(__xludf.DUMMYFUNCTION("""COMPUTED_VALUE"""),352.81)</f>
        <v>352.81</v>
      </c>
      <c r="E126" s="190">
        <f>IFERROR(__xludf.DUMMYFUNCTION("""COMPUTED_VALUE"""),351.28)</f>
        <v>351.28</v>
      </c>
      <c r="F126" s="190">
        <f>IFERROR(__xludf.DUMMYFUNCTION("""COMPUTED_VALUE"""),352.53)</f>
        <v>352.53</v>
      </c>
      <c r="G126" s="191">
        <f>IFERROR(__xludf.DUMMYFUNCTION("""COMPUTED_VALUE"""),2814186.0)</f>
        <v>2814186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</row>
    <row r="127" ht="17.25" customHeight="1">
      <c r="A127" s="112"/>
      <c r="B127" s="189">
        <f>IFERROR(__xludf.DUMMYFUNCTION("""COMPUTED_VALUE"""),46140.66666666667)</f>
        <v>46140.66667</v>
      </c>
      <c r="C127" s="190">
        <f>IFERROR(__xludf.DUMMYFUNCTION("""COMPUTED_VALUE"""),351.19)</f>
        <v>351.19</v>
      </c>
      <c r="D127" s="190">
        <f>IFERROR(__xludf.DUMMYFUNCTION("""COMPUTED_VALUE"""),351.61)</f>
        <v>351.61</v>
      </c>
      <c r="E127" s="190">
        <f>IFERROR(__xludf.DUMMYFUNCTION("""COMPUTED_VALUE"""),349.49)</f>
        <v>349.49</v>
      </c>
      <c r="F127" s="190">
        <f>IFERROR(__xludf.DUMMYFUNCTION("""COMPUTED_VALUE"""),350.63)</f>
        <v>350.63</v>
      </c>
      <c r="G127" s="191">
        <f>IFERROR(__xludf.DUMMYFUNCTION("""COMPUTED_VALUE"""),3071573.0)</f>
        <v>3071573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</row>
    <row r="128" ht="17.25" customHeight="1">
      <c r="A128" s="112"/>
      <c r="B128" s="189">
        <f>IFERROR(__xludf.DUMMYFUNCTION("""COMPUTED_VALUE"""),46141.66666666667)</f>
        <v>46141.66667</v>
      </c>
      <c r="C128" s="190">
        <f>IFERROR(__xludf.DUMMYFUNCTION("""COMPUTED_VALUE"""),350.46)</f>
        <v>350.46</v>
      </c>
      <c r="D128" s="190">
        <f>IFERROR(__xludf.DUMMYFUNCTION("""COMPUTED_VALUE"""),350.69)</f>
        <v>350.69</v>
      </c>
      <c r="E128" s="190">
        <f>IFERROR(__xludf.DUMMYFUNCTION("""COMPUTED_VALUE"""),348.67)</f>
        <v>348.67</v>
      </c>
      <c r="F128" s="190">
        <f>IFERROR(__xludf.DUMMYFUNCTION("""COMPUTED_VALUE"""),350.21)</f>
        <v>350.21</v>
      </c>
      <c r="G128" s="191">
        <f>IFERROR(__xludf.DUMMYFUNCTION("""COMPUTED_VALUE"""),2742516.0)</f>
        <v>2742516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</row>
    <row r="129" ht="17.25" customHeight="1">
      <c r="A129" s="112"/>
      <c r="B129" s="189">
        <f>IFERROR(__xludf.DUMMYFUNCTION("""COMPUTED_VALUE"""),46142.66666666667)</f>
        <v>46142.66667</v>
      </c>
      <c r="C129" s="190">
        <f>IFERROR(__xludf.DUMMYFUNCTION("""COMPUTED_VALUE"""),351.55)</f>
        <v>351.55</v>
      </c>
      <c r="D129" s="190">
        <f>IFERROR(__xludf.DUMMYFUNCTION("""COMPUTED_VALUE"""),354.69)</f>
        <v>354.69</v>
      </c>
      <c r="E129" s="190">
        <f>IFERROR(__xludf.DUMMYFUNCTION("""COMPUTED_VALUE"""),350.02)</f>
        <v>350.02</v>
      </c>
      <c r="F129" s="190">
        <f>IFERROR(__xludf.DUMMYFUNCTION("""COMPUTED_VALUE"""),354.18)</f>
        <v>354.18</v>
      </c>
      <c r="G129" s="191">
        <f>IFERROR(__xludf.DUMMYFUNCTION("""COMPUTED_VALUE"""),2723428.0)</f>
        <v>2723428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</row>
    <row r="130" ht="17.25" customHeight="1">
      <c r="A130" s="112"/>
      <c r="B130" s="189">
        <f>IFERROR(__xludf.DUMMYFUNCTION("""COMPUTED_VALUE"""),46143.66666666667)</f>
        <v>46143.66667</v>
      </c>
      <c r="C130" s="190">
        <f>IFERROR(__xludf.DUMMYFUNCTION("""COMPUTED_VALUE"""),355.56)</f>
        <v>355.56</v>
      </c>
      <c r="D130" s="190">
        <f>IFERROR(__xludf.DUMMYFUNCTION("""COMPUTED_VALUE"""),357.15)</f>
        <v>357.15</v>
      </c>
      <c r="E130" s="190">
        <f>IFERROR(__xludf.DUMMYFUNCTION("""COMPUTED_VALUE"""),355.08)</f>
        <v>355.08</v>
      </c>
      <c r="F130" s="190">
        <f>IFERROR(__xludf.DUMMYFUNCTION("""COMPUTED_VALUE"""),355.29)</f>
        <v>355.29</v>
      </c>
      <c r="G130" s="191">
        <f>IFERROR(__xludf.DUMMYFUNCTION("""COMPUTED_VALUE"""),3752007.0)</f>
        <v>3752007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</row>
    <row r="131" ht="17.25" customHeight="1">
      <c r="A131" s="112"/>
      <c r="B131" s="189">
        <f>IFERROR(__xludf.DUMMYFUNCTION("""COMPUTED_VALUE"""),46146.66666666667)</f>
        <v>46146.66667</v>
      </c>
      <c r="C131" s="190">
        <f>IFERROR(__xludf.DUMMYFUNCTION("""COMPUTED_VALUE"""),355.08)</f>
        <v>355.08</v>
      </c>
      <c r="D131" s="190">
        <f>IFERROR(__xludf.DUMMYFUNCTION("""COMPUTED_VALUE"""),356.17)</f>
        <v>356.17</v>
      </c>
      <c r="E131" s="190">
        <f>IFERROR(__xludf.DUMMYFUNCTION("""COMPUTED_VALUE"""),352.53)</f>
        <v>352.53</v>
      </c>
      <c r="F131" s="190">
        <f>IFERROR(__xludf.DUMMYFUNCTION("""COMPUTED_VALUE"""),353.98)</f>
        <v>353.98</v>
      </c>
      <c r="G131" s="191">
        <f>IFERROR(__xludf.DUMMYFUNCTION("""COMPUTED_VALUE"""),3012429.0)</f>
        <v>3012429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</row>
    <row r="132" ht="17.25" customHeight="1">
      <c r="A132" s="112"/>
      <c r="B132" s="189">
        <f>IFERROR(__xludf.DUMMYFUNCTION("""COMPUTED_VALUE"""),46147.66666666667)</f>
        <v>46147.66667</v>
      </c>
      <c r="C132" s="190">
        <f>IFERROR(__xludf.DUMMYFUNCTION("""COMPUTED_VALUE"""),355.79)</f>
        <v>355.79</v>
      </c>
      <c r="D132" s="190">
        <f>IFERROR(__xludf.DUMMYFUNCTION("""COMPUTED_VALUE"""),357.58)</f>
        <v>357.58</v>
      </c>
      <c r="E132" s="190">
        <f>IFERROR(__xludf.DUMMYFUNCTION("""COMPUTED_VALUE"""),355.77)</f>
        <v>355.77</v>
      </c>
      <c r="F132" s="190">
        <f>IFERROR(__xludf.DUMMYFUNCTION("""COMPUTED_VALUE"""),356.99)</f>
        <v>356.99</v>
      </c>
      <c r="G132" s="191">
        <f>IFERROR(__xludf.DUMMYFUNCTION("""COMPUTED_VALUE"""),2722213.0)</f>
        <v>2722213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</row>
    <row r="133" ht="17.25" customHeight="1">
      <c r="A133" s="112"/>
      <c r="B133" s="189">
        <f>IFERROR(__xludf.DUMMYFUNCTION("""COMPUTED_VALUE"""),46148.66666666667)</f>
        <v>46148.66667</v>
      </c>
      <c r="C133" s="190">
        <f>IFERROR(__xludf.DUMMYFUNCTION("""COMPUTED_VALUE"""),359.46)</f>
        <v>359.46</v>
      </c>
      <c r="D133" s="190">
        <f>IFERROR(__xludf.DUMMYFUNCTION("""COMPUTED_VALUE"""),362.27)</f>
        <v>362.27</v>
      </c>
      <c r="E133" s="190">
        <f>IFERROR(__xludf.DUMMYFUNCTION("""COMPUTED_VALUE"""),359.12)</f>
        <v>359.12</v>
      </c>
      <c r="F133" s="190">
        <f>IFERROR(__xludf.DUMMYFUNCTION("""COMPUTED_VALUE"""),361.86)</f>
        <v>361.86</v>
      </c>
      <c r="G133" s="191">
        <f>IFERROR(__xludf.DUMMYFUNCTION("""COMPUTED_VALUE"""),3794294.0)</f>
        <v>3794294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</row>
    <row r="134" ht="17.25" customHeight="1">
      <c r="A134" s="112"/>
      <c r="B134" s="189">
        <f>IFERROR(__xludf.DUMMYFUNCTION("""COMPUTED_VALUE"""),46149.66666666667)</f>
        <v>46149.66667</v>
      </c>
      <c r="C134" s="190">
        <f>IFERROR(__xludf.DUMMYFUNCTION("""COMPUTED_VALUE"""),362.62)</f>
        <v>362.62</v>
      </c>
      <c r="D134" s="190">
        <f>IFERROR(__xludf.DUMMYFUNCTION("""COMPUTED_VALUE"""),362.72)</f>
        <v>362.72</v>
      </c>
      <c r="E134" s="190">
        <f>IFERROR(__xludf.DUMMYFUNCTION("""COMPUTED_VALUE"""),359.38)</f>
        <v>359.38</v>
      </c>
      <c r="F134" s="190">
        <f>IFERROR(__xludf.DUMMYFUNCTION("""COMPUTED_VALUE"""),360.2)</f>
        <v>360.2</v>
      </c>
      <c r="G134" s="191">
        <f>IFERROR(__xludf.DUMMYFUNCTION("""COMPUTED_VALUE"""),3500894.0)</f>
        <v>3500894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</row>
    <row r="135" ht="17.25" customHeight="1">
      <c r="A135" s="112"/>
      <c r="B135" s="189">
        <f>IFERROR(__xludf.DUMMYFUNCTION("""COMPUTED_VALUE"""),46150.66666666667)</f>
        <v>46150.66667</v>
      </c>
      <c r="C135" s="190">
        <f>IFERROR(__xludf.DUMMYFUNCTION("""COMPUTED_VALUE"""),362.01)</f>
        <v>362.01</v>
      </c>
      <c r="D135" s="190">
        <f>IFERROR(__xludf.DUMMYFUNCTION("""COMPUTED_VALUE"""),363.13)</f>
        <v>363.13</v>
      </c>
      <c r="E135" s="190">
        <f>IFERROR(__xludf.DUMMYFUNCTION("""COMPUTED_VALUE"""),361.47)</f>
        <v>361.47</v>
      </c>
      <c r="F135" s="190">
        <f>IFERROR(__xludf.DUMMYFUNCTION("""COMPUTED_VALUE"""),362.87)</f>
        <v>362.87</v>
      </c>
      <c r="G135" s="191">
        <f>IFERROR(__xludf.DUMMYFUNCTION("""COMPUTED_VALUE"""),2867448.0)</f>
        <v>2867448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</row>
    <row r="136" ht="17.25" customHeight="1">
      <c r="A136" s="112"/>
      <c r="B136" s="189">
        <f>IFERROR(__xludf.DUMMYFUNCTION("""COMPUTED_VALUE"""),46153.66666666667)</f>
        <v>46153.66667</v>
      </c>
      <c r="C136" s="190">
        <f>IFERROR(__xludf.DUMMYFUNCTION("""COMPUTED_VALUE"""),362.61)</f>
        <v>362.61</v>
      </c>
      <c r="D136" s="190">
        <f>IFERROR(__xludf.DUMMYFUNCTION("""COMPUTED_VALUE"""),364.48)</f>
        <v>364.48</v>
      </c>
      <c r="E136" s="190">
        <f>IFERROR(__xludf.DUMMYFUNCTION("""COMPUTED_VALUE"""),362.42)</f>
        <v>362.42</v>
      </c>
      <c r="F136" s="190">
        <f>IFERROR(__xludf.DUMMYFUNCTION("""COMPUTED_VALUE"""),363.63)</f>
        <v>363.63</v>
      </c>
      <c r="G136" s="191">
        <f>IFERROR(__xludf.DUMMYFUNCTION("""COMPUTED_VALUE"""),3672229.0)</f>
        <v>3672229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</row>
    <row r="137" ht="17.25" customHeight="1">
      <c r="A137" s="112"/>
      <c r="B137" s="189">
        <f>IFERROR(__xludf.DUMMYFUNCTION("""COMPUTED_VALUE"""),46154.66666666667)</f>
        <v>46154.66667</v>
      </c>
      <c r="C137" s="190">
        <f>IFERROR(__xludf.DUMMYFUNCTION("""COMPUTED_VALUE"""),362.52)</f>
        <v>362.52</v>
      </c>
      <c r="D137" s="190">
        <f>IFERROR(__xludf.DUMMYFUNCTION("""COMPUTED_VALUE"""),363.16)</f>
        <v>363.16</v>
      </c>
      <c r="E137" s="190">
        <f>IFERROR(__xludf.DUMMYFUNCTION("""COMPUTED_VALUE"""),359.62)</f>
        <v>359.62</v>
      </c>
      <c r="F137" s="190">
        <f>IFERROR(__xludf.DUMMYFUNCTION("""COMPUTED_VALUE"""),362.79)</f>
        <v>362.79</v>
      </c>
      <c r="G137" s="191">
        <f>IFERROR(__xludf.DUMMYFUNCTION("""COMPUTED_VALUE"""),3067455.0)</f>
        <v>3067455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</row>
    <row r="138" ht="17.25" customHeight="1">
      <c r="A138" s="112"/>
      <c r="B138" s="189">
        <f>IFERROR(__xludf.DUMMYFUNCTION("""COMPUTED_VALUE"""),46155.66666666667)</f>
        <v>46155.66667</v>
      </c>
      <c r="C138" s="190">
        <f>IFERROR(__xludf.DUMMYFUNCTION("""COMPUTED_VALUE"""),363.22)</f>
        <v>363.22</v>
      </c>
      <c r="D138" s="190">
        <f>IFERROR(__xludf.DUMMYFUNCTION("""COMPUTED_VALUE"""),365.4)</f>
        <v>365.4</v>
      </c>
      <c r="E138" s="190">
        <f>IFERROR(__xludf.DUMMYFUNCTION("""COMPUTED_VALUE"""),361.36)</f>
        <v>361.36</v>
      </c>
      <c r="F138" s="190">
        <f>IFERROR(__xludf.DUMMYFUNCTION("""COMPUTED_VALUE"""),364.71)</f>
        <v>364.71</v>
      </c>
      <c r="G138" s="191">
        <f>IFERROR(__xludf.DUMMYFUNCTION("""COMPUTED_VALUE"""),3305266.0)</f>
        <v>3305266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</row>
    <row r="139" ht="17.25" customHeight="1">
      <c r="A139" s="112"/>
      <c r="B139" s="189">
        <f>IFERROR(__xludf.DUMMYFUNCTION("""COMPUTED_VALUE"""),46156.66666666667)</f>
        <v>46156.66667</v>
      </c>
      <c r="C139" s="190">
        <f>IFERROR(__xludf.DUMMYFUNCTION("""COMPUTED_VALUE"""),365.5)</f>
        <v>365.5</v>
      </c>
      <c r="D139" s="190">
        <f>IFERROR(__xludf.DUMMYFUNCTION("""COMPUTED_VALUE"""),368.25)</f>
        <v>368.25</v>
      </c>
      <c r="E139" s="190">
        <f>IFERROR(__xludf.DUMMYFUNCTION("""COMPUTED_VALUE"""),365.42)</f>
        <v>365.42</v>
      </c>
      <c r="F139" s="190">
        <f>IFERROR(__xludf.DUMMYFUNCTION("""COMPUTED_VALUE"""),367.4)</f>
        <v>367.4</v>
      </c>
      <c r="G139" s="191">
        <f>IFERROR(__xludf.DUMMYFUNCTION("""COMPUTED_VALUE"""),2931653.0)</f>
        <v>2931653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</row>
    <row r="140" ht="17.25" customHeight="1">
      <c r="A140" s="112"/>
      <c r="B140" s="189">
        <f>IFERROR(__xludf.DUMMYFUNCTION("""COMPUTED_VALUE"""),46157.66666666667)</f>
        <v>46157.66667</v>
      </c>
      <c r="C140" s="190">
        <f>IFERROR(__xludf.DUMMYFUNCTION("""COMPUTED_VALUE"""),364.53)</f>
        <v>364.53</v>
      </c>
      <c r="D140" s="190">
        <f>IFERROR(__xludf.DUMMYFUNCTION("""COMPUTED_VALUE"""),364.93)</f>
        <v>364.93</v>
      </c>
      <c r="E140" s="190">
        <f>IFERROR(__xludf.DUMMYFUNCTION("""COMPUTED_VALUE"""),362.28)</f>
        <v>362.28</v>
      </c>
      <c r="F140" s="190">
        <f>IFERROR(__xludf.DUMMYFUNCTION("""COMPUTED_VALUE"""),362.74)</f>
        <v>362.74</v>
      </c>
      <c r="G140" s="191">
        <f>IFERROR(__xludf.DUMMYFUNCTION("""COMPUTED_VALUE"""),3403989.0)</f>
        <v>3403989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</row>
    <row r="141" ht="17.25" customHeight="1">
      <c r="A141" s="112"/>
      <c r="B141" s="189">
        <f>IFERROR(__xludf.DUMMYFUNCTION("""COMPUTED_VALUE"""),46160.66666666667)</f>
        <v>46160.66667</v>
      </c>
      <c r="C141" s="190">
        <f>IFERROR(__xludf.DUMMYFUNCTION("""COMPUTED_VALUE"""),363.34)</f>
        <v>363.34</v>
      </c>
      <c r="D141" s="190">
        <f>IFERROR(__xludf.DUMMYFUNCTION("""COMPUTED_VALUE"""),364.07)</f>
        <v>364.07</v>
      </c>
      <c r="E141" s="190">
        <f>IFERROR(__xludf.DUMMYFUNCTION("""COMPUTED_VALUE"""),359.98)</f>
        <v>359.98</v>
      </c>
      <c r="F141" s="190">
        <f>IFERROR(__xludf.DUMMYFUNCTION("""COMPUTED_VALUE"""),362.36)</f>
        <v>362.36</v>
      </c>
      <c r="G141" s="191">
        <f>IFERROR(__xludf.DUMMYFUNCTION("""COMPUTED_VALUE"""),3577589.0)</f>
        <v>3577589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</row>
    <row r="142" ht="17.25" customHeight="1">
      <c r="A142" s="112"/>
      <c r="B142" s="189">
        <f>IFERROR(__xludf.DUMMYFUNCTION("""COMPUTED_VALUE"""),46161.66666666667)</f>
        <v>46161.66667</v>
      </c>
      <c r="C142" s="190">
        <f>IFERROR(__xludf.DUMMYFUNCTION("""COMPUTED_VALUE"""),360.65)</f>
        <v>360.65</v>
      </c>
      <c r="D142" s="190">
        <f>IFERROR(__xludf.DUMMYFUNCTION("""COMPUTED_VALUE"""),361.97)</f>
        <v>361.97</v>
      </c>
      <c r="E142" s="190">
        <f>IFERROR(__xludf.DUMMYFUNCTION("""COMPUTED_VALUE"""),358.8)</f>
        <v>358.8</v>
      </c>
      <c r="F142" s="190">
        <f>IFERROR(__xludf.DUMMYFUNCTION("""COMPUTED_VALUE"""),360.06)</f>
        <v>360.06</v>
      </c>
      <c r="G142" s="191">
        <f>IFERROR(__xludf.DUMMYFUNCTION("""COMPUTED_VALUE"""),3169354.0)</f>
        <v>3169354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</row>
    <row r="143" ht="17.25" customHeight="1">
      <c r="A143" s="112"/>
      <c r="B143" s="189">
        <f>IFERROR(__xludf.DUMMYFUNCTION("""COMPUTED_VALUE"""),46162.66666666667)</f>
        <v>46162.66667</v>
      </c>
      <c r="C143" s="190">
        <f>IFERROR(__xludf.DUMMYFUNCTION("""COMPUTED_VALUE"""),361.2)</f>
        <v>361.2</v>
      </c>
      <c r="D143" s="190">
        <f>IFERROR(__xludf.DUMMYFUNCTION("""COMPUTED_VALUE"""),364.39)</f>
        <v>364.39</v>
      </c>
      <c r="E143" s="190">
        <f>IFERROR(__xludf.DUMMYFUNCTION("""COMPUTED_VALUE"""),360.2)</f>
        <v>360.2</v>
      </c>
      <c r="F143" s="190">
        <f>IFERROR(__xludf.DUMMYFUNCTION("""COMPUTED_VALUE"""),364.19)</f>
        <v>364.19</v>
      </c>
      <c r="G143" s="191">
        <f>IFERROR(__xludf.DUMMYFUNCTION("""COMPUTED_VALUE"""),3152983.0)</f>
        <v>3152983</v>
      </c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</row>
    <row r="144" ht="17.25" customHeight="1">
      <c r="A144" s="112"/>
      <c r="B144" s="189">
        <f>IFERROR(__xludf.DUMMYFUNCTION("""COMPUTED_VALUE"""),46163.66666666667)</f>
        <v>46163.66667</v>
      </c>
      <c r="C144" s="190">
        <f>IFERROR(__xludf.DUMMYFUNCTION("""COMPUTED_VALUE"""),362.8)</f>
        <v>362.8</v>
      </c>
      <c r="D144" s="190">
        <f>IFERROR(__xludf.DUMMYFUNCTION("""COMPUTED_VALUE"""),366.07)</f>
        <v>366.07</v>
      </c>
      <c r="E144" s="190">
        <f>IFERROR(__xludf.DUMMYFUNCTION("""COMPUTED_VALUE"""),362.13)</f>
        <v>362.13</v>
      </c>
      <c r="F144" s="190">
        <f>IFERROR(__xludf.DUMMYFUNCTION("""COMPUTED_VALUE"""),365.09)</f>
        <v>365.09</v>
      </c>
      <c r="G144" s="191">
        <f>IFERROR(__xludf.DUMMYFUNCTION("""COMPUTED_VALUE"""),2766257.0)</f>
        <v>2766257</v>
      </c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</row>
    <row r="145" ht="17.25" customHeight="1">
      <c r="A145" s="112"/>
      <c r="B145" s="189">
        <f>IFERROR(__xludf.DUMMYFUNCTION("""COMPUTED_VALUE"""),46164.66666666667)</f>
        <v>46164.66667</v>
      </c>
      <c r="C145" s="190">
        <f>IFERROR(__xludf.DUMMYFUNCTION("""COMPUTED_VALUE"""),366.81)</f>
        <v>366.81</v>
      </c>
      <c r="D145" s="190">
        <f>IFERROR(__xludf.DUMMYFUNCTION("""COMPUTED_VALUE"""),368.3)</f>
        <v>368.3</v>
      </c>
      <c r="E145" s="190">
        <f>IFERROR(__xludf.DUMMYFUNCTION("""COMPUTED_VALUE"""),366.09)</f>
        <v>366.09</v>
      </c>
      <c r="F145" s="190">
        <f>IFERROR(__xludf.DUMMYFUNCTION("""COMPUTED_VALUE"""),366.79)</f>
        <v>366.79</v>
      </c>
      <c r="G145" s="191">
        <f>IFERROR(__xludf.DUMMYFUNCTION("""COMPUTED_VALUE"""),2647245.0)</f>
        <v>2647245</v>
      </c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ht="17.25" customHeight="1">
      <c r="A146" s="112"/>
      <c r="B146" s="189">
        <f>IFERROR(__xludf.DUMMYFUNCTION("""COMPUTED_VALUE"""),46168.66666666667)</f>
        <v>46168.66667</v>
      </c>
      <c r="C146" s="190">
        <f>IFERROR(__xludf.DUMMYFUNCTION("""COMPUTED_VALUE"""),368.98)</f>
        <v>368.98</v>
      </c>
      <c r="D146" s="190">
        <f>IFERROR(__xludf.DUMMYFUNCTION("""COMPUTED_VALUE"""),370.24)</f>
        <v>370.24</v>
      </c>
      <c r="E146" s="190">
        <f>IFERROR(__xludf.DUMMYFUNCTION("""COMPUTED_VALUE"""),368.4)</f>
        <v>368.4</v>
      </c>
      <c r="F146" s="190">
        <f>IFERROR(__xludf.DUMMYFUNCTION("""COMPUTED_VALUE"""),369.46)</f>
        <v>369.46</v>
      </c>
      <c r="G146" s="191">
        <f>IFERROR(__xludf.DUMMYFUNCTION("""COMPUTED_VALUE"""),3572109.0)</f>
        <v>3572109</v>
      </c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ht="17.25" customHeight="1">
      <c r="A147" s="112"/>
      <c r="B147" s="189">
        <f>IFERROR(__xludf.DUMMYFUNCTION("""COMPUTED_VALUE"""),46169.66666666667)</f>
        <v>46169.66667</v>
      </c>
      <c r="C147" s="190">
        <f>IFERROR(__xludf.DUMMYFUNCTION("""COMPUTED_VALUE"""),369.5)</f>
        <v>369.5</v>
      </c>
      <c r="D147" s="190">
        <f>IFERROR(__xludf.DUMMYFUNCTION("""COMPUTED_VALUE"""),370.05)</f>
        <v>370.05</v>
      </c>
      <c r="E147" s="190">
        <f>IFERROR(__xludf.DUMMYFUNCTION("""COMPUTED_VALUE"""),368.4)</f>
        <v>368.4</v>
      </c>
      <c r="F147" s="190">
        <f>IFERROR(__xludf.DUMMYFUNCTION("""COMPUTED_VALUE"""),369.36)</f>
        <v>369.36</v>
      </c>
      <c r="G147" s="191">
        <f>IFERROR(__xludf.DUMMYFUNCTION("""COMPUTED_VALUE"""),3102385.0)</f>
        <v>3102385</v>
      </c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ht="17.25" customHeight="1">
      <c r="A148" s="112"/>
      <c r="B148" s="189">
        <f>IFERROR(__xludf.DUMMYFUNCTION("""COMPUTED_VALUE"""),46170.66666666667)</f>
        <v>46170.66667</v>
      </c>
      <c r="C148" s="190">
        <f>IFERROR(__xludf.DUMMYFUNCTION("""COMPUTED_VALUE"""),369.53)</f>
        <v>369.53</v>
      </c>
      <c r="D148" s="190">
        <f>IFERROR(__xludf.DUMMYFUNCTION("""COMPUTED_VALUE"""),371.92)</f>
        <v>371.92</v>
      </c>
      <c r="E148" s="190">
        <f>IFERROR(__xludf.DUMMYFUNCTION("""COMPUTED_VALUE"""),368.75)</f>
        <v>368.75</v>
      </c>
      <c r="F148" s="190">
        <f>IFERROR(__xludf.DUMMYFUNCTION("""COMPUTED_VALUE"""),371.66)</f>
        <v>371.66</v>
      </c>
      <c r="G148" s="191">
        <f>IFERROR(__xludf.DUMMYFUNCTION("""COMPUTED_VALUE"""),2959839.0)</f>
        <v>2959839</v>
      </c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</row>
    <row r="149" ht="17.25" customHeight="1">
      <c r="A149" s="112"/>
      <c r="B149" s="189">
        <f>IFERROR(__xludf.DUMMYFUNCTION("""COMPUTED_VALUE"""),46171.66666666667)</f>
        <v>46171.66667</v>
      </c>
      <c r="C149" s="190">
        <f>IFERROR(__xludf.DUMMYFUNCTION("""COMPUTED_VALUE"""),372.04)</f>
        <v>372.04</v>
      </c>
      <c r="D149" s="190">
        <f>IFERROR(__xludf.DUMMYFUNCTION("""COMPUTED_VALUE"""),373.13)</f>
        <v>373.13</v>
      </c>
      <c r="E149" s="190">
        <f>IFERROR(__xludf.DUMMYFUNCTION("""COMPUTED_VALUE"""),371.35)</f>
        <v>371.35</v>
      </c>
      <c r="F149" s="190">
        <f>IFERROR(__xludf.DUMMYFUNCTION("""COMPUTED_VALUE"""),372.54)</f>
        <v>372.54</v>
      </c>
      <c r="G149" s="191">
        <f>IFERROR(__xludf.DUMMYFUNCTION("""COMPUTED_VALUE"""),3166305.0)</f>
        <v>3166305</v>
      </c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ht="17.25" customHeight="1">
      <c r="A150" s="112"/>
      <c r="B150" s="189"/>
      <c r="C150" s="190"/>
      <c r="D150" s="190"/>
      <c r="E150" s="190"/>
      <c r="F150" s="190"/>
      <c r="G150" s="191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ht="17.25" customHeight="1">
      <c r="A151" s="112"/>
      <c r="B151" s="189"/>
      <c r="C151" s="190"/>
      <c r="D151" s="190"/>
      <c r="E151" s="190"/>
      <c r="F151" s="190"/>
      <c r="G151" s="191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ht="17.25" customHeight="1">
      <c r="A152" s="112"/>
      <c r="B152" s="189"/>
      <c r="C152" s="190"/>
      <c r="D152" s="190"/>
      <c r="E152" s="190"/>
      <c r="F152" s="190"/>
      <c r="G152" s="191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</row>
    <row r="153" ht="17.25" customHeight="1">
      <c r="A153" s="112"/>
      <c r="B153" s="189"/>
      <c r="C153" s="190"/>
      <c r="D153" s="190"/>
      <c r="E153" s="190"/>
      <c r="F153" s="190"/>
      <c r="G153" s="191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ht="17.25" customHeight="1">
      <c r="A154" s="112"/>
      <c r="B154" s="189"/>
      <c r="C154" s="190"/>
      <c r="D154" s="190"/>
      <c r="E154" s="190"/>
      <c r="F154" s="190"/>
      <c r="G154" s="191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</row>
    <row r="155" ht="17.25" customHeight="1">
      <c r="A155" s="112"/>
      <c r="B155" s="189"/>
      <c r="C155" s="190"/>
      <c r="D155" s="190"/>
      <c r="E155" s="190"/>
      <c r="F155" s="190"/>
      <c r="G155" s="191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ht="17.25" customHeight="1">
      <c r="A156" s="112"/>
      <c r="B156" s="189"/>
      <c r="C156" s="190"/>
      <c r="D156" s="190"/>
      <c r="E156" s="190"/>
      <c r="F156" s="190"/>
      <c r="G156" s="191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ht="17.25" customHeight="1">
      <c r="A157" s="112"/>
      <c r="B157" s="189"/>
      <c r="C157" s="190"/>
      <c r="D157" s="190"/>
      <c r="E157" s="190"/>
      <c r="F157" s="190"/>
      <c r="G157" s="191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ht="17.25" customHeight="1">
      <c r="A158" s="112"/>
      <c r="B158" s="189"/>
      <c r="C158" s="190"/>
      <c r="D158" s="190"/>
      <c r="E158" s="190"/>
      <c r="F158" s="190"/>
      <c r="G158" s="191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ht="17.25" customHeight="1">
      <c r="A159" s="112"/>
      <c r="B159" s="189"/>
      <c r="C159" s="190"/>
      <c r="D159" s="190"/>
      <c r="E159" s="190"/>
      <c r="F159" s="190"/>
      <c r="G159" s="191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ht="17.25" customHeight="1">
      <c r="A160" s="112"/>
      <c r="B160" s="189"/>
      <c r="C160" s="190"/>
      <c r="D160" s="190"/>
      <c r="E160" s="190"/>
      <c r="F160" s="190"/>
      <c r="G160" s="191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ht="17.25" customHeight="1">
      <c r="A161" s="112"/>
      <c r="B161" s="189"/>
      <c r="C161" s="190"/>
      <c r="D161" s="190"/>
      <c r="E161" s="190"/>
      <c r="F161" s="190"/>
      <c r="G161" s="191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ht="17.25" customHeight="1">
      <c r="A162" s="112"/>
      <c r="B162" s="189"/>
      <c r="C162" s="190"/>
      <c r="D162" s="190"/>
      <c r="E162" s="190"/>
      <c r="F162" s="190"/>
      <c r="G162" s="191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ht="17.25" customHeight="1">
      <c r="A163" s="112"/>
      <c r="B163" s="189"/>
      <c r="C163" s="190"/>
      <c r="D163" s="190"/>
      <c r="E163" s="190"/>
      <c r="F163" s="190"/>
      <c r="G163" s="191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</row>
    <row r="164" ht="17.25" customHeight="1">
      <c r="A164" s="112"/>
      <c r="B164" s="189"/>
      <c r="C164" s="190"/>
      <c r="D164" s="190"/>
      <c r="E164" s="190"/>
      <c r="F164" s="190"/>
      <c r="G164" s="191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ht="17.25" customHeight="1">
      <c r="A165" s="112"/>
      <c r="B165" s="189"/>
      <c r="C165" s="190"/>
      <c r="D165" s="190"/>
      <c r="E165" s="190"/>
      <c r="F165" s="190"/>
      <c r="G165" s="191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ht="17.25" customHeight="1">
      <c r="A166" s="112"/>
      <c r="B166" s="189"/>
      <c r="C166" s="190"/>
      <c r="D166" s="190"/>
      <c r="E166" s="190"/>
      <c r="F166" s="190"/>
      <c r="G166" s="191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ht="17.25" customHeight="1">
      <c r="A167" s="112"/>
      <c r="B167" s="189"/>
      <c r="C167" s="190"/>
      <c r="D167" s="190"/>
      <c r="E167" s="190"/>
      <c r="F167" s="190"/>
      <c r="G167" s="191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</row>
    <row r="168" ht="17.25" customHeight="1">
      <c r="A168" s="112"/>
      <c r="B168" s="189"/>
      <c r="C168" s="190"/>
      <c r="D168" s="190"/>
      <c r="E168" s="190"/>
      <c r="F168" s="190"/>
      <c r="G168" s="191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ht="17.25" customHeight="1">
      <c r="A169" s="112"/>
      <c r="B169" s="189"/>
      <c r="C169" s="190"/>
      <c r="D169" s="190"/>
      <c r="E169" s="190"/>
      <c r="F169" s="190"/>
      <c r="G169" s="191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ht="17.25" customHeight="1">
      <c r="A170" s="112"/>
      <c r="B170" s="189"/>
      <c r="C170" s="190"/>
      <c r="D170" s="190"/>
      <c r="E170" s="190"/>
      <c r="F170" s="190"/>
      <c r="G170" s="191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</row>
    <row r="171" ht="17.25" customHeight="1">
      <c r="A171" s="112"/>
      <c r="B171" s="189"/>
      <c r="C171" s="190"/>
      <c r="D171" s="190"/>
      <c r="E171" s="190"/>
      <c r="F171" s="190"/>
      <c r="G171" s="191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</row>
    <row r="172" ht="17.25" customHeight="1">
      <c r="A172" s="112"/>
      <c r="B172" s="189"/>
      <c r="C172" s="190"/>
      <c r="D172" s="190"/>
      <c r="E172" s="190"/>
      <c r="F172" s="190"/>
      <c r="G172" s="191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ht="17.25" customHeight="1">
      <c r="A173" s="112"/>
      <c r="B173" s="189"/>
      <c r="C173" s="190"/>
      <c r="D173" s="190"/>
      <c r="E173" s="190"/>
      <c r="F173" s="190"/>
      <c r="G173" s="191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</row>
    <row r="174" ht="17.25" customHeight="1">
      <c r="A174" s="112"/>
      <c r="B174" s="189"/>
      <c r="C174" s="190"/>
      <c r="D174" s="190"/>
      <c r="E174" s="190"/>
      <c r="F174" s="190"/>
      <c r="G174" s="191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</row>
    <row r="175" ht="17.25" customHeight="1">
      <c r="A175" s="112"/>
      <c r="B175" s="189"/>
      <c r="C175" s="190"/>
      <c r="D175" s="190"/>
      <c r="E175" s="190"/>
      <c r="F175" s="190"/>
      <c r="G175" s="191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</row>
    <row r="176" ht="17.25" customHeight="1">
      <c r="A176" s="112"/>
      <c r="B176" s="189"/>
      <c r="C176" s="190"/>
      <c r="D176" s="190"/>
      <c r="E176" s="190"/>
      <c r="F176" s="190"/>
      <c r="G176" s="191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</row>
    <row r="177" ht="17.25" customHeight="1">
      <c r="A177" s="112"/>
      <c r="B177" s="189"/>
      <c r="C177" s="190"/>
      <c r="D177" s="190"/>
      <c r="E177" s="190"/>
      <c r="F177" s="190"/>
      <c r="G177" s="191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</row>
    <row r="178" ht="17.25" customHeight="1">
      <c r="A178" s="112"/>
      <c r="B178" s="189"/>
      <c r="C178" s="190"/>
      <c r="D178" s="190"/>
      <c r="E178" s="190"/>
      <c r="F178" s="190"/>
      <c r="G178" s="191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</row>
    <row r="179" ht="17.25" customHeight="1">
      <c r="A179" s="112"/>
      <c r="B179" s="189"/>
      <c r="C179" s="190"/>
      <c r="D179" s="190"/>
      <c r="E179" s="190"/>
      <c r="F179" s="190"/>
      <c r="G179" s="191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</row>
    <row r="180" ht="17.25" customHeight="1">
      <c r="A180" s="112"/>
      <c r="B180" s="189"/>
      <c r="C180" s="190"/>
      <c r="D180" s="190"/>
      <c r="E180" s="190"/>
      <c r="F180" s="190"/>
      <c r="G180" s="191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</row>
    <row r="181" ht="17.25" customHeight="1">
      <c r="A181" s="112"/>
      <c r="B181" s="189"/>
      <c r="C181" s="190"/>
      <c r="D181" s="190"/>
      <c r="E181" s="190"/>
      <c r="F181" s="190"/>
      <c r="G181" s="191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</row>
    <row r="182" ht="17.25" customHeight="1">
      <c r="A182" s="112"/>
      <c r="B182" s="189"/>
      <c r="C182" s="190"/>
      <c r="D182" s="190"/>
      <c r="E182" s="190"/>
      <c r="F182" s="190"/>
      <c r="G182" s="191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</row>
    <row r="183" ht="17.25" customHeight="1">
      <c r="A183" s="112"/>
      <c r="B183" s="189"/>
      <c r="C183" s="190"/>
      <c r="D183" s="190"/>
      <c r="E183" s="190"/>
      <c r="F183" s="190"/>
      <c r="G183" s="191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</row>
    <row r="184" ht="17.25" customHeight="1">
      <c r="A184" s="112"/>
      <c r="B184" s="189"/>
      <c r="C184" s="190"/>
      <c r="D184" s="190"/>
      <c r="E184" s="190"/>
      <c r="F184" s="190"/>
      <c r="G184" s="191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</row>
    <row r="185" ht="17.25" customHeight="1">
      <c r="A185" s="112"/>
      <c r="B185" s="189"/>
      <c r="C185" s="190"/>
      <c r="D185" s="190"/>
      <c r="E185" s="190"/>
      <c r="F185" s="190"/>
      <c r="G185" s="191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</row>
    <row r="186" ht="17.25" customHeight="1">
      <c r="A186" s="112"/>
      <c r="B186" s="189"/>
      <c r="C186" s="190"/>
      <c r="D186" s="190"/>
      <c r="E186" s="190"/>
      <c r="F186" s="190"/>
      <c r="G186" s="191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</row>
    <row r="187" ht="17.25" customHeight="1">
      <c r="A187" s="112"/>
      <c r="B187" s="189"/>
      <c r="C187" s="190"/>
      <c r="D187" s="190"/>
      <c r="E187" s="190"/>
      <c r="F187" s="190"/>
      <c r="G187" s="191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</row>
    <row r="188" ht="17.25" customHeight="1">
      <c r="A188" s="112"/>
      <c r="B188" s="189"/>
      <c r="C188" s="190"/>
      <c r="D188" s="190"/>
      <c r="E188" s="190"/>
      <c r="F188" s="190"/>
      <c r="G188" s="191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</row>
    <row r="189" ht="17.25" customHeight="1">
      <c r="A189" s="112"/>
      <c r="B189" s="189"/>
      <c r="C189" s="190"/>
      <c r="D189" s="190"/>
      <c r="E189" s="190"/>
      <c r="F189" s="190"/>
      <c r="G189" s="191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</row>
    <row r="190" ht="17.25" customHeight="1">
      <c r="A190" s="112"/>
      <c r="B190" s="189"/>
      <c r="C190" s="190"/>
      <c r="D190" s="190"/>
      <c r="E190" s="190"/>
      <c r="F190" s="190"/>
      <c r="G190" s="191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</row>
    <row r="191" ht="17.25" customHeight="1">
      <c r="A191" s="112"/>
      <c r="B191" s="189"/>
      <c r="C191" s="190"/>
      <c r="D191" s="190"/>
      <c r="E191" s="190"/>
      <c r="F191" s="190"/>
      <c r="G191" s="191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</row>
    <row r="192" ht="17.25" customHeight="1">
      <c r="A192" s="112"/>
      <c r="B192" s="189"/>
      <c r="C192" s="190"/>
      <c r="D192" s="190"/>
      <c r="E192" s="190"/>
      <c r="F192" s="190"/>
      <c r="G192" s="191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</row>
    <row r="193" ht="17.25" customHeight="1">
      <c r="A193" s="112"/>
      <c r="B193" s="189"/>
      <c r="C193" s="190"/>
      <c r="D193" s="190"/>
      <c r="E193" s="190"/>
      <c r="F193" s="190"/>
      <c r="G193" s="191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</row>
    <row r="194" ht="17.25" customHeight="1">
      <c r="A194" s="112"/>
      <c r="B194" s="189"/>
      <c r="C194" s="190"/>
      <c r="D194" s="190"/>
      <c r="E194" s="190"/>
      <c r="F194" s="190"/>
      <c r="G194" s="191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</row>
    <row r="195" ht="17.25" customHeight="1">
      <c r="A195" s="112"/>
      <c r="B195" s="189"/>
      <c r="C195" s="190"/>
      <c r="D195" s="190"/>
      <c r="E195" s="190"/>
      <c r="F195" s="190"/>
      <c r="G195" s="191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</row>
    <row r="196" ht="17.25" customHeight="1">
      <c r="A196" s="112"/>
      <c r="B196" s="189"/>
      <c r="C196" s="190"/>
      <c r="D196" s="190"/>
      <c r="E196" s="190"/>
      <c r="F196" s="190"/>
      <c r="G196" s="191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</row>
    <row r="197" ht="17.25" customHeight="1">
      <c r="A197" s="112"/>
      <c r="B197" s="189"/>
      <c r="C197" s="190"/>
      <c r="D197" s="190"/>
      <c r="E197" s="190"/>
      <c r="F197" s="190"/>
      <c r="G197" s="191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</row>
    <row r="198" ht="17.25" customHeight="1">
      <c r="A198" s="112"/>
      <c r="B198" s="189"/>
      <c r="C198" s="190"/>
      <c r="D198" s="190"/>
      <c r="E198" s="190"/>
      <c r="F198" s="190"/>
      <c r="G198" s="191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</row>
    <row r="199" ht="17.25" customHeight="1">
      <c r="A199" s="112"/>
      <c r="B199" s="189"/>
      <c r="C199" s="190"/>
      <c r="D199" s="190"/>
      <c r="E199" s="190"/>
      <c r="F199" s="190"/>
      <c r="G199" s="191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</row>
    <row r="200" ht="17.25" customHeight="1">
      <c r="A200" s="112"/>
      <c r="B200" s="189"/>
      <c r="C200" s="190"/>
      <c r="D200" s="190"/>
      <c r="E200" s="190"/>
      <c r="F200" s="190"/>
      <c r="G200" s="191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</row>
    <row r="201" ht="17.25" customHeight="1">
      <c r="A201" s="112"/>
      <c r="B201" s="189"/>
      <c r="C201" s="190"/>
      <c r="D201" s="190"/>
      <c r="E201" s="190"/>
      <c r="F201" s="190"/>
      <c r="G201" s="191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/>
      <c r="C202" s="190"/>
      <c r="D202" s="190"/>
      <c r="E202" s="190"/>
      <c r="F202" s="190"/>
      <c r="G202" s="191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/>
      <c r="C203" s="190"/>
      <c r="D203" s="190"/>
      <c r="E203" s="190"/>
      <c r="F203" s="190"/>
      <c r="G203" s="191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/>
      <c r="C204" s="190"/>
      <c r="D204" s="190"/>
      <c r="E204" s="190"/>
      <c r="F204" s="190"/>
      <c r="G204" s="191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/>
      <c r="C205" s="190"/>
      <c r="D205" s="190"/>
      <c r="E205" s="190"/>
      <c r="F205" s="190"/>
      <c r="G205" s="191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/>
      <c r="C206" s="190"/>
      <c r="D206" s="190"/>
      <c r="E206" s="190"/>
      <c r="F206" s="190"/>
      <c r="G206" s="191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/>
      <c r="C207" s="190"/>
      <c r="D207" s="190"/>
      <c r="E207" s="190"/>
      <c r="F207" s="190"/>
      <c r="G207" s="191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/>
      <c r="C208" s="190"/>
      <c r="D208" s="190"/>
      <c r="E208" s="190"/>
      <c r="F208" s="190"/>
      <c r="G208" s="191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/>
      <c r="C209" s="190"/>
      <c r="D209" s="190"/>
      <c r="E209" s="190"/>
      <c r="F209" s="190"/>
      <c r="G209" s="191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/>
      <c r="C210" s="190"/>
      <c r="D210" s="190"/>
      <c r="E210" s="190"/>
      <c r="F210" s="190"/>
      <c r="G210" s="191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/>
      <c r="C211" s="190"/>
      <c r="D211" s="190"/>
      <c r="E211" s="190"/>
      <c r="F211" s="190"/>
      <c r="G211" s="191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/>
      <c r="C212" s="190"/>
      <c r="D212" s="190"/>
      <c r="E212" s="190"/>
      <c r="F212" s="190"/>
      <c r="G212" s="191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/>
      <c r="C213" s="190"/>
      <c r="D213" s="190"/>
      <c r="E213" s="190"/>
      <c r="F213" s="190"/>
      <c r="G213" s="191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/>
      <c r="C214" s="190"/>
      <c r="D214" s="190"/>
      <c r="E214" s="190"/>
      <c r="F214" s="190"/>
      <c r="G214" s="191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/>
      <c r="C215" s="190"/>
      <c r="D215" s="190"/>
      <c r="E215" s="190"/>
      <c r="F215" s="190"/>
      <c r="G215" s="191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/>
      <c r="C216" s="190"/>
      <c r="D216" s="190"/>
      <c r="E216" s="190"/>
      <c r="F216" s="190"/>
      <c r="G216" s="191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/>
      <c r="C217" s="190"/>
      <c r="D217" s="190"/>
      <c r="E217" s="190"/>
      <c r="F217" s="190"/>
      <c r="G217" s="191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/>
      <c r="C218" s="190"/>
      <c r="D218" s="190"/>
      <c r="E218" s="190"/>
      <c r="F218" s="190"/>
      <c r="G218" s="191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/>
      <c r="C219" s="190"/>
      <c r="D219" s="190"/>
      <c r="E219" s="190"/>
      <c r="F219" s="190"/>
      <c r="G219" s="191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/>
      <c r="C220" s="190"/>
      <c r="D220" s="190"/>
      <c r="E220" s="190"/>
      <c r="F220" s="190"/>
      <c r="G220" s="191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/>
      <c r="C221" s="190"/>
      <c r="D221" s="190"/>
      <c r="E221" s="190"/>
      <c r="F221" s="190"/>
      <c r="G221" s="191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/>
      <c r="C222" s="190"/>
      <c r="D222" s="190"/>
      <c r="E222" s="190"/>
      <c r="F222" s="190"/>
      <c r="G222" s="191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/>
      <c r="C223" s="190"/>
      <c r="D223" s="190"/>
      <c r="E223" s="190"/>
      <c r="F223" s="190"/>
      <c r="G223" s="191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/>
      <c r="C224" s="190"/>
      <c r="D224" s="190"/>
      <c r="E224" s="190"/>
      <c r="F224" s="190"/>
      <c r="G224" s="191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/>
      <c r="C225" s="190"/>
      <c r="D225" s="190"/>
      <c r="E225" s="190"/>
      <c r="F225" s="190"/>
      <c r="G225" s="191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/>
      <c r="C226" s="190"/>
      <c r="D226" s="190"/>
      <c r="E226" s="190"/>
      <c r="F226" s="190"/>
      <c r="G226" s="191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/>
      <c r="C227" s="190"/>
      <c r="D227" s="190"/>
      <c r="E227" s="190"/>
      <c r="F227" s="190"/>
      <c r="G227" s="191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/>
      <c r="C228" s="190"/>
      <c r="D228" s="190"/>
      <c r="E228" s="190"/>
      <c r="F228" s="190"/>
      <c r="G228" s="191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/>
      <c r="C229" s="190"/>
      <c r="D229" s="190"/>
      <c r="E229" s="190"/>
      <c r="F229" s="190"/>
      <c r="G229" s="191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/>
      <c r="C230" s="190"/>
      <c r="D230" s="190"/>
      <c r="E230" s="190"/>
      <c r="F230" s="190"/>
      <c r="G230" s="191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/>
      <c r="C231" s="190"/>
      <c r="D231" s="190"/>
      <c r="E231" s="190"/>
      <c r="F231" s="190"/>
      <c r="G231" s="191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/>
      <c r="C232" s="190"/>
      <c r="D232" s="190"/>
      <c r="E232" s="190"/>
      <c r="F232" s="190"/>
      <c r="G232" s="19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/>
      <c r="C233" s="190"/>
      <c r="D233" s="190"/>
      <c r="E233" s="190"/>
      <c r="F233" s="190"/>
      <c r="G233" s="191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/>
      <c r="C234" s="190"/>
      <c r="D234" s="190"/>
      <c r="E234" s="190"/>
      <c r="F234" s="190"/>
      <c r="G234" s="191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/>
      <c r="C235" s="190"/>
      <c r="D235" s="190"/>
      <c r="E235" s="190"/>
      <c r="F235" s="190"/>
      <c r="G235" s="191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/>
      <c r="C236" s="190"/>
      <c r="D236" s="190"/>
      <c r="E236" s="190"/>
      <c r="F236" s="190"/>
      <c r="G236" s="191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/>
      <c r="C237" s="190"/>
      <c r="D237" s="190"/>
      <c r="E237" s="190"/>
      <c r="F237" s="190"/>
      <c r="G237" s="191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/>
      <c r="C238" s="190"/>
      <c r="D238" s="190"/>
      <c r="E238" s="190"/>
      <c r="F238" s="190"/>
      <c r="G238" s="191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/>
      <c r="C239" s="190"/>
      <c r="D239" s="190"/>
      <c r="E239" s="190"/>
      <c r="F239" s="190"/>
      <c r="G239" s="19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/>
      <c r="C240" s="190"/>
      <c r="D240" s="190"/>
      <c r="E240" s="190"/>
      <c r="F240" s="190"/>
      <c r="G240" s="191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/>
      <c r="C241" s="190"/>
      <c r="D241" s="190"/>
      <c r="E241" s="190"/>
      <c r="F241" s="190"/>
      <c r="G241" s="191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/>
      <c r="C242" s="190"/>
      <c r="D242" s="190"/>
      <c r="E242" s="190"/>
      <c r="F242" s="190"/>
      <c r="G242" s="191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/>
      <c r="C243" s="190"/>
      <c r="D243" s="190"/>
      <c r="E243" s="190"/>
      <c r="F243" s="190"/>
      <c r="G243" s="191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/>
      <c r="C244" s="190"/>
      <c r="D244" s="190"/>
      <c r="E244" s="190"/>
      <c r="F244" s="190"/>
      <c r="G244" s="191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/>
      <c r="C245" s="190"/>
      <c r="D245" s="190"/>
      <c r="E245" s="190"/>
      <c r="F245" s="190"/>
      <c r="G245" s="191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/>
      <c r="C246" s="190"/>
      <c r="D246" s="190"/>
      <c r="E246" s="190"/>
      <c r="F246" s="190"/>
      <c r="G246" s="191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/>
      <c r="C247" s="190"/>
      <c r="D247" s="190"/>
      <c r="E247" s="190"/>
      <c r="F247" s="190"/>
      <c r="G247" s="191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/>
      <c r="C248" s="190"/>
      <c r="D248" s="190"/>
      <c r="E248" s="190"/>
      <c r="F248" s="190"/>
      <c r="G248" s="191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/>
      <c r="C249" s="190"/>
      <c r="D249" s="190"/>
      <c r="E249" s="190"/>
      <c r="F249" s="190"/>
      <c r="G249" s="191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/>
      <c r="C250" s="190"/>
      <c r="D250" s="190"/>
      <c r="E250" s="190"/>
      <c r="F250" s="190"/>
      <c r="G250" s="191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/>
      <c r="C251" s="190"/>
      <c r="D251" s="190"/>
      <c r="E251" s="190"/>
      <c r="F251" s="190"/>
      <c r="G251" s="191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/>
      <c r="C252" s="190"/>
      <c r="D252" s="190"/>
      <c r="E252" s="190"/>
      <c r="F252" s="190"/>
      <c r="G252" s="191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/>
      <c r="C253" s="190"/>
      <c r="D253" s="190"/>
      <c r="E253" s="190"/>
      <c r="F253" s="190"/>
      <c r="G253" s="191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/>
      <c r="C254" s="190"/>
      <c r="D254" s="190"/>
      <c r="E254" s="190"/>
      <c r="F254" s="190"/>
      <c r="G254" s="191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/>
      <c r="C255" s="190"/>
      <c r="D255" s="190"/>
      <c r="E255" s="190"/>
      <c r="F255" s="190"/>
      <c r="G255" s="191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/>
      <c r="C256" s="190"/>
      <c r="D256" s="190"/>
      <c r="E256" s="190"/>
      <c r="F256" s="190"/>
      <c r="G256" s="191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/>
      <c r="C257" s="190"/>
      <c r="D257" s="190"/>
      <c r="E257" s="190"/>
      <c r="F257" s="190"/>
      <c r="G257" s="191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/>
      <c r="C258" s="190"/>
      <c r="D258" s="190"/>
      <c r="E258" s="190"/>
      <c r="F258" s="190"/>
      <c r="G258" s="191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/>
      <c r="C259" s="190"/>
      <c r="D259" s="190"/>
      <c r="E259" s="190"/>
      <c r="F259" s="190"/>
      <c r="G259" s="191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/>
      <c r="C260" s="190"/>
      <c r="D260" s="190"/>
      <c r="E260" s="190"/>
      <c r="F260" s="190"/>
      <c r="G260" s="191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/>
      <c r="C261" s="190"/>
      <c r="D261" s="190"/>
      <c r="E261" s="190"/>
      <c r="F261" s="190"/>
      <c r="G261" s="191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/>
      <c r="C262" s="190"/>
      <c r="D262" s="190"/>
      <c r="E262" s="190"/>
      <c r="F262" s="190"/>
      <c r="G262" s="191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/>
      <c r="C263" s="190"/>
      <c r="D263" s="190"/>
      <c r="E263" s="190"/>
      <c r="F263" s="190"/>
      <c r="G263" s="191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/>
      <c r="C264" s="190"/>
      <c r="D264" s="190"/>
      <c r="E264" s="190"/>
      <c r="F264" s="190"/>
      <c r="G264" s="191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/>
      <c r="C265" s="190"/>
      <c r="D265" s="190"/>
      <c r="E265" s="190"/>
      <c r="F265" s="190"/>
      <c r="G265" s="191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/>
      <c r="C266" s="190"/>
      <c r="D266" s="190"/>
      <c r="E266" s="190"/>
      <c r="F266" s="190"/>
      <c r="G266" s="191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/>
      <c r="C267" s="190"/>
      <c r="D267" s="190"/>
      <c r="E267" s="190"/>
      <c r="F267" s="190"/>
      <c r="G267" s="191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/>
      <c r="C268" s="190"/>
      <c r="D268" s="190"/>
      <c r="E268" s="190"/>
      <c r="F268" s="190"/>
      <c r="G268" s="191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/>
      <c r="C269" s="190"/>
      <c r="D269" s="190"/>
      <c r="E269" s="190"/>
      <c r="F269" s="190"/>
      <c r="G269" s="191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/>
      <c r="C270" s="190"/>
      <c r="D270" s="190"/>
      <c r="E270" s="190"/>
      <c r="F270" s="190"/>
      <c r="G270" s="191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/>
      <c r="C271" s="190"/>
      <c r="D271" s="190"/>
      <c r="E271" s="190"/>
      <c r="F271" s="190"/>
      <c r="G271" s="191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/>
      <c r="C272" s="190"/>
      <c r="D272" s="190"/>
      <c r="E272" s="190"/>
      <c r="F272" s="190"/>
      <c r="G272" s="191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/>
      <c r="C273" s="190"/>
      <c r="D273" s="190"/>
      <c r="E273" s="190"/>
      <c r="F273" s="190"/>
      <c r="G273" s="191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/>
      <c r="C274" s="190"/>
      <c r="D274" s="190"/>
      <c r="E274" s="190"/>
      <c r="F274" s="190"/>
      <c r="G274" s="191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/>
      <c r="C275" s="190"/>
      <c r="D275" s="190"/>
      <c r="E275" s="190"/>
      <c r="F275" s="190"/>
      <c r="G275" s="191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/>
      <c r="C276" s="190"/>
      <c r="D276" s="190"/>
      <c r="E276" s="190"/>
      <c r="F276" s="190"/>
      <c r="G276" s="191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/>
      <c r="C277" s="190"/>
      <c r="D277" s="190"/>
      <c r="E277" s="190"/>
      <c r="F277" s="190"/>
      <c r="G277" s="191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/>
      <c r="C278" s="190"/>
      <c r="D278" s="190"/>
      <c r="E278" s="190"/>
      <c r="F278" s="190"/>
      <c r="G278" s="191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/>
      <c r="C279" s="190"/>
      <c r="D279" s="190"/>
      <c r="E279" s="190"/>
      <c r="F279" s="190"/>
      <c r="G279" s="191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/>
      <c r="C280" s="190"/>
      <c r="D280" s="190"/>
      <c r="E280" s="190"/>
      <c r="F280" s="190"/>
      <c r="G280" s="191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/>
      <c r="C281" s="190"/>
      <c r="D281" s="190"/>
      <c r="E281" s="190"/>
      <c r="F281" s="190"/>
      <c r="G281" s="191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/>
      <c r="C282" s="190"/>
      <c r="D282" s="190"/>
      <c r="E282" s="190"/>
      <c r="F282" s="190"/>
      <c r="G282" s="191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/>
      <c r="C283" s="190"/>
      <c r="D283" s="190"/>
      <c r="E283" s="190"/>
      <c r="F283" s="190"/>
      <c r="G283" s="191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/>
      <c r="C284" s="190"/>
      <c r="D284" s="190"/>
      <c r="E284" s="190"/>
      <c r="F284" s="190"/>
      <c r="G284" s="191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/>
      <c r="C285" s="190"/>
      <c r="D285" s="190"/>
      <c r="E285" s="190"/>
      <c r="F285" s="190"/>
      <c r="G285" s="191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/>
      <c r="C286" s="190"/>
      <c r="D286" s="190"/>
      <c r="E286" s="190"/>
      <c r="F286" s="190"/>
      <c r="G286" s="191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/>
      <c r="C287" s="190"/>
      <c r="D287" s="190"/>
      <c r="E287" s="190"/>
      <c r="F287" s="190"/>
      <c r="G287" s="191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/>
      <c r="C288" s="190"/>
      <c r="D288" s="190"/>
      <c r="E288" s="190"/>
      <c r="F288" s="190"/>
      <c r="G288" s="191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/>
      <c r="C289" s="190"/>
      <c r="D289" s="190"/>
      <c r="E289" s="190"/>
      <c r="F289" s="190"/>
      <c r="G289" s="19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/>
      <c r="C290" s="190"/>
      <c r="D290" s="190"/>
      <c r="E290" s="190"/>
      <c r="F290" s="190"/>
      <c r="G290" s="191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/>
      <c r="C291" s="190"/>
      <c r="D291" s="190"/>
      <c r="E291" s="190"/>
      <c r="F291" s="190"/>
      <c r="G291" s="191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/>
      <c r="C292" s="190"/>
      <c r="D292" s="190"/>
      <c r="E292" s="190"/>
      <c r="F292" s="190"/>
      <c r="G292" s="191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/>
      <c r="C293" s="190"/>
      <c r="D293" s="190"/>
      <c r="E293" s="190"/>
      <c r="F293" s="190"/>
      <c r="G293" s="191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/>
      <c r="C294" s="190"/>
      <c r="D294" s="190"/>
      <c r="E294" s="190"/>
      <c r="F294" s="190"/>
      <c r="G294" s="191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/>
      <c r="C295" s="190"/>
      <c r="D295" s="190"/>
      <c r="E295" s="190"/>
      <c r="F295" s="190"/>
      <c r="G295" s="191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/>
      <c r="C296" s="190"/>
      <c r="D296" s="190"/>
      <c r="E296" s="190"/>
      <c r="F296" s="190"/>
      <c r="G296" s="19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/>
      <c r="C297" s="190"/>
      <c r="D297" s="190"/>
      <c r="E297" s="190"/>
      <c r="F297" s="190"/>
      <c r="G297" s="191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/>
      <c r="C298" s="190"/>
      <c r="D298" s="190"/>
      <c r="E298" s="190"/>
      <c r="F298" s="190"/>
      <c r="G298" s="191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/>
      <c r="C299" s="190"/>
      <c r="D299" s="190"/>
      <c r="E299" s="190"/>
      <c r="F299" s="190"/>
      <c r="G299" s="191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/>
      <c r="C300" s="190"/>
      <c r="D300" s="190"/>
      <c r="E300" s="190"/>
      <c r="F300" s="190"/>
      <c r="G300" s="191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/>
      <c r="C301" s="190"/>
      <c r="D301" s="190"/>
      <c r="E301" s="190"/>
      <c r="F301" s="190"/>
      <c r="G301" s="191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/>
      <c r="C302" s="190"/>
      <c r="D302" s="190"/>
      <c r="E302" s="190"/>
      <c r="F302" s="190"/>
      <c r="G302" s="191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/>
      <c r="C303" s="190"/>
      <c r="D303" s="190"/>
      <c r="E303" s="190"/>
      <c r="F303" s="190"/>
      <c r="G303" s="191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/>
      <c r="C304" s="190"/>
      <c r="D304" s="190"/>
      <c r="E304" s="190"/>
      <c r="F304" s="190"/>
      <c r="G304" s="19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/>
      <c r="C305" s="190"/>
      <c r="D305" s="190"/>
      <c r="E305" s="190"/>
      <c r="F305" s="190"/>
      <c r="G305" s="191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/>
      <c r="C306" s="190"/>
      <c r="D306" s="190"/>
      <c r="E306" s="190"/>
      <c r="F306" s="190"/>
      <c r="G306" s="191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/>
      <c r="C307" s="190"/>
      <c r="D307" s="190"/>
      <c r="E307" s="190"/>
      <c r="F307" s="190"/>
      <c r="G307" s="191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/>
      <c r="C308" s="190"/>
      <c r="D308" s="190"/>
      <c r="E308" s="190"/>
      <c r="F308" s="190"/>
      <c r="G308" s="191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/>
      <c r="C309" s="190"/>
      <c r="D309" s="190"/>
      <c r="E309" s="190"/>
      <c r="F309" s="190"/>
      <c r="G309" s="191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/>
      <c r="C310" s="190"/>
      <c r="D310" s="190"/>
      <c r="E310" s="190"/>
      <c r="F310" s="190"/>
      <c r="G310" s="191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/>
      <c r="C311" s="190"/>
      <c r="D311" s="190"/>
      <c r="E311" s="190"/>
      <c r="F311" s="190"/>
      <c r="G311" s="191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/>
      <c r="C312" s="190"/>
      <c r="D312" s="190"/>
      <c r="E312" s="190"/>
      <c r="F312" s="190"/>
      <c r="G312" s="191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/>
      <c r="C313" s="190"/>
      <c r="D313" s="190"/>
      <c r="E313" s="190"/>
      <c r="F313" s="190"/>
      <c r="G313" s="191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/>
      <c r="C314" s="190"/>
      <c r="D314" s="190"/>
      <c r="E314" s="190"/>
      <c r="F314" s="190"/>
      <c r="G314" s="191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/>
      <c r="C315" s="190"/>
      <c r="D315" s="190"/>
      <c r="E315" s="190"/>
      <c r="F315" s="190"/>
      <c r="G315" s="191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/>
      <c r="C316" s="190"/>
      <c r="D316" s="190"/>
      <c r="E316" s="190"/>
      <c r="F316" s="190"/>
      <c r="G316" s="191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/>
      <c r="C317" s="190"/>
      <c r="D317" s="190"/>
      <c r="E317" s="190"/>
      <c r="F317" s="190"/>
      <c r="G317" s="191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/>
      <c r="C318" s="190"/>
      <c r="D318" s="190"/>
      <c r="E318" s="190"/>
      <c r="F318" s="190"/>
      <c r="G318" s="191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/>
      <c r="C319" s="190"/>
      <c r="D319" s="190"/>
      <c r="E319" s="190"/>
      <c r="F319" s="190"/>
      <c r="G319" s="191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/>
      <c r="C320" s="190"/>
      <c r="D320" s="190"/>
      <c r="E320" s="190"/>
      <c r="F320" s="190"/>
      <c r="G320" s="191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/>
      <c r="C321" s="190"/>
      <c r="D321" s="190"/>
      <c r="E321" s="190"/>
      <c r="F321" s="190"/>
      <c r="G321" s="191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/>
      <c r="C322" s="190"/>
      <c r="D322" s="190"/>
      <c r="E322" s="190"/>
      <c r="F322" s="190"/>
      <c r="G322" s="191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/>
      <c r="C323" s="190"/>
      <c r="D323" s="190"/>
      <c r="E323" s="190"/>
      <c r="F323" s="190"/>
      <c r="G323" s="191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/>
      <c r="C324" s="190"/>
      <c r="D324" s="190"/>
      <c r="E324" s="190"/>
      <c r="F324" s="190"/>
      <c r="G324" s="191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/>
      <c r="C325" s="190"/>
      <c r="D325" s="190"/>
      <c r="E325" s="190"/>
      <c r="F325" s="190"/>
      <c r="G325" s="191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/>
      <c r="C326" s="190"/>
      <c r="D326" s="190"/>
      <c r="E326" s="190"/>
      <c r="F326" s="190"/>
      <c r="G326" s="191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/>
      <c r="C327" s="190"/>
      <c r="D327" s="190"/>
      <c r="E327" s="190"/>
      <c r="F327" s="190"/>
      <c r="G327" s="191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/>
      <c r="C328" s="190"/>
      <c r="D328" s="190"/>
      <c r="E328" s="190"/>
      <c r="F328" s="190"/>
      <c r="G328" s="191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/>
      <c r="C329" s="190"/>
      <c r="D329" s="190"/>
      <c r="E329" s="190"/>
      <c r="F329" s="190"/>
      <c r="G329" s="191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/>
      <c r="C330" s="190"/>
      <c r="D330" s="190"/>
      <c r="E330" s="190"/>
      <c r="F330" s="190"/>
      <c r="G330" s="191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/>
      <c r="C331" s="190"/>
      <c r="D331" s="190"/>
      <c r="E331" s="190"/>
      <c r="F331" s="190"/>
      <c r="G331" s="191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/>
      <c r="C332" s="190"/>
      <c r="D332" s="190"/>
      <c r="E332" s="190"/>
      <c r="F332" s="190"/>
      <c r="G332" s="191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/>
      <c r="C333" s="190"/>
      <c r="D333" s="190"/>
      <c r="E333" s="190"/>
      <c r="F333" s="190"/>
      <c r="G333" s="191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/>
      <c r="C334" s="190"/>
      <c r="D334" s="190"/>
      <c r="E334" s="190"/>
      <c r="F334" s="190"/>
      <c r="G334" s="191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/>
      <c r="C335" s="190"/>
      <c r="D335" s="190"/>
      <c r="E335" s="190"/>
      <c r="F335" s="190"/>
      <c r="G335" s="191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/>
      <c r="C336" s="190"/>
      <c r="D336" s="190"/>
      <c r="E336" s="190"/>
      <c r="F336" s="190"/>
      <c r="G336" s="191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/>
      <c r="C337" s="190"/>
      <c r="D337" s="190"/>
      <c r="E337" s="190"/>
      <c r="F337" s="190"/>
      <c r="G337" s="191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/>
      <c r="C338" s="190"/>
      <c r="D338" s="190"/>
      <c r="E338" s="190"/>
      <c r="F338" s="190"/>
      <c r="G338" s="191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/>
      <c r="C339" s="190"/>
      <c r="D339" s="190"/>
      <c r="E339" s="190"/>
      <c r="F339" s="190"/>
      <c r="G339" s="191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/>
      <c r="C340" s="190"/>
      <c r="D340" s="190"/>
      <c r="E340" s="190"/>
      <c r="F340" s="190"/>
      <c r="G340" s="191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/>
      <c r="C341" s="190"/>
      <c r="D341" s="190"/>
      <c r="E341" s="190"/>
      <c r="F341" s="190"/>
      <c r="G341" s="191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/>
      <c r="C342" s="190"/>
      <c r="D342" s="190"/>
      <c r="E342" s="190"/>
      <c r="F342" s="190"/>
      <c r="G342" s="191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/>
      <c r="C343" s="190"/>
      <c r="D343" s="190"/>
      <c r="E343" s="190"/>
      <c r="F343" s="190"/>
      <c r="G343" s="191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/>
      <c r="C344" s="190"/>
      <c r="D344" s="190"/>
      <c r="E344" s="190"/>
      <c r="F344" s="190"/>
      <c r="G344" s="191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/>
      <c r="C345" s="190"/>
      <c r="D345" s="190"/>
      <c r="E345" s="190"/>
      <c r="F345" s="190"/>
      <c r="G345" s="191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/>
      <c r="C346" s="190"/>
      <c r="D346" s="190"/>
      <c r="E346" s="190"/>
      <c r="F346" s="190"/>
      <c r="G346" s="191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/>
      <c r="C347" s="190"/>
      <c r="D347" s="190"/>
      <c r="E347" s="190"/>
      <c r="F347" s="190"/>
      <c r="G347" s="191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/>
      <c r="C348" s="190"/>
      <c r="D348" s="190"/>
      <c r="E348" s="190"/>
      <c r="F348" s="190"/>
      <c r="G348" s="191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/>
      <c r="C349" s="190"/>
      <c r="D349" s="190"/>
      <c r="E349" s="190"/>
      <c r="F349" s="190"/>
      <c r="G349" s="191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/>
      <c r="C350" s="190"/>
      <c r="D350" s="190"/>
      <c r="E350" s="190"/>
      <c r="F350" s="190"/>
      <c r="G350" s="191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/>
      <c r="C351" s="190"/>
      <c r="D351" s="190"/>
      <c r="E351" s="190"/>
      <c r="F351" s="190"/>
      <c r="G351" s="191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/>
      <c r="C352" s="190"/>
      <c r="D352" s="190"/>
      <c r="E352" s="190"/>
      <c r="F352" s="190"/>
      <c r="G352" s="191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/>
      <c r="C353" s="190"/>
      <c r="D353" s="190"/>
      <c r="E353" s="190"/>
      <c r="F353" s="190"/>
      <c r="G353" s="191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/>
      <c r="C354" s="190"/>
      <c r="D354" s="190"/>
      <c r="E354" s="190"/>
      <c r="F354" s="190"/>
      <c r="G354" s="191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/>
      <c r="C355" s="190"/>
      <c r="D355" s="190"/>
      <c r="E355" s="190"/>
      <c r="F355" s="190"/>
      <c r="G355" s="191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/>
      <c r="C356" s="190"/>
      <c r="D356" s="190"/>
      <c r="E356" s="190"/>
      <c r="F356" s="190"/>
      <c r="G356" s="191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/>
      <c r="C357" s="190"/>
      <c r="D357" s="190"/>
      <c r="E357" s="190"/>
      <c r="F357" s="190"/>
      <c r="G357" s="191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/>
      <c r="C358" s="190"/>
      <c r="D358" s="190"/>
      <c r="E358" s="190"/>
      <c r="F358" s="190"/>
      <c r="G358" s="191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/>
      <c r="C359" s="190"/>
      <c r="D359" s="190"/>
      <c r="E359" s="190"/>
      <c r="F359" s="190"/>
      <c r="G359" s="191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/>
      <c r="C360" s="190"/>
      <c r="D360" s="190"/>
      <c r="E360" s="190"/>
      <c r="F360" s="190"/>
      <c r="G360" s="191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/>
      <c r="C361" s="190"/>
      <c r="D361" s="190"/>
      <c r="E361" s="190"/>
      <c r="F361" s="190"/>
      <c r="G361" s="191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/>
      <c r="C362" s="190"/>
      <c r="D362" s="190"/>
      <c r="E362" s="190"/>
      <c r="F362" s="190"/>
      <c r="G362" s="191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/>
      <c r="C363" s="190"/>
      <c r="D363" s="190"/>
      <c r="E363" s="190"/>
      <c r="F363" s="190"/>
      <c r="G363" s="191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/>
      <c r="C364" s="190"/>
      <c r="D364" s="190"/>
      <c r="E364" s="190"/>
      <c r="F364" s="190"/>
      <c r="G364" s="191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/>
      <c r="C365" s="190"/>
      <c r="D365" s="190"/>
      <c r="E365" s="190"/>
      <c r="F365" s="190"/>
      <c r="G365" s="191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/>
      <c r="C366" s="190"/>
      <c r="D366" s="190"/>
      <c r="E366" s="190"/>
      <c r="F366" s="190"/>
      <c r="G366" s="191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/>
      <c r="C367" s="190"/>
      <c r="D367" s="190"/>
      <c r="E367" s="190"/>
      <c r="F367" s="190"/>
      <c r="G367" s="191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/>
      <c r="C368" s="190"/>
      <c r="D368" s="190"/>
      <c r="E368" s="190"/>
      <c r="F368" s="190"/>
      <c r="G368" s="191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/>
      <c r="C369" s="190"/>
      <c r="D369" s="190"/>
      <c r="E369" s="190"/>
      <c r="F369" s="190"/>
      <c r="G369" s="191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/>
      <c r="C370" s="190"/>
      <c r="D370" s="190"/>
      <c r="E370" s="190"/>
      <c r="F370" s="190"/>
      <c r="G370" s="191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/>
      <c r="C371" s="190"/>
      <c r="D371" s="190"/>
      <c r="E371" s="190"/>
      <c r="F371" s="190"/>
      <c r="G371" s="191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/>
      <c r="C372" s="190"/>
      <c r="D372" s="190"/>
      <c r="E372" s="190"/>
      <c r="F372" s="190"/>
      <c r="G372" s="191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/>
      <c r="C373" s="190"/>
      <c r="D373" s="190"/>
      <c r="E373" s="190"/>
      <c r="F373" s="190"/>
      <c r="G373" s="191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/>
      <c r="C374" s="190"/>
      <c r="D374" s="190"/>
      <c r="E374" s="190"/>
      <c r="F374" s="190"/>
      <c r="G374" s="191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/>
      <c r="C375" s="190"/>
      <c r="D375" s="190"/>
      <c r="E375" s="190"/>
      <c r="F375" s="190"/>
      <c r="G375" s="191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/>
      <c r="C376" s="190"/>
      <c r="D376" s="190"/>
      <c r="E376" s="190"/>
      <c r="F376" s="190"/>
      <c r="G376" s="191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/>
      <c r="C377" s="190"/>
      <c r="D377" s="190"/>
      <c r="E377" s="190"/>
      <c r="F377" s="190"/>
      <c r="G377" s="191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/>
      <c r="C378" s="190"/>
      <c r="D378" s="190"/>
      <c r="E378" s="190"/>
      <c r="F378" s="190"/>
      <c r="G378" s="19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/>
      <c r="C379" s="190"/>
      <c r="D379" s="190"/>
      <c r="E379" s="190"/>
      <c r="F379" s="190"/>
      <c r="G379" s="191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/>
      <c r="C380" s="190"/>
      <c r="D380" s="190"/>
      <c r="E380" s="190"/>
      <c r="F380" s="190"/>
      <c r="G380" s="191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/>
      <c r="C381" s="190"/>
      <c r="D381" s="190"/>
      <c r="E381" s="190"/>
      <c r="F381" s="190"/>
      <c r="G381" s="191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/>
      <c r="C382" s="190"/>
      <c r="D382" s="190"/>
      <c r="E382" s="190"/>
      <c r="F382" s="190"/>
      <c r="G382" s="191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/>
      <c r="C383" s="190"/>
      <c r="D383" s="190"/>
      <c r="E383" s="190"/>
      <c r="F383" s="190"/>
      <c r="G383" s="191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/>
      <c r="C384" s="190"/>
      <c r="D384" s="190"/>
      <c r="E384" s="190"/>
      <c r="F384" s="190"/>
      <c r="G384" s="191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/>
      <c r="C385" s="190"/>
      <c r="D385" s="190"/>
      <c r="E385" s="190"/>
      <c r="F385" s="190"/>
      <c r="G385" s="191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/>
      <c r="C386" s="190"/>
      <c r="D386" s="190"/>
      <c r="E386" s="190"/>
      <c r="F386" s="190"/>
      <c r="G386" s="191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/>
      <c r="C387" s="190"/>
      <c r="D387" s="190"/>
      <c r="E387" s="190"/>
      <c r="F387" s="190"/>
      <c r="G387" s="191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/>
      <c r="C388" s="190"/>
      <c r="D388" s="190"/>
      <c r="E388" s="190"/>
      <c r="F388" s="190"/>
      <c r="G388" s="191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/>
      <c r="C389" s="190"/>
      <c r="D389" s="190"/>
      <c r="E389" s="190"/>
      <c r="F389" s="190"/>
      <c r="G389" s="191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/>
      <c r="C390" s="190"/>
      <c r="D390" s="190"/>
      <c r="E390" s="190"/>
      <c r="F390" s="190"/>
      <c r="G390" s="191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/>
      <c r="C391" s="190"/>
      <c r="D391" s="190"/>
      <c r="E391" s="190"/>
      <c r="F391" s="190"/>
      <c r="G391" s="191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/>
      <c r="C392" s="190"/>
      <c r="D392" s="190"/>
      <c r="E392" s="190"/>
      <c r="F392" s="190"/>
      <c r="G392" s="191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/>
      <c r="C393" s="190"/>
      <c r="D393" s="190"/>
      <c r="E393" s="190"/>
      <c r="F393" s="190"/>
      <c r="G393" s="191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/>
      <c r="C394" s="190"/>
      <c r="D394" s="190"/>
      <c r="E394" s="190"/>
      <c r="F394" s="190"/>
      <c r="G394" s="191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/>
      <c r="C395" s="190"/>
      <c r="D395" s="190"/>
      <c r="E395" s="190"/>
      <c r="F395" s="190"/>
      <c r="G395" s="191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/>
      <c r="C396" s="190"/>
      <c r="D396" s="190"/>
      <c r="E396" s="190"/>
      <c r="F396" s="190"/>
      <c r="G396" s="191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/>
      <c r="C397" s="190"/>
      <c r="D397" s="190"/>
      <c r="E397" s="190"/>
      <c r="F397" s="190"/>
      <c r="G397" s="191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/>
      <c r="C398" s="190"/>
      <c r="D398" s="190"/>
      <c r="E398" s="190"/>
      <c r="F398" s="190"/>
      <c r="G398" s="191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/>
      <c r="C399" s="190"/>
      <c r="D399" s="190"/>
      <c r="E399" s="190"/>
      <c r="F399" s="190"/>
      <c r="G399" s="191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/>
      <c r="C400" s="190"/>
      <c r="D400" s="190"/>
      <c r="E400" s="190"/>
      <c r="F400" s="190"/>
      <c r="G400" s="191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/>
      <c r="C401" s="190"/>
      <c r="D401" s="190"/>
      <c r="E401" s="190"/>
      <c r="F401" s="190"/>
      <c r="G401" s="191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/>
      <c r="C402" s="190"/>
      <c r="D402" s="190"/>
      <c r="E402" s="190"/>
      <c r="F402" s="190"/>
      <c r="G402" s="191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/>
      <c r="C403" s="190"/>
      <c r="D403" s="190"/>
      <c r="E403" s="190"/>
      <c r="F403" s="190"/>
      <c r="G403" s="191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/>
      <c r="C404" s="190"/>
      <c r="D404" s="190"/>
      <c r="E404" s="190"/>
      <c r="F404" s="190"/>
      <c r="G404" s="191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/>
      <c r="C405" s="190"/>
      <c r="D405" s="190"/>
      <c r="E405" s="190"/>
      <c r="F405" s="190"/>
      <c r="G405" s="191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/>
      <c r="C406" s="190"/>
      <c r="D406" s="190"/>
      <c r="E406" s="190"/>
      <c r="F406" s="190"/>
      <c r="G406" s="191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/>
      <c r="C407" s="190"/>
      <c r="D407" s="190"/>
      <c r="E407" s="190"/>
      <c r="F407" s="190"/>
      <c r="G407" s="191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/>
      <c r="C408" s="190"/>
      <c r="D408" s="190"/>
      <c r="E408" s="190"/>
      <c r="F408" s="190"/>
      <c r="G408" s="191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/>
      <c r="C409" s="190"/>
      <c r="D409" s="190"/>
      <c r="E409" s="190"/>
      <c r="F409" s="190"/>
      <c r="G409" s="191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/>
      <c r="C410" s="190"/>
      <c r="D410" s="190"/>
      <c r="E410" s="190"/>
      <c r="F410" s="190"/>
      <c r="G410" s="191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/>
      <c r="C411" s="190"/>
      <c r="D411" s="190"/>
      <c r="E411" s="190"/>
      <c r="F411" s="190"/>
      <c r="G411" s="191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/>
      <c r="C412" s="190"/>
      <c r="D412" s="190"/>
      <c r="E412" s="190"/>
      <c r="F412" s="190"/>
      <c r="G412" s="191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/>
      <c r="C413" s="190"/>
      <c r="D413" s="190"/>
      <c r="E413" s="190"/>
      <c r="F413" s="190"/>
      <c r="G413" s="191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/>
      <c r="C414" s="190"/>
      <c r="D414" s="190"/>
      <c r="E414" s="190"/>
      <c r="F414" s="190"/>
      <c r="G414" s="191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/>
      <c r="C415" s="190"/>
      <c r="D415" s="190"/>
      <c r="E415" s="190"/>
      <c r="F415" s="190"/>
      <c r="G415" s="191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/>
      <c r="C416" s="190"/>
      <c r="D416" s="190"/>
      <c r="E416" s="190"/>
      <c r="F416" s="190"/>
      <c r="G416" s="191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/>
      <c r="C417" s="190"/>
      <c r="D417" s="190"/>
      <c r="E417" s="190"/>
      <c r="F417" s="190"/>
      <c r="G417" s="191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/>
      <c r="C418" s="190"/>
      <c r="D418" s="190"/>
      <c r="E418" s="190"/>
      <c r="F418" s="190"/>
      <c r="G418" s="191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/>
      <c r="C419" s="190"/>
      <c r="D419" s="190"/>
      <c r="E419" s="190"/>
      <c r="F419" s="190"/>
      <c r="G419" s="191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/>
      <c r="C420" s="190"/>
      <c r="D420" s="190"/>
      <c r="E420" s="190"/>
      <c r="F420" s="190"/>
      <c r="G420" s="191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/>
      <c r="C421" s="190"/>
      <c r="D421" s="190"/>
      <c r="E421" s="190"/>
      <c r="F421" s="190"/>
      <c r="G421" s="191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/>
      <c r="C422" s="190"/>
      <c r="D422" s="190"/>
      <c r="E422" s="190"/>
      <c r="F422" s="190"/>
      <c r="G422" s="191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/>
      <c r="C423" s="190"/>
      <c r="D423" s="190"/>
      <c r="E423" s="190"/>
      <c r="F423" s="190"/>
      <c r="G423" s="191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/>
      <c r="C424" s="190"/>
      <c r="D424" s="190"/>
      <c r="E424" s="190"/>
      <c r="F424" s="190"/>
      <c r="G424" s="191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/>
      <c r="C425" s="190"/>
      <c r="D425" s="190"/>
      <c r="E425" s="190"/>
      <c r="F425" s="190"/>
      <c r="G425" s="191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/>
      <c r="C426" s="190"/>
      <c r="D426" s="190"/>
      <c r="E426" s="190"/>
      <c r="F426" s="190"/>
      <c r="G426" s="191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/>
      <c r="C427" s="190"/>
      <c r="D427" s="190"/>
      <c r="E427" s="190"/>
      <c r="F427" s="190"/>
      <c r="G427" s="191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/>
      <c r="C428" s="190"/>
      <c r="D428" s="190"/>
      <c r="E428" s="190"/>
      <c r="F428" s="190"/>
      <c r="G428" s="191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/>
      <c r="C429" s="190"/>
      <c r="D429" s="190"/>
      <c r="E429" s="190"/>
      <c r="F429" s="190"/>
      <c r="G429" s="191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/>
      <c r="C430" s="190"/>
      <c r="D430" s="190"/>
      <c r="E430" s="190"/>
      <c r="F430" s="190"/>
      <c r="G430" s="191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/>
      <c r="C431" s="190"/>
      <c r="D431" s="190"/>
      <c r="E431" s="190"/>
      <c r="F431" s="190"/>
      <c r="G431" s="191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/>
      <c r="C432" s="190"/>
      <c r="D432" s="190"/>
      <c r="E432" s="190"/>
      <c r="F432" s="190"/>
      <c r="G432" s="191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/>
      <c r="C433" s="190"/>
      <c r="D433" s="190"/>
      <c r="E433" s="190"/>
      <c r="F433" s="190"/>
      <c r="G433" s="191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/>
      <c r="C434" s="190"/>
      <c r="D434" s="190"/>
      <c r="E434" s="190"/>
      <c r="F434" s="190"/>
      <c r="G434" s="191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/>
      <c r="C435" s="190"/>
      <c r="D435" s="190"/>
      <c r="E435" s="190"/>
      <c r="F435" s="190"/>
      <c r="G435" s="191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/>
      <c r="C436" s="190"/>
      <c r="D436" s="190"/>
      <c r="E436" s="190"/>
      <c r="F436" s="190"/>
      <c r="G436" s="191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/>
      <c r="C437" s="190"/>
      <c r="D437" s="190"/>
      <c r="E437" s="190"/>
      <c r="F437" s="190"/>
      <c r="G437" s="191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/>
      <c r="C438" s="190"/>
      <c r="D438" s="190"/>
      <c r="E438" s="190"/>
      <c r="F438" s="190"/>
      <c r="G438" s="191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/>
      <c r="C439" s="190"/>
      <c r="D439" s="190"/>
      <c r="E439" s="190"/>
      <c r="F439" s="190"/>
      <c r="G439" s="191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/>
      <c r="C440" s="190"/>
      <c r="D440" s="190"/>
      <c r="E440" s="190"/>
      <c r="F440" s="190"/>
      <c r="G440" s="191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/>
      <c r="C441" s="190"/>
      <c r="D441" s="190"/>
      <c r="E441" s="190"/>
      <c r="F441" s="190"/>
      <c r="G441" s="191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/>
      <c r="C442" s="190"/>
      <c r="D442" s="190"/>
      <c r="E442" s="190"/>
      <c r="F442" s="190"/>
      <c r="G442" s="191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/>
      <c r="C443" s="190"/>
      <c r="D443" s="190"/>
      <c r="E443" s="190"/>
      <c r="F443" s="190"/>
      <c r="G443" s="191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/>
      <c r="C444" s="190"/>
      <c r="D444" s="190"/>
      <c r="E444" s="190"/>
      <c r="F444" s="190"/>
      <c r="G444" s="191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/>
      <c r="C445" s="190"/>
      <c r="D445" s="190"/>
      <c r="E445" s="190"/>
      <c r="F445" s="190"/>
      <c r="G445" s="191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/>
      <c r="C446" s="190"/>
      <c r="D446" s="190"/>
      <c r="E446" s="190"/>
      <c r="F446" s="190"/>
      <c r="G446" s="191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/>
      <c r="C447" s="190"/>
      <c r="D447" s="190"/>
      <c r="E447" s="190"/>
      <c r="F447" s="190"/>
      <c r="G447" s="191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/>
      <c r="C448" s="190"/>
      <c r="D448" s="190"/>
      <c r="E448" s="190"/>
      <c r="F448" s="190"/>
      <c r="G448" s="191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/>
      <c r="C449" s="190"/>
      <c r="D449" s="190"/>
      <c r="E449" s="190"/>
      <c r="F449" s="190"/>
      <c r="G449" s="191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/>
      <c r="C450" s="190"/>
      <c r="D450" s="190"/>
      <c r="E450" s="190"/>
      <c r="F450" s="190"/>
      <c r="G450" s="191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/>
      <c r="C451" s="190"/>
      <c r="D451" s="190"/>
      <c r="E451" s="190"/>
      <c r="F451" s="190"/>
      <c r="G451" s="191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/>
      <c r="C452" s="190"/>
      <c r="D452" s="190"/>
      <c r="E452" s="190"/>
      <c r="F452" s="190"/>
      <c r="G452" s="191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/>
      <c r="C453" s="190"/>
      <c r="D453" s="190"/>
      <c r="E453" s="190"/>
      <c r="F453" s="190"/>
      <c r="G453" s="191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/>
      <c r="C454" s="190"/>
      <c r="D454" s="190"/>
      <c r="E454" s="190"/>
      <c r="F454" s="190"/>
      <c r="G454" s="191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/>
      <c r="C455" s="190"/>
      <c r="D455" s="190"/>
      <c r="E455" s="190"/>
      <c r="F455" s="190"/>
      <c r="G455" s="191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/>
      <c r="C456" s="190"/>
      <c r="D456" s="190"/>
      <c r="E456" s="190"/>
      <c r="F456" s="190"/>
      <c r="G456" s="191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/>
      <c r="C457" s="190"/>
      <c r="D457" s="190"/>
      <c r="E457" s="190"/>
      <c r="F457" s="190"/>
      <c r="G457" s="191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/>
      <c r="C458" s="190"/>
      <c r="D458" s="190"/>
      <c r="E458" s="190"/>
      <c r="F458" s="190"/>
      <c r="G458" s="191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/>
      <c r="C459" s="190"/>
      <c r="D459" s="190"/>
      <c r="E459" s="190"/>
      <c r="F459" s="190"/>
      <c r="G459" s="191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/>
      <c r="C460" s="190"/>
      <c r="D460" s="190"/>
      <c r="E460" s="190"/>
      <c r="F460" s="190"/>
      <c r="G460" s="191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/>
      <c r="C461" s="190"/>
      <c r="D461" s="190"/>
      <c r="E461" s="190"/>
      <c r="F461" s="190"/>
      <c r="G461" s="191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/>
      <c r="C462" s="190"/>
      <c r="D462" s="190"/>
      <c r="E462" s="190"/>
      <c r="F462" s="190"/>
      <c r="G462" s="191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/>
      <c r="C463" s="190"/>
      <c r="D463" s="190"/>
      <c r="E463" s="190"/>
      <c r="F463" s="190"/>
      <c r="G463" s="191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/>
      <c r="C464" s="190"/>
      <c r="D464" s="190"/>
      <c r="E464" s="190"/>
      <c r="F464" s="190"/>
      <c r="G464" s="191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/>
      <c r="C465" s="190"/>
      <c r="D465" s="190"/>
      <c r="E465" s="190"/>
      <c r="F465" s="190"/>
      <c r="G465" s="191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/>
      <c r="C466" s="190"/>
      <c r="D466" s="190"/>
      <c r="E466" s="190"/>
      <c r="F466" s="190"/>
      <c r="G466" s="191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/>
      <c r="C467" s="190"/>
      <c r="D467" s="190"/>
      <c r="E467" s="190"/>
      <c r="F467" s="190"/>
      <c r="G467" s="191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/>
      <c r="C468" s="190"/>
      <c r="D468" s="190"/>
      <c r="E468" s="190"/>
      <c r="F468" s="190"/>
      <c r="G468" s="191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/>
      <c r="C469" s="190"/>
      <c r="D469" s="190"/>
      <c r="E469" s="190"/>
      <c r="F469" s="190"/>
      <c r="G469" s="191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/>
      <c r="C470" s="190"/>
      <c r="D470" s="190"/>
      <c r="E470" s="190"/>
      <c r="F470" s="190"/>
      <c r="G470" s="191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/>
      <c r="C471" s="190"/>
      <c r="D471" s="190"/>
      <c r="E471" s="190"/>
      <c r="F471" s="190"/>
      <c r="G471" s="191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/>
      <c r="C472" s="190"/>
      <c r="D472" s="190"/>
      <c r="E472" s="190"/>
      <c r="F472" s="190"/>
      <c r="G472" s="191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/>
      <c r="C473" s="190"/>
      <c r="D473" s="190"/>
      <c r="E473" s="190"/>
      <c r="F473" s="190"/>
      <c r="G473" s="191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/>
      <c r="C474" s="190"/>
      <c r="D474" s="190"/>
      <c r="E474" s="190"/>
      <c r="F474" s="190"/>
      <c r="G474" s="191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/>
      <c r="C475" s="190"/>
      <c r="D475" s="190"/>
      <c r="E475" s="190"/>
      <c r="F475" s="190"/>
      <c r="G475" s="191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/>
      <c r="C476" s="190"/>
      <c r="D476" s="190"/>
      <c r="E476" s="190"/>
      <c r="F476" s="190"/>
      <c r="G476" s="191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/>
      <c r="C477" s="190"/>
      <c r="D477" s="190"/>
      <c r="E477" s="190"/>
      <c r="F477" s="190"/>
      <c r="G477" s="191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/>
      <c r="C478" s="190"/>
      <c r="D478" s="190"/>
      <c r="E478" s="190"/>
      <c r="F478" s="190"/>
      <c r="G478" s="191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/>
      <c r="C479" s="190"/>
      <c r="D479" s="190"/>
      <c r="E479" s="190"/>
      <c r="F479" s="190"/>
      <c r="G479" s="191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/>
      <c r="C480" s="190"/>
      <c r="D480" s="190"/>
      <c r="E480" s="190"/>
      <c r="F480" s="190"/>
      <c r="G480" s="191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/>
      <c r="C481" s="190"/>
      <c r="D481" s="190"/>
      <c r="E481" s="190"/>
      <c r="F481" s="190"/>
      <c r="G481" s="191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/>
      <c r="C482" s="190"/>
      <c r="D482" s="190"/>
      <c r="E482" s="190"/>
      <c r="F482" s="190"/>
      <c r="G482" s="191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/>
      <c r="C483" s="190"/>
      <c r="D483" s="190"/>
      <c r="E483" s="190"/>
      <c r="F483" s="190"/>
      <c r="G483" s="191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/>
      <c r="C484" s="190"/>
      <c r="D484" s="190"/>
      <c r="E484" s="190"/>
      <c r="F484" s="190"/>
      <c r="G484" s="191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/>
      <c r="C485" s="190"/>
      <c r="D485" s="190"/>
      <c r="E485" s="190"/>
      <c r="F485" s="190"/>
      <c r="G485" s="191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/>
      <c r="C486" s="190"/>
      <c r="D486" s="190"/>
      <c r="E486" s="190"/>
      <c r="F486" s="190"/>
      <c r="G486" s="191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/>
      <c r="C487" s="190"/>
      <c r="D487" s="190"/>
      <c r="E487" s="190"/>
      <c r="F487" s="190"/>
      <c r="G487" s="191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/>
      <c r="C488" s="190"/>
      <c r="D488" s="190"/>
      <c r="E488" s="190"/>
      <c r="F488" s="190"/>
      <c r="G488" s="191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/>
      <c r="C489" s="190"/>
      <c r="D489" s="190"/>
      <c r="E489" s="190"/>
      <c r="F489" s="190"/>
      <c r="G489" s="191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/>
      <c r="C490" s="190"/>
      <c r="D490" s="190"/>
      <c r="E490" s="190"/>
      <c r="F490" s="190"/>
      <c r="G490" s="191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/>
      <c r="C491" s="190"/>
      <c r="D491" s="190"/>
      <c r="E491" s="190"/>
      <c r="F491" s="190"/>
      <c r="G491" s="191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/>
      <c r="C492" s="190"/>
      <c r="D492" s="190"/>
      <c r="E492" s="190"/>
      <c r="F492" s="190"/>
      <c r="G492" s="191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/>
      <c r="C493" s="190"/>
      <c r="D493" s="190"/>
      <c r="E493" s="190"/>
      <c r="F493" s="190"/>
      <c r="G493" s="191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/>
      <c r="C494" s="190"/>
      <c r="D494" s="190"/>
      <c r="E494" s="190"/>
      <c r="F494" s="190"/>
      <c r="G494" s="191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/>
      <c r="C495" s="190"/>
      <c r="D495" s="190"/>
      <c r="E495" s="190"/>
      <c r="F495" s="190"/>
      <c r="G495" s="191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/>
      <c r="C496" s="190"/>
      <c r="D496" s="190"/>
      <c r="E496" s="190"/>
      <c r="F496" s="190"/>
      <c r="G496" s="191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/>
      <c r="C497" s="190"/>
      <c r="D497" s="190"/>
      <c r="E497" s="190"/>
      <c r="F497" s="190"/>
      <c r="G497" s="191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/>
      <c r="C498" s="190"/>
      <c r="D498" s="190"/>
      <c r="E498" s="190"/>
      <c r="F498" s="190"/>
      <c r="G498" s="191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/>
      <c r="C499" s="190"/>
      <c r="D499" s="190"/>
      <c r="E499" s="190"/>
      <c r="F499" s="190"/>
      <c r="G499" s="191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/>
      <c r="C500" s="190"/>
      <c r="D500" s="190"/>
      <c r="E500" s="190"/>
      <c r="F500" s="190"/>
      <c r="G500" s="191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/>
      <c r="C501" s="190"/>
      <c r="D501" s="190"/>
      <c r="E501" s="190"/>
      <c r="F501" s="190"/>
      <c r="G501" s="191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/>
      <c r="C502" s="190"/>
      <c r="D502" s="190"/>
      <c r="E502" s="190"/>
      <c r="F502" s="190"/>
      <c r="G502" s="191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/>
      <c r="C503" s="190"/>
      <c r="D503" s="190"/>
      <c r="E503" s="190"/>
      <c r="F503" s="190"/>
      <c r="G503" s="191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/>
      <c r="C504" s="190"/>
      <c r="D504" s="190"/>
      <c r="E504" s="190"/>
      <c r="F504" s="190"/>
      <c r="G504" s="191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/>
      <c r="C505" s="190"/>
      <c r="D505" s="190"/>
      <c r="E505" s="190"/>
      <c r="F505" s="190"/>
      <c r="G505" s="191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/>
      <c r="C506" s="190"/>
      <c r="D506" s="190"/>
      <c r="E506" s="190"/>
      <c r="F506" s="190"/>
      <c r="G506" s="191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/>
      <c r="C507" s="190"/>
      <c r="D507" s="190"/>
      <c r="E507" s="190"/>
      <c r="F507" s="190"/>
      <c r="G507" s="191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/>
      <c r="C508" s="190"/>
      <c r="D508" s="190"/>
      <c r="E508" s="190"/>
      <c r="F508" s="190"/>
      <c r="G508" s="191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/>
      <c r="C509" s="190"/>
      <c r="D509" s="190"/>
      <c r="E509" s="190"/>
      <c r="F509" s="190"/>
      <c r="G509" s="191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/>
      <c r="C510" s="190"/>
      <c r="D510" s="190"/>
      <c r="E510" s="190"/>
      <c r="F510" s="190"/>
      <c r="G510" s="191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/>
      <c r="C511" s="190"/>
      <c r="D511" s="190"/>
      <c r="E511" s="190"/>
      <c r="F511" s="190"/>
      <c r="G511" s="191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/>
      <c r="C512" s="190"/>
      <c r="D512" s="190"/>
      <c r="E512" s="190"/>
      <c r="F512" s="190"/>
      <c r="G512" s="191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/>
      <c r="C513" s="190"/>
      <c r="D513" s="190"/>
      <c r="E513" s="190"/>
      <c r="F513" s="190"/>
      <c r="G513" s="191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/>
      <c r="C514" s="190"/>
      <c r="D514" s="190"/>
      <c r="E514" s="190"/>
      <c r="F514" s="190"/>
      <c r="G514" s="191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/>
      <c r="C515" s="190"/>
      <c r="D515" s="190"/>
      <c r="E515" s="190"/>
      <c r="F515" s="190"/>
      <c r="G515" s="191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/>
      <c r="C516" s="190"/>
      <c r="D516" s="190"/>
      <c r="E516" s="190"/>
      <c r="F516" s="190"/>
      <c r="G516" s="191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/>
      <c r="C517" s="190"/>
      <c r="D517" s="190"/>
      <c r="E517" s="190"/>
      <c r="F517" s="190"/>
      <c r="G517" s="191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/>
      <c r="C518" s="190"/>
      <c r="D518" s="190"/>
      <c r="E518" s="190"/>
      <c r="F518" s="190"/>
      <c r="G518" s="191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/>
      <c r="C519" s="190"/>
      <c r="D519" s="190"/>
      <c r="E519" s="190"/>
      <c r="F519" s="190"/>
      <c r="G519" s="191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/>
      <c r="C520" s="190"/>
      <c r="D520" s="190"/>
      <c r="E520" s="190"/>
      <c r="F520" s="190"/>
      <c r="G520" s="191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/>
      <c r="C521" s="190"/>
      <c r="D521" s="190"/>
      <c r="E521" s="190"/>
      <c r="F521" s="190"/>
      <c r="G521" s="191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/>
      <c r="C522" s="190"/>
      <c r="D522" s="190"/>
      <c r="E522" s="190"/>
      <c r="F522" s="190"/>
      <c r="G522" s="191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/>
      <c r="C523" s="190"/>
      <c r="D523" s="190"/>
      <c r="E523" s="190"/>
      <c r="F523" s="190"/>
      <c r="G523" s="191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/>
      <c r="C524" s="190"/>
      <c r="D524" s="190"/>
      <c r="E524" s="190"/>
      <c r="F524" s="190"/>
      <c r="G524" s="191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/>
      <c r="C525" s="190"/>
      <c r="D525" s="190"/>
      <c r="E525" s="190"/>
      <c r="F525" s="190"/>
      <c r="G525" s="191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/>
      <c r="C526" s="190"/>
      <c r="D526" s="190"/>
      <c r="E526" s="190"/>
      <c r="F526" s="190"/>
      <c r="G526" s="191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/>
      <c r="C527" s="190"/>
      <c r="D527" s="190"/>
      <c r="E527" s="190"/>
      <c r="F527" s="190"/>
      <c r="G527" s="191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/>
      <c r="C528" s="190"/>
      <c r="D528" s="190"/>
      <c r="E528" s="190"/>
      <c r="F528" s="190"/>
      <c r="G528" s="191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/>
      <c r="C529" s="190"/>
      <c r="D529" s="190"/>
      <c r="E529" s="190"/>
      <c r="F529" s="190"/>
      <c r="G529" s="191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/>
      <c r="C530" s="190"/>
      <c r="D530" s="190"/>
      <c r="E530" s="190"/>
      <c r="F530" s="190"/>
      <c r="G530" s="191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/>
      <c r="C531" s="190"/>
      <c r="D531" s="190"/>
      <c r="E531" s="190"/>
      <c r="F531" s="190"/>
      <c r="G531" s="191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/>
      <c r="C532" s="190"/>
      <c r="D532" s="190"/>
      <c r="E532" s="190"/>
      <c r="F532" s="190"/>
      <c r="G532" s="191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/>
      <c r="C533" s="190"/>
      <c r="D533" s="190"/>
      <c r="E533" s="190"/>
      <c r="F533" s="190"/>
      <c r="G533" s="191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/>
      <c r="C534" s="190"/>
      <c r="D534" s="190"/>
      <c r="E534" s="190"/>
      <c r="F534" s="190"/>
      <c r="G534" s="191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/>
      <c r="C535" s="190"/>
      <c r="D535" s="190"/>
      <c r="E535" s="190"/>
      <c r="F535" s="190"/>
      <c r="G535" s="191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/>
      <c r="C536" s="190"/>
      <c r="D536" s="190"/>
      <c r="E536" s="190"/>
      <c r="F536" s="190"/>
      <c r="G536" s="191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/>
      <c r="C537" s="190"/>
      <c r="D537" s="190"/>
      <c r="E537" s="190"/>
      <c r="F537" s="190"/>
      <c r="G537" s="191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/>
      <c r="C538" s="190"/>
      <c r="D538" s="190"/>
      <c r="E538" s="190"/>
      <c r="F538" s="190"/>
      <c r="G538" s="191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/>
      <c r="C539" s="190"/>
      <c r="D539" s="190"/>
      <c r="E539" s="190"/>
      <c r="F539" s="190"/>
      <c r="G539" s="191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/>
      <c r="C540" s="190"/>
      <c r="D540" s="190"/>
      <c r="E540" s="190"/>
      <c r="F540" s="190"/>
      <c r="G540" s="191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/>
      <c r="C541" s="190"/>
      <c r="D541" s="190"/>
      <c r="E541" s="190"/>
      <c r="F541" s="190"/>
      <c r="G541" s="191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/>
      <c r="C542" s="190"/>
      <c r="D542" s="190"/>
      <c r="E542" s="190"/>
      <c r="F542" s="190"/>
      <c r="G542" s="191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/>
      <c r="C543" s="190"/>
      <c r="D543" s="190"/>
      <c r="E543" s="190"/>
      <c r="F543" s="190"/>
      <c r="G543" s="191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/>
      <c r="C544" s="190"/>
      <c r="D544" s="190"/>
      <c r="E544" s="190"/>
      <c r="F544" s="190"/>
      <c r="G544" s="191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/>
      <c r="C545" s="190"/>
      <c r="D545" s="190"/>
      <c r="E545" s="190"/>
      <c r="F545" s="190"/>
      <c r="G545" s="191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/>
      <c r="C546" s="190"/>
      <c r="D546" s="190"/>
      <c r="E546" s="190"/>
      <c r="F546" s="190"/>
      <c r="G546" s="191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/>
      <c r="C547" s="190"/>
      <c r="D547" s="190"/>
      <c r="E547" s="190"/>
      <c r="F547" s="190"/>
      <c r="G547" s="191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/>
      <c r="C548" s="190"/>
      <c r="D548" s="190"/>
      <c r="E548" s="190"/>
      <c r="F548" s="190"/>
      <c r="G548" s="191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/>
      <c r="C549" s="190"/>
      <c r="D549" s="190"/>
      <c r="E549" s="190"/>
      <c r="F549" s="190"/>
      <c r="G549" s="191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/>
      <c r="C550" s="190"/>
      <c r="D550" s="190"/>
      <c r="E550" s="190"/>
      <c r="F550" s="190"/>
      <c r="G550" s="191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/>
      <c r="C551" s="190"/>
      <c r="D551" s="190"/>
      <c r="E551" s="190"/>
      <c r="F551" s="190"/>
      <c r="G551" s="191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/>
      <c r="C552" s="190"/>
      <c r="D552" s="190"/>
      <c r="E552" s="190"/>
      <c r="F552" s="190"/>
      <c r="G552" s="191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/>
      <c r="C553" s="190"/>
      <c r="D553" s="190"/>
      <c r="E553" s="190"/>
      <c r="F553" s="190"/>
      <c r="G553" s="191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/>
      <c r="C554" s="190"/>
      <c r="D554" s="190"/>
      <c r="E554" s="190"/>
      <c r="F554" s="190"/>
      <c r="G554" s="191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/>
      <c r="C555" s="190"/>
      <c r="D555" s="190"/>
      <c r="E555" s="190"/>
      <c r="F555" s="190"/>
      <c r="G555" s="191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/>
      <c r="C556" s="190"/>
      <c r="D556" s="190"/>
      <c r="E556" s="190"/>
      <c r="F556" s="190"/>
      <c r="G556" s="191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/>
      <c r="C557" s="190"/>
      <c r="D557" s="190"/>
      <c r="E557" s="190"/>
      <c r="F557" s="190"/>
      <c r="G557" s="191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/>
      <c r="C558" s="190"/>
      <c r="D558" s="190"/>
      <c r="E558" s="190"/>
      <c r="F558" s="190"/>
      <c r="G558" s="191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/>
      <c r="C559" s="190"/>
      <c r="D559" s="190"/>
      <c r="E559" s="190"/>
      <c r="F559" s="190"/>
      <c r="G559" s="191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/>
      <c r="C560" s="190"/>
      <c r="D560" s="190"/>
      <c r="E560" s="190"/>
      <c r="F560" s="190"/>
      <c r="G560" s="191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/>
      <c r="C561" s="190"/>
      <c r="D561" s="190"/>
      <c r="E561" s="190"/>
      <c r="F561" s="190"/>
      <c r="G561" s="191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/>
      <c r="C562" s="190"/>
      <c r="D562" s="190"/>
      <c r="E562" s="190"/>
      <c r="F562" s="190"/>
      <c r="G562" s="191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/>
      <c r="C563" s="190"/>
      <c r="D563" s="190"/>
      <c r="E563" s="190"/>
      <c r="F563" s="190"/>
      <c r="G563" s="191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/>
      <c r="C564" s="190"/>
      <c r="D564" s="190"/>
      <c r="E564" s="190"/>
      <c r="F564" s="190"/>
      <c r="G564" s="191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/>
      <c r="C565" s="190"/>
      <c r="D565" s="190"/>
      <c r="E565" s="190"/>
      <c r="F565" s="190"/>
      <c r="G565" s="191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/>
      <c r="C566" s="190"/>
      <c r="D566" s="190"/>
      <c r="E566" s="190"/>
      <c r="F566" s="190"/>
      <c r="G566" s="191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/>
      <c r="C567" s="190"/>
      <c r="D567" s="190"/>
      <c r="E567" s="190"/>
      <c r="F567" s="190"/>
      <c r="G567" s="191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/>
      <c r="C568" s="190"/>
      <c r="D568" s="190"/>
      <c r="E568" s="190"/>
      <c r="F568" s="190"/>
      <c r="G568" s="191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/>
      <c r="C569" s="190"/>
      <c r="D569" s="190"/>
      <c r="E569" s="190"/>
      <c r="F569" s="190"/>
      <c r="G569" s="191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/>
      <c r="C570" s="190"/>
      <c r="D570" s="190"/>
      <c r="E570" s="190"/>
      <c r="F570" s="190"/>
      <c r="G570" s="191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/>
      <c r="C571" s="190"/>
      <c r="D571" s="190"/>
      <c r="E571" s="190"/>
      <c r="F571" s="190"/>
      <c r="G571" s="191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/>
      <c r="C572" s="190"/>
      <c r="D572" s="190"/>
      <c r="E572" s="190"/>
      <c r="F572" s="190"/>
      <c r="G572" s="191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/>
      <c r="C573" s="190"/>
      <c r="D573" s="190"/>
      <c r="E573" s="190"/>
      <c r="F573" s="190"/>
      <c r="G573" s="191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/>
      <c r="C574" s="190"/>
      <c r="D574" s="190"/>
      <c r="E574" s="190"/>
      <c r="F574" s="190"/>
      <c r="G574" s="191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/>
      <c r="C575" s="190"/>
      <c r="D575" s="190"/>
      <c r="E575" s="190"/>
      <c r="F575" s="190"/>
      <c r="G575" s="191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/>
      <c r="C576" s="190"/>
      <c r="D576" s="190"/>
      <c r="E576" s="190"/>
      <c r="F576" s="190"/>
      <c r="G576" s="191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/>
      <c r="C577" s="190"/>
      <c r="D577" s="190"/>
      <c r="E577" s="190"/>
      <c r="F577" s="190"/>
      <c r="G577" s="191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/>
      <c r="C578" s="190"/>
      <c r="D578" s="190"/>
      <c r="E578" s="190"/>
      <c r="F578" s="190"/>
      <c r="G578" s="191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/>
      <c r="C579" s="190"/>
      <c r="D579" s="190"/>
      <c r="E579" s="190"/>
      <c r="F579" s="190"/>
      <c r="G579" s="191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/>
      <c r="C580" s="190"/>
      <c r="D580" s="190"/>
      <c r="E580" s="190"/>
      <c r="F580" s="190"/>
      <c r="G580" s="191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/>
      <c r="C581" s="190"/>
      <c r="D581" s="190"/>
      <c r="E581" s="190"/>
      <c r="F581" s="190"/>
      <c r="G581" s="191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/>
      <c r="C582" s="190"/>
      <c r="D582" s="190"/>
      <c r="E582" s="190"/>
      <c r="F582" s="190"/>
      <c r="G582" s="191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/>
      <c r="C583" s="190"/>
      <c r="D583" s="190"/>
      <c r="E583" s="190"/>
      <c r="F583" s="190"/>
      <c r="G583" s="191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/>
      <c r="C584" s="190"/>
      <c r="D584" s="190"/>
      <c r="E584" s="190"/>
      <c r="F584" s="190"/>
      <c r="G584" s="191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/>
      <c r="C585" s="190"/>
      <c r="D585" s="190"/>
      <c r="E585" s="190"/>
      <c r="F585" s="190"/>
      <c r="G585" s="191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/>
      <c r="C586" s="190"/>
      <c r="D586" s="190"/>
      <c r="E586" s="190"/>
      <c r="F586" s="190"/>
      <c r="G586" s="191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/>
      <c r="C587" s="190"/>
      <c r="D587" s="190"/>
      <c r="E587" s="190"/>
      <c r="F587" s="190"/>
      <c r="G587" s="191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/>
      <c r="C588" s="190"/>
      <c r="D588" s="190"/>
      <c r="E588" s="190"/>
      <c r="F588" s="190"/>
      <c r="G588" s="191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/>
      <c r="C589" s="190"/>
      <c r="D589" s="190"/>
      <c r="E589" s="190"/>
      <c r="F589" s="190"/>
      <c r="G589" s="191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/>
      <c r="C590" s="190"/>
      <c r="D590" s="190"/>
      <c r="E590" s="190"/>
      <c r="F590" s="190"/>
      <c r="G590" s="191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/>
      <c r="C591" s="190"/>
      <c r="D591" s="190"/>
      <c r="E591" s="190"/>
      <c r="F591" s="190"/>
      <c r="G591" s="191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/>
      <c r="C592" s="190"/>
      <c r="D592" s="190"/>
      <c r="E592" s="190"/>
      <c r="F592" s="190"/>
      <c r="G592" s="191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/>
      <c r="C593" s="190"/>
      <c r="D593" s="190"/>
      <c r="E593" s="190"/>
      <c r="F593" s="190"/>
      <c r="G593" s="191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/>
      <c r="C594" s="190"/>
      <c r="D594" s="190"/>
      <c r="E594" s="190"/>
      <c r="F594" s="190"/>
      <c r="G594" s="191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/>
      <c r="C595" s="190"/>
      <c r="D595" s="190"/>
      <c r="E595" s="190"/>
      <c r="F595" s="190"/>
      <c r="G595" s="191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/>
      <c r="C596" s="190"/>
      <c r="D596" s="190"/>
      <c r="E596" s="190"/>
      <c r="F596" s="190"/>
      <c r="G596" s="191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/>
      <c r="C597" s="190"/>
      <c r="D597" s="190"/>
      <c r="E597" s="190"/>
      <c r="F597" s="190"/>
      <c r="G597" s="191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/>
      <c r="C598" s="190"/>
      <c r="D598" s="190"/>
      <c r="E598" s="190"/>
      <c r="F598" s="190"/>
      <c r="G598" s="191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/>
      <c r="C599" s="190"/>
      <c r="D599" s="190"/>
      <c r="E599" s="190"/>
      <c r="F599" s="190"/>
      <c r="G599" s="191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/>
      <c r="C600" s="190"/>
      <c r="D600" s="190"/>
      <c r="E600" s="190"/>
      <c r="F600" s="190"/>
      <c r="G600" s="191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/>
      <c r="C601" s="190"/>
      <c r="D601" s="190"/>
      <c r="E601" s="190"/>
      <c r="F601" s="190"/>
      <c r="G601" s="191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/>
      <c r="C602" s="190"/>
      <c r="D602" s="190"/>
      <c r="E602" s="190"/>
      <c r="F602" s="190"/>
      <c r="G602" s="191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/>
      <c r="C603" s="190"/>
      <c r="D603" s="190"/>
      <c r="E603" s="190"/>
      <c r="F603" s="190"/>
      <c r="G603" s="191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/>
      <c r="C604" s="190"/>
      <c r="D604" s="190"/>
      <c r="E604" s="190"/>
      <c r="F604" s="190"/>
      <c r="G604" s="191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/>
      <c r="C605" s="190"/>
      <c r="D605" s="190"/>
      <c r="E605" s="190"/>
      <c r="F605" s="190"/>
      <c r="G605" s="191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/>
      <c r="C606" s="190"/>
      <c r="D606" s="190"/>
      <c r="E606" s="190"/>
      <c r="F606" s="190"/>
      <c r="G606" s="191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/>
      <c r="C607" s="190"/>
      <c r="D607" s="190"/>
      <c r="E607" s="190"/>
      <c r="F607" s="190"/>
      <c r="G607" s="191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/>
      <c r="C608" s="190"/>
      <c r="D608" s="190"/>
      <c r="E608" s="190"/>
      <c r="F608" s="190"/>
      <c r="G608" s="191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/>
      <c r="C609" s="190"/>
      <c r="D609" s="190"/>
      <c r="E609" s="190"/>
      <c r="F609" s="190"/>
      <c r="G609" s="191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/>
      <c r="C610" s="190"/>
      <c r="D610" s="190"/>
      <c r="E610" s="190"/>
      <c r="F610" s="190"/>
      <c r="G610" s="191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/>
      <c r="C611" s="190"/>
      <c r="D611" s="190"/>
      <c r="E611" s="190"/>
      <c r="F611" s="190"/>
      <c r="G611" s="191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/>
      <c r="C612" s="190"/>
      <c r="D612" s="190"/>
      <c r="E612" s="190"/>
      <c r="F612" s="190"/>
      <c r="G612" s="191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/>
      <c r="C613" s="190"/>
      <c r="D613" s="190"/>
      <c r="E613" s="190"/>
      <c r="F613" s="190"/>
      <c r="G613" s="191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/>
      <c r="C614" s="190"/>
      <c r="D614" s="190"/>
      <c r="E614" s="190"/>
      <c r="F614" s="190"/>
      <c r="G614" s="191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/>
      <c r="C615" s="190"/>
      <c r="D615" s="190"/>
      <c r="E615" s="190"/>
      <c r="F615" s="190"/>
      <c r="G615" s="191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/>
      <c r="C616" s="190"/>
      <c r="D616" s="190"/>
      <c r="E616" s="190"/>
      <c r="F616" s="190"/>
      <c r="G616" s="191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/>
      <c r="C617" s="190"/>
      <c r="D617" s="190"/>
      <c r="E617" s="190"/>
      <c r="F617" s="190"/>
      <c r="G617" s="191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/>
      <c r="C618" s="190"/>
      <c r="D618" s="190"/>
      <c r="E618" s="190"/>
      <c r="F618" s="190"/>
      <c r="G618" s="191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/>
      <c r="C619" s="190"/>
      <c r="D619" s="190"/>
      <c r="E619" s="190"/>
      <c r="F619" s="190"/>
      <c r="G619" s="191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/>
      <c r="C620" s="190"/>
      <c r="D620" s="190"/>
      <c r="E620" s="190"/>
      <c r="F620" s="190"/>
      <c r="G620" s="191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/>
      <c r="C621" s="190"/>
      <c r="D621" s="190"/>
      <c r="E621" s="190"/>
      <c r="F621" s="190"/>
      <c r="G621" s="191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/>
      <c r="C622" s="190"/>
      <c r="D622" s="190"/>
      <c r="E622" s="190"/>
      <c r="F622" s="190"/>
      <c r="G622" s="191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/>
      <c r="C623" s="190"/>
      <c r="D623" s="190"/>
      <c r="E623" s="190"/>
      <c r="F623" s="190"/>
      <c r="G623" s="191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/>
      <c r="C624" s="190"/>
      <c r="D624" s="190"/>
      <c r="E624" s="190"/>
      <c r="F624" s="190"/>
      <c r="G624" s="191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/>
      <c r="C625" s="190"/>
      <c r="D625" s="190"/>
      <c r="E625" s="190"/>
      <c r="F625" s="190"/>
      <c r="G625" s="191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/>
      <c r="C626" s="190"/>
      <c r="D626" s="190"/>
      <c r="E626" s="190"/>
      <c r="F626" s="190"/>
      <c r="G626" s="191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/>
      <c r="C627" s="190"/>
      <c r="D627" s="190"/>
      <c r="E627" s="190"/>
      <c r="F627" s="190"/>
      <c r="G627" s="191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/>
      <c r="C628" s="190"/>
      <c r="D628" s="190"/>
      <c r="E628" s="190"/>
      <c r="F628" s="190"/>
      <c r="G628" s="191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/>
      <c r="C629" s="190"/>
      <c r="D629" s="190"/>
      <c r="E629" s="190"/>
      <c r="F629" s="190"/>
      <c r="G629" s="191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/>
      <c r="C630" s="190"/>
      <c r="D630" s="190"/>
      <c r="E630" s="190"/>
      <c r="F630" s="190"/>
      <c r="G630" s="191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/>
      <c r="C631" s="190"/>
      <c r="D631" s="190"/>
      <c r="E631" s="190"/>
      <c r="F631" s="190"/>
      <c r="G631" s="191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/>
      <c r="C632" s="190"/>
      <c r="D632" s="190"/>
      <c r="E632" s="190"/>
      <c r="F632" s="190"/>
      <c r="G632" s="191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/>
      <c r="C633" s="190"/>
      <c r="D633" s="190"/>
      <c r="E633" s="190"/>
      <c r="F633" s="190"/>
      <c r="G633" s="191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/>
      <c r="C634" s="190"/>
      <c r="D634" s="190"/>
      <c r="E634" s="190"/>
      <c r="F634" s="190"/>
      <c r="G634" s="191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/>
      <c r="C635" s="190"/>
      <c r="D635" s="190"/>
      <c r="E635" s="190"/>
      <c r="F635" s="190"/>
      <c r="G635" s="191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/>
      <c r="C636" s="190"/>
      <c r="D636" s="190"/>
      <c r="E636" s="190"/>
      <c r="F636" s="190"/>
      <c r="G636" s="191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/>
      <c r="C637" s="190"/>
      <c r="D637" s="190"/>
      <c r="E637" s="190"/>
      <c r="F637" s="190"/>
      <c r="G637" s="191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/>
      <c r="C638" s="190"/>
      <c r="D638" s="190"/>
      <c r="E638" s="190"/>
      <c r="F638" s="190"/>
      <c r="G638" s="191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/>
      <c r="C639" s="190"/>
      <c r="D639" s="190"/>
      <c r="E639" s="190"/>
      <c r="F639" s="190"/>
      <c r="G639" s="191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/>
      <c r="C640" s="190"/>
      <c r="D640" s="190"/>
      <c r="E640" s="190"/>
      <c r="F640" s="190"/>
      <c r="G640" s="191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/>
      <c r="C641" s="190"/>
      <c r="D641" s="190"/>
      <c r="E641" s="190"/>
      <c r="F641" s="190"/>
      <c r="G641" s="191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/>
      <c r="C642" s="190"/>
      <c r="D642" s="190"/>
      <c r="E642" s="190"/>
      <c r="F642" s="190"/>
      <c r="G642" s="191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/>
      <c r="C643" s="190"/>
      <c r="D643" s="190"/>
      <c r="E643" s="190"/>
      <c r="F643" s="190"/>
      <c r="G643" s="191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/>
      <c r="C644" s="190"/>
      <c r="D644" s="190"/>
      <c r="E644" s="190"/>
      <c r="F644" s="190"/>
      <c r="G644" s="191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/>
      <c r="C645" s="190"/>
      <c r="D645" s="190"/>
      <c r="E645" s="190"/>
      <c r="F645" s="190"/>
      <c r="G645" s="191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/>
      <c r="C646" s="190"/>
      <c r="D646" s="190"/>
      <c r="E646" s="190"/>
      <c r="F646" s="190"/>
      <c r="G646" s="191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/>
      <c r="C647" s="190"/>
      <c r="D647" s="190"/>
      <c r="E647" s="190"/>
      <c r="F647" s="190"/>
      <c r="G647" s="191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/>
      <c r="C648" s="190"/>
      <c r="D648" s="190"/>
      <c r="E648" s="190"/>
      <c r="F648" s="190"/>
      <c r="G648" s="191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/>
      <c r="C649" s="190"/>
      <c r="D649" s="190"/>
      <c r="E649" s="190"/>
      <c r="F649" s="190"/>
      <c r="G649" s="191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/>
      <c r="C650" s="190"/>
      <c r="D650" s="190"/>
      <c r="E650" s="190"/>
      <c r="F650" s="190"/>
      <c r="G650" s="191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/>
      <c r="C651" s="190"/>
      <c r="D651" s="190"/>
      <c r="E651" s="190"/>
      <c r="F651" s="190"/>
      <c r="G651" s="191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/>
      <c r="C652" s="190"/>
      <c r="D652" s="190"/>
      <c r="E652" s="190"/>
      <c r="F652" s="190"/>
      <c r="G652" s="191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/>
      <c r="C653" s="190"/>
      <c r="D653" s="190"/>
      <c r="E653" s="190"/>
      <c r="F653" s="190"/>
      <c r="G653" s="191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/>
      <c r="C654" s="190"/>
      <c r="D654" s="190"/>
      <c r="E654" s="190"/>
      <c r="F654" s="190"/>
      <c r="G654" s="191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/>
      <c r="C655" s="190"/>
      <c r="D655" s="190"/>
      <c r="E655" s="190"/>
      <c r="F655" s="190"/>
      <c r="G655" s="191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/>
      <c r="C656" s="190"/>
      <c r="D656" s="190"/>
      <c r="E656" s="190"/>
      <c r="F656" s="190"/>
      <c r="G656" s="191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/>
      <c r="C657" s="190"/>
      <c r="D657" s="190"/>
      <c r="E657" s="190"/>
      <c r="F657" s="190"/>
      <c r="G657" s="191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/>
      <c r="C658" s="190"/>
      <c r="D658" s="190"/>
      <c r="E658" s="190"/>
      <c r="F658" s="190"/>
      <c r="G658" s="191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/>
      <c r="C659" s="190"/>
      <c r="D659" s="190"/>
      <c r="E659" s="190"/>
      <c r="F659" s="190"/>
      <c r="G659" s="191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/>
      <c r="C660" s="190"/>
      <c r="D660" s="190"/>
      <c r="E660" s="190"/>
      <c r="F660" s="190"/>
      <c r="G660" s="191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/>
      <c r="C661" s="190"/>
      <c r="D661" s="190"/>
      <c r="E661" s="190"/>
      <c r="F661" s="190"/>
      <c r="G661" s="191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/>
      <c r="C662" s="190"/>
      <c r="D662" s="190"/>
      <c r="E662" s="190"/>
      <c r="F662" s="190"/>
      <c r="G662" s="191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/>
      <c r="C663" s="190"/>
      <c r="D663" s="190"/>
      <c r="E663" s="190"/>
      <c r="F663" s="190"/>
      <c r="G663" s="191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/>
      <c r="C664" s="190"/>
      <c r="D664" s="190"/>
      <c r="E664" s="190"/>
      <c r="F664" s="190"/>
      <c r="G664" s="191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/>
      <c r="C665" s="190"/>
      <c r="D665" s="190"/>
      <c r="E665" s="190"/>
      <c r="F665" s="190"/>
      <c r="G665" s="191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/>
      <c r="C666" s="190"/>
      <c r="D666" s="190"/>
      <c r="E666" s="190"/>
      <c r="F666" s="190"/>
      <c r="G666" s="191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/>
      <c r="C667" s="190"/>
      <c r="D667" s="190"/>
      <c r="E667" s="190"/>
      <c r="F667" s="190"/>
      <c r="G667" s="191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/>
      <c r="C668" s="190"/>
      <c r="D668" s="190"/>
      <c r="E668" s="190"/>
      <c r="F668" s="190"/>
      <c r="G668" s="191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/>
      <c r="C669" s="190"/>
      <c r="D669" s="190"/>
      <c r="E669" s="190"/>
      <c r="F669" s="190"/>
      <c r="G669" s="191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/>
      <c r="C670" s="190"/>
      <c r="D670" s="190"/>
      <c r="E670" s="190"/>
      <c r="F670" s="190"/>
      <c r="G670" s="191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/>
      <c r="C671" s="190"/>
      <c r="D671" s="190"/>
      <c r="E671" s="190"/>
      <c r="F671" s="190"/>
      <c r="G671" s="191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/>
      <c r="C672" s="190"/>
      <c r="D672" s="190"/>
      <c r="E672" s="190"/>
      <c r="F672" s="190"/>
      <c r="G672" s="191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/>
      <c r="C673" s="190"/>
      <c r="D673" s="190"/>
      <c r="E673" s="190"/>
      <c r="F673" s="190"/>
      <c r="G673" s="191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/>
      <c r="C674" s="190"/>
      <c r="D674" s="190"/>
      <c r="E674" s="190"/>
      <c r="F674" s="190"/>
      <c r="G674" s="191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/>
      <c r="C675" s="190"/>
      <c r="D675" s="190"/>
      <c r="E675" s="190"/>
      <c r="F675" s="190"/>
      <c r="G675" s="191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/>
      <c r="C676" s="190"/>
      <c r="D676" s="190"/>
      <c r="E676" s="190"/>
      <c r="F676" s="190"/>
      <c r="G676" s="191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/>
      <c r="C678" s="190"/>
      <c r="D678" s="190"/>
      <c r="E678" s="190"/>
      <c r="F678" s="190"/>
      <c r="G678" s="191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/>
      <c r="C679" s="190"/>
      <c r="D679" s="190"/>
      <c r="E679" s="190"/>
      <c r="F679" s="190"/>
      <c r="G679" s="191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/>
      <c r="C680" s="190"/>
      <c r="D680" s="190"/>
      <c r="E680" s="190"/>
      <c r="F680" s="190"/>
      <c r="G680" s="191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/>
      <c r="C681" s="190"/>
      <c r="D681" s="190"/>
      <c r="E681" s="190"/>
      <c r="F681" s="190"/>
      <c r="G681" s="191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/>
      <c r="C682" s="190"/>
      <c r="D682" s="190"/>
      <c r="E682" s="190"/>
      <c r="F682" s="190"/>
      <c r="G682" s="191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/>
      <c r="C683" s="190"/>
      <c r="D683" s="190"/>
      <c r="E683" s="190"/>
      <c r="F683" s="190"/>
      <c r="G683" s="191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/>
      <c r="C684" s="190"/>
      <c r="D684" s="190"/>
      <c r="E684" s="190"/>
      <c r="F684" s="190"/>
      <c r="G684" s="191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/>
      <c r="C685" s="190"/>
      <c r="D685" s="190"/>
      <c r="E685" s="190"/>
      <c r="F685" s="190"/>
      <c r="G685" s="191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/>
      <c r="C686" s="190"/>
      <c r="D686" s="190"/>
      <c r="E686" s="190"/>
      <c r="F686" s="190"/>
      <c r="G686" s="191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/>
      <c r="C687" s="190"/>
      <c r="D687" s="190"/>
      <c r="E687" s="190"/>
      <c r="F687" s="190"/>
      <c r="G687" s="191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/>
      <c r="C688" s="190"/>
      <c r="D688" s="190"/>
      <c r="E688" s="190"/>
      <c r="F688" s="190"/>
      <c r="G688" s="191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/>
      <c r="C689" s="190"/>
      <c r="D689" s="190"/>
      <c r="E689" s="190"/>
      <c r="F689" s="190"/>
      <c r="G689" s="191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/>
      <c r="C690" s="190"/>
      <c r="D690" s="190"/>
      <c r="E690" s="190"/>
      <c r="F690" s="190"/>
      <c r="G690" s="191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/>
      <c r="C691" s="190"/>
      <c r="D691" s="190"/>
      <c r="E691" s="190"/>
      <c r="F691" s="190"/>
      <c r="G691" s="191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/>
      <c r="C692" s="190"/>
      <c r="D692" s="190"/>
      <c r="E692" s="190"/>
      <c r="F692" s="190"/>
      <c r="G692" s="191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/>
      <c r="C693" s="190"/>
      <c r="D693" s="190"/>
      <c r="E693" s="190"/>
      <c r="F693" s="190"/>
      <c r="G693" s="191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/>
      <c r="C694" s="190"/>
      <c r="D694" s="190"/>
      <c r="E694" s="190"/>
      <c r="F694" s="190"/>
      <c r="G694" s="191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/>
      <c r="C695" s="190"/>
      <c r="D695" s="190"/>
      <c r="E695" s="190"/>
      <c r="F695" s="190"/>
      <c r="G695" s="191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/>
      <c r="C696" s="190"/>
      <c r="D696" s="190"/>
      <c r="E696" s="190"/>
      <c r="F696" s="190"/>
      <c r="G696" s="191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/>
      <c r="C697" s="190"/>
      <c r="D697" s="190"/>
      <c r="E697" s="190"/>
      <c r="F697" s="190"/>
      <c r="G697" s="191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/>
      <c r="C698" s="190"/>
      <c r="D698" s="190"/>
      <c r="E698" s="190"/>
      <c r="F698" s="190"/>
      <c r="G698" s="191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/>
      <c r="C699" s="190"/>
      <c r="D699" s="190"/>
      <c r="E699" s="190"/>
      <c r="F699" s="190"/>
      <c r="G699" s="191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/>
      <c r="C700" s="190"/>
      <c r="D700" s="190"/>
      <c r="E700" s="190"/>
      <c r="F700" s="190"/>
      <c r="G700" s="191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/>
      <c r="C701" s="190"/>
      <c r="D701" s="190"/>
      <c r="E701" s="190"/>
      <c r="F701" s="190"/>
      <c r="G701" s="191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/>
      <c r="C702" s="190"/>
      <c r="D702" s="190"/>
      <c r="E702" s="190"/>
      <c r="F702" s="190"/>
      <c r="G702" s="191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/>
      <c r="C703" s="190"/>
      <c r="D703" s="190"/>
      <c r="E703" s="190"/>
      <c r="F703" s="190"/>
      <c r="G703" s="191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/>
      <c r="C704" s="190"/>
      <c r="D704" s="190"/>
      <c r="E704" s="190"/>
      <c r="F704" s="190"/>
      <c r="G704" s="191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/>
      <c r="C705" s="190"/>
      <c r="D705" s="190"/>
      <c r="E705" s="190"/>
      <c r="F705" s="190"/>
      <c r="G705" s="191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/>
      <c r="C706" s="190"/>
      <c r="D706" s="190"/>
      <c r="E706" s="190"/>
      <c r="F706" s="190"/>
      <c r="G706" s="191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/>
      <c r="C707" s="190"/>
      <c r="D707" s="190"/>
      <c r="E707" s="190"/>
      <c r="F707" s="190"/>
      <c r="G707" s="191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/>
      <c r="C708" s="190"/>
      <c r="D708" s="190"/>
      <c r="E708" s="190"/>
      <c r="F708" s="190"/>
      <c r="G708" s="191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/>
      <c r="C709" s="190"/>
      <c r="D709" s="190"/>
      <c r="E709" s="190"/>
      <c r="F709" s="190"/>
      <c r="G709" s="191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/>
      <c r="C710" s="190"/>
      <c r="D710" s="190"/>
      <c r="E710" s="190"/>
      <c r="F710" s="190"/>
      <c r="G710" s="191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/>
      <c r="C711" s="190"/>
      <c r="D711" s="190"/>
      <c r="E711" s="190"/>
      <c r="F711" s="190"/>
      <c r="G711" s="191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/>
      <c r="C712" s="190"/>
      <c r="D712" s="190"/>
      <c r="E712" s="190"/>
      <c r="F712" s="190"/>
      <c r="G712" s="191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/>
      <c r="C713" s="190"/>
      <c r="D713" s="190"/>
      <c r="E713" s="190"/>
      <c r="F713" s="190"/>
      <c r="G713" s="191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/>
      <c r="C714" s="190"/>
      <c r="D714" s="190"/>
      <c r="E714" s="190"/>
      <c r="F714" s="190"/>
      <c r="G714" s="191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/>
      <c r="C715" s="190"/>
      <c r="D715" s="190"/>
      <c r="E715" s="190"/>
      <c r="F715" s="190"/>
      <c r="G715" s="191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/>
      <c r="C716" s="190"/>
      <c r="D716" s="190"/>
      <c r="E716" s="190"/>
      <c r="F716" s="190"/>
      <c r="G716" s="191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/>
      <c r="C717" s="190"/>
      <c r="D717" s="190"/>
      <c r="E717" s="190"/>
      <c r="F717" s="190"/>
      <c r="G717" s="191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/>
      <c r="C718" s="190"/>
      <c r="D718" s="190"/>
      <c r="E718" s="190"/>
      <c r="F718" s="190"/>
      <c r="G718" s="191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/>
      <c r="C719" s="190"/>
      <c r="D719" s="190"/>
      <c r="E719" s="190"/>
      <c r="F719" s="190"/>
      <c r="G719" s="191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/>
      <c r="C720" s="190"/>
      <c r="D720" s="190"/>
      <c r="E720" s="190"/>
      <c r="F720" s="190"/>
      <c r="G720" s="191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/>
      <c r="C721" s="190"/>
      <c r="D721" s="190"/>
      <c r="E721" s="190"/>
      <c r="F721" s="190"/>
      <c r="G721" s="191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/>
      <c r="C722" s="190"/>
      <c r="D722" s="190"/>
      <c r="E722" s="190"/>
      <c r="F722" s="190"/>
      <c r="G722" s="191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/>
      <c r="C723" s="190"/>
      <c r="D723" s="190"/>
      <c r="E723" s="190"/>
      <c r="F723" s="190"/>
      <c r="G723" s="191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/>
      <c r="C724" s="190"/>
      <c r="D724" s="190"/>
      <c r="E724" s="190"/>
      <c r="F724" s="190"/>
      <c r="G724" s="191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/>
      <c r="C725" s="190"/>
      <c r="D725" s="190"/>
      <c r="E725" s="190"/>
      <c r="F725" s="190"/>
      <c r="G725" s="191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/>
      <c r="C726" s="190"/>
      <c r="D726" s="190"/>
      <c r="E726" s="190"/>
      <c r="F726" s="190"/>
      <c r="G726" s="191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/>
      <c r="C727" s="190"/>
      <c r="D727" s="190"/>
      <c r="E727" s="190"/>
      <c r="F727" s="190"/>
      <c r="G727" s="191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/>
      <c r="C728" s="190"/>
      <c r="D728" s="190"/>
      <c r="E728" s="190"/>
      <c r="F728" s="190"/>
      <c r="G728" s="191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/>
      <c r="C729" s="190"/>
      <c r="D729" s="190"/>
      <c r="E729" s="190"/>
      <c r="F729" s="190"/>
      <c r="G729" s="191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/>
      <c r="C730" s="190"/>
      <c r="D730" s="190"/>
      <c r="E730" s="190"/>
      <c r="F730" s="190"/>
      <c r="G730" s="191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/>
      <c r="C731" s="190"/>
      <c r="D731" s="190"/>
      <c r="E731" s="190"/>
      <c r="F731" s="190"/>
      <c r="G731" s="191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/>
      <c r="C732" s="190"/>
      <c r="D732" s="190"/>
      <c r="E732" s="190"/>
      <c r="F732" s="190"/>
      <c r="G732" s="191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/>
      <c r="C733" s="190"/>
      <c r="D733" s="190"/>
      <c r="E733" s="190"/>
      <c r="F733" s="190"/>
      <c r="G733" s="191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/>
      <c r="C734" s="190"/>
      <c r="D734" s="190"/>
      <c r="E734" s="190"/>
      <c r="F734" s="190"/>
      <c r="G734" s="191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/>
      <c r="C735" s="190"/>
      <c r="D735" s="190"/>
      <c r="E735" s="190"/>
      <c r="F735" s="190"/>
      <c r="G735" s="191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/>
      <c r="C736" s="190"/>
      <c r="D736" s="190"/>
      <c r="E736" s="190"/>
      <c r="F736" s="190"/>
      <c r="G736" s="191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/>
      <c r="C737" s="190"/>
      <c r="D737" s="190"/>
      <c r="E737" s="190"/>
      <c r="F737" s="190"/>
      <c r="G737" s="191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/>
      <c r="C738" s="190"/>
      <c r="D738" s="190"/>
      <c r="E738" s="190"/>
      <c r="F738" s="190"/>
      <c r="G738" s="191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/>
      <c r="C739" s="190"/>
      <c r="D739" s="190"/>
      <c r="E739" s="190"/>
      <c r="F739" s="190"/>
      <c r="G739" s="191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/>
      <c r="C740" s="190"/>
      <c r="D740" s="190"/>
      <c r="E740" s="190"/>
      <c r="F740" s="190"/>
      <c r="G740" s="191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/>
      <c r="C741" s="190"/>
      <c r="D741" s="190"/>
      <c r="E741" s="190"/>
      <c r="F741" s="190"/>
      <c r="G741" s="191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/>
      <c r="C742" s="190"/>
      <c r="D742" s="190"/>
      <c r="E742" s="190"/>
      <c r="F742" s="190"/>
      <c r="G742" s="191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/>
      <c r="C743" s="190"/>
      <c r="D743" s="190"/>
      <c r="E743" s="190"/>
      <c r="F743" s="190"/>
      <c r="G743" s="191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/>
      <c r="C744" s="190"/>
      <c r="D744" s="190"/>
      <c r="E744" s="190"/>
      <c r="F744" s="190"/>
      <c r="G744" s="191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/>
      <c r="C745" s="190"/>
      <c r="D745" s="190"/>
      <c r="E745" s="190"/>
      <c r="F745" s="190"/>
      <c r="G745" s="191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/>
      <c r="C746" s="190"/>
      <c r="D746" s="190"/>
      <c r="E746" s="190"/>
      <c r="F746" s="190"/>
      <c r="G746" s="191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/>
      <c r="C747" s="190"/>
      <c r="D747" s="190"/>
      <c r="E747" s="190"/>
      <c r="F747" s="190"/>
      <c r="G747" s="191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/>
      <c r="C748" s="190"/>
      <c r="D748" s="190"/>
      <c r="E748" s="190"/>
      <c r="F748" s="190"/>
      <c r="G748" s="191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/>
      <c r="C749" s="190"/>
      <c r="D749" s="190"/>
      <c r="E749" s="190"/>
      <c r="F749" s="190"/>
      <c r="G749" s="191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/>
      <c r="C750" s="190"/>
      <c r="D750" s="190"/>
      <c r="E750" s="190"/>
      <c r="F750" s="190"/>
      <c r="G750" s="191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/>
      <c r="C751" s="190"/>
      <c r="D751" s="190"/>
      <c r="E751" s="190"/>
      <c r="F751" s="190"/>
      <c r="G751" s="191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/>
      <c r="C752" s="190"/>
      <c r="D752" s="190"/>
      <c r="E752" s="190"/>
      <c r="F752" s="190"/>
      <c r="G752" s="191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/>
      <c r="C753" s="190"/>
      <c r="D753" s="190"/>
      <c r="E753" s="190"/>
      <c r="F753" s="190"/>
      <c r="G753" s="191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110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IFERROR(__xludf.DUMMYFUNCTION("GOOGLEFINANCE(B16,""name"")"),"Taiwan Semiconductor Manufacturng Co Ltd")</f>
        <v>Taiwan Semiconductor Manufacturng Co Ltd</v>
      </c>
      <c r="H5" s="64"/>
      <c r="I5" s="64"/>
      <c r="J5" s="157"/>
      <c r="K5" s="64"/>
      <c r="L5" s="64"/>
      <c r="M5" s="64"/>
      <c r="N5" s="64"/>
      <c r="O5" s="201" t="s">
        <v>254</v>
      </c>
      <c r="P5" s="164"/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IFERROR(__xludf.DUMMYFUNCTION("GOOGLEFINANCE(B16,""price"")"),2355.0)</f>
        <v>2355</v>
      </c>
      <c r="D8" s="171">
        <f>IFERROR(__xludf.DUMMYFUNCTION("IFERROR(GOOGLEFINANCE(B16,""change""),""-"")"),60.0)</f>
        <v>60</v>
      </c>
      <c r="E8" s="172">
        <f>IFERROR(__xludf.DUMMYFUNCTION("IFERROR(GOOGLEFINANCE(B16,""changepct"")/100,""-"")"),0.026099999999999998)</f>
        <v>0.0261</v>
      </c>
      <c r="F8" s="64"/>
      <c r="G8" s="64"/>
      <c r="H8" s="64"/>
      <c r="I8" s="64"/>
      <c r="J8" s="202">
        <f>SUM(K26:K100)</f>
        <v>160</v>
      </c>
      <c r="K8" s="203">
        <f>SUM(N26:N100)</f>
        <v>228561</v>
      </c>
      <c r="L8" s="175">
        <f>O43</f>
        <v>1428.50625</v>
      </c>
      <c r="M8" s="64"/>
      <c r="N8" s="176" t="s">
        <v>112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>
        <f>IFERROR(__xludf.DUMMYFUNCTION("IFERROR(GOOGLEFINANCE(B16,""marketcap""),""-"")"),1.867731125435E12)</f>
        <v>1867731125435</v>
      </c>
      <c r="C12" s="181">
        <f>IFERROR(__xludf.DUMMYFUNCTION("IFERROR(GOOGLEFINANCE(B16,""pe""),""-"")"),31.19)</f>
        <v>31.19</v>
      </c>
      <c r="D12" s="181" t="str">
        <f>IFERROR(__xludf.DUMMYFUNCTION("IFERROR(GOOGLEFINANCE(B16,""beta""),""-"")"),"-")</f>
        <v>-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246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TPE:2330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IFERROR(__xludf.DUMMYFUNCTION("""COMPUTED_VALUE"""),45992.5625)</f>
        <v>45992.5625</v>
      </c>
      <c r="C26" s="190">
        <f>IFERROR(__xludf.DUMMYFUNCTION("""COMPUTED_VALUE"""),1445.0)</f>
        <v>1445</v>
      </c>
      <c r="D26" s="190">
        <f>IFERROR(__xludf.DUMMYFUNCTION("""COMPUTED_VALUE"""),1445.0)</f>
        <v>1445</v>
      </c>
      <c r="E26" s="190">
        <f>IFERROR(__xludf.DUMMYFUNCTION("""COMPUTED_VALUE"""),1410.0)</f>
        <v>1410</v>
      </c>
      <c r="F26" s="190">
        <f>IFERROR(__xludf.DUMMYFUNCTION("""COMPUTED_VALUE"""),1410.0)</f>
        <v>1410</v>
      </c>
      <c r="G26" s="191">
        <f>IFERROR(__xludf.DUMMYFUNCTION("""COMPUTED_VALUE"""),3.0559208E7)</f>
        <v>30559208</v>
      </c>
      <c r="H26" s="112"/>
      <c r="I26" s="112"/>
      <c r="J26" s="192">
        <v>45846.0</v>
      </c>
      <c r="K26" s="204">
        <v>10.0</v>
      </c>
      <c r="L26" s="194">
        <v>1075.0</v>
      </c>
      <c r="M26" s="94">
        <v>4.0</v>
      </c>
      <c r="N26" s="112">
        <f t="shared" ref="N26:N48" si="1">K26*L26+M26</f>
        <v>10754</v>
      </c>
      <c r="O26" s="112">
        <f>N26/K26</f>
        <v>1075.4</v>
      </c>
      <c r="P26" s="112"/>
      <c r="Q26" s="112"/>
      <c r="R26" s="112"/>
    </row>
    <row r="27" ht="17.25" customHeight="1">
      <c r="A27" s="112"/>
      <c r="B27" s="189">
        <f>IFERROR(__xludf.DUMMYFUNCTION("""COMPUTED_VALUE"""),45993.5625)</f>
        <v>45993.5625</v>
      </c>
      <c r="C27" s="190">
        <f>IFERROR(__xludf.DUMMYFUNCTION("""COMPUTED_VALUE"""),1430.0)</f>
        <v>1430</v>
      </c>
      <c r="D27" s="190">
        <f>IFERROR(__xludf.DUMMYFUNCTION("""COMPUTED_VALUE"""),1440.0)</f>
        <v>1440</v>
      </c>
      <c r="E27" s="190">
        <f>IFERROR(__xludf.DUMMYFUNCTION("""COMPUTED_VALUE"""),1420.0)</f>
        <v>1420</v>
      </c>
      <c r="F27" s="190">
        <f>IFERROR(__xludf.DUMMYFUNCTION("""COMPUTED_VALUE"""),1430.0)</f>
        <v>1430</v>
      </c>
      <c r="G27" s="191">
        <f>IFERROR(__xludf.DUMMYFUNCTION("""COMPUTED_VALUE"""),2.3544477E7)</f>
        <v>23544477</v>
      </c>
      <c r="H27" s="112"/>
      <c r="I27" s="112"/>
      <c r="J27" s="192">
        <v>45849.0</v>
      </c>
      <c r="K27" s="204">
        <v>10.0</v>
      </c>
      <c r="L27" s="194">
        <v>1095.0</v>
      </c>
      <c r="M27" s="94">
        <v>4.0</v>
      </c>
      <c r="N27" s="112">
        <f t="shared" si="1"/>
        <v>10954</v>
      </c>
      <c r="O27" s="196">
        <f t="shared" ref="O27:O48" si="2">SUM($N$26:N27)/SUM($K$26:K27)</f>
        <v>1085.4</v>
      </c>
      <c r="P27" s="112"/>
      <c r="Q27" s="112"/>
      <c r="R27" s="112"/>
    </row>
    <row r="28" ht="17.25" customHeight="1">
      <c r="A28" s="112"/>
      <c r="B28" s="189">
        <f>IFERROR(__xludf.DUMMYFUNCTION("""COMPUTED_VALUE"""),45994.5625)</f>
        <v>45994.5625</v>
      </c>
      <c r="C28" s="190">
        <f>IFERROR(__xludf.DUMMYFUNCTION("""COMPUTED_VALUE"""),1440.0)</f>
        <v>1440</v>
      </c>
      <c r="D28" s="190">
        <f>IFERROR(__xludf.DUMMYFUNCTION("""COMPUTED_VALUE"""),1450.0)</f>
        <v>1450</v>
      </c>
      <c r="E28" s="190">
        <f>IFERROR(__xludf.DUMMYFUNCTION("""COMPUTED_VALUE"""),1435.0)</f>
        <v>1435</v>
      </c>
      <c r="F28" s="190">
        <f>IFERROR(__xludf.DUMMYFUNCTION("""COMPUTED_VALUE"""),1450.0)</f>
        <v>1450</v>
      </c>
      <c r="G28" s="191">
        <f>IFERROR(__xludf.DUMMYFUNCTION("""COMPUTED_VALUE"""),2.030154E7)</f>
        <v>20301540</v>
      </c>
      <c r="H28" s="112"/>
      <c r="I28" s="112"/>
      <c r="J28" s="192">
        <v>45856.0</v>
      </c>
      <c r="K28" s="194">
        <v>10.0</v>
      </c>
      <c r="L28" s="194">
        <v>1150.0</v>
      </c>
      <c r="M28" s="94">
        <v>4.0</v>
      </c>
      <c r="N28" s="112">
        <f t="shared" si="1"/>
        <v>11504</v>
      </c>
      <c r="O28" s="196">
        <f t="shared" si="2"/>
        <v>1107.066667</v>
      </c>
      <c r="P28" s="112"/>
      <c r="Q28" s="112"/>
      <c r="R28" s="112"/>
    </row>
    <row r="29" ht="17.25" customHeight="1">
      <c r="A29" s="112"/>
      <c r="B29" s="189">
        <f>IFERROR(__xludf.DUMMYFUNCTION("""COMPUTED_VALUE"""),45995.5625)</f>
        <v>45995.5625</v>
      </c>
      <c r="C29" s="190">
        <f>IFERROR(__xludf.DUMMYFUNCTION("""COMPUTED_VALUE"""),1445.0)</f>
        <v>1445</v>
      </c>
      <c r="D29" s="190">
        <f>IFERROR(__xludf.DUMMYFUNCTION("""COMPUTED_VALUE"""),1450.0)</f>
        <v>1450</v>
      </c>
      <c r="E29" s="190">
        <f>IFERROR(__xludf.DUMMYFUNCTION("""COMPUTED_VALUE"""),1430.0)</f>
        <v>1430</v>
      </c>
      <c r="F29" s="190">
        <f>IFERROR(__xludf.DUMMYFUNCTION("""COMPUTED_VALUE"""),1445.0)</f>
        <v>1445</v>
      </c>
      <c r="G29" s="191">
        <f>IFERROR(__xludf.DUMMYFUNCTION("""COMPUTED_VALUE"""),2.0696944E7)</f>
        <v>20696944</v>
      </c>
      <c r="H29" s="112"/>
      <c r="I29" s="112"/>
      <c r="J29" s="192">
        <v>45882.0</v>
      </c>
      <c r="K29" s="204">
        <v>5.0</v>
      </c>
      <c r="L29" s="194">
        <v>1190.0</v>
      </c>
      <c r="M29" s="94">
        <v>4.0</v>
      </c>
      <c r="N29" s="112">
        <f t="shared" si="1"/>
        <v>5954</v>
      </c>
      <c r="O29" s="196">
        <f t="shared" si="2"/>
        <v>1119.028571</v>
      </c>
      <c r="P29" s="112"/>
      <c r="Q29" s="112"/>
      <c r="R29" s="112"/>
    </row>
    <row r="30" ht="17.25" customHeight="1">
      <c r="A30" s="112"/>
      <c r="B30" s="189">
        <f>IFERROR(__xludf.DUMMYFUNCTION("""COMPUTED_VALUE"""),45996.5625)</f>
        <v>45996.5625</v>
      </c>
      <c r="C30" s="190">
        <f>IFERROR(__xludf.DUMMYFUNCTION("""COMPUTED_VALUE"""),1445.0)</f>
        <v>1445</v>
      </c>
      <c r="D30" s="190">
        <f>IFERROR(__xludf.DUMMYFUNCTION("""COMPUTED_VALUE"""),1460.0)</f>
        <v>1460</v>
      </c>
      <c r="E30" s="190">
        <f>IFERROR(__xludf.DUMMYFUNCTION("""COMPUTED_VALUE"""),1440.0)</f>
        <v>1440</v>
      </c>
      <c r="F30" s="190">
        <f>IFERROR(__xludf.DUMMYFUNCTION("""COMPUTED_VALUE"""),1460.0)</f>
        <v>1460</v>
      </c>
      <c r="G30" s="191">
        <f>IFERROR(__xludf.DUMMYFUNCTION("""COMPUTED_VALUE"""),2.1072604E7)</f>
        <v>21072604</v>
      </c>
      <c r="H30" s="112"/>
      <c r="I30" s="112"/>
      <c r="J30" s="192">
        <v>45889.0</v>
      </c>
      <c r="K30" s="194">
        <v>5.0</v>
      </c>
      <c r="L30" s="194">
        <v>1145.0</v>
      </c>
      <c r="M30" s="94">
        <v>4.0</v>
      </c>
      <c r="N30" s="112">
        <f t="shared" si="1"/>
        <v>5729</v>
      </c>
      <c r="O30" s="196">
        <f t="shared" si="2"/>
        <v>1122.375</v>
      </c>
      <c r="P30" s="112"/>
      <c r="Q30" s="112"/>
      <c r="R30" s="112"/>
    </row>
    <row r="31" ht="17.25" customHeight="1">
      <c r="A31" s="112"/>
      <c r="B31" s="189">
        <f>IFERROR(__xludf.DUMMYFUNCTION("""COMPUTED_VALUE"""),45999.5625)</f>
        <v>45999.5625</v>
      </c>
      <c r="C31" s="190">
        <f>IFERROR(__xludf.DUMMYFUNCTION("""COMPUTED_VALUE"""),1465.0)</f>
        <v>1465</v>
      </c>
      <c r="D31" s="190">
        <f>IFERROR(__xludf.DUMMYFUNCTION("""COMPUTED_VALUE"""),1495.0)</f>
        <v>1495</v>
      </c>
      <c r="E31" s="190">
        <f>IFERROR(__xludf.DUMMYFUNCTION("""COMPUTED_VALUE"""),1460.0)</f>
        <v>1460</v>
      </c>
      <c r="F31" s="190">
        <f>IFERROR(__xludf.DUMMYFUNCTION("""COMPUTED_VALUE"""),1495.0)</f>
        <v>1495</v>
      </c>
      <c r="G31" s="191">
        <f>IFERROR(__xludf.DUMMYFUNCTION("""COMPUTED_VALUE"""),2.425726E7)</f>
        <v>24257260</v>
      </c>
      <c r="H31" s="112"/>
      <c r="I31" s="112"/>
      <c r="J31" s="192">
        <v>45895.0</v>
      </c>
      <c r="K31" s="204">
        <v>10.0</v>
      </c>
      <c r="L31" s="194">
        <v>1170.0</v>
      </c>
      <c r="M31" s="94">
        <v>9.0</v>
      </c>
      <c r="N31" s="112">
        <f t="shared" si="1"/>
        <v>11709</v>
      </c>
      <c r="O31" s="196">
        <f t="shared" si="2"/>
        <v>1132.08</v>
      </c>
      <c r="P31" s="112"/>
      <c r="Q31" s="112"/>
      <c r="R31" s="112"/>
    </row>
    <row r="32" ht="17.25" customHeight="1">
      <c r="A32" s="112"/>
      <c r="B32" s="189">
        <f>IFERROR(__xludf.DUMMYFUNCTION("""COMPUTED_VALUE"""),46000.5625)</f>
        <v>46000.5625</v>
      </c>
      <c r="C32" s="190">
        <f>IFERROR(__xludf.DUMMYFUNCTION("""COMPUTED_VALUE"""),1495.0)</f>
        <v>1495</v>
      </c>
      <c r="D32" s="190">
        <f>IFERROR(__xludf.DUMMYFUNCTION("""COMPUTED_VALUE"""),1500.0)</f>
        <v>1500</v>
      </c>
      <c r="E32" s="190">
        <f>IFERROR(__xludf.DUMMYFUNCTION("""COMPUTED_VALUE"""),1480.0)</f>
        <v>1480</v>
      </c>
      <c r="F32" s="190">
        <f>IFERROR(__xludf.DUMMYFUNCTION("""COMPUTED_VALUE"""),1480.0)</f>
        <v>1480</v>
      </c>
      <c r="G32" s="191">
        <f>IFERROR(__xludf.DUMMYFUNCTION("""COMPUTED_VALUE"""),2.4235825E7)</f>
        <v>24235825</v>
      </c>
      <c r="H32" s="112"/>
      <c r="I32" s="112"/>
      <c r="J32" s="192">
        <v>45917.0</v>
      </c>
      <c r="K32" s="194">
        <v>10.0</v>
      </c>
      <c r="L32" s="194">
        <v>1270.0</v>
      </c>
      <c r="M32" s="94">
        <v>10.0</v>
      </c>
      <c r="N32" s="112">
        <f t="shared" si="1"/>
        <v>12710</v>
      </c>
      <c r="O32" s="196">
        <f t="shared" si="2"/>
        <v>1155.233333</v>
      </c>
      <c r="P32" s="94"/>
      <c r="Q32" s="112"/>
      <c r="R32" s="112"/>
    </row>
    <row r="33" ht="17.25" customHeight="1">
      <c r="A33" s="112"/>
      <c r="B33" s="189">
        <f>IFERROR(__xludf.DUMMYFUNCTION("""COMPUTED_VALUE"""),46001.5625)</f>
        <v>46001.5625</v>
      </c>
      <c r="C33" s="190">
        <f>IFERROR(__xludf.DUMMYFUNCTION("""COMPUTED_VALUE"""),1490.0)</f>
        <v>1490</v>
      </c>
      <c r="D33" s="190">
        <f>IFERROR(__xludf.DUMMYFUNCTION("""COMPUTED_VALUE"""),1505.0)</f>
        <v>1505</v>
      </c>
      <c r="E33" s="190">
        <f>IFERROR(__xludf.DUMMYFUNCTION("""COMPUTED_VALUE"""),1485.0)</f>
        <v>1485</v>
      </c>
      <c r="F33" s="190">
        <f>IFERROR(__xludf.DUMMYFUNCTION("""COMPUTED_VALUE"""),1505.0)</f>
        <v>1505</v>
      </c>
      <c r="G33" s="191">
        <f>IFERROR(__xludf.DUMMYFUNCTION("""COMPUTED_VALUE"""),2.3319221E7)</f>
        <v>23319221</v>
      </c>
      <c r="H33" s="112"/>
      <c r="I33" s="112"/>
      <c r="J33" s="192">
        <v>45918.0</v>
      </c>
      <c r="K33" s="194">
        <v>1.0</v>
      </c>
      <c r="L33" s="194">
        <v>1275.0</v>
      </c>
      <c r="M33" s="94">
        <v>1.0</v>
      </c>
      <c r="N33" s="112">
        <f t="shared" si="1"/>
        <v>1276</v>
      </c>
      <c r="O33" s="196">
        <f t="shared" si="2"/>
        <v>1157.213115</v>
      </c>
      <c r="P33" s="112"/>
      <c r="Q33" s="112"/>
      <c r="R33" s="112"/>
    </row>
    <row r="34" ht="17.25" customHeight="1">
      <c r="A34" s="112"/>
      <c r="B34" s="189">
        <f>IFERROR(__xludf.DUMMYFUNCTION("""COMPUTED_VALUE"""),46002.5625)</f>
        <v>46002.5625</v>
      </c>
      <c r="C34" s="190">
        <f>IFERROR(__xludf.DUMMYFUNCTION("""COMPUTED_VALUE"""),1510.0)</f>
        <v>1510</v>
      </c>
      <c r="D34" s="190">
        <f>IFERROR(__xludf.DUMMYFUNCTION("""COMPUTED_VALUE"""),1515.0)</f>
        <v>1515</v>
      </c>
      <c r="E34" s="190">
        <f>IFERROR(__xludf.DUMMYFUNCTION("""COMPUTED_VALUE"""),1465.0)</f>
        <v>1465</v>
      </c>
      <c r="F34" s="190">
        <f>IFERROR(__xludf.DUMMYFUNCTION("""COMPUTED_VALUE"""),1470.0)</f>
        <v>1470</v>
      </c>
      <c r="G34" s="191">
        <f>IFERROR(__xludf.DUMMYFUNCTION("""COMPUTED_VALUE"""),2.8924982E7)</f>
        <v>28924982</v>
      </c>
      <c r="H34" s="112"/>
      <c r="I34" s="112"/>
      <c r="J34" s="197">
        <v>45933.0</v>
      </c>
      <c r="K34" s="204">
        <v>10.0</v>
      </c>
      <c r="L34" s="194">
        <v>1390.0</v>
      </c>
      <c r="M34" s="94">
        <v>11.0</v>
      </c>
      <c r="N34" s="112">
        <f t="shared" si="1"/>
        <v>13911</v>
      </c>
      <c r="O34" s="196">
        <f t="shared" si="2"/>
        <v>1190.15493</v>
      </c>
      <c r="P34" s="112"/>
      <c r="Q34" s="112"/>
      <c r="R34" s="112"/>
    </row>
    <row r="35" ht="17.25" customHeight="1">
      <c r="A35" s="112"/>
      <c r="B35" s="189">
        <f>IFERROR(__xludf.DUMMYFUNCTION("""COMPUTED_VALUE"""),46003.5625)</f>
        <v>46003.5625</v>
      </c>
      <c r="C35" s="190">
        <f>IFERROR(__xludf.DUMMYFUNCTION("""COMPUTED_VALUE"""),1475.0)</f>
        <v>1475</v>
      </c>
      <c r="D35" s="190">
        <f>IFERROR(__xludf.DUMMYFUNCTION("""COMPUTED_VALUE"""),1485.0)</f>
        <v>1485</v>
      </c>
      <c r="E35" s="190">
        <f>IFERROR(__xludf.DUMMYFUNCTION("""COMPUTED_VALUE"""),1470.0)</f>
        <v>1470</v>
      </c>
      <c r="F35" s="190">
        <f>IFERROR(__xludf.DUMMYFUNCTION("""COMPUTED_VALUE"""),1480.0)</f>
        <v>1480</v>
      </c>
      <c r="G35" s="191">
        <f>IFERROR(__xludf.DUMMYFUNCTION("""COMPUTED_VALUE"""),2.2107664E7)</f>
        <v>22107664</v>
      </c>
      <c r="H35" s="112"/>
      <c r="I35" s="112"/>
      <c r="J35" s="197">
        <v>45943.0</v>
      </c>
      <c r="K35" s="194">
        <v>10.0</v>
      </c>
      <c r="L35" s="194">
        <v>1415.0</v>
      </c>
      <c r="M35" s="94">
        <v>11.0</v>
      </c>
      <c r="N35" s="112">
        <f t="shared" si="1"/>
        <v>14161</v>
      </c>
      <c r="O35" s="196">
        <f t="shared" si="2"/>
        <v>1218.049383</v>
      </c>
      <c r="P35" s="112"/>
      <c r="Q35" s="112"/>
      <c r="R35" s="112"/>
    </row>
    <row r="36" ht="17.25" customHeight="1">
      <c r="A36" s="112"/>
      <c r="B36" s="189">
        <f>IFERROR(__xludf.DUMMYFUNCTION("""COMPUTED_VALUE"""),46006.5625)</f>
        <v>46006.5625</v>
      </c>
      <c r="C36" s="190">
        <f>IFERROR(__xludf.DUMMYFUNCTION("""COMPUTED_VALUE"""),1450.0)</f>
        <v>1450</v>
      </c>
      <c r="D36" s="190">
        <f>IFERROR(__xludf.DUMMYFUNCTION("""COMPUTED_VALUE"""),1455.0)</f>
        <v>1455</v>
      </c>
      <c r="E36" s="190">
        <f>IFERROR(__xludf.DUMMYFUNCTION("""COMPUTED_VALUE"""),1445.0)</f>
        <v>1445</v>
      </c>
      <c r="F36" s="190">
        <f>IFERROR(__xludf.DUMMYFUNCTION("""COMPUTED_VALUE"""),1450.0)</f>
        <v>1450</v>
      </c>
      <c r="G36" s="191">
        <f>IFERROR(__xludf.DUMMYFUNCTION("""COMPUTED_VALUE"""),2.5889058E7)</f>
        <v>25889058</v>
      </c>
      <c r="H36" s="112"/>
      <c r="I36" s="112"/>
      <c r="J36" s="197">
        <v>45944.0</v>
      </c>
      <c r="K36" s="194">
        <v>9.0</v>
      </c>
      <c r="L36" s="194">
        <v>1450.0</v>
      </c>
      <c r="M36" s="94">
        <v>10.0</v>
      </c>
      <c r="N36" s="112">
        <f t="shared" si="1"/>
        <v>13060</v>
      </c>
      <c r="O36" s="196">
        <f t="shared" si="2"/>
        <v>1241.355556</v>
      </c>
      <c r="P36" s="112"/>
      <c r="Q36" s="112"/>
      <c r="R36" s="112"/>
    </row>
    <row r="37" ht="17.25" customHeight="1">
      <c r="A37" s="112"/>
      <c r="B37" s="189">
        <f>IFERROR(__xludf.DUMMYFUNCTION("""COMPUTED_VALUE"""),46007.5625)</f>
        <v>46007.5625</v>
      </c>
      <c r="C37" s="190">
        <f>IFERROR(__xludf.DUMMYFUNCTION("""COMPUTED_VALUE"""),1435.0)</f>
        <v>1435</v>
      </c>
      <c r="D37" s="190">
        <f>IFERROR(__xludf.DUMMYFUNCTION("""COMPUTED_VALUE"""),1445.0)</f>
        <v>1445</v>
      </c>
      <c r="E37" s="190">
        <f>IFERROR(__xludf.DUMMYFUNCTION("""COMPUTED_VALUE"""),1425.0)</f>
        <v>1425</v>
      </c>
      <c r="F37" s="190">
        <f>IFERROR(__xludf.DUMMYFUNCTION("""COMPUTED_VALUE"""),1435.0)</f>
        <v>1435</v>
      </c>
      <c r="G37" s="191">
        <f>IFERROR(__xludf.DUMMYFUNCTION("""COMPUTED_VALUE"""),3.2168064E7)</f>
        <v>32168064</v>
      </c>
      <c r="H37" s="112"/>
      <c r="I37" s="112"/>
      <c r="J37" s="192">
        <v>45959.0</v>
      </c>
      <c r="K37" s="194">
        <v>10.0</v>
      </c>
      <c r="L37" s="194">
        <v>1495.0</v>
      </c>
      <c r="M37" s="94">
        <v>11.0</v>
      </c>
      <c r="N37" s="112">
        <f t="shared" si="1"/>
        <v>14961</v>
      </c>
      <c r="O37" s="196">
        <f t="shared" si="2"/>
        <v>1266.83</v>
      </c>
      <c r="P37" s="112"/>
      <c r="Q37" s="112"/>
      <c r="R37" s="112"/>
    </row>
    <row r="38" ht="17.25" customHeight="1">
      <c r="A38" s="112"/>
      <c r="B38" s="189">
        <f>IFERROR(__xludf.DUMMYFUNCTION("""COMPUTED_VALUE"""),46008.5625)</f>
        <v>46008.5625</v>
      </c>
      <c r="C38" s="190">
        <f>IFERROR(__xludf.DUMMYFUNCTION("""COMPUTED_VALUE"""),1435.0)</f>
        <v>1435</v>
      </c>
      <c r="D38" s="190">
        <f>IFERROR(__xludf.DUMMYFUNCTION("""COMPUTED_VALUE"""),1445.0)</f>
        <v>1445</v>
      </c>
      <c r="E38" s="190">
        <f>IFERROR(__xludf.DUMMYFUNCTION("""COMPUTED_VALUE"""),1425.0)</f>
        <v>1425</v>
      </c>
      <c r="F38" s="190">
        <f>IFERROR(__xludf.DUMMYFUNCTION("""COMPUTED_VALUE"""),1430.0)</f>
        <v>1430</v>
      </c>
      <c r="G38" s="191">
        <f>IFERROR(__xludf.DUMMYFUNCTION("""COMPUTED_VALUE"""),3.0535812E7)</f>
        <v>30535812</v>
      </c>
      <c r="H38" s="112"/>
      <c r="I38" s="112"/>
      <c r="J38" s="192">
        <v>45966.0</v>
      </c>
      <c r="K38" s="204">
        <v>10.0</v>
      </c>
      <c r="L38" s="194">
        <v>1470.0</v>
      </c>
      <c r="M38" s="94">
        <v>11.0</v>
      </c>
      <c r="N38" s="112">
        <f t="shared" si="1"/>
        <v>14711</v>
      </c>
      <c r="O38" s="196">
        <f t="shared" si="2"/>
        <v>1285.4</v>
      </c>
      <c r="P38" s="112"/>
      <c r="Q38" s="112"/>
      <c r="R38" s="112"/>
    </row>
    <row r="39" ht="17.25" customHeight="1">
      <c r="A39" s="112"/>
      <c r="B39" s="189">
        <f>IFERROR(__xludf.DUMMYFUNCTION("""COMPUTED_VALUE"""),46009.5625)</f>
        <v>46009.5625</v>
      </c>
      <c r="C39" s="190">
        <f>IFERROR(__xludf.DUMMYFUNCTION("""COMPUTED_VALUE"""),1420.0)</f>
        <v>1420</v>
      </c>
      <c r="D39" s="190">
        <f>IFERROR(__xludf.DUMMYFUNCTION("""COMPUTED_VALUE"""),1435.0)</f>
        <v>1435</v>
      </c>
      <c r="E39" s="190">
        <f>IFERROR(__xludf.DUMMYFUNCTION("""COMPUTED_VALUE"""),1415.0)</f>
        <v>1415</v>
      </c>
      <c r="F39" s="190">
        <f>IFERROR(__xludf.DUMMYFUNCTION("""COMPUTED_VALUE"""),1430.0)</f>
        <v>1430</v>
      </c>
      <c r="G39" s="191">
        <f>IFERROR(__xludf.DUMMYFUNCTION("""COMPUTED_VALUE"""),3.0534136E7)</f>
        <v>30534136</v>
      </c>
      <c r="H39" s="112"/>
      <c r="I39" s="112"/>
      <c r="J39" s="192">
        <v>45982.0</v>
      </c>
      <c r="K39" s="204">
        <v>10.0</v>
      </c>
      <c r="L39" s="194">
        <v>1400.0</v>
      </c>
      <c r="M39" s="94">
        <v>11.0</v>
      </c>
      <c r="N39" s="112">
        <f t="shared" si="1"/>
        <v>14011</v>
      </c>
      <c r="O39" s="196">
        <f t="shared" si="2"/>
        <v>1295.041667</v>
      </c>
      <c r="P39" s="112"/>
      <c r="Q39" s="112"/>
      <c r="R39" s="112"/>
    </row>
    <row r="40" ht="17.25" customHeight="1">
      <c r="A40" s="112"/>
      <c r="B40" s="189">
        <f>IFERROR(__xludf.DUMMYFUNCTION("""COMPUTED_VALUE"""),46010.5625)</f>
        <v>46010.5625</v>
      </c>
      <c r="C40" s="190">
        <f>IFERROR(__xludf.DUMMYFUNCTION("""COMPUTED_VALUE"""),1455.0)</f>
        <v>1455</v>
      </c>
      <c r="D40" s="190">
        <f>IFERROR(__xludf.DUMMYFUNCTION("""COMPUTED_VALUE"""),1455.0)</f>
        <v>1455</v>
      </c>
      <c r="E40" s="190">
        <f>IFERROR(__xludf.DUMMYFUNCTION("""COMPUTED_VALUE"""),1430.0)</f>
        <v>1430</v>
      </c>
      <c r="F40" s="190">
        <f>IFERROR(__xludf.DUMMYFUNCTION("""COMPUTED_VALUE"""),1430.0)</f>
        <v>1430</v>
      </c>
      <c r="G40" s="191">
        <f>IFERROR(__xludf.DUMMYFUNCTION("""COMPUTED_VALUE"""),3.876328E7)</f>
        <v>38763280</v>
      </c>
      <c r="H40" s="112"/>
      <c r="I40" s="112"/>
      <c r="J40" s="205">
        <v>45995.0</v>
      </c>
      <c r="K40" s="204">
        <v>10.0</v>
      </c>
      <c r="L40" s="194">
        <v>1435.0</v>
      </c>
      <c r="M40" s="94">
        <v>11.0</v>
      </c>
      <c r="N40" s="112">
        <f t="shared" si="1"/>
        <v>14361</v>
      </c>
      <c r="O40" s="196">
        <f t="shared" si="2"/>
        <v>1305.892308</v>
      </c>
      <c r="P40" s="112"/>
      <c r="Q40" s="112"/>
      <c r="R40" s="112"/>
    </row>
    <row r="41" ht="17.25" customHeight="1">
      <c r="A41" s="112"/>
      <c r="B41" s="189">
        <f>IFERROR(__xludf.DUMMYFUNCTION("""COMPUTED_VALUE"""),46013.5625)</f>
        <v>46013.5625</v>
      </c>
      <c r="C41" s="190">
        <f>IFERROR(__xludf.DUMMYFUNCTION("""COMPUTED_VALUE"""),1465.0)</f>
        <v>1465</v>
      </c>
      <c r="D41" s="190">
        <f>IFERROR(__xludf.DUMMYFUNCTION("""COMPUTED_VALUE"""),1470.0)</f>
        <v>1470</v>
      </c>
      <c r="E41" s="190">
        <f>IFERROR(__xludf.DUMMYFUNCTION("""COMPUTED_VALUE"""),1455.0)</f>
        <v>1455</v>
      </c>
      <c r="F41" s="190">
        <f>IFERROR(__xludf.DUMMYFUNCTION("""COMPUTED_VALUE"""),1465.0)</f>
        <v>1465</v>
      </c>
      <c r="G41" s="191">
        <f>IFERROR(__xludf.DUMMYFUNCTION("""COMPUTED_VALUE"""),2.2661665E7)</f>
        <v>22661665</v>
      </c>
      <c r="H41" s="112"/>
      <c r="I41" s="112"/>
      <c r="J41" s="192">
        <v>46090.0</v>
      </c>
      <c r="K41" s="194">
        <v>10.0</v>
      </c>
      <c r="L41" s="194">
        <v>1800.0</v>
      </c>
      <c r="M41" s="94">
        <v>14.0</v>
      </c>
      <c r="N41" s="112">
        <f t="shared" si="1"/>
        <v>18014</v>
      </c>
      <c r="O41" s="196">
        <f t="shared" si="2"/>
        <v>1341.285714</v>
      </c>
      <c r="P41" s="112"/>
      <c r="Q41" s="112"/>
      <c r="R41" s="112"/>
    </row>
    <row r="42" ht="17.25" customHeight="1">
      <c r="A42" s="112"/>
      <c r="B42" s="189">
        <f>IFERROR(__xludf.DUMMYFUNCTION("""COMPUTED_VALUE"""),46014.5625)</f>
        <v>46014.5625</v>
      </c>
      <c r="C42" s="190">
        <f>IFERROR(__xludf.DUMMYFUNCTION("""COMPUTED_VALUE"""),1475.0)</f>
        <v>1475</v>
      </c>
      <c r="D42" s="190">
        <f>IFERROR(__xludf.DUMMYFUNCTION("""COMPUTED_VALUE"""),1490.0)</f>
        <v>1490</v>
      </c>
      <c r="E42" s="190">
        <f>IFERROR(__xludf.DUMMYFUNCTION("""COMPUTED_VALUE"""),1470.0)</f>
        <v>1470</v>
      </c>
      <c r="F42" s="190">
        <f>IFERROR(__xludf.DUMMYFUNCTION("""COMPUTED_VALUE"""),1490.0)</f>
        <v>1490</v>
      </c>
      <c r="G42" s="191">
        <f>IFERROR(__xludf.DUMMYFUNCTION("""COMPUTED_VALUE"""),2.0739075E7)</f>
        <v>20739075</v>
      </c>
      <c r="H42" s="112"/>
      <c r="I42" s="112"/>
      <c r="J42" s="192">
        <v>46101.0</v>
      </c>
      <c r="K42" s="194">
        <v>10.0</v>
      </c>
      <c r="L42" s="194">
        <v>1855.0</v>
      </c>
      <c r="M42" s="94">
        <v>14.0</v>
      </c>
      <c r="N42" s="112">
        <f t="shared" si="1"/>
        <v>18564</v>
      </c>
      <c r="O42" s="196">
        <f t="shared" si="2"/>
        <v>1375.626667</v>
      </c>
      <c r="P42" s="112"/>
      <c r="Q42" s="112"/>
      <c r="R42" s="112"/>
    </row>
    <row r="43" ht="17.25" customHeight="1">
      <c r="A43" s="112"/>
      <c r="B43" s="189">
        <f>IFERROR(__xludf.DUMMYFUNCTION("""COMPUTED_VALUE"""),46015.5625)</f>
        <v>46015.5625</v>
      </c>
      <c r="C43" s="190">
        <f>IFERROR(__xludf.DUMMYFUNCTION("""COMPUTED_VALUE"""),1495.0)</f>
        <v>1495</v>
      </c>
      <c r="D43" s="190">
        <f>IFERROR(__xludf.DUMMYFUNCTION("""COMPUTED_VALUE"""),1500.0)</f>
        <v>1500</v>
      </c>
      <c r="E43" s="190">
        <f>IFERROR(__xludf.DUMMYFUNCTION("""COMPUTED_VALUE"""),1485.0)</f>
        <v>1485</v>
      </c>
      <c r="F43" s="190">
        <f>IFERROR(__xludf.DUMMYFUNCTION("""COMPUTED_VALUE"""),1495.0)</f>
        <v>1495</v>
      </c>
      <c r="G43" s="191">
        <f>IFERROR(__xludf.DUMMYFUNCTION("""COMPUTED_VALUE"""),1.2987261E7)</f>
        <v>12987261</v>
      </c>
      <c r="H43" s="112"/>
      <c r="I43" s="112"/>
      <c r="J43" s="205">
        <v>46161.0</v>
      </c>
      <c r="K43" s="204">
        <v>10.0</v>
      </c>
      <c r="L43" s="194">
        <v>2220.0</v>
      </c>
      <c r="M43" s="94">
        <v>17.0</v>
      </c>
      <c r="N43" s="112">
        <f t="shared" si="1"/>
        <v>22217</v>
      </c>
      <c r="O43" s="196">
        <f t="shared" si="2"/>
        <v>1428.50625</v>
      </c>
      <c r="P43" s="94"/>
      <c r="Q43" s="112"/>
      <c r="R43" s="112"/>
    </row>
    <row r="44" ht="17.25" customHeight="1">
      <c r="A44" s="112"/>
      <c r="B44" s="189">
        <f>IFERROR(__xludf.DUMMYFUNCTION("""COMPUTED_VALUE"""),46017.5625)</f>
        <v>46017.5625</v>
      </c>
      <c r="C44" s="190">
        <f>IFERROR(__xludf.DUMMYFUNCTION("""COMPUTED_VALUE"""),1505.0)</f>
        <v>1505</v>
      </c>
      <c r="D44" s="190">
        <f>IFERROR(__xludf.DUMMYFUNCTION("""COMPUTED_VALUE"""),1510.0)</f>
        <v>1510</v>
      </c>
      <c r="E44" s="190">
        <f>IFERROR(__xludf.DUMMYFUNCTION("""COMPUTED_VALUE"""),1495.0)</f>
        <v>1495</v>
      </c>
      <c r="F44" s="190">
        <f>IFERROR(__xludf.DUMMYFUNCTION("""COMPUTED_VALUE"""),1510.0)</f>
        <v>1510</v>
      </c>
      <c r="G44" s="191">
        <f>IFERROR(__xludf.DUMMYFUNCTION("""COMPUTED_VALUE"""),1.8823612E7)</f>
        <v>18823612</v>
      </c>
      <c r="H44" s="112"/>
      <c r="I44" s="112"/>
      <c r="J44" s="112"/>
      <c r="K44" s="112"/>
      <c r="L44" s="112"/>
      <c r="M44" s="112"/>
      <c r="N44" s="112">
        <f t="shared" si="1"/>
        <v>0</v>
      </c>
      <c r="O44" s="196">
        <f t="shared" si="2"/>
        <v>1428.50625</v>
      </c>
      <c r="P44" s="112"/>
      <c r="Q44" s="112"/>
      <c r="R44" s="112"/>
    </row>
    <row r="45" ht="17.25" customHeight="1">
      <c r="A45" s="112"/>
      <c r="B45" s="189">
        <f>IFERROR(__xludf.DUMMYFUNCTION("""COMPUTED_VALUE"""),46020.5625)</f>
        <v>46020.5625</v>
      </c>
      <c r="C45" s="190">
        <f>IFERROR(__xludf.DUMMYFUNCTION("""COMPUTED_VALUE"""),1515.0)</f>
        <v>1515</v>
      </c>
      <c r="D45" s="190">
        <f>IFERROR(__xludf.DUMMYFUNCTION("""COMPUTED_VALUE"""),1530.0)</f>
        <v>1530</v>
      </c>
      <c r="E45" s="190">
        <f>IFERROR(__xludf.DUMMYFUNCTION("""COMPUTED_VALUE"""),1510.0)</f>
        <v>1510</v>
      </c>
      <c r="F45" s="190">
        <f>IFERROR(__xludf.DUMMYFUNCTION("""COMPUTED_VALUE"""),1530.0)</f>
        <v>1530</v>
      </c>
      <c r="G45" s="191">
        <f>IFERROR(__xludf.DUMMYFUNCTION("""COMPUTED_VALUE"""),2.1124648E7)</f>
        <v>21124648</v>
      </c>
      <c r="H45" s="112"/>
      <c r="I45" s="112"/>
      <c r="J45" s="112"/>
      <c r="K45" s="112"/>
      <c r="L45" s="112"/>
      <c r="M45" s="112"/>
      <c r="N45" s="112">
        <f t="shared" si="1"/>
        <v>0</v>
      </c>
      <c r="O45" s="196">
        <f t="shared" si="2"/>
        <v>1428.50625</v>
      </c>
      <c r="P45" s="112"/>
      <c r="Q45" s="112"/>
      <c r="R45" s="112"/>
    </row>
    <row r="46" ht="17.25" customHeight="1">
      <c r="A46" s="112"/>
      <c r="B46" s="189">
        <f>IFERROR(__xludf.DUMMYFUNCTION("""COMPUTED_VALUE"""),46021.5625)</f>
        <v>46021.5625</v>
      </c>
      <c r="C46" s="190">
        <f>IFERROR(__xludf.DUMMYFUNCTION("""COMPUTED_VALUE"""),1515.0)</f>
        <v>1515</v>
      </c>
      <c r="D46" s="190">
        <f>IFERROR(__xludf.DUMMYFUNCTION("""COMPUTED_VALUE"""),1530.0)</f>
        <v>1530</v>
      </c>
      <c r="E46" s="190">
        <f>IFERROR(__xludf.DUMMYFUNCTION("""COMPUTED_VALUE"""),1510.0)</f>
        <v>1510</v>
      </c>
      <c r="F46" s="190">
        <f>IFERROR(__xludf.DUMMYFUNCTION("""COMPUTED_VALUE"""),1520.0)</f>
        <v>1520</v>
      </c>
      <c r="G46" s="191">
        <f>IFERROR(__xludf.DUMMYFUNCTION("""COMPUTED_VALUE"""),2.03254E7)</f>
        <v>20325400</v>
      </c>
      <c r="H46" s="112"/>
      <c r="I46" s="112"/>
      <c r="J46" s="112"/>
      <c r="K46" s="112"/>
      <c r="L46" s="112"/>
      <c r="M46" s="112"/>
      <c r="N46" s="112">
        <f t="shared" si="1"/>
        <v>0</v>
      </c>
      <c r="O46" s="196">
        <f t="shared" si="2"/>
        <v>1428.50625</v>
      </c>
      <c r="P46" s="112"/>
      <c r="Q46" s="112"/>
      <c r="R46" s="112"/>
    </row>
    <row r="47" ht="17.25" customHeight="1">
      <c r="A47" s="112"/>
      <c r="B47" s="189">
        <f>IFERROR(__xludf.DUMMYFUNCTION("""COMPUTED_VALUE"""),46022.5625)</f>
        <v>46022.5625</v>
      </c>
      <c r="C47" s="190">
        <f>IFERROR(__xludf.DUMMYFUNCTION("""COMPUTED_VALUE"""),1520.0)</f>
        <v>1520</v>
      </c>
      <c r="D47" s="190">
        <f>IFERROR(__xludf.DUMMYFUNCTION("""COMPUTED_VALUE"""),1550.0)</f>
        <v>1550</v>
      </c>
      <c r="E47" s="190">
        <f>IFERROR(__xludf.DUMMYFUNCTION("""COMPUTED_VALUE"""),1515.0)</f>
        <v>1515</v>
      </c>
      <c r="F47" s="190">
        <f>IFERROR(__xludf.DUMMYFUNCTION("""COMPUTED_VALUE"""),1550.0)</f>
        <v>1550</v>
      </c>
      <c r="G47" s="191">
        <f>IFERROR(__xludf.DUMMYFUNCTION("""COMPUTED_VALUE"""),2.9695967E7)</f>
        <v>29695967</v>
      </c>
      <c r="H47" s="112"/>
      <c r="I47" s="112"/>
      <c r="J47" s="112"/>
      <c r="K47" s="112"/>
      <c r="L47" s="112"/>
      <c r="M47" s="112"/>
      <c r="N47" s="112">
        <f t="shared" si="1"/>
        <v>0</v>
      </c>
      <c r="O47" s="196">
        <f t="shared" si="2"/>
        <v>1428.50625</v>
      </c>
      <c r="P47" s="112"/>
      <c r="Q47" s="112"/>
      <c r="R47" s="112"/>
    </row>
    <row r="48" ht="17.25" customHeight="1">
      <c r="A48" s="112"/>
      <c r="B48" s="189">
        <f>IFERROR(__xludf.DUMMYFUNCTION("""COMPUTED_VALUE"""),46024.5625)</f>
        <v>46024.5625</v>
      </c>
      <c r="C48" s="190">
        <f>IFERROR(__xludf.DUMMYFUNCTION("""COMPUTED_VALUE"""),1555.0)</f>
        <v>1555</v>
      </c>
      <c r="D48" s="190">
        <f>IFERROR(__xludf.DUMMYFUNCTION("""COMPUTED_VALUE"""),1585.0)</f>
        <v>1585</v>
      </c>
      <c r="E48" s="190">
        <f>IFERROR(__xludf.DUMMYFUNCTION("""COMPUTED_VALUE"""),1545.0)</f>
        <v>1545</v>
      </c>
      <c r="F48" s="190">
        <f>IFERROR(__xludf.DUMMYFUNCTION("""COMPUTED_VALUE"""),1585.0)</f>
        <v>1585</v>
      </c>
      <c r="G48" s="191">
        <f>IFERROR(__xludf.DUMMYFUNCTION("""COMPUTED_VALUE"""),3.7512761E7)</f>
        <v>37512761</v>
      </c>
      <c r="H48" s="112"/>
      <c r="I48" s="112"/>
      <c r="J48" s="206">
        <f>TODAY()</f>
        <v>46172</v>
      </c>
      <c r="K48" s="204"/>
      <c r="L48" s="207">
        <f>B8</f>
        <v>2355</v>
      </c>
      <c r="M48" s="112"/>
      <c r="N48" s="112">
        <f t="shared" si="1"/>
        <v>0</v>
      </c>
      <c r="O48" s="196">
        <f t="shared" si="2"/>
        <v>1428.50625</v>
      </c>
      <c r="P48" s="112"/>
      <c r="Q48" s="112"/>
      <c r="R48" s="112"/>
    </row>
    <row r="49" ht="17.25" customHeight="1">
      <c r="A49" s="112"/>
      <c r="B49" s="189">
        <f>IFERROR(__xludf.DUMMYFUNCTION("""COMPUTED_VALUE"""),46027.5625)</f>
        <v>46027.5625</v>
      </c>
      <c r="C49" s="190">
        <f>IFERROR(__xludf.DUMMYFUNCTION("""COMPUTED_VALUE"""),1630.0)</f>
        <v>1630</v>
      </c>
      <c r="D49" s="190">
        <f>IFERROR(__xludf.DUMMYFUNCTION("""COMPUTED_VALUE"""),1695.0)</f>
        <v>1695</v>
      </c>
      <c r="E49" s="190">
        <f>IFERROR(__xludf.DUMMYFUNCTION("""COMPUTED_VALUE"""),1625.0)</f>
        <v>1625</v>
      </c>
      <c r="F49" s="190">
        <f>IFERROR(__xludf.DUMMYFUNCTION("""COMPUTED_VALUE"""),1670.0)</f>
        <v>1670</v>
      </c>
      <c r="G49" s="191">
        <f>IFERROR(__xludf.DUMMYFUNCTION("""COMPUTED_VALUE"""),6.687182E7)</f>
        <v>66871820</v>
      </c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</row>
    <row r="50" ht="17.25" customHeight="1">
      <c r="A50" s="112"/>
      <c r="B50" s="189">
        <f>IFERROR(__xludf.DUMMYFUNCTION("""COMPUTED_VALUE"""),46028.5625)</f>
        <v>46028.5625</v>
      </c>
      <c r="C50" s="190">
        <f>IFERROR(__xludf.DUMMYFUNCTION("""COMPUTED_VALUE"""),1645.0)</f>
        <v>1645</v>
      </c>
      <c r="D50" s="190">
        <f>IFERROR(__xludf.DUMMYFUNCTION("""COMPUTED_VALUE"""),1705.0)</f>
        <v>1705</v>
      </c>
      <c r="E50" s="190">
        <f>IFERROR(__xludf.DUMMYFUNCTION("""COMPUTED_VALUE"""),1645.0)</f>
        <v>1645</v>
      </c>
      <c r="F50" s="190">
        <f>IFERROR(__xludf.DUMMYFUNCTION("""COMPUTED_VALUE"""),1705.0)</f>
        <v>1705</v>
      </c>
      <c r="G50" s="191">
        <f>IFERROR(__xludf.DUMMYFUNCTION("""COMPUTED_VALUE"""),4.6751692E7)</f>
        <v>46751692</v>
      </c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 ht="17.25" customHeight="1">
      <c r="A51" s="112"/>
      <c r="B51" s="189">
        <f>IFERROR(__xludf.DUMMYFUNCTION("""COMPUTED_VALUE"""),46029.5625)</f>
        <v>46029.5625</v>
      </c>
      <c r="C51" s="190">
        <f>IFERROR(__xludf.DUMMYFUNCTION("""COMPUTED_VALUE"""),1665.0)</f>
        <v>1665</v>
      </c>
      <c r="D51" s="190">
        <f>IFERROR(__xludf.DUMMYFUNCTION("""COMPUTED_VALUE"""),1685.0)</f>
        <v>1685</v>
      </c>
      <c r="E51" s="190">
        <f>IFERROR(__xludf.DUMMYFUNCTION("""COMPUTED_VALUE"""),1665.0)</f>
        <v>1665</v>
      </c>
      <c r="F51" s="190">
        <f>IFERROR(__xludf.DUMMYFUNCTION("""COMPUTED_VALUE"""),1675.0)</f>
        <v>1675</v>
      </c>
      <c r="G51" s="191">
        <f>IFERROR(__xludf.DUMMYFUNCTION("""COMPUTED_VALUE"""),4.9857449E7)</f>
        <v>49857449</v>
      </c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</row>
    <row r="52" ht="17.25" customHeight="1">
      <c r="A52" s="112"/>
      <c r="B52" s="189">
        <f>IFERROR(__xludf.DUMMYFUNCTION("""COMPUTED_VALUE"""),46030.5625)</f>
        <v>46030.5625</v>
      </c>
      <c r="C52" s="190">
        <f>IFERROR(__xludf.DUMMYFUNCTION("""COMPUTED_VALUE"""),1660.0)</f>
        <v>1660</v>
      </c>
      <c r="D52" s="190">
        <f>IFERROR(__xludf.DUMMYFUNCTION("""COMPUTED_VALUE"""),1700.0)</f>
        <v>1700</v>
      </c>
      <c r="E52" s="190">
        <f>IFERROR(__xludf.DUMMYFUNCTION("""COMPUTED_VALUE"""),1655.0)</f>
        <v>1655</v>
      </c>
      <c r="F52" s="190">
        <f>IFERROR(__xludf.DUMMYFUNCTION("""COMPUTED_VALUE"""),1685.0)</f>
        <v>1685</v>
      </c>
      <c r="G52" s="191">
        <f>IFERROR(__xludf.DUMMYFUNCTION("""COMPUTED_VALUE"""),2.9215618E7)</f>
        <v>29215618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 ht="17.25" customHeight="1">
      <c r="A53" s="112"/>
      <c r="B53" s="189">
        <f>IFERROR(__xludf.DUMMYFUNCTION("""COMPUTED_VALUE"""),46031.5625)</f>
        <v>46031.5625</v>
      </c>
      <c r="C53" s="190">
        <f>IFERROR(__xludf.DUMMYFUNCTION("""COMPUTED_VALUE"""),1665.0)</f>
        <v>1665</v>
      </c>
      <c r="D53" s="190">
        <f>IFERROR(__xludf.DUMMYFUNCTION("""COMPUTED_VALUE"""),1700.0)</f>
        <v>1700</v>
      </c>
      <c r="E53" s="190">
        <f>IFERROR(__xludf.DUMMYFUNCTION("""COMPUTED_VALUE"""),1655.0)</f>
        <v>1655</v>
      </c>
      <c r="F53" s="190">
        <f>IFERROR(__xludf.DUMMYFUNCTION("""COMPUTED_VALUE"""),1680.0)</f>
        <v>1680</v>
      </c>
      <c r="G53" s="191">
        <f>IFERROR(__xludf.DUMMYFUNCTION("""COMPUTED_VALUE"""),3.7387656E7)</f>
        <v>37387656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</row>
    <row r="54" ht="17.25" customHeight="1">
      <c r="A54" s="112"/>
      <c r="B54" s="189">
        <f>IFERROR(__xludf.DUMMYFUNCTION("""COMPUTED_VALUE"""),46034.5625)</f>
        <v>46034.5625</v>
      </c>
      <c r="C54" s="190">
        <f>IFERROR(__xludf.DUMMYFUNCTION("""COMPUTED_VALUE"""),1700.0)</f>
        <v>1700</v>
      </c>
      <c r="D54" s="190">
        <f>IFERROR(__xludf.DUMMYFUNCTION("""COMPUTED_VALUE"""),1705.0)</f>
        <v>1705</v>
      </c>
      <c r="E54" s="190">
        <f>IFERROR(__xludf.DUMMYFUNCTION("""COMPUTED_VALUE"""),1690.0)</f>
        <v>1690</v>
      </c>
      <c r="F54" s="190">
        <f>IFERROR(__xludf.DUMMYFUNCTION("""COMPUTED_VALUE"""),1690.0)</f>
        <v>1690</v>
      </c>
      <c r="G54" s="191">
        <f>IFERROR(__xludf.DUMMYFUNCTION("""COMPUTED_VALUE"""),2.9987449E7)</f>
        <v>29987449</v>
      </c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</row>
    <row r="55" ht="17.25" customHeight="1">
      <c r="A55" s="112"/>
      <c r="B55" s="189">
        <f>IFERROR(__xludf.DUMMYFUNCTION("""COMPUTED_VALUE"""),46035.5625)</f>
        <v>46035.5625</v>
      </c>
      <c r="C55" s="190">
        <f>IFERROR(__xludf.DUMMYFUNCTION("""COMPUTED_VALUE"""),1720.0)</f>
        <v>1720</v>
      </c>
      <c r="D55" s="190">
        <f>IFERROR(__xludf.DUMMYFUNCTION("""COMPUTED_VALUE"""),1720.0)</f>
        <v>1720</v>
      </c>
      <c r="E55" s="190">
        <f>IFERROR(__xludf.DUMMYFUNCTION("""COMPUTED_VALUE"""),1700.0)</f>
        <v>1700</v>
      </c>
      <c r="F55" s="190">
        <f>IFERROR(__xludf.DUMMYFUNCTION("""COMPUTED_VALUE"""),1710.0)</f>
        <v>1710</v>
      </c>
      <c r="G55" s="191">
        <f>IFERROR(__xludf.DUMMYFUNCTION("""COMPUTED_VALUE"""),3.01718E7)</f>
        <v>30171800</v>
      </c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</row>
    <row r="56" ht="17.25" customHeight="1">
      <c r="A56" s="112"/>
      <c r="B56" s="189">
        <f>IFERROR(__xludf.DUMMYFUNCTION("""COMPUTED_VALUE"""),46036.5625)</f>
        <v>46036.5625</v>
      </c>
      <c r="C56" s="190">
        <f>IFERROR(__xludf.DUMMYFUNCTION("""COMPUTED_VALUE"""),1705.0)</f>
        <v>1705</v>
      </c>
      <c r="D56" s="190">
        <f>IFERROR(__xludf.DUMMYFUNCTION("""COMPUTED_VALUE"""),1715.0)</f>
        <v>1715</v>
      </c>
      <c r="E56" s="190">
        <f>IFERROR(__xludf.DUMMYFUNCTION("""COMPUTED_VALUE"""),1700.0)</f>
        <v>1700</v>
      </c>
      <c r="F56" s="190">
        <f>IFERROR(__xludf.DUMMYFUNCTION("""COMPUTED_VALUE"""),1710.0)</f>
        <v>1710</v>
      </c>
      <c r="G56" s="191">
        <f>IFERROR(__xludf.DUMMYFUNCTION("""COMPUTED_VALUE"""),2.9100816E7)</f>
        <v>29100816</v>
      </c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</row>
    <row r="57" ht="17.25" customHeight="1">
      <c r="A57" s="112"/>
      <c r="B57" s="189">
        <f>IFERROR(__xludf.DUMMYFUNCTION("""COMPUTED_VALUE"""),46037.5625)</f>
        <v>46037.5625</v>
      </c>
      <c r="C57" s="190">
        <f>IFERROR(__xludf.DUMMYFUNCTION("""COMPUTED_VALUE"""),1685.0)</f>
        <v>1685</v>
      </c>
      <c r="D57" s="190">
        <f>IFERROR(__xludf.DUMMYFUNCTION("""COMPUTED_VALUE"""),1700.0)</f>
        <v>1700</v>
      </c>
      <c r="E57" s="190">
        <f>IFERROR(__xludf.DUMMYFUNCTION("""COMPUTED_VALUE"""),1680.0)</f>
        <v>1680</v>
      </c>
      <c r="F57" s="190">
        <f>IFERROR(__xludf.DUMMYFUNCTION("""COMPUTED_VALUE"""),1690.0)</f>
        <v>1690</v>
      </c>
      <c r="G57" s="191">
        <f>IFERROR(__xludf.DUMMYFUNCTION("""COMPUTED_VALUE"""),3.6391886E7)</f>
        <v>36391886</v>
      </c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</row>
    <row r="58" ht="17.25" customHeight="1">
      <c r="A58" s="112"/>
      <c r="B58" s="189">
        <f>IFERROR(__xludf.DUMMYFUNCTION("""COMPUTED_VALUE"""),46038.5625)</f>
        <v>46038.5625</v>
      </c>
      <c r="C58" s="190">
        <f>IFERROR(__xludf.DUMMYFUNCTION("""COMPUTED_VALUE"""),1735.0)</f>
        <v>1735</v>
      </c>
      <c r="D58" s="190">
        <f>IFERROR(__xludf.DUMMYFUNCTION("""COMPUTED_VALUE"""),1750.0)</f>
        <v>1750</v>
      </c>
      <c r="E58" s="190">
        <f>IFERROR(__xludf.DUMMYFUNCTION("""COMPUTED_VALUE"""),1710.0)</f>
        <v>1710</v>
      </c>
      <c r="F58" s="190">
        <f>IFERROR(__xludf.DUMMYFUNCTION("""COMPUTED_VALUE"""),1740.0)</f>
        <v>1740</v>
      </c>
      <c r="G58" s="191">
        <f>IFERROR(__xludf.DUMMYFUNCTION("""COMPUTED_VALUE"""),5.3551629E7)</f>
        <v>53551629</v>
      </c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</row>
    <row r="59" ht="17.25" customHeight="1">
      <c r="A59" s="112"/>
      <c r="B59" s="189">
        <f>IFERROR(__xludf.DUMMYFUNCTION("""COMPUTED_VALUE"""),46041.5625)</f>
        <v>46041.5625</v>
      </c>
      <c r="C59" s="190">
        <f>IFERROR(__xludf.DUMMYFUNCTION("""COMPUTED_VALUE"""),1725.0)</f>
        <v>1725</v>
      </c>
      <c r="D59" s="190">
        <f>IFERROR(__xludf.DUMMYFUNCTION("""COMPUTED_VALUE"""),1780.0)</f>
        <v>1780</v>
      </c>
      <c r="E59" s="190">
        <f>IFERROR(__xludf.DUMMYFUNCTION("""COMPUTED_VALUE"""),1725.0)</f>
        <v>1725</v>
      </c>
      <c r="F59" s="190">
        <f>IFERROR(__xludf.DUMMYFUNCTION("""COMPUTED_VALUE"""),1760.0)</f>
        <v>1760</v>
      </c>
      <c r="G59" s="191">
        <f>IFERROR(__xludf.DUMMYFUNCTION("""COMPUTED_VALUE"""),2.9580038E7)</f>
        <v>29580038</v>
      </c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</row>
    <row r="60" ht="17.25" customHeight="1">
      <c r="A60" s="112"/>
      <c r="B60" s="189">
        <f>IFERROR(__xludf.DUMMYFUNCTION("""COMPUTED_VALUE"""),46042.5625)</f>
        <v>46042.5625</v>
      </c>
      <c r="C60" s="190">
        <f>IFERROR(__xludf.DUMMYFUNCTION("""COMPUTED_VALUE"""),1740.0)</f>
        <v>1740</v>
      </c>
      <c r="D60" s="190">
        <f>IFERROR(__xludf.DUMMYFUNCTION("""COMPUTED_VALUE"""),1775.0)</f>
        <v>1775</v>
      </c>
      <c r="E60" s="190">
        <f>IFERROR(__xludf.DUMMYFUNCTION("""COMPUTED_VALUE"""),1740.0)</f>
        <v>1740</v>
      </c>
      <c r="F60" s="190">
        <f>IFERROR(__xludf.DUMMYFUNCTION("""COMPUTED_VALUE"""),1775.0)</f>
        <v>1775</v>
      </c>
      <c r="G60" s="191">
        <f>IFERROR(__xludf.DUMMYFUNCTION("""COMPUTED_VALUE"""),2.9401234E7)</f>
        <v>29401234</v>
      </c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</row>
    <row r="61" ht="17.25" customHeight="1">
      <c r="A61" s="112"/>
      <c r="B61" s="189">
        <f>IFERROR(__xludf.DUMMYFUNCTION("""COMPUTED_VALUE"""),46043.5625)</f>
        <v>46043.5625</v>
      </c>
      <c r="C61" s="190">
        <f>IFERROR(__xludf.DUMMYFUNCTION("""COMPUTED_VALUE"""),1745.0)</f>
        <v>1745</v>
      </c>
      <c r="D61" s="190">
        <f>IFERROR(__xludf.DUMMYFUNCTION("""COMPUTED_VALUE"""),1765.0)</f>
        <v>1765</v>
      </c>
      <c r="E61" s="190">
        <f>IFERROR(__xludf.DUMMYFUNCTION("""COMPUTED_VALUE"""),1740.0)</f>
        <v>1740</v>
      </c>
      <c r="F61" s="190">
        <f>IFERROR(__xludf.DUMMYFUNCTION("""COMPUTED_VALUE"""),1740.0)</f>
        <v>1740</v>
      </c>
      <c r="G61" s="191">
        <f>IFERROR(__xludf.DUMMYFUNCTION("""COMPUTED_VALUE"""),4.5192749E7)</f>
        <v>45192749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</row>
    <row r="62" ht="17.25" customHeight="1">
      <c r="A62" s="112"/>
      <c r="B62" s="189">
        <f>IFERROR(__xludf.DUMMYFUNCTION("""COMPUTED_VALUE"""),46044.5625)</f>
        <v>46044.5625</v>
      </c>
      <c r="C62" s="190">
        <f>IFERROR(__xludf.DUMMYFUNCTION("""COMPUTED_VALUE"""),1765.0)</f>
        <v>1765</v>
      </c>
      <c r="D62" s="190">
        <f>IFERROR(__xludf.DUMMYFUNCTION("""COMPUTED_VALUE"""),1770.0)</f>
        <v>1770</v>
      </c>
      <c r="E62" s="190">
        <f>IFERROR(__xludf.DUMMYFUNCTION("""COMPUTED_VALUE"""),1750.0)</f>
        <v>1750</v>
      </c>
      <c r="F62" s="190">
        <f>IFERROR(__xludf.DUMMYFUNCTION("""COMPUTED_VALUE"""),1760.0)</f>
        <v>1760</v>
      </c>
      <c r="G62" s="191">
        <f>IFERROR(__xludf.DUMMYFUNCTION("""COMPUTED_VALUE"""),3.2069478E7)</f>
        <v>32069478</v>
      </c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</row>
    <row r="63" ht="17.25" customHeight="1">
      <c r="A63" s="112"/>
      <c r="B63" s="189">
        <f>IFERROR(__xludf.DUMMYFUNCTION("""COMPUTED_VALUE"""),46045.5625)</f>
        <v>46045.5625</v>
      </c>
      <c r="C63" s="190">
        <f>IFERROR(__xludf.DUMMYFUNCTION("""COMPUTED_VALUE"""),1770.0)</f>
        <v>1770</v>
      </c>
      <c r="D63" s="190">
        <f>IFERROR(__xludf.DUMMYFUNCTION("""COMPUTED_VALUE"""),1775.0)</f>
        <v>1775</v>
      </c>
      <c r="E63" s="190">
        <f>IFERROR(__xludf.DUMMYFUNCTION("""COMPUTED_VALUE"""),1750.0)</f>
        <v>1750</v>
      </c>
      <c r="F63" s="190">
        <f>IFERROR(__xludf.DUMMYFUNCTION("""COMPUTED_VALUE"""),1770.0)</f>
        <v>1770</v>
      </c>
      <c r="G63" s="191">
        <f>IFERROR(__xludf.DUMMYFUNCTION("""COMPUTED_VALUE"""),2.7601167E7)</f>
        <v>27601167</v>
      </c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</row>
    <row r="64" ht="17.25" customHeight="1">
      <c r="A64" s="112"/>
      <c r="B64" s="189">
        <f>IFERROR(__xludf.DUMMYFUNCTION("""COMPUTED_VALUE"""),46048.5625)</f>
        <v>46048.5625</v>
      </c>
      <c r="C64" s="190">
        <f>IFERROR(__xludf.DUMMYFUNCTION("""COMPUTED_VALUE"""),1765.0)</f>
        <v>1765</v>
      </c>
      <c r="D64" s="190">
        <f>IFERROR(__xludf.DUMMYFUNCTION("""COMPUTED_VALUE"""),1785.0)</f>
        <v>1785</v>
      </c>
      <c r="E64" s="190">
        <f>IFERROR(__xludf.DUMMYFUNCTION("""COMPUTED_VALUE"""),1755.0)</f>
        <v>1755</v>
      </c>
      <c r="F64" s="190">
        <f>IFERROR(__xludf.DUMMYFUNCTION("""COMPUTED_VALUE"""),1755.0)</f>
        <v>1755</v>
      </c>
      <c r="G64" s="191">
        <f>IFERROR(__xludf.DUMMYFUNCTION("""COMPUTED_VALUE"""),2.2960198E7)</f>
        <v>22960198</v>
      </c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</row>
    <row r="65" ht="17.25" customHeight="1">
      <c r="A65" s="112"/>
      <c r="B65" s="189">
        <f>IFERROR(__xludf.DUMMYFUNCTION("""COMPUTED_VALUE"""),46049.5625)</f>
        <v>46049.5625</v>
      </c>
      <c r="C65" s="190">
        <f>IFERROR(__xludf.DUMMYFUNCTION("""COMPUTED_VALUE"""),1760.0)</f>
        <v>1760</v>
      </c>
      <c r="D65" s="190">
        <f>IFERROR(__xludf.DUMMYFUNCTION("""COMPUTED_VALUE"""),1785.0)</f>
        <v>1785</v>
      </c>
      <c r="E65" s="190">
        <f>IFERROR(__xludf.DUMMYFUNCTION("""COMPUTED_VALUE"""),1755.0)</f>
        <v>1755</v>
      </c>
      <c r="F65" s="190">
        <f>IFERROR(__xludf.DUMMYFUNCTION("""COMPUTED_VALUE"""),1780.0)</f>
        <v>1780</v>
      </c>
      <c r="G65" s="191">
        <f>IFERROR(__xludf.DUMMYFUNCTION("""COMPUTED_VALUE"""),2.89852E7)</f>
        <v>28985200</v>
      </c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</row>
    <row r="66" ht="17.25" customHeight="1">
      <c r="A66" s="112"/>
      <c r="B66" s="189">
        <f>IFERROR(__xludf.DUMMYFUNCTION("""COMPUTED_VALUE"""),46050.5625)</f>
        <v>46050.5625</v>
      </c>
      <c r="C66" s="190">
        <f>IFERROR(__xludf.DUMMYFUNCTION("""COMPUTED_VALUE"""),1790.0)</f>
        <v>1790</v>
      </c>
      <c r="D66" s="190">
        <f>IFERROR(__xludf.DUMMYFUNCTION("""COMPUTED_VALUE"""),1820.0)</f>
        <v>1820</v>
      </c>
      <c r="E66" s="190">
        <f>IFERROR(__xludf.DUMMYFUNCTION("""COMPUTED_VALUE"""),1790.0)</f>
        <v>1790</v>
      </c>
      <c r="F66" s="190">
        <f>IFERROR(__xludf.DUMMYFUNCTION("""COMPUTED_VALUE"""),1820.0)</f>
        <v>1820</v>
      </c>
      <c r="G66" s="191">
        <f>IFERROR(__xludf.DUMMYFUNCTION("""COMPUTED_VALUE"""),2.9301156E7)</f>
        <v>29301156</v>
      </c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</row>
    <row r="67" ht="17.25" customHeight="1">
      <c r="A67" s="112"/>
      <c r="B67" s="189">
        <f>IFERROR(__xludf.DUMMYFUNCTION("""COMPUTED_VALUE"""),46051.5625)</f>
        <v>46051.5625</v>
      </c>
      <c r="C67" s="190">
        <f>IFERROR(__xludf.DUMMYFUNCTION("""COMPUTED_VALUE"""),1830.0)</f>
        <v>1830</v>
      </c>
      <c r="D67" s="190">
        <f>IFERROR(__xludf.DUMMYFUNCTION("""COMPUTED_VALUE"""),1835.0)</f>
        <v>1835</v>
      </c>
      <c r="E67" s="190">
        <f>IFERROR(__xludf.DUMMYFUNCTION("""COMPUTED_VALUE"""),1800.0)</f>
        <v>1800</v>
      </c>
      <c r="F67" s="190">
        <f>IFERROR(__xludf.DUMMYFUNCTION("""COMPUTED_VALUE"""),1805.0)</f>
        <v>1805</v>
      </c>
      <c r="G67" s="191">
        <f>IFERROR(__xludf.DUMMYFUNCTION("""COMPUTED_VALUE"""),3.2224002E7)</f>
        <v>32224002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</row>
    <row r="68" ht="17.25" customHeight="1">
      <c r="A68" s="112"/>
      <c r="B68" s="189">
        <f>IFERROR(__xludf.DUMMYFUNCTION("""COMPUTED_VALUE"""),46052.5625)</f>
        <v>46052.5625</v>
      </c>
      <c r="C68" s="190">
        <f>IFERROR(__xludf.DUMMYFUNCTION("""COMPUTED_VALUE"""),1790.0)</f>
        <v>1790</v>
      </c>
      <c r="D68" s="190">
        <f>IFERROR(__xludf.DUMMYFUNCTION("""COMPUTED_VALUE"""),1800.0)</f>
        <v>1800</v>
      </c>
      <c r="E68" s="190">
        <f>IFERROR(__xludf.DUMMYFUNCTION("""COMPUTED_VALUE"""),1775.0)</f>
        <v>1775</v>
      </c>
      <c r="F68" s="190">
        <f>IFERROR(__xludf.DUMMYFUNCTION("""COMPUTED_VALUE"""),1775.0)</f>
        <v>1775</v>
      </c>
      <c r="G68" s="191">
        <f>IFERROR(__xludf.DUMMYFUNCTION("""COMPUTED_VALUE"""),4.0825139E7)</f>
        <v>40825139</v>
      </c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</row>
    <row r="69" ht="17.25" customHeight="1">
      <c r="A69" s="112"/>
      <c r="B69" s="189">
        <f>IFERROR(__xludf.DUMMYFUNCTION("""COMPUTED_VALUE"""),46055.5625)</f>
        <v>46055.5625</v>
      </c>
      <c r="C69" s="190">
        <f>IFERROR(__xludf.DUMMYFUNCTION("""COMPUTED_VALUE"""),1750.0)</f>
        <v>1750</v>
      </c>
      <c r="D69" s="190">
        <f>IFERROR(__xludf.DUMMYFUNCTION("""COMPUTED_VALUE"""),1765.0)</f>
        <v>1765</v>
      </c>
      <c r="E69" s="190">
        <f>IFERROR(__xludf.DUMMYFUNCTION("""COMPUTED_VALUE"""),1745.0)</f>
        <v>1745</v>
      </c>
      <c r="F69" s="190">
        <f>IFERROR(__xludf.DUMMYFUNCTION("""COMPUTED_VALUE"""),1765.0)</f>
        <v>1765</v>
      </c>
      <c r="G69" s="191">
        <f>IFERROR(__xludf.DUMMYFUNCTION("""COMPUTED_VALUE"""),2.8251381E7)</f>
        <v>28251381</v>
      </c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</row>
    <row r="70" ht="17.25" customHeight="1">
      <c r="A70" s="112"/>
      <c r="B70" s="189">
        <f>IFERROR(__xludf.DUMMYFUNCTION("""COMPUTED_VALUE"""),46056.5625)</f>
        <v>46056.5625</v>
      </c>
      <c r="C70" s="190">
        <f>IFERROR(__xludf.DUMMYFUNCTION("""COMPUTED_VALUE"""),1810.0)</f>
        <v>1810</v>
      </c>
      <c r="D70" s="190">
        <f>IFERROR(__xludf.DUMMYFUNCTION("""COMPUTED_VALUE"""),1810.0)</f>
        <v>1810</v>
      </c>
      <c r="E70" s="190">
        <f>IFERROR(__xludf.DUMMYFUNCTION("""COMPUTED_VALUE"""),1785.0)</f>
        <v>1785</v>
      </c>
      <c r="F70" s="190">
        <f>IFERROR(__xludf.DUMMYFUNCTION("""COMPUTED_VALUE"""),1800.0)</f>
        <v>1800</v>
      </c>
      <c r="G70" s="191">
        <f>IFERROR(__xludf.DUMMYFUNCTION("""COMPUTED_VALUE"""),2.6744162E7)</f>
        <v>26744162</v>
      </c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</row>
    <row r="71" ht="17.25" customHeight="1">
      <c r="A71" s="112"/>
      <c r="B71" s="189">
        <f>IFERROR(__xludf.DUMMYFUNCTION("""COMPUTED_VALUE"""),46057.5625)</f>
        <v>46057.5625</v>
      </c>
      <c r="C71" s="190">
        <f>IFERROR(__xludf.DUMMYFUNCTION("""COMPUTED_VALUE"""),1785.0)</f>
        <v>1785</v>
      </c>
      <c r="D71" s="190">
        <f>IFERROR(__xludf.DUMMYFUNCTION("""COMPUTED_VALUE"""),1805.0)</f>
        <v>1805</v>
      </c>
      <c r="E71" s="190">
        <f>IFERROR(__xludf.DUMMYFUNCTION("""COMPUTED_VALUE"""),1775.0)</f>
        <v>1775</v>
      </c>
      <c r="F71" s="190">
        <f>IFERROR(__xludf.DUMMYFUNCTION("""COMPUTED_VALUE"""),1785.0)</f>
        <v>1785</v>
      </c>
      <c r="G71" s="191">
        <f>IFERROR(__xludf.DUMMYFUNCTION("""COMPUTED_VALUE"""),2.6952301E7)</f>
        <v>26952301</v>
      </c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</row>
    <row r="72" ht="17.25" customHeight="1">
      <c r="A72" s="112"/>
      <c r="B72" s="189">
        <f>IFERROR(__xludf.DUMMYFUNCTION("""COMPUTED_VALUE"""),46058.5625)</f>
        <v>46058.5625</v>
      </c>
      <c r="C72" s="190">
        <f>IFERROR(__xludf.DUMMYFUNCTION("""COMPUTED_VALUE"""),1765.0)</f>
        <v>1765</v>
      </c>
      <c r="D72" s="190">
        <f>IFERROR(__xludf.DUMMYFUNCTION("""COMPUTED_VALUE"""),1780.0)</f>
        <v>1780</v>
      </c>
      <c r="E72" s="190">
        <f>IFERROR(__xludf.DUMMYFUNCTION("""COMPUTED_VALUE"""),1760.0)</f>
        <v>1760</v>
      </c>
      <c r="F72" s="190">
        <f>IFERROR(__xludf.DUMMYFUNCTION("""COMPUTED_VALUE"""),1765.0)</f>
        <v>1765</v>
      </c>
      <c r="G72" s="191">
        <f>IFERROR(__xludf.DUMMYFUNCTION("""COMPUTED_VALUE"""),2.6299986E7)</f>
        <v>26299986</v>
      </c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</row>
    <row r="73" ht="17.25" customHeight="1">
      <c r="A73" s="112"/>
      <c r="B73" s="189">
        <f>IFERROR(__xludf.DUMMYFUNCTION("""COMPUTED_VALUE"""),46059.5625)</f>
        <v>46059.5625</v>
      </c>
      <c r="C73" s="190">
        <f>IFERROR(__xludf.DUMMYFUNCTION("""COMPUTED_VALUE"""),1745.0)</f>
        <v>1745</v>
      </c>
      <c r="D73" s="190">
        <f>IFERROR(__xludf.DUMMYFUNCTION("""COMPUTED_VALUE"""),1780.0)</f>
        <v>1780</v>
      </c>
      <c r="E73" s="190">
        <f>IFERROR(__xludf.DUMMYFUNCTION("""COMPUTED_VALUE"""),1740.0)</f>
        <v>1740</v>
      </c>
      <c r="F73" s="190">
        <f>IFERROR(__xludf.DUMMYFUNCTION("""COMPUTED_VALUE"""),1780.0)</f>
        <v>1780</v>
      </c>
      <c r="G73" s="191">
        <f>IFERROR(__xludf.DUMMYFUNCTION("""COMPUTED_VALUE"""),3.3263592E7)</f>
        <v>33263592</v>
      </c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</row>
    <row r="74" ht="17.25" customHeight="1">
      <c r="A74" s="112"/>
      <c r="B74" s="189">
        <f>IFERROR(__xludf.DUMMYFUNCTION("""COMPUTED_VALUE"""),46062.5625)</f>
        <v>46062.5625</v>
      </c>
      <c r="C74" s="190">
        <f>IFERROR(__xludf.DUMMYFUNCTION("""COMPUTED_VALUE"""),1830.0)</f>
        <v>1830</v>
      </c>
      <c r="D74" s="190">
        <f>IFERROR(__xludf.DUMMYFUNCTION("""COMPUTED_VALUE"""),1835.0)</f>
        <v>1835</v>
      </c>
      <c r="E74" s="190">
        <f>IFERROR(__xludf.DUMMYFUNCTION("""COMPUTED_VALUE"""),1815.0)</f>
        <v>1815</v>
      </c>
      <c r="F74" s="190">
        <f>IFERROR(__xludf.DUMMYFUNCTION("""COMPUTED_VALUE"""),1815.0)</f>
        <v>1815</v>
      </c>
      <c r="G74" s="191">
        <f>IFERROR(__xludf.DUMMYFUNCTION("""COMPUTED_VALUE"""),3.6529289E7)</f>
        <v>36529289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</row>
    <row r="75" ht="17.25" customHeight="1">
      <c r="A75" s="112"/>
      <c r="B75" s="189">
        <f>IFERROR(__xludf.DUMMYFUNCTION("""COMPUTED_VALUE"""),46063.5625)</f>
        <v>46063.5625</v>
      </c>
      <c r="C75" s="190">
        <f>IFERROR(__xludf.DUMMYFUNCTION("""COMPUTED_VALUE"""),1845.0)</f>
        <v>1845</v>
      </c>
      <c r="D75" s="190">
        <f>IFERROR(__xludf.DUMMYFUNCTION("""COMPUTED_VALUE"""),1880.0)</f>
        <v>1880</v>
      </c>
      <c r="E75" s="190">
        <f>IFERROR(__xludf.DUMMYFUNCTION("""COMPUTED_VALUE"""),1840.0)</f>
        <v>1840</v>
      </c>
      <c r="F75" s="190">
        <f>IFERROR(__xludf.DUMMYFUNCTION("""COMPUTED_VALUE"""),1880.0)</f>
        <v>1880</v>
      </c>
      <c r="G75" s="191">
        <f>IFERROR(__xludf.DUMMYFUNCTION("""COMPUTED_VALUE"""),4.1859169E7)</f>
        <v>41859169</v>
      </c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</row>
    <row r="76" ht="17.25" customHeight="1">
      <c r="A76" s="112"/>
      <c r="B76" s="189">
        <f>IFERROR(__xludf.DUMMYFUNCTION("""COMPUTED_VALUE"""),46064.5625)</f>
        <v>46064.5625</v>
      </c>
      <c r="C76" s="190">
        <f>IFERROR(__xludf.DUMMYFUNCTION("""COMPUTED_VALUE"""),1880.0)</f>
        <v>1880</v>
      </c>
      <c r="D76" s="190">
        <f>IFERROR(__xludf.DUMMYFUNCTION("""COMPUTED_VALUE"""),1925.0)</f>
        <v>1925</v>
      </c>
      <c r="E76" s="190">
        <f>IFERROR(__xludf.DUMMYFUNCTION("""COMPUTED_VALUE"""),1875.0)</f>
        <v>1875</v>
      </c>
      <c r="F76" s="190">
        <f>IFERROR(__xludf.DUMMYFUNCTION("""COMPUTED_VALUE"""),1915.0)</f>
        <v>1915</v>
      </c>
      <c r="G76" s="191">
        <f>IFERROR(__xludf.DUMMYFUNCTION("""COMPUTED_VALUE"""),4.048831E7)</f>
        <v>40488310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</row>
    <row r="77" ht="17.25" customHeight="1">
      <c r="A77" s="112"/>
      <c r="B77" s="189">
        <f>IFERROR(__xludf.DUMMYFUNCTION("""COMPUTED_VALUE"""),46076.5625)</f>
        <v>46076.5625</v>
      </c>
      <c r="C77" s="190">
        <f>IFERROR(__xludf.DUMMYFUNCTION("""COMPUTED_VALUE"""),1900.0)</f>
        <v>1900</v>
      </c>
      <c r="D77" s="190">
        <f>IFERROR(__xludf.DUMMYFUNCTION("""COMPUTED_VALUE"""),1935.0)</f>
        <v>1935</v>
      </c>
      <c r="E77" s="190">
        <f>IFERROR(__xludf.DUMMYFUNCTION("""COMPUTED_VALUE"""),1900.0)</f>
        <v>1900</v>
      </c>
      <c r="F77" s="190">
        <f>IFERROR(__xludf.DUMMYFUNCTION("""COMPUTED_VALUE"""),1900.0)</f>
        <v>1900</v>
      </c>
      <c r="G77" s="191">
        <f>IFERROR(__xludf.DUMMYFUNCTION("""COMPUTED_VALUE"""),6.9816209E7)</f>
        <v>69816209</v>
      </c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</row>
    <row r="78" ht="17.25" customHeight="1">
      <c r="A78" s="112"/>
      <c r="B78" s="189">
        <f>IFERROR(__xludf.DUMMYFUNCTION("""COMPUTED_VALUE"""),46077.5625)</f>
        <v>46077.5625</v>
      </c>
      <c r="C78" s="190">
        <f>IFERROR(__xludf.DUMMYFUNCTION("""COMPUTED_VALUE"""),1915.0)</f>
        <v>1915</v>
      </c>
      <c r="D78" s="190">
        <f>IFERROR(__xludf.DUMMYFUNCTION("""COMPUTED_VALUE"""),1975.0)</f>
        <v>1975</v>
      </c>
      <c r="E78" s="190">
        <f>IFERROR(__xludf.DUMMYFUNCTION("""COMPUTED_VALUE"""),1915.0)</f>
        <v>1915</v>
      </c>
      <c r="F78" s="190">
        <f>IFERROR(__xludf.DUMMYFUNCTION("""COMPUTED_VALUE"""),1965.0)</f>
        <v>1965</v>
      </c>
      <c r="G78" s="191">
        <f>IFERROR(__xludf.DUMMYFUNCTION("""COMPUTED_VALUE"""),4.0961679E7)</f>
        <v>40961679</v>
      </c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</row>
    <row r="79" ht="17.25" customHeight="1">
      <c r="A79" s="112"/>
      <c r="B79" s="189">
        <f>IFERROR(__xludf.DUMMYFUNCTION("""COMPUTED_VALUE"""),46078.5625)</f>
        <v>46078.5625</v>
      </c>
      <c r="C79" s="190">
        <f>IFERROR(__xludf.DUMMYFUNCTION("""COMPUTED_VALUE"""),1995.0)</f>
        <v>1995</v>
      </c>
      <c r="D79" s="190">
        <f>IFERROR(__xludf.DUMMYFUNCTION("""COMPUTED_VALUE"""),2025.0)</f>
        <v>2025</v>
      </c>
      <c r="E79" s="190">
        <f>IFERROR(__xludf.DUMMYFUNCTION("""COMPUTED_VALUE"""),1995.0)</f>
        <v>1995</v>
      </c>
      <c r="F79" s="190">
        <f>IFERROR(__xludf.DUMMYFUNCTION("""COMPUTED_VALUE"""),2015.0)</f>
        <v>2015</v>
      </c>
      <c r="G79" s="191">
        <f>IFERROR(__xludf.DUMMYFUNCTION("""COMPUTED_VALUE"""),4.0832607E7)</f>
        <v>40832607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</row>
    <row r="80" ht="17.25" customHeight="1">
      <c r="A80" s="112"/>
      <c r="B80" s="189">
        <f>IFERROR(__xludf.DUMMYFUNCTION("""COMPUTED_VALUE"""),46079.5625)</f>
        <v>46079.5625</v>
      </c>
      <c r="C80" s="190">
        <f>IFERROR(__xludf.DUMMYFUNCTION("""COMPUTED_VALUE"""),2000.0)</f>
        <v>2000</v>
      </c>
      <c r="D80" s="190">
        <f>IFERROR(__xludf.DUMMYFUNCTION("""COMPUTED_VALUE"""),2010.0)</f>
        <v>2010</v>
      </c>
      <c r="E80" s="190">
        <f>IFERROR(__xludf.DUMMYFUNCTION("""COMPUTED_VALUE"""),1995.0)</f>
        <v>1995</v>
      </c>
      <c r="F80" s="190">
        <f>IFERROR(__xludf.DUMMYFUNCTION("""COMPUTED_VALUE"""),1995.0)</f>
        <v>1995</v>
      </c>
      <c r="G80" s="191">
        <f>IFERROR(__xludf.DUMMYFUNCTION("""COMPUTED_VALUE"""),5.8561388E7)</f>
        <v>58561388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</row>
    <row r="81" ht="17.25" customHeight="1">
      <c r="A81" s="112"/>
      <c r="B81" s="189">
        <f>IFERROR(__xludf.DUMMYFUNCTION("""COMPUTED_VALUE"""),46083.5625)</f>
        <v>46083.5625</v>
      </c>
      <c r="C81" s="190">
        <f>IFERROR(__xludf.DUMMYFUNCTION("""COMPUTED_VALUE"""),1940.0)</f>
        <v>1940</v>
      </c>
      <c r="D81" s="190">
        <f>IFERROR(__xludf.DUMMYFUNCTION("""COMPUTED_VALUE"""),1995.0)</f>
        <v>1995</v>
      </c>
      <c r="E81" s="190">
        <f>IFERROR(__xludf.DUMMYFUNCTION("""COMPUTED_VALUE"""),1940.0)</f>
        <v>1940</v>
      </c>
      <c r="F81" s="190">
        <f>IFERROR(__xludf.DUMMYFUNCTION("""COMPUTED_VALUE"""),1975.0)</f>
        <v>1975</v>
      </c>
      <c r="G81" s="191">
        <f>IFERROR(__xludf.DUMMYFUNCTION("""COMPUTED_VALUE"""),4.8884884E7)</f>
        <v>48884884</v>
      </c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</row>
    <row r="82" ht="17.25" customHeight="1">
      <c r="A82" s="112"/>
      <c r="B82" s="189">
        <f>IFERROR(__xludf.DUMMYFUNCTION("""COMPUTED_VALUE"""),46084.5625)</f>
        <v>46084.5625</v>
      </c>
      <c r="C82" s="190">
        <f>IFERROR(__xludf.DUMMYFUNCTION("""COMPUTED_VALUE"""),1970.0)</f>
        <v>1970</v>
      </c>
      <c r="D82" s="190">
        <f>IFERROR(__xludf.DUMMYFUNCTION("""COMPUTED_VALUE"""),1980.0)</f>
        <v>1980</v>
      </c>
      <c r="E82" s="190">
        <f>IFERROR(__xludf.DUMMYFUNCTION("""COMPUTED_VALUE"""),1935.0)</f>
        <v>1935</v>
      </c>
      <c r="F82" s="190">
        <f>IFERROR(__xludf.DUMMYFUNCTION("""COMPUTED_VALUE"""),1935.0)</f>
        <v>1935</v>
      </c>
      <c r="G82" s="191">
        <f>IFERROR(__xludf.DUMMYFUNCTION("""COMPUTED_VALUE"""),4.3090471E7)</f>
        <v>43090471</v>
      </c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</row>
    <row r="83" ht="17.25" customHeight="1">
      <c r="A83" s="112"/>
      <c r="B83" s="189">
        <f>IFERROR(__xludf.DUMMYFUNCTION("""COMPUTED_VALUE"""),46085.5625)</f>
        <v>46085.5625</v>
      </c>
      <c r="C83" s="190">
        <f>IFERROR(__xludf.DUMMYFUNCTION("""COMPUTED_VALUE"""),1895.0)</f>
        <v>1895</v>
      </c>
      <c r="D83" s="190">
        <f>IFERROR(__xludf.DUMMYFUNCTION("""COMPUTED_VALUE"""),1910.0)</f>
        <v>1910</v>
      </c>
      <c r="E83" s="190">
        <f>IFERROR(__xludf.DUMMYFUNCTION("""COMPUTED_VALUE"""),1865.0)</f>
        <v>1865</v>
      </c>
      <c r="F83" s="190">
        <f>IFERROR(__xludf.DUMMYFUNCTION("""COMPUTED_VALUE"""),1865.0)</f>
        <v>1865</v>
      </c>
      <c r="G83" s="191">
        <f>IFERROR(__xludf.DUMMYFUNCTION("""COMPUTED_VALUE"""),6.8160943E7)</f>
        <v>68160943</v>
      </c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</row>
    <row r="84" ht="17.25" customHeight="1">
      <c r="A84" s="112"/>
      <c r="B84" s="189">
        <f>IFERROR(__xludf.DUMMYFUNCTION("""COMPUTED_VALUE"""),46086.5625)</f>
        <v>46086.5625</v>
      </c>
      <c r="C84" s="190">
        <f>IFERROR(__xludf.DUMMYFUNCTION("""COMPUTED_VALUE"""),1940.0)</f>
        <v>1940</v>
      </c>
      <c r="D84" s="190">
        <f>IFERROR(__xludf.DUMMYFUNCTION("""COMPUTED_VALUE"""),1960.0)</f>
        <v>1960</v>
      </c>
      <c r="E84" s="190">
        <f>IFERROR(__xludf.DUMMYFUNCTION("""COMPUTED_VALUE"""),1895.0)</f>
        <v>1895</v>
      </c>
      <c r="F84" s="190">
        <f>IFERROR(__xludf.DUMMYFUNCTION("""COMPUTED_VALUE"""),1900.0)</f>
        <v>1900</v>
      </c>
      <c r="G84" s="191">
        <f>IFERROR(__xludf.DUMMYFUNCTION("""COMPUTED_VALUE"""),4.8120463E7)</f>
        <v>48120463</v>
      </c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</row>
    <row r="85" ht="17.25" customHeight="1">
      <c r="A85" s="112"/>
      <c r="B85" s="189">
        <f>IFERROR(__xludf.DUMMYFUNCTION("""COMPUTED_VALUE"""),46087.5625)</f>
        <v>46087.5625</v>
      </c>
      <c r="C85" s="190">
        <f>IFERROR(__xludf.DUMMYFUNCTION("""COMPUTED_VALUE"""),1880.0)</f>
        <v>1880</v>
      </c>
      <c r="D85" s="190">
        <f>IFERROR(__xludf.DUMMYFUNCTION("""COMPUTED_VALUE"""),1900.0)</f>
        <v>1900</v>
      </c>
      <c r="E85" s="190">
        <f>IFERROR(__xludf.DUMMYFUNCTION("""COMPUTED_VALUE"""),1880.0)</f>
        <v>1880</v>
      </c>
      <c r="F85" s="190">
        <f>IFERROR(__xludf.DUMMYFUNCTION("""COMPUTED_VALUE"""),1890.0)</f>
        <v>1890</v>
      </c>
      <c r="G85" s="191">
        <f>IFERROR(__xludf.DUMMYFUNCTION("""COMPUTED_VALUE"""),3.0082724E7)</f>
        <v>30082724</v>
      </c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</row>
    <row r="86" ht="17.25" customHeight="1">
      <c r="A86" s="112"/>
      <c r="B86" s="189">
        <f>IFERROR(__xludf.DUMMYFUNCTION("""COMPUTED_VALUE"""),46090.5625)</f>
        <v>46090.5625</v>
      </c>
      <c r="C86" s="190">
        <f>IFERROR(__xludf.DUMMYFUNCTION("""COMPUTED_VALUE"""),1775.0)</f>
        <v>1775</v>
      </c>
      <c r="D86" s="190">
        <f>IFERROR(__xludf.DUMMYFUNCTION("""COMPUTED_VALUE"""),1810.0)</f>
        <v>1810</v>
      </c>
      <c r="E86" s="190">
        <f>IFERROR(__xludf.DUMMYFUNCTION("""COMPUTED_VALUE"""),1770.0)</f>
        <v>1770</v>
      </c>
      <c r="F86" s="190">
        <f>IFERROR(__xludf.DUMMYFUNCTION("""COMPUTED_VALUE"""),1810.0)</f>
        <v>1810</v>
      </c>
      <c r="G86" s="191">
        <f>IFERROR(__xludf.DUMMYFUNCTION("""COMPUTED_VALUE"""),7.6459172E7)</f>
        <v>76459172</v>
      </c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</row>
    <row r="87" ht="17.25" customHeight="1">
      <c r="A87" s="112"/>
      <c r="B87" s="189">
        <f>IFERROR(__xludf.DUMMYFUNCTION("""COMPUTED_VALUE"""),46091.5625)</f>
        <v>46091.5625</v>
      </c>
      <c r="C87" s="190">
        <f>IFERROR(__xludf.DUMMYFUNCTION("""COMPUTED_VALUE"""),1870.0)</f>
        <v>1870</v>
      </c>
      <c r="D87" s="190">
        <f>IFERROR(__xludf.DUMMYFUNCTION("""COMPUTED_VALUE"""),1890.0)</f>
        <v>1890</v>
      </c>
      <c r="E87" s="190">
        <f>IFERROR(__xludf.DUMMYFUNCTION("""COMPUTED_VALUE"""),1830.0)</f>
        <v>1830</v>
      </c>
      <c r="F87" s="190">
        <f>IFERROR(__xludf.DUMMYFUNCTION("""COMPUTED_VALUE"""),1850.0)</f>
        <v>1850</v>
      </c>
      <c r="G87" s="191">
        <f>IFERROR(__xludf.DUMMYFUNCTION("""COMPUTED_VALUE"""),4.1375691E7)</f>
        <v>41375691</v>
      </c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</row>
    <row r="88" ht="17.25" customHeight="1">
      <c r="A88" s="112"/>
      <c r="B88" s="189">
        <f>IFERROR(__xludf.DUMMYFUNCTION("""COMPUTED_VALUE"""),46092.5625)</f>
        <v>46092.5625</v>
      </c>
      <c r="C88" s="190">
        <f>IFERROR(__xludf.DUMMYFUNCTION("""COMPUTED_VALUE"""),1885.0)</f>
        <v>1885</v>
      </c>
      <c r="D88" s="190">
        <f>IFERROR(__xludf.DUMMYFUNCTION("""COMPUTED_VALUE"""),1950.0)</f>
        <v>1950</v>
      </c>
      <c r="E88" s="190">
        <f>IFERROR(__xludf.DUMMYFUNCTION("""COMPUTED_VALUE"""),1875.0)</f>
        <v>1875</v>
      </c>
      <c r="F88" s="190">
        <f>IFERROR(__xludf.DUMMYFUNCTION("""COMPUTED_VALUE"""),1940.0)</f>
        <v>1940</v>
      </c>
      <c r="G88" s="191">
        <f>IFERROR(__xludf.DUMMYFUNCTION("""COMPUTED_VALUE"""),3.6167313E7)</f>
        <v>36167313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</row>
    <row r="89" ht="17.25" customHeight="1">
      <c r="A89" s="112"/>
      <c r="B89" s="189">
        <f>IFERROR(__xludf.DUMMYFUNCTION("""COMPUTED_VALUE"""),46093.5625)</f>
        <v>46093.5625</v>
      </c>
      <c r="C89" s="190">
        <f>IFERROR(__xludf.DUMMYFUNCTION("""COMPUTED_VALUE"""),1900.0)</f>
        <v>1900</v>
      </c>
      <c r="D89" s="190">
        <f>IFERROR(__xludf.DUMMYFUNCTION("""COMPUTED_VALUE"""),1915.0)</f>
        <v>1915</v>
      </c>
      <c r="E89" s="190">
        <f>IFERROR(__xludf.DUMMYFUNCTION("""COMPUTED_VALUE"""),1885.0)</f>
        <v>1885</v>
      </c>
      <c r="F89" s="190">
        <f>IFERROR(__xludf.DUMMYFUNCTION("""COMPUTED_VALUE"""),1885.0)</f>
        <v>1885</v>
      </c>
      <c r="G89" s="191">
        <f>IFERROR(__xludf.DUMMYFUNCTION("""COMPUTED_VALUE"""),3.4040589E7)</f>
        <v>34040589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</row>
    <row r="90" ht="17.25" customHeight="1">
      <c r="A90" s="112"/>
      <c r="B90" s="189">
        <f>IFERROR(__xludf.DUMMYFUNCTION("""COMPUTED_VALUE"""),46094.5625)</f>
        <v>46094.5625</v>
      </c>
      <c r="C90" s="190">
        <f>IFERROR(__xludf.DUMMYFUNCTION("""COMPUTED_VALUE"""),1840.0)</f>
        <v>1840</v>
      </c>
      <c r="D90" s="190">
        <f>IFERROR(__xludf.DUMMYFUNCTION("""COMPUTED_VALUE"""),1885.0)</f>
        <v>1885</v>
      </c>
      <c r="E90" s="190">
        <f>IFERROR(__xludf.DUMMYFUNCTION("""COMPUTED_VALUE"""),1840.0)</f>
        <v>1840</v>
      </c>
      <c r="F90" s="190">
        <f>IFERROR(__xludf.DUMMYFUNCTION("""COMPUTED_VALUE"""),1865.0)</f>
        <v>1865</v>
      </c>
      <c r="G90" s="191">
        <f>IFERROR(__xludf.DUMMYFUNCTION("""COMPUTED_VALUE"""),3.1214304E7)</f>
        <v>31214304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</row>
    <row r="91" ht="17.25" customHeight="1">
      <c r="A91" s="112"/>
      <c r="B91" s="189">
        <f>IFERROR(__xludf.DUMMYFUNCTION("""COMPUTED_VALUE"""),46097.5625)</f>
        <v>46097.5625</v>
      </c>
      <c r="C91" s="190">
        <f>IFERROR(__xludf.DUMMYFUNCTION("""COMPUTED_VALUE"""),1875.0)</f>
        <v>1875</v>
      </c>
      <c r="D91" s="190">
        <f>IFERROR(__xludf.DUMMYFUNCTION("""COMPUTED_VALUE"""),1880.0)</f>
        <v>1880</v>
      </c>
      <c r="E91" s="190">
        <f>IFERROR(__xludf.DUMMYFUNCTION("""COMPUTED_VALUE"""),1845.0)</f>
        <v>1845</v>
      </c>
      <c r="F91" s="190">
        <f>IFERROR(__xludf.DUMMYFUNCTION("""COMPUTED_VALUE"""),1845.0)</f>
        <v>1845</v>
      </c>
      <c r="G91" s="191">
        <f>IFERROR(__xludf.DUMMYFUNCTION("""COMPUTED_VALUE"""),3.1249086E7)</f>
        <v>31249086</v>
      </c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</row>
    <row r="92" ht="17.25" customHeight="1">
      <c r="A92" s="112"/>
      <c r="B92" s="189">
        <f>IFERROR(__xludf.DUMMYFUNCTION("""COMPUTED_VALUE"""),46098.5625)</f>
        <v>46098.5625</v>
      </c>
      <c r="C92" s="190">
        <f>IFERROR(__xludf.DUMMYFUNCTION("""COMPUTED_VALUE"""),1875.0)</f>
        <v>1875</v>
      </c>
      <c r="D92" s="190">
        <f>IFERROR(__xludf.DUMMYFUNCTION("""COMPUTED_VALUE"""),1880.0)</f>
        <v>1880</v>
      </c>
      <c r="E92" s="190">
        <f>IFERROR(__xludf.DUMMYFUNCTION("""COMPUTED_VALUE"""),1860.0)</f>
        <v>1860</v>
      </c>
      <c r="F92" s="190">
        <f>IFERROR(__xludf.DUMMYFUNCTION("""COMPUTED_VALUE"""),1870.0)</f>
        <v>1870</v>
      </c>
      <c r="G92" s="191">
        <f>IFERROR(__xludf.DUMMYFUNCTION("""COMPUTED_VALUE"""),2.3812211E7)</f>
        <v>23812211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ht="17.25" customHeight="1">
      <c r="A93" s="112"/>
      <c r="B93" s="189">
        <f>IFERROR(__xludf.DUMMYFUNCTION("""COMPUTED_VALUE"""),46099.5625)</f>
        <v>46099.5625</v>
      </c>
      <c r="C93" s="190">
        <f>IFERROR(__xludf.DUMMYFUNCTION("""COMPUTED_VALUE"""),1900.0)</f>
        <v>1900</v>
      </c>
      <c r="D93" s="190">
        <f>IFERROR(__xludf.DUMMYFUNCTION("""COMPUTED_VALUE"""),1910.0)</f>
        <v>1910</v>
      </c>
      <c r="E93" s="190">
        <f>IFERROR(__xludf.DUMMYFUNCTION("""COMPUTED_VALUE"""),1890.0)</f>
        <v>1890</v>
      </c>
      <c r="F93" s="190">
        <f>IFERROR(__xludf.DUMMYFUNCTION("""COMPUTED_VALUE"""),1905.0)</f>
        <v>1905</v>
      </c>
      <c r="G93" s="191">
        <f>IFERROR(__xludf.DUMMYFUNCTION("""COMPUTED_VALUE"""),2.3068156E7)</f>
        <v>23068156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ht="17.25" customHeight="1">
      <c r="A94" s="112"/>
      <c r="B94" s="189">
        <f>IFERROR(__xludf.DUMMYFUNCTION("""COMPUTED_VALUE"""),46100.5625)</f>
        <v>46100.5625</v>
      </c>
      <c r="C94" s="190">
        <f>IFERROR(__xludf.DUMMYFUNCTION("""COMPUTED_VALUE"""),1875.0)</f>
        <v>1875</v>
      </c>
      <c r="D94" s="190">
        <f>IFERROR(__xludf.DUMMYFUNCTION("""COMPUTED_VALUE"""),1880.0)</f>
        <v>1880</v>
      </c>
      <c r="E94" s="190">
        <f>IFERROR(__xludf.DUMMYFUNCTION("""COMPUTED_VALUE"""),1850.0)</f>
        <v>1850</v>
      </c>
      <c r="F94" s="190">
        <f>IFERROR(__xludf.DUMMYFUNCTION("""COMPUTED_VALUE"""),1850.0)</f>
        <v>1850</v>
      </c>
      <c r="G94" s="191">
        <f>IFERROR(__xludf.DUMMYFUNCTION("""COMPUTED_VALUE"""),3.1040569E7)</f>
        <v>31040569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</row>
    <row r="95" ht="17.25" customHeight="1">
      <c r="A95" s="112"/>
      <c r="B95" s="189">
        <f>IFERROR(__xludf.DUMMYFUNCTION("""COMPUTED_VALUE"""),46101.5625)</f>
        <v>46101.5625</v>
      </c>
      <c r="C95" s="190">
        <f>IFERROR(__xludf.DUMMYFUNCTION("""COMPUTED_VALUE"""),1860.0)</f>
        <v>1860</v>
      </c>
      <c r="D95" s="190">
        <f>IFERROR(__xludf.DUMMYFUNCTION("""COMPUTED_VALUE"""),1870.0)</f>
        <v>1870</v>
      </c>
      <c r="E95" s="190">
        <f>IFERROR(__xludf.DUMMYFUNCTION("""COMPUTED_VALUE"""),1840.0)</f>
        <v>1840</v>
      </c>
      <c r="F95" s="190">
        <f>IFERROR(__xludf.DUMMYFUNCTION("""COMPUTED_VALUE"""),1840.0)</f>
        <v>1840</v>
      </c>
      <c r="G95" s="191">
        <f>IFERROR(__xludf.DUMMYFUNCTION("""COMPUTED_VALUE"""),4.6312322E7)</f>
        <v>46312322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</row>
    <row r="96" ht="17.25" customHeight="1">
      <c r="A96" s="112"/>
      <c r="B96" s="189">
        <f>IFERROR(__xludf.DUMMYFUNCTION("""COMPUTED_VALUE"""),46104.5625)</f>
        <v>46104.5625</v>
      </c>
      <c r="C96" s="190">
        <f>IFERROR(__xludf.DUMMYFUNCTION("""COMPUTED_VALUE"""),1790.0)</f>
        <v>1790</v>
      </c>
      <c r="D96" s="190">
        <f>IFERROR(__xludf.DUMMYFUNCTION("""COMPUTED_VALUE"""),1815.0)</f>
        <v>1815</v>
      </c>
      <c r="E96" s="190">
        <f>IFERROR(__xludf.DUMMYFUNCTION("""COMPUTED_VALUE"""),1785.0)</f>
        <v>1785</v>
      </c>
      <c r="F96" s="190">
        <f>IFERROR(__xludf.DUMMYFUNCTION("""COMPUTED_VALUE"""),1810.0)</f>
        <v>1810</v>
      </c>
      <c r="G96" s="191">
        <f>IFERROR(__xludf.DUMMYFUNCTION("""COMPUTED_VALUE"""),3.4902948E7)</f>
        <v>34902948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</row>
    <row r="97" ht="17.25" customHeight="1">
      <c r="A97" s="112"/>
      <c r="B97" s="189">
        <f>IFERROR(__xludf.DUMMYFUNCTION("""COMPUTED_VALUE"""),46105.5625)</f>
        <v>46105.5625</v>
      </c>
      <c r="C97" s="190">
        <f>IFERROR(__xludf.DUMMYFUNCTION("""COMPUTED_VALUE"""),1850.0)</f>
        <v>1850</v>
      </c>
      <c r="D97" s="190">
        <f>IFERROR(__xludf.DUMMYFUNCTION("""COMPUTED_VALUE"""),1850.0)</f>
        <v>1850</v>
      </c>
      <c r="E97" s="190">
        <f>IFERROR(__xludf.DUMMYFUNCTION("""COMPUTED_VALUE"""),1800.0)</f>
        <v>1800</v>
      </c>
      <c r="F97" s="190">
        <f>IFERROR(__xludf.DUMMYFUNCTION("""COMPUTED_VALUE"""),1810.0)</f>
        <v>1810</v>
      </c>
      <c r="G97" s="191">
        <f>IFERROR(__xludf.DUMMYFUNCTION("""COMPUTED_VALUE"""),2.7001025E7)</f>
        <v>27001025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ht="17.25" customHeight="1">
      <c r="A98" s="112"/>
      <c r="B98" s="189">
        <f>IFERROR(__xludf.DUMMYFUNCTION("""COMPUTED_VALUE"""),46106.5625)</f>
        <v>46106.5625</v>
      </c>
      <c r="C98" s="190">
        <f>IFERROR(__xludf.DUMMYFUNCTION("""COMPUTED_VALUE"""),1865.0)</f>
        <v>1865</v>
      </c>
      <c r="D98" s="190">
        <f>IFERROR(__xludf.DUMMYFUNCTION("""COMPUTED_VALUE"""),1875.0)</f>
        <v>1875</v>
      </c>
      <c r="E98" s="190">
        <f>IFERROR(__xludf.DUMMYFUNCTION("""COMPUTED_VALUE"""),1845.0)</f>
        <v>1845</v>
      </c>
      <c r="F98" s="190">
        <f>IFERROR(__xludf.DUMMYFUNCTION("""COMPUTED_VALUE"""),1845.0)</f>
        <v>1845</v>
      </c>
      <c r="G98" s="191">
        <f>IFERROR(__xludf.DUMMYFUNCTION("""COMPUTED_VALUE"""),4.096404E7)</f>
        <v>40964040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</row>
    <row r="99" ht="17.25" customHeight="1">
      <c r="A99" s="112"/>
      <c r="B99" s="189">
        <f>IFERROR(__xludf.DUMMYFUNCTION("""COMPUTED_VALUE"""),46107.5625)</f>
        <v>46107.5625</v>
      </c>
      <c r="C99" s="190">
        <f>IFERROR(__xludf.DUMMYFUNCTION("""COMPUTED_VALUE"""),1850.0)</f>
        <v>1850</v>
      </c>
      <c r="D99" s="190">
        <f>IFERROR(__xludf.DUMMYFUNCTION("""COMPUTED_VALUE"""),1865.0)</f>
        <v>1865</v>
      </c>
      <c r="E99" s="190">
        <f>IFERROR(__xludf.DUMMYFUNCTION("""COMPUTED_VALUE"""),1840.0)</f>
        <v>1840</v>
      </c>
      <c r="F99" s="190">
        <f>IFERROR(__xludf.DUMMYFUNCTION("""COMPUTED_VALUE"""),1840.0)</f>
        <v>1840</v>
      </c>
      <c r="G99" s="191">
        <f>IFERROR(__xludf.DUMMYFUNCTION("""COMPUTED_VALUE"""),2.095847E7)</f>
        <v>20958470</v>
      </c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</row>
    <row r="100" ht="17.25" customHeight="1">
      <c r="A100" s="112"/>
      <c r="B100" s="189">
        <f>IFERROR(__xludf.DUMMYFUNCTION("""COMPUTED_VALUE"""),46108.5625)</f>
        <v>46108.5625</v>
      </c>
      <c r="C100" s="190">
        <f>IFERROR(__xludf.DUMMYFUNCTION("""COMPUTED_VALUE"""),1805.0)</f>
        <v>1805</v>
      </c>
      <c r="D100" s="190">
        <f>IFERROR(__xludf.DUMMYFUNCTION("""COMPUTED_VALUE"""),1825.0)</f>
        <v>1825</v>
      </c>
      <c r="E100" s="190">
        <f>IFERROR(__xludf.DUMMYFUNCTION("""COMPUTED_VALUE"""),1800.0)</f>
        <v>1800</v>
      </c>
      <c r="F100" s="190">
        <f>IFERROR(__xludf.DUMMYFUNCTION("""COMPUTED_VALUE"""),1820.0)</f>
        <v>1820</v>
      </c>
      <c r="G100" s="191">
        <f>IFERROR(__xludf.DUMMYFUNCTION("""COMPUTED_VALUE"""),2.897414E7)</f>
        <v>28974140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</row>
    <row r="101" ht="17.25" customHeight="1">
      <c r="A101" s="112"/>
      <c r="B101" s="189">
        <f>IFERROR(__xludf.DUMMYFUNCTION("""COMPUTED_VALUE"""),46111.5625)</f>
        <v>46111.5625</v>
      </c>
      <c r="C101" s="190">
        <f>IFERROR(__xludf.DUMMYFUNCTION("""COMPUTED_VALUE"""),1780.0)</f>
        <v>1780</v>
      </c>
      <c r="D101" s="190">
        <f>IFERROR(__xludf.DUMMYFUNCTION("""COMPUTED_VALUE"""),1800.0)</f>
        <v>1800</v>
      </c>
      <c r="E101" s="190">
        <f>IFERROR(__xludf.DUMMYFUNCTION("""COMPUTED_VALUE"""),1780.0)</f>
        <v>1780</v>
      </c>
      <c r="F101" s="190">
        <f>IFERROR(__xludf.DUMMYFUNCTION("""COMPUTED_VALUE"""),1780.0)</f>
        <v>1780</v>
      </c>
      <c r="G101" s="191">
        <f>IFERROR(__xludf.DUMMYFUNCTION("""COMPUTED_VALUE"""),3.98897E7)</f>
        <v>39889700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</row>
    <row r="102" ht="17.25" customHeight="1">
      <c r="A102" s="112"/>
      <c r="B102" s="189">
        <f>IFERROR(__xludf.DUMMYFUNCTION("""COMPUTED_VALUE"""),46112.5625)</f>
        <v>46112.5625</v>
      </c>
      <c r="C102" s="190">
        <f>IFERROR(__xludf.DUMMYFUNCTION("""COMPUTED_VALUE"""),1775.0)</f>
        <v>1775</v>
      </c>
      <c r="D102" s="190">
        <f>IFERROR(__xludf.DUMMYFUNCTION("""COMPUTED_VALUE"""),1790.0)</f>
        <v>1790</v>
      </c>
      <c r="E102" s="190">
        <f>IFERROR(__xludf.DUMMYFUNCTION("""COMPUTED_VALUE"""),1760.0)</f>
        <v>1760</v>
      </c>
      <c r="F102" s="190">
        <f>IFERROR(__xludf.DUMMYFUNCTION("""COMPUTED_VALUE"""),1760.0)</f>
        <v>1760</v>
      </c>
      <c r="G102" s="191">
        <f>IFERROR(__xludf.DUMMYFUNCTION("""COMPUTED_VALUE"""),4.9221091E7)</f>
        <v>49221091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</row>
    <row r="103" ht="17.25" customHeight="1">
      <c r="A103" s="112"/>
      <c r="B103" s="189">
        <f>IFERROR(__xludf.DUMMYFUNCTION("""COMPUTED_VALUE"""),46113.5625)</f>
        <v>46113.5625</v>
      </c>
      <c r="C103" s="190">
        <f>IFERROR(__xludf.DUMMYFUNCTION("""COMPUTED_VALUE"""),1840.0)</f>
        <v>1840</v>
      </c>
      <c r="D103" s="190">
        <f>IFERROR(__xludf.DUMMYFUNCTION("""COMPUTED_VALUE"""),1855.0)</f>
        <v>1855</v>
      </c>
      <c r="E103" s="190">
        <f>IFERROR(__xludf.DUMMYFUNCTION("""COMPUTED_VALUE"""),1830.0)</f>
        <v>1830</v>
      </c>
      <c r="F103" s="190">
        <f>IFERROR(__xludf.DUMMYFUNCTION("""COMPUTED_VALUE"""),1855.0)</f>
        <v>1855</v>
      </c>
      <c r="G103" s="191">
        <f>IFERROR(__xludf.DUMMYFUNCTION("""COMPUTED_VALUE"""),3.5537379E7)</f>
        <v>35537379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</row>
    <row r="104" ht="17.25" customHeight="1">
      <c r="A104" s="112"/>
      <c r="B104" s="189">
        <f>IFERROR(__xludf.DUMMYFUNCTION("""COMPUTED_VALUE"""),46114.5625)</f>
        <v>46114.5625</v>
      </c>
      <c r="C104" s="190">
        <f>IFERROR(__xludf.DUMMYFUNCTION("""COMPUTED_VALUE"""),1865.0)</f>
        <v>1865</v>
      </c>
      <c r="D104" s="190">
        <f>IFERROR(__xludf.DUMMYFUNCTION("""COMPUTED_VALUE"""),1865.0)</f>
        <v>1865</v>
      </c>
      <c r="E104" s="190">
        <f>IFERROR(__xludf.DUMMYFUNCTION("""COMPUTED_VALUE"""),1805.0)</f>
        <v>1805</v>
      </c>
      <c r="F104" s="190">
        <f>IFERROR(__xludf.DUMMYFUNCTION("""COMPUTED_VALUE"""),1810.0)</f>
        <v>1810</v>
      </c>
      <c r="G104" s="191">
        <f>IFERROR(__xludf.DUMMYFUNCTION("""COMPUTED_VALUE"""),2.5132417E7)</f>
        <v>25132417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</row>
    <row r="105" ht="17.25" customHeight="1">
      <c r="A105" s="112"/>
      <c r="B105" s="189">
        <f>IFERROR(__xludf.DUMMYFUNCTION("""COMPUTED_VALUE"""),46119.5625)</f>
        <v>46119.5625</v>
      </c>
      <c r="C105" s="190">
        <f>IFERROR(__xludf.DUMMYFUNCTION("""COMPUTED_VALUE"""),1850.0)</f>
        <v>1850</v>
      </c>
      <c r="D105" s="190">
        <f>IFERROR(__xludf.DUMMYFUNCTION("""COMPUTED_VALUE"""),1860.0)</f>
        <v>1860</v>
      </c>
      <c r="E105" s="190">
        <f>IFERROR(__xludf.DUMMYFUNCTION("""COMPUTED_VALUE"""),1835.0)</f>
        <v>1835</v>
      </c>
      <c r="F105" s="190">
        <f>IFERROR(__xludf.DUMMYFUNCTION("""COMPUTED_VALUE"""),1860.0)</f>
        <v>1860</v>
      </c>
      <c r="G105" s="191">
        <f>IFERROR(__xludf.DUMMYFUNCTION("""COMPUTED_VALUE"""),1.7953562E7)</f>
        <v>17953562</v>
      </c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</row>
    <row r="106" ht="17.25" customHeight="1">
      <c r="A106" s="112"/>
      <c r="B106" s="189">
        <f>IFERROR(__xludf.DUMMYFUNCTION("""COMPUTED_VALUE"""),46120.5625)</f>
        <v>46120.5625</v>
      </c>
      <c r="C106" s="190">
        <f>IFERROR(__xludf.DUMMYFUNCTION("""COMPUTED_VALUE"""),1935.0)</f>
        <v>1935</v>
      </c>
      <c r="D106" s="190">
        <f>IFERROR(__xludf.DUMMYFUNCTION("""COMPUTED_VALUE"""),1950.0)</f>
        <v>1950</v>
      </c>
      <c r="E106" s="190">
        <f>IFERROR(__xludf.DUMMYFUNCTION("""COMPUTED_VALUE"""),1925.0)</f>
        <v>1925</v>
      </c>
      <c r="F106" s="190">
        <f>IFERROR(__xludf.DUMMYFUNCTION("""COMPUTED_VALUE"""),1950.0)</f>
        <v>1950</v>
      </c>
      <c r="G106" s="191">
        <f>IFERROR(__xludf.DUMMYFUNCTION("""COMPUTED_VALUE"""),4.6515921E7)</f>
        <v>46515921</v>
      </c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</row>
    <row r="107" ht="17.25" customHeight="1">
      <c r="A107" s="112"/>
      <c r="B107" s="189">
        <f>IFERROR(__xludf.DUMMYFUNCTION("""COMPUTED_VALUE"""),46121.5625)</f>
        <v>46121.5625</v>
      </c>
      <c r="C107" s="190">
        <f>IFERROR(__xludf.DUMMYFUNCTION("""COMPUTED_VALUE"""),1945.0)</f>
        <v>1945</v>
      </c>
      <c r="D107" s="190">
        <f>IFERROR(__xludf.DUMMYFUNCTION("""COMPUTED_VALUE"""),1955.0)</f>
        <v>1955</v>
      </c>
      <c r="E107" s="190">
        <f>IFERROR(__xludf.DUMMYFUNCTION("""COMPUTED_VALUE"""),1930.0)</f>
        <v>1930</v>
      </c>
      <c r="F107" s="190">
        <f>IFERROR(__xludf.DUMMYFUNCTION("""COMPUTED_VALUE"""),1955.0)</f>
        <v>1955</v>
      </c>
      <c r="G107" s="191">
        <f>IFERROR(__xludf.DUMMYFUNCTION("""COMPUTED_VALUE"""),3.1835073E7)</f>
        <v>31835073</v>
      </c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</row>
    <row r="108" ht="17.25" customHeight="1">
      <c r="A108" s="112"/>
      <c r="B108" s="189">
        <f>IFERROR(__xludf.DUMMYFUNCTION("""COMPUTED_VALUE"""),46122.5625)</f>
        <v>46122.5625</v>
      </c>
      <c r="C108" s="190">
        <f>IFERROR(__xludf.DUMMYFUNCTION("""COMPUTED_VALUE"""),1975.0)</f>
        <v>1975</v>
      </c>
      <c r="D108" s="190">
        <f>IFERROR(__xludf.DUMMYFUNCTION("""COMPUTED_VALUE"""),2000.0)</f>
        <v>2000</v>
      </c>
      <c r="E108" s="190">
        <f>IFERROR(__xludf.DUMMYFUNCTION("""COMPUTED_VALUE"""),1970.0)</f>
        <v>1970</v>
      </c>
      <c r="F108" s="190">
        <f>IFERROR(__xludf.DUMMYFUNCTION("""COMPUTED_VALUE"""),2000.0)</f>
        <v>2000</v>
      </c>
      <c r="G108" s="191">
        <f>IFERROR(__xludf.DUMMYFUNCTION("""COMPUTED_VALUE"""),2.8637625E7)</f>
        <v>28637625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</row>
    <row r="109" ht="17.25" customHeight="1">
      <c r="A109" s="112"/>
      <c r="B109" s="189">
        <f>IFERROR(__xludf.DUMMYFUNCTION("""COMPUTED_VALUE"""),46125.5625)</f>
        <v>46125.5625</v>
      </c>
      <c r="C109" s="190">
        <f>IFERROR(__xludf.DUMMYFUNCTION("""COMPUTED_VALUE"""),1985.0)</f>
        <v>1985</v>
      </c>
      <c r="D109" s="190">
        <f>IFERROR(__xludf.DUMMYFUNCTION("""COMPUTED_VALUE"""),1995.0)</f>
        <v>1995</v>
      </c>
      <c r="E109" s="190">
        <f>IFERROR(__xludf.DUMMYFUNCTION("""COMPUTED_VALUE"""),1975.0)</f>
        <v>1975</v>
      </c>
      <c r="F109" s="190">
        <f>IFERROR(__xludf.DUMMYFUNCTION("""COMPUTED_VALUE"""),1990.0)</f>
        <v>1990</v>
      </c>
      <c r="G109" s="191">
        <f>IFERROR(__xludf.DUMMYFUNCTION("""COMPUTED_VALUE"""),2.8968757E7)</f>
        <v>28968757</v>
      </c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</row>
    <row r="110" ht="17.25" customHeight="1">
      <c r="A110" s="112"/>
      <c r="B110" s="189">
        <f>IFERROR(__xludf.DUMMYFUNCTION("""COMPUTED_VALUE"""),46126.5625)</f>
        <v>46126.5625</v>
      </c>
      <c r="C110" s="190">
        <f>IFERROR(__xludf.DUMMYFUNCTION("""COMPUTED_VALUE"""),2015.0)</f>
        <v>2015</v>
      </c>
      <c r="D110" s="190">
        <f>IFERROR(__xludf.DUMMYFUNCTION("""COMPUTED_VALUE"""),2055.0)</f>
        <v>2055</v>
      </c>
      <c r="E110" s="190">
        <f>IFERROR(__xludf.DUMMYFUNCTION("""COMPUTED_VALUE"""),2010.0)</f>
        <v>2010</v>
      </c>
      <c r="F110" s="190">
        <f>IFERROR(__xludf.DUMMYFUNCTION("""COMPUTED_VALUE"""),2055.0)</f>
        <v>2055</v>
      </c>
      <c r="G110" s="191">
        <f>IFERROR(__xludf.DUMMYFUNCTION("""COMPUTED_VALUE"""),3.9113405E7)</f>
        <v>39113405</v>
      </c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</row>
    <row r="111" ht="17.25" customHeight="1">
      <c r="A111" s="112"/>
      <c r="B111" s="189">
        <f>IFERROR(__xludf.DUMMYFUNCTION("""COMPUTED_VALUE"""),46127.5625)</f>
        <v>46127.5625</v>
      </c>
      <c r="C111" s="190">
        <f>IFERROR(__xludf.DUMMYFUNCTION("""COMPUTED_VALUE"""),2065.0)</f>
        <v>2065</v>
      </c>
      <c r="D111" s="190">
        <f>IFERROR(__xludf.DUMMYFUNCTION("""COMPUTED_VALUE"""),2100.0)</f>
        <v>2100</v>
      </c>
      <c r="E111" s="190">
        <f>IFERROR(__xludf.DUMMYFUNCTION("""COMPUTED_VALUE"""),2060.0)</f>
        <v>2060</v>
      </c>
      <c r="F111" s="190">
        <f>IFERROR(__xludf.DUMMYFUNCTION("""COMPUTED_VALUE"""),2080.0)</f>
        <v>2080</v>
      </c>
      <c r="G111" s="191">
        <f>IFERROR(__xludf.DUMMYFUNCTION("""COMPUTED_VALUE"""),4.0343568E7)</f>
        <v>40343568</v>
      </c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</row>
    <row r="112" ht="17.25" customHeight="1">
      <c r="A112" s="112"/>
      <c r="B112" s="189">
        <f>IFERROR(__xludf.DUMMYFUNCTION("""COMPUTED_VALUE"""),46128.5625)</f>
        <v>46128.5625</v>
      </c>
      <c r="C112" s="190">
        <f>IFERROR(__xludf.DUMMYFUNCTION("""COMPUTED_VALUE"""),2080.0)</f>
        <v>2080</v>
      </c>
      <c r="D112" s="190">
        <f>IFERROR(__xludf.DUMMYFUNCTION("""COMPUTED_VALUE"""),2090.0)</f>
        <v>2090</v>
      </c>
      <c r="E112" s="190">
        <f>IFERROR(__xludf.DUMMYFUNCTION("""COMPUTED_VALUE"""),2055.0)</f>
        <v>2055</v>
      </c>
      <c r="F112" s="190">
        <f>IFERROR(__xludf.DUMMYFUNCTION("""COMPUTED_VALUE"""),2085.0)</f>
        <v>2085</v>
      </c>
      <c r="G112" s="191">
        <f>IFERROR(__xludf.DUMMYFUNCTION("""COMPUTED_VALUE"""),3.2038524E7)</f>
        <v>32038524</v>
      </c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</row>
    <row r="113" ht="17.25" customHeight="1">
      <c r="A113" s="112"/>
      <c r="B113" s="189">
        <f>IFERROR(__xludf.DUMMYFUNCTION("""COMPUTED_VALUE"""),46129.5625)</f>
        <v>46129.5625</v>
      </c>
      <c r="C113" s="190">
        <f>IFERROR(__xludf.DUMMYFUNCTION("""COMPUTED_VALUE"""),2055.0)</f>
        <v>2055</v>
      </c>
      <c r="D113" s="190">
        <f>IFERROR(__xludf.DUMMYFUNCTION("""COMPUTED_VALUE"""),2060.0)</f>
        <v>2060</v>
      </c>
      <c r="E113" s="190">
        <f>IFERROR(__xludf.DUMMYFUNCTION("""COMPUTED_VALUE"""),2030.0)</f>
        <v>2030</v>
      </c>
      <c r="F113" s="190">
        <f>IFERROR(__xludf.DUMMYFUNCTION("""COMPUTED_VALUE"""),2030.0)</f>
        <v>2030</v>
      </c>
      <c r="G113" s="191">
        <f>IFERROR(__xludf.DUMMYFUNCTION("""COMPUTED_VALUE"""),3.9260244E7)</f>
        <v>39260244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</row>
    <row r="114" ht="17.25" customHeight="1">
      <c r="A114" s="112"/>
      <c r="B114" s="189">
        <f>IFERROR(__xludf.DUMMYFUNCTION("""COMPUTED_VALUE"""),46132.5625)</f>
        <v>46132.5625</v>
      </c>
      <c r="C114" s="190">
        <f>IFERROR(__xludf.DUMMYFUNCTION("""COMPUTED_VALUE"""),2030.0)</f>
        <v>2030</v>
      </c>
      <c r="D114" s="190">
        <f>IFERROR(__xludf.DUMMYFUNCTION("""COMPUTED_VALUE"""),2055.0)</f>
        <v>2055</v>
      </c>
      <c r="E114" s="190">
        <f>IFERROR(__xludf.DUMMYFUNCTION("""COMPUTED_VALUE"""),2025.0)</f>
        <v>2025</v>
      </c>
      <c r="F114" s="190">
        <f>IFERROR(__xludf.DUMMYFUNCTION("""COMPUTED_VALUE"""),2025.0)</f>
        <v>2025</v>
      </c>
      <c r="G114" s="191">
        <f>IFERROR(__xludf.DUMMYFUNCTION("""COMPUTED_VALUE"""),2.5407621E7)</f>
        <v>25407621</v>
      </c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</row>
    <row r="115" ht="17.25" customHeight="1">
      <c r="A115" s="112"/>
      <c r="B115" s="189">
        <f>IFERROR(__xludf.DUMMYFUNCTION("""COMPUTED_VALUE"""),46133.5625)</f>
        <v>46133.5625</v>
      </c>
      <c r="C115" s="190">
        <f>IFERROR(__xludf.DUMMYFUNCTION("""COMPUTED_VALUE"""),2050.0)</f>
        <v>2050</v>
      </c>
      <c r="D115" s="190">
        <f>IFERROR(__xludf.DUMMYFUNCTION("""COMPUTED_VALUE"""),2075.0)</f>
        <v>2075</v>
      </c>
      <c r="E115" s="190">
        <f>IFERROR(__xludf.DUMMYFUNCTION("""COMPUTED_VALUE"""),2045.0)</f>
        <v>2045</v>
      </c>
      <c r="F115" s="190">
        <f>IFERROR(__xludf.DUMMYFUNCTION("""COMPUTED_VALUE"""),2050.0)</f>
        <v>2050</v>
      </c>
      <c r="G115" s="191">
        <f>IFERROR(__xludf.DUMMYFUNCTION("""COMPUTED_VALUE"""),2.5783476E7)</f>
        <v>25783476</v>
      </c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</row>
    <row r="116" ht="17.25" customHeight="1">
      <c r="A116" s="112"/>
      <c r="B116" s="189">
        <f>IFERROR(__xludf.DUMMYFUNCTION("""COMPUTED_VALUE"""),46134.5625)</f>
        <v>46134.5625</v>
      </c>
      <c r="C116" s="190">
        <f>IFERROR(__xludf.DUMMYFUNCTION("""COMPUTED_VALUE"""),2045.0)</f>
        <v>2045</v>
      </c>
      <c r="D116" s="190">
        <f>IFERROR(__xludf.DUMMYFUNCTION("""COMPUTED_VALUE"""),2070.0)</f>
        <v>2070</v>
      </c>
      <c r="E116" s="190">
        <f>IFERROR(__xludf.DUMMYFUNCTION("""COMPUTED_VALUE"""),2040.0)</f>
        <v>2040</v>
      </c>
      <c r="F116" s="190">
        <f>IFERROR(__xludf.DUMMYFUNCTION("""COMPUTED_VALUE"""),2050.0)</f>
        <v>2050</v>
      </c>
      <c r="G116" s="191">
        <f>IFERROR(__xludf.DUMMYFUNCTION("""COMPUTED_VALUE"""),2.4762881E7)</f>
        <v>24762881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</row>
    <row r="117" ht="17.25" customHeight="1">
      <c r="A117" s="112"/>
      <c r="B117" s="189">
        <f>IFERROR(__xludf.DUMMYFUNCTION("""COMPUTED_VALUE"""),46135.5625)</f>
        <v>46135.5625</v>
      </c>
      <c r="C117" s="190">
        <f>IFERROR(__xludf.DUMMYFUNCTION("""COMPUTED_VALUE"""),2090.0)</f>
        <v>2090</v>
      </c>
      <c r="D117" s="190">
        <f>IFERROR(__xludf.DUMMYFUNCTION("""COMPUTED_VALUE"""),2135.0)</f>
        <v>2135</v>
      </c>
      <c r="E117" s="190">
        <f>IFERROR(__xludf.DUMMYFUNCTION("""COMPUTED_VALUE"""),2055.0)</f>
        <v>2055</v>
      </c>
      <c r="F117" s="190">
        <f>IFERROR(__xludf.DUMMYFUNCTION("""COMPUTED_VALUE"""),2080.0)</f>
        <v>2080</v>
      </c>
      <c r="G117" s="191">
        <f>IFERROR(__xludf.DUMMYFUNCTION("""COMPUTED_VALUE"""),4.8682193E7)</f>
        <v>48682193</v>
      </c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</row>
    <row r="118" ht="17.25" customHeight="1">
      <c r="A118" s="112"/>
      <c r="B118" s="189">
        <f>IFERROR(__xludf.DUMMYFUNCTION("""COMPUTED_VALUE"""),46136.5625)</f>
        <v>46136.5625</v>
      </c>
      <c r="C118" s="190">
        <f>IFERROR(__xludf.DUMMYFUNCTION("""COMPUTED_VALUE"""),2110.0)</f>
        <v>2110</v>
      </c>
      <c r="D118" s="190">
        <f>IFERROR(__xludf.DUMMYFUNCTION("""COMPUTED_VALUE"""),2190.0)</f>
        <v>2190</v>
      </c>
      <c r="E118" s="190">
        <f>IFERROR(__xludf.DUMMYFUNCTION("""COMPUTED_VALUE"""),2105.0)</f>
        <v>2105</v>
      </c>
      <c r="F118" s="190">
        <f>IFERROR(__xludf.DUMMYFUNCTION("""COMPUTED_VALUE"""),2185.0)</f>
        <v>2185</v>
      </c>
      <c r="G118" s="191">
        <f>IFERROR(__xludf.DUMMYFUNCTION("""COMPUTED_VALUE"""),4.508805E7)</f>
        <v>45088050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ht="17.25" customHeight="1">
      <c r="A119" s="112"/>
      <c r="B119" s="189">
        <f>IFERROR(__xludf.DUMMYFUNCTION("""COMPUTED_VALUE"""),46139.5625)</f>
        <v>46139.5625</v>
      </c>
      <c r="C119" s="190">
        <f>IFERROR(__xludf.DUMMYFUNCTION("""COMPUTED_VALUE"""),2280.0)</f>
        <v>2280</v>
      </c>
      <c r="D119" s="190">
        <f>IFERROR(__xludf.DUMMYFUNCTION("""COMPUTED_VALUE"""),2330.0)</f>
        <v>2330</v>
      </c>
      <c r="E119" s="190">
        <f>IFERROR(__xludf.DUMMYFUNCTION("""COMPUTED_VALUE"""),2265.0)</f>
        <v>2265</v>
      </c>
      <c r="F119" s="190">
        <f>IFERROR(__xludf.DUMMYFUNCTION("""COMPUTED_VALUE"""),2265.0)</f>
        <v>2265</v>
      </c>
      <c r="G119" s="191">
        <f>IFERROR(__xludf.DUMMYFUNCTION("""COMPUTED_VALUE"""),6.8696037E7)</f>
        <v>68696037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ht="17.25" customHeight="1">
      <c r="A120" s="112"/>
      <c r="B120" s="189">
        <f>IFERROR(__xludf.DUMMYFUNCTION("""COMPUTED_VALUE"""),46140.5625)</f>
        <v>46140.5625</v>
      </c>
      <c r="C120" s="190">
        <f>IFERROR(__xludf.DUMMYFUNCTION("""COMPUTED_VALUE"""),2245.0)</f>
        <v>2245</v>
      </c>
      <c r="D120" s="190">
        <f>IFERROR(__xludf.DUMMYFUNCTION("""COMPUTED_VALUE"""),2280.0)</f>
        <v>2280</v>
      </c>
      <c r="E120" s="190">
        <f>IFERROR(__xludf.DUMMYFUNCTION("""COMPUTED_VALUE"""),2215.0)</f>
        <v>2215</v>
      </c>
      <c r="F120" s="190">
        <f>IFERROR(__xludf.DUMMYFUNCTION("""COMPUTED_VALUE"""),2215.0)</f>
        <v>2215</v>
      </c>
      <c r="G120" s="191">
        <f>IFERROR(__xludf.DUMMYFUNCTION("""COMPUTED_VALUE"""),4.7175356E7)</f>
        <v>47175356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</row>
    <row r="121" ht="17.25" customHeight="1">
      <c r="A121" s="112"/>
      <c r="B121" s="189">
        <f>IFERROR(__xludf.DUMMYFUNCTION("""COMPUTED_VALUE"""),46141.5625)</f>
        <v>46141.5625</v>
      </c>
      <c r="C121" s="190">
        <f>IFERROR(__xludf.DUMMYFUNCTION("""COMPUTED_VALUE"""),2175.0)</f>
        <v>2175</v>
      </c>
      <c r="D121" s="190">
        <f>IFERROR(__xludf.DUMMYFUNCTION("""COMPUTED_VALUE"""),2210.0)</f>
        <v>2210</v>
      </c>
      <c r="E121" s="190">
        <f>IFERROR(__xludf.DUMMYFUNCTION("""COMPUTED_VALUE"""),2165.0)</f>
        <v>2165</v>
      </c>
      <c r="F121" s="190">
        <f>IFERROR(__xludf.DUMMYFUNCTION("""COMPUTED_VALUE"""),2180.0)</f>
        <v>2180</v>
      </c>
      <c r="G121" s="191">
        <f>IFERROR(__xludf.DUMMYFUNCTION("""COMPUTED_VALUE"""),4.2895935E7)</f>
        <v>42895935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</row>
    <row r="122" ht="17.25" customHeight="1">
      <c r="A122" s="112"/>
      <c r="B122" s="189">
        <f>IFERROR(__xludf.DUMMYFUNCTION("""COMPUTED_VALUE"""),46142.5625)</f>
        <v>46142.5625</v>
      </c>
      <c r="C122" s="190">
        <f>IFERROR(__xludf.DUMMYFUNCTION("""COMPUTED_VALUE"""),2205.0)</f>
        <v>2205</v>
      </c>
      <c r="D122" s="190">
        <f>IFERROR(__xludf.DUMMYFUNCTION("""COMPUTED_VALUE"""),2215.0)</f>
        <v>2215</v>
      </c>
      <c r="E122" s="190">
        <f>IFERROR(__xludf.DUMMYFUNCTION("""COMPUTED_VALUE"""),2135.0)</f>
        <v>2135</v>
      </c>
      <c r="F122" s="190">
        <f>IFERROR(__xludf.DUMMYFUNCTION("""COMPUTED_VALUE"""),2135.0)</f>
        <v>2135</v>
      </c>
      <c r="G122" s="191">
        <f>IFERROR(__xludf.DUMMYFUNCTION("""COMPUTED_VALUE"""),4.8975164E7)</f>
        <v>48975164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</row>
    <row r="123" ht="17.25" customHeight="1">
      <c r="A123" s="112"/>
      <c r="B123" s="189">
        <f>IFERROR(__xludf.DUMMYFUNCTION("""COMPUTED_VALUE"""),46146.5625)</f>
        <v>46146.5625</v>
      </c>
      <c r="C123" s="190">
        <f>IFERROR(__xludf.DUMMYFUNCTION("""COMPUTED_VALUE"""),2200.0)</f>
        <v>2200</v>
      </c>
      <c r="D123" s="190">
        <f>IFERROR(__xludf.DUMMYFUNCTION("""COMPUTED_VALUE"""),2285.0)</f>
        <v>2285</v>
      </c>
      <c r="E123" s="190">
        <f>IFERROR(__xludf.DUMMYFUNCTION("""COMPUTED_VALUE"""),2195.0)</f>
        <v>2195</v>
      </c>
      <c r="F123" s="190">
        <f>IFERROR(__xludf.DUMMYFUNCTION("""COMPUTED_VALUE"""),2275.0)</f>
        <v>2275</v>
      </c>
      <c r="G123" s="191">
        <f>IFERROR(__xludf.DUMMYFUNCTION("""COMPUTED_VALUE"""),3.8390062E7)</f>
        <v>38390062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</row>
    <row r="124" ht="17.25" customHeight="1">
      <c r="A124" s="112"/>
      <c r="B124" s="189">
        <f>IFERROR(__xludf.DUMMYFUNCTION("""COMPUTED_VALUE"""),46147.5625)</f>
        <v>46147.5625</v>
      </c>
      <c r="C124" s="190">
        <f>IFERROR(__xludf.DUMMYFUNCTION("""COMPUTED_VALUE"""),2250.0)</f>
        <v>2250</v>
      </c>
      <c r="D124" s="190">
        <f>IFERROR(__xludf.DUMMYFUNCTION("""COMPUTED_VALUE"""),2270.0)</f>
        <v>2270</v>
      </c>
      <c r="E124" s="190">
        <f>IFERROR(__xludf.DUMMYFUNCTION("""COMPUTED_VALUE"""),2240.0)</f>
        <v>2240</v>
      </c>
      <c r="F124" s="190">
        <f>IFERROR(__xludf.DUMMYFUNCTION("""COMPUTED_VALUE"""),2250.0)</f>
        <v>2250</v>
      </c>
      <c r="G124" s="191">
        <f>IFERROR(__xludf.DUMMYFUNCTION("""COMPUTED_VALUE"""),2.1625279E7)</f>
        <v>21625279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</row>
    <row r="125" ht="17.25" customHeight="1">
      <c r="A125" s="112"/>
      <c r="B125" s="189">
        <f>IFERROR(__xludf.DUMMYFUNCTION("""COMPUTED_VALUE"""),46148.5625)</f>
        <v>46148.5625</v>
      </c>
      <c r="C125" s="190">
        <f>IFERROR(__xludf.DUMMYFUNCTION("""COMPUTED_VALUE"""),2250.0)</f>
        <v>2250</v>
      </c>
      <c r="D125" s="190">
        <f>IFERROR(__xludf.DUMMYFUNCTION("""COMPUTED_VALUE"""),2285.0)</f>
        <v>2285</v>
      </c>
      <c r="E125" s="190">
        <f>IFERROR(__xludf.DUMMYFUNCTION("""COMPUTED_VALUE"""),2240.0)</f>
        <v>2240</v>
      </c>
      <c r="F125" s="190">
        <f>IFERROR(__xludf.DUMMYFUNCTION("""COMPUTED_VALUE"""),2250.0)</f>
        <v>2250</v>
      </c>
      <c r="G125" s="191">
        <f>IFERROR(__xludf.DUMMYFUNCTION("""COMPUTED_VALUE"""),3.1918664E7)</f>
        <v>31918664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</row>
    <row r="126" ht="17.25" customHeight="1">
      <c r="A126" s="112"/>
      <c r="B126" s="189">
        <f>IFERROR(__xludf.DUMMYFUNCTION("""COMPUTED_VALUE"""),46149.5625)</f>
        <v>46149.5625</v>
      </c>
      <c r="C126" s="190">
        <f>IFERROR(__xludf.DUMMYFUNCTION("""COMPUTED_VALUE"""),2335.0)</f>
        <v>2335</v>
      </c>
      <c r="D126" s="190">
        <f>IFERROR(__xludf.DUMMYFUNCTION("""COMPUTED_VALUE"""),2345.0)</f>
        <v>2345</v>
      </c>
      <c r="E126" s="190">
        <f>IFERROR(__xludf.DUMMYFUNCTION("""COMPUTED_VALUE"""),2310.0)</f>
        <v>2310</v>
      </c>
      <c r="F126" s="190">
        <f>IFERROR(__xludf.DUMMYFUNCTION("""COMPUTED_VALUE"""),2310.0)</f>
        <v>2310</v>
      </c>
      <c r="G126" s="191">
        <f>IFERROR(__xludf.DUMMYFUNCTION("""COMPUTED_VALUE"""),3.5034517E7)</f>
        <v>35034517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</row>
    <row r="127" ht="17.25" customHeight="1">
      <c r="A127" s="112"/>
      <c r="B127" s="189">
        <f>IFERROR(__xludf.DUMMYFUNCTION("""COMPUTED_VALUE"""),46150.5625)</f>
        <v>46150.5625</v>
      </c>
      <c r="C127" s="190">
        <f>IFERROR(__xludf.DUMMYFUNCTION("""COMPUTED_VALUE"""),2300.0)</f>
        <v>2300</v>
      </c>
      <c r="D127" s="190">
        <f>IFERROR(__xludf.DUMMYFUNCTION("""COMPUTED_VALUE"""),2310.0)</f>
        <v>2310</v>
      </c>
      <c r="E127" s="190">
        <f>IFERROR(__xludf.DUMMYFUNCTION("""COMPUTED_VALUE"""),2265.0)</f>
        <v>2265</v>
      </c>
      <c r="F127" s="190">
        <f>IFERROR(__xludf.DUMMYFUNCTION("""COMPUTED_VALUE"""),2290.0)</f>
        <v>2290</v>
      </c>
      <c r="G127" s="191">
        <f>IFERROR(__xludf.DUMMYFUNCTION("""COMPUTED_VALUE"""),2.7102571E7)</f>
        <v>27102571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</row>
    <row r="128" ht="17.25" customHeight="1">
      <c r="A128" s="112"/>
      <c r="B128" s="189">
        <f>IFERROR(__xludf.DUMMYFUNCTION("""COMPUTED_VALUE"""),46153.5625)</f>
        <v>46153.5625</v>
      </c>
      <c r="C128" s="190">
        <f>IFERROR(__xludf.DUMMYFUNCTION("""COMPUTED_VALUE"""),2265.0)</f>
        <v>2265</v>
      </c>
      <c r="D128" s="190">
        <f>IFERROR(__xludf.DUMMYFUNCTION("""COMPUTED_VALUE"""),2275.0)</f>
        <v>2275</v>
      </c>
      <c r="E128" s="190">
        <f>IFERROR(__xludf.DUMMYFUNCTION("""COMPUTED_VALUE"""),2235.0)</f>
        <v>2235</v>
      </c>
      <c r="F128" s="190">
        <f>IFERROR(__xludf.DUMMYFUNCTION("""COMPUTED_VALUE"""),2235.0)</f>
        <v>2235</v>
      </c>
      <c r="G128" s="191">
        <f>IFERROR(__xludf.DUMMYFUNCTION("""COMPUTED_VALUE"""),3.7244077E7)</f>
        <v>37244077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</row>
    <row r="129" ht="17.25" customHeight="1">
      <c r="A129" s="112"/>
      <c r="B129" s="189">
        <f>IFERROR(__xludf.DUMMYFUNCTION("""COMPUTED_VALUE"""),46154.5625)</f>
        <v>46154.5625</v>
      </c>
      <c r="C129" s="190">
        <f>IFERROR(__xludf.DUMMYFUNCTION("""COMPUTED_VALUE"""),2235.0)</f>
        <v>2235</v>
      </c>
      <c r="D129" s="190">
        <f>IFERROR(__xludf.DUMMYFUNCTION("""COMPUTED_VALUE"""),2280.0)</f>
        <v>2280</v>
      </c>
      <c r="E129" s="190">
        <f>IFERROR(__xludf.DUMMYFUNCTION("""COMPUTED_VALUE"""),2210.0)</f>
        <v>2210</v>
      </c>
      <c r="F129" s="190">
        <f>IFERROR(__xludf.DUMMYFUNCTION("""COMPUTED_VALUE"""),2255.0)</f>
        <v>2255</v>
      </c>
      <c r="G129" s="191">
        <f>IFERROR(__xludf.DUMMYFUNCTION("""COMPUTED_VALUE"""),4.4459541E7)</f>
        <v>44459541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</row>
    <row r="130" ht="17.25" customHeight="1">
      <c r="A130" s="112"/>
      <c r="B130" s="189">
        <f>IFERROR(__xludf.DUMMYFUNCTION("""COMPUTED_VALUE"""),46155.5625)</f>
        <v>46155.5625</v>
      </c>
      <c r="C130" s="190">
        <f>IFERROR(__xludf.DUMMYFUNCTION("""COMPUTED_VALUE"""),2205.0)</f>
        <v>2205</v>
      </c>
      <c r="D130" s="190">
        <f>IFERROR(__xludf.DUMMYFUNCTION("""COMPUTED_VALUE"""),2240.0)</f>
        <v>2240</v>
      </c>
      <c r="E130" s="190">
        <f>IFERROR(__xludf.DUMMYFUNCTION("""COMPUTED_VALUE"""),2205.0)</f>
        <v>2205</v>
      </c>
      <c r="F130" s="190">
        <f>IFERROR(__xludf.DUMMYFUNCTION("""COMPUTED_VALUE"""),2220.0)</f>
        <v>2220</v>
      </c>
      <c r="G130" s="191">
        <f>IFERROR(__xludf.DUMMYFUNCTION("""COMPUTED_VALUE"""),3.5350292E7)</f>
        <v>35350292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</row>
    <row r="131" ht="17.25" customHeight="1">
      <c r="A131" s="112"/>
      <c r="B131" s="189">
        <f>IFERROR(__xludf.DUMMYFUNCTION("""COMPUTED_VALUE"""),46156.5625)</f>
        <v>46156.5625</v>
      </c>
      <c r="C131" s="190">
        <f>IFERROR(__xludf.DUMMYFUNCTION("""COMPUTED_VALUE"""),2250.0)</f>
        <v>2250</v>
      </c>
      <c r="D131" s="190">
        <f>IFERROR(__xludf.DUMMYFUNCTION("""COMPUTED_VALUE"""),2270.0)</f>
        <v>2270</v>
      </c>
      <c r="E131" s="190">
        <f>IFERROR(__xludf.DUMMYFUNCTION("""COMPUTED_VALUE"""),2230.0)</f>
        <v>2230</v>
      </c>
      <c r="F131" s="190">
        <f>IFERROR(__xludf.DUMMYFUNCTION("""COMPUTED_VALUE"""),2270.0)</f>
        <v>2270</v>
      </c>
      <c r="G131" s="191">
        <f>IFERROR(__xludf.DUMMYFUNCTION("""COMPUTED_VALUE"""),3.17471E7)</f>
        <v>31747100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</row>
    <row r="132" ht="17.25" customHeight="1">
      <c r="A132" s="112"/>
      <c r="B132" s="189">
        <f>IFERROR(__xludf.DUMMYFUNCTION("""COMPUTED_VALUE"""),46157.5625)</f>
        <v>46157.5625</v>
      </c>
      <c r="C132" s="190">
        <f>IFERROR(__xludf.DUMMYFUNCTION("""COMPUTED_VALUE"""),2310.0)</f>
        <v>2310</v>
      </c>
      <c r="D132" s="190">
        <f>IFERROR(__xludf.DUMMYFUNCTION("""COMPUTED_VALUE"""),2325.0)</f>
        <v>2325</v>
      </c>
      <c r="E132" s="190">
        <f>IFERROR(__xludf.DUMMYFUNCTION("""COMPUTED_VALUE"""),2250.0)</f>
        <v>2250</v>
      </c>
      <c r="F132" s="190">
        <f>IFERROR(__xludf.DUMMYFUNCTION("""COMPUTED_VALUE"""),2265.0)</f>
        <v>2265</v>
      </c>
      <c r="G132" s="191">
        <f>IFERROR(__xludf.DUMMYFUNCTION("""COMPUTED_VALUE"""),2.9922154E7)</f>
        <v>29922154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</row>
    <row r="133" ht="17.25" customHeight="1">
      <c r="A133" s="112"/>
      <c r="B133" s="189">
        <f>IFERROR(__xludf.DUMMYFUNCTION("""COMPUTED_VALUE"""),46160.5625)</f>
        <v>46160.5625</v>
      </c>
      <c r="C133" s="190">
        <f>IFERROR(__xludf.DUMMYFUNCTION("""COMPUTED_VALUE"""),2225.0)</f>
        <v>2225</v>
      </c>
      <c r="D133" s="190">
        <f>IFERROR(__xludf.DUMMYFUNCTION("""COMPUTED_VALUE"""),2260.0)</f>
        <v>2260</v>
      </c>
      <c r="E133" s="190">
        <f>IFERROR(__xludf.DUMMYFUNCTION("""COMPUTED_VALUE"""),2215.0)</f>
        <v>2215</v>
      </c>
      <c r="F133" s="190">
        <f>IFERROR(__xludf.DUMMYFUNCTION("""COMPUTED_VALUE"""),2240.0)</f>
        <v>2240</v>
      </c>
      <c r="G133" s="191">
        <f>IFERROR(__xludf.DUMMYFUNCTION("""COMPUTED_VALUE"""),2.5875079E7)</f>
        <v>25875079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</row>
    <row r="134" ht="17.25" customHeight="1">
      <c r="A134" s="112"/>
      <c r="B134" s="189">
        <f>IFERROR(__xludf.DUMMYFUNCTION("""COMPUTED_VALUE"""),46161.5625)</f>
        <v>46161.5625</v>
      </c>
      <c r="C134" s="190">
        <f>IFERROR(__xludf.DUMMYFUNCTION("""COMPUTED_VALUE"""),2220.0)</f>
        <v>2220</v>
      </c>
      <c r="D134" s="190">
        <f>IFERROR(__xludf.DUMMYFUNCTION("""COMPUTED_VALUE"""),2230.0)</f>
        <v>2230</v>
      </c>
      <c r="E134" s="190">
        <f>IFERROR(__xludf.DUMMYFUNCTION("""COMPUTED_VALUE"""),2205.0)</f>
        <v>2205</v>
      </c>
      <c r="F134" s="190">
        <f>IFERROR(__xludf.DUMMYFUNCTION("""COMPUTED_VALUE"""),2205.0)</f>
        <v>2205</v>
      </c>
      <c r="G134" s="191">
        <f>IFERROR(__xludf.DUMMYFUNCTION("""COMPUTED_VALUE"""),3.4824449E7)</f>
        <v>34824449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</row>
    <row r="135" ht="17.25" customHeight="1">
      <c r="A135" s="112"/>
      <c r="B135" s="189">
        <f>IFERROR(__xludf.DUMMYFUNCTION("""COMPUTED_VALUE"""),46162.5625)</f>
        <v>46162.5625</v>
      </c>
      <c r="C135" s="190">
        <f>IFERROR(__xludf.DUMMYFUNCTION("""COMPUTED_VALUE"""),2205.0)</f>
        <v>2205</v>
      </c>
      <c r="D135" s="190">
        <f>IFERROR(__xludf.DUMMYFUNCTION("""COMPUTED_VALUE"""),2210.0)</f>
        <v>2210</v>
      </c>
      <c r="E135" s="190">
        <f>IFERROR(__xludf.DUMMYFUNCTION("""COMPUTED_VALUE"""),2185.0)</f>
        <v>2185</v>
      </c>
      <c r="F135" s="190">
        <f>IFERROR(__xludf.DUMMYFUNCTION("""COMPUTED_VALUE"""),2185.0)</f>
        <v>2185</v>
      </c>
      <c r="G135" s="191">
        <f>IFERROR(__xludf.DUMMYFUNCTION("""COMPUTED_VALUE"""),2.9320253E7)</f>
        <v>29320253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</row>
    <row r="136" ht="17.25" customHeight="1">
      <c r="A136" s="112"/>
      <c r="B136" s="189">
        <f>IFERROR(__xludf.DUMMYFUNCTION("""COMPUTED_VALUE"""),46163.5625)</f>
        <v>46163.5625</v>
      </c>
      <c r="C136" s="190">
        <f>IFERROR(__xludf.DUMMYFUNCTION("""COMPUTED_VALUE"""),2240.0)</f>
        <v>2240</v>
      </c>
      <c r="D136" s="190">
        <f>IFERROR(__xludf.DUMMYFUNCTION("""COMPUTED_VALUE"""),2255.0)</f>
        <v>2255</v>
      </c>
      <c r="E136" s="190">
        <f>IFERROR(__xludf.DUMMYFUNCTION("""COMPUTED_VALUE"""),2230.0)</f>
        <v>2230</v>
      </c>
      <c r="F136" s="190">
        <f>IFERROR(__xludf.DUMMYFUNCTION("""COMPUTED_VALUE"""),2230.0)</f>
        <v>2230</v>
      </c>
      <c r="G136" s="191">
        <f>IFERROR(__xludf.DUMMYFUNCTION("""COMPUTED_VALUE"""),2.2964974E7)</f>
        <v>22964974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</row>
    <row r="137" ht="17.25" customHeight="1">
      <c r="A137" s="112"/>
      <c r="B137" s="189">
        <f>IFERROR(__xludf.DUMMYFUNCTION("""COMPUTED_VALUE"""),46164.5625)</f>
        <v>46164.5625</v>
      </c>
      <c r="C137" s="190">
        <f>IFERROR(__xludf.DUMMYFUNCTION("""COMPUTED_VALUE"""),2245.0)</f>
        <v>2245</v>
      </c>
      <c r="D137" s="190">
        <f>IFERROR(__xludf.DUMMYFUNCTION("""COMPUTED_VALUE"""),2260.0)</f>
        <v>2260</v>
      </c>
      <c r="E137" s="190">
        <f>IFERROR(__xludf.DUMMYFUNCTION("""COMPUTED_VALUE"""),2225.0)</f>
        <v>2225</v>
      </c>
      <c r="F137" s="190">
        <f>IFERROR(__xludf.DUMMYFUNCTION("""COMPUTED_VALUE"""),2255.0)</f>
        <v>2255</v>
      </c>
      <c r="G137" s="191">
        <f>IFERROR(__xludf.DUMMYFUNCTION("""COMPUTED_VALUE"""),2.4437825E7)</f>
        <v>24437825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</row>
    <row r="138" ht="17.25" customHeight="1">
      <c r="A138" s="112"/>
      <c r="B138" s="189">
        <f>IFERROR(__xludf.DUMMYFUNCTION("""COMPUTED_VALUE"""),46167.5625)</f>
        <v>46167.5625</v>
      </c>
      <c r="C138" s="190">
        <f>IFERROR(__xludf.DUMMYFUNCTION("""COMPUTED_VALUE"""),2275.0)</f>
        <v>2275</v>
      </c>
      <c r="D138" s="190">
        <f>IFERROR(__xludf.DUMMYFUNCTION("""COMPUTED_VALUE"""),2310.0)</f>
        <v>2310</v>
      </c>
      <c r="E138" s="190">
        <f>IFERROR(__xludf.DUMMYFUNCTION("""COMPUTED_VALUE"""),2275.0)</f>
        <v>2275</v>
      </c>
      <c r="F138" s="190">
        <f>IFERROR(__xludf.DUMMYFUNCTION("""COMPUTED_VALUE"""),2310.0)</f>
        <v>2310</v>
      </c>
      <c r="G138" s="191">
        <f>IFERROR(__xludf.DUMMYFUNCTION("""COMPUTED_VALUE"""),2.5215869E7)</f>
        <v>25215869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</row>
    <row r="139" ht="17.25" customHeight="1">
      <c r="A139" s="112"/>
      <c r="B139" s="189">
        <f>IFERROR(__xludf.DUMMYFUNCTION("""COMPUTED_VALUE"""),46168.5625)</f>
        <v>46168.5625</v>
      </c>
      <c r="C139" s="190">
        <f>IFERROR(__xludf.DUMMYFUNCTION("""COMPUTED_VALUE"""),2320.0)</f>
        <v>2320</v>
      </c>
      <c r="D139" s="190">
        <f>IFERROR(__xludf.DUMMYFUNCTION("""COMPUTED_VALUE"""),2325.0)</f>
        <v>2325</v>
      </c>
      <c r="E139" s="190">
        <f>IFERROR(__xludf.DUMMYFUNCTION("""COMPUTED_VALUE"""),2270.0)</f>
        <v>2270</v>
      </c>
      <c r="F139" s="190">
        <f>IFERROR(__xludf.DUMMYFUNCTION("""COMPUTED_VALUE"""),2270.0)</f>
        <v>2270</v>
      </c>
      <c r="G139" s="191">
        <f>IFERROR(__xludf.DUMMYFUNCTION("""COMPUTED_VALUE"""),2.2586387E7)</f>
        <v>22586387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</row>
    <row r="140" ht="17.25" customHeight="1">
      <c r="A140" s="112"/>
      <c r="B140" s="189">
        <f>IFERROR(__xludf.DUMMYFUNCTION("""COMPUTED_VALUE"""),46169.5625)</f>
        <v>46169.5625</v>
      </c>
      <c r="C140" s="190">
        <f>IFERROR(__xludf.DUMMYFUNCTION("""COMPUTED_VALUE"""),2310.0)</f>
        <v>2310</v>
      </c>
      <c r="D140" s="190">
        <f>IFERROR(__xludf.DUMMYFUNCTION("""COMPUTED_VALUE"""),2330.0)</f>
        <v>2330</v>
      </c>
      <c r="E140" s="190">
        <f>IFERROR(__xludf.DUMMYFUNCTION("""COMPUTED_VALUE"""),2290.0)</f>
        <v>2290</v>
      </c>
      <c r="F140" s="190">
        <f>IFERROR(__xludf.DUMMYFUNCTION("""COMPUTED_VALUE"""),2300.0)</f>
        <v>2300</v>
      </c>
      <c r="G140" s="191">
        <f>IFERROR(__xludf.DUMMYFUNCTION("""COMPUTED_VALUE"""),3.1986652E7)</f>
        <v>31986652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</row>
    <row r="141" ht="17.25" customHeight="1">
      <c r="A141" s="112"/>
      <c r="B141" s="189">
        <f>IFERROR(__xludf.DUMMYFUNCTION("""COMPUTED_VALUE"""),46170.5625)</f>
        <v>46170.5625</v>
      </c>
      <c r="C141" s="190">
        <f>IFERROR(__xludf.DUMMYFUNCTION("""COMPUTED_VALUE"""),2350.0)</f>
        <v>2350</v>
      </c>
      <c r="D141" s="190">
        <f>IFERROR(__xludf.DUMMYFUNCTION("""COMPUTED_VALUE"""),2360.0)</f>
        <v>2360</v>
      </c>
      <c r="E141" s="190">
        <f>IFERROR(__xludf.DUMMYFUNCTION("""COMPUTED_VALUE"""),2270.0)</f>
        <v>2270</v>
      </c>
      <c r="F141" s="190">
        <f>IFERROR(__xludf.DUMMYFUNCTION("""COMPUTED_VALUE"""),2295.0)</f>
        <v>2295</v>
      </c>
      <c r="G141" s="191">
        <f>IFERROR(__xludf.DUMMYFUNCTION("""COMPUTED_VALUE"""),3.6889432E7)</f>
        <v>36889432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</row>
    <row r="142" ht="17.25" customHeight="1">
      <c r="A142" s="112"/>
      <c r="B142" s="189">
        <f>IFERROR(__xludf.DUMMYFUNCTION("""COMPUTED_VALUE"""),46171.5625)</f>
        <v>46171.5625</v>
      </c>
      <c r="C142" s="190">
        <f>IFERROR(__xludf.DUMMYFUNCTION("""COMPUTED_VALUE"""),2340.0)</f>
        <v>2340</v>
      </c>
      <c r="D142" s="190">
        <f>IFERROR(__xludf.DUMMYFUNCTION("""COMPUTED_VALUE"""),2375.0)</f>
        <v>2375</v>
      </c>
      <c r="E142" s="190">
        <f>IFERROR(__xludf.DUMMYFUNCTION("""COMPUTED_VALUE"""),2330.0)</f>
        <v>2330</v>
      </c>
      <c r="F142" s="190">
        <f>IFERROR(__xludf.DUMMYFUNCTION("""COMPUTED_VALUE"""),2355.0)</f>
        <v>2355</v>
      </c>
      <c r="G142" s="191">
        <f>IFERROR(__xludf.DUMMYFUNCTION("""COMPUTED_VALUE"""),8.6132863E7)</f>
        <v>86132863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</row>
    <row r="143" ht="17.25" customHeight="1">
      <c r="A143" s="112"/>
      <c r="B143" s="189"/>
      <c r="C143" s="190"/>
      <c r="D143" s="190"/>
      <c r="E143" s="190"/>
      <c r="F143" s="190"/>
      <c r="G143" s="191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</row>
    <row r="144" ht="17.25" customHeight="1">
      <c r="A144" s="112"/>
      <c r="B144" s="189"/>
      <c r="C144" s="190"/>
      <c r="D144" s="190"/>
      <c r="E144" s="190"/>
      <c r="F144" s="190"/>
      <c r="G144" s="191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</row>
    <row r="145" ht="17.25" customHeight="1">
      <c r="A145" s="112"/>
      <c r="B145" s="189"/>
      <c r="C145" s="190"/>
      <c r="D145" s="190"/>
      <c r="E145" s="190"/>
      <c r="F145" s="190"/>
      <c r="G145" s="191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ht="17.25" customHeight="1">
      <c r="A146" s="112"/>
      <c r="B146" s="189"/>
      <c r="C146" s="190"/>
      <c r="D146" s="190"/>
      <c r="E146" s="190"/>
      <c r="F146" s="190"/>
      <c r="G146" s="191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ht="17.25" customHeight="1">
      <c r="A147" s="112"/>
      <c r="B147" s="189"/>
      <c r="C147" s="190"/>
      <c r="D147" s="190"/>
      <c r="E147" s="190"/>
      <c r="F147" s="190"/>
      <c r="G147" s="191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ht="17.25" customHeight="1">
      <c r="A148" s="112"/>
      <c r="B148" s="189"/>
      <c r="C148" s="190"/>
      <c r="D148" s="190"/>
      <c r="E148" s="190"/>
      <c r="F148" s="190"/>
      <c r="G148" s="191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</row>
    <row r="149" ht="17.25" customHeight="1">
      <c r="A149" s="112"/>
      <c r="B149" s="189"/>
      <c r="C149" s="190"/>
      <c r="D149" s="190"/>
      <c r="E149" s="190"/>
      <c r="F149" s="190"/>
      <c r="G149" s="191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ht="17.25" customHeight="1">
      <c r="A150" s="112"/>
      <c r="B150" s="189"/>
      <c r="C150" s="190"/>
      <c r="D150" s="190"/>
      <c r="E150" s="190"/>
      <c r="F150" s="190"/>
      <c r="G150" s="191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ht="17.25" customHeight="1">
      <c r="A151" s="112"/>
      <c r="B151" s="189"/>
      <c r="C151" s="190"/>
      <c r="D151" s="190"/>
      <c r="E151" s="190"/>
      <c r="F151" s="190"/>
      <c r="G151" s="191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ht="17.25" customHeight="1">
      <c r="A152" s="112"/>
      <c r="B152" s="189"/>
      <c r="C152" s="190"/>
      <c r="D152" s="190"/>
      <c r="E152" s="190"/>
      <c r="F152" s="190"/>
      <c r="G152" s="191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</row>
    <row r="153" ht="17.25" customHeight="1">
      <c r="A153" s="112"/>
      <c r="B153" s="189"/>
      <c r="C153" s="190"/>
      <c r="D153" s="190"/>
      <c r="E153" s="190"/>
      <c r="F153" s="190"/>
      <c r="G153" s="191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ht="17.25" customHeight="1">
      <c r="A154" s="112"/>
      <c r="B154" s="189"/>
      <c r="C154" s="190"/>
      <c r="D154" s="190"/>
      <c r="E154" s="190"/>
      <c r="F154" s="190"/>
      <c r="G154" s="191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</row>
    <row r="155" ht="17.25" customHeight="1">
      <c r="A155" s="112"/>
      <c r="B155" s="189"/>
      <c r="C155" s="190"/>
      <c r="D155" s="190"/>
      <c r="E155" s="190"/>
      <c r="F155" s="190"/>
      <c r="G155" s="191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ht="17.25" customHeight="1">
      <c r="A156" s="112"/>
      <c r="B156" s="189"/>
      <c r="C156" s="190"/>
      <c r="D156" s="190"/>
      <c r="E156" s="190"/>
      <c r="F156" s="190"/>
      <c r="G156" s="191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ht="17.25" customHeight="1">
      <c r="A157" s="112"/>
      <c r="B157" s="189"/>
      <c r="C157" s="190"/>
      <c r="D157" s="190"/>
      <c r="E157" s="190"/>
      <c r="F157" s="190"/>
      <c r="G157" s="191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ht="17.25" customHeight="1">
      <c r="A158" s="112"/>
      <c r="B158" s="189"/>
      <c r="C158" s="190"/>
      <c r="D158" s="190"/>
      <c r="E158" s="190"/>
      <c r="F158" s="190"/>
      <c r="G158" s="191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ht="17.25" customHeight="1">
      <c r="A159" s="112"/>
      <c r="B159" s="189"/>
      <c r="C159" s="190"/>
      <c r="D159" s="190"/>
      <c r="E159" s="190"/>
      <c r="F159" s="190"/>
      <c r="G159" s="191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ht="17.25" customHeight="1">
      <c r="A160" s="112"/>
      <c r="B160" s="189"/>
      <c r="C160" s="190"/>
      <c r="D160" s="190"/>
      <c r="E160" s="190"/>
      <c r="F160" s="190"/>
      <c r="G160" s="191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ht="17.25" customHeight="1">
      <c r="A161" s="112"/>
      <c r="B161" s="189"/>
      <c r="C161" s="190"/>
      <c r="D161" s="190"/>
      <c r="E161" s="190"/>
      <c r="F161" s="190"/>
      <c r="G161" s="191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ht="17.25" customHeight="1">
      <c r="A162" s="112"/>
      <c r="B162" s="189"/>
      <c r="C162" s="190"/>
      <c r="D162" s="190"/>
      <c r="E162" s="190"/>
      <c r="F162" s="190"/>
      <c r="G162" s="191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ht="17.25" customHeight="1">
      <c r="A163" s="112"/>
      <c r="B163" s="189"/>
      <c r="C163" s="190"/>
      <c r="D163" s="190"/>
      <c r="E163" s="190"/>
      <c r="F163" s="190"/>
      <c r="G163" s="191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</row>
    <row r="164" ht="17.25" customHeight="1">
      <c r="A164" s="112"/>
      <c r="B164" s="189"/>
      <c r="C164" s="190"/>
      <c r="D164" s="190"/>
      <c r="E164" s="190"/>
      <c r="F164" s="190"/>
      <c r="G164" s="191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ht="17.25" customHeight="1">
      <c r="A165" s="112"/>
      <c r="B165" s="189"/>
      <c r="C165" s="190"/>
      <c r="D165" s="190"/>
      <c r="E165" s="190"/>
      <c r="F165" s="190"/>
      <c r="G165" s="191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ht="17.25" customHeight="1">
      <c r="A166" s="112"/>
      <c r="B166" s="189"/>
      <c r="C166" s="190"/>
      <c r="D166" s="190"/>
      <c r="E166" s="190"/>
      <c r="F166" s="190"/>
      <c r="G166" s="191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ht="17.25" customHeight="1">
      <c r="A167" s="112"/>
      <c r="B167" s="189"/>
      <c r="C167" s="190"/>
      <c r="D167" s="190"/>
      <c r="E167" s="190"/>
      <c r="F167" s="190"/>
      <c r="G167" s="191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</row>
    <row r="168" ht="17.25" customHeight="1">
      <c r="A168" s="112"/>
      <c r="B168" s="189"/>
      <c r="C168" s="190"/>
      <c r="D168" s="190"/>
      <c r="E168" s="190"/>
      <c r="F168" s="190"/>
      <c r="G168" s="191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ht="17.25" customHeight="1">
      <c r="A169" s="112"/>
      <c r="B169" s="189"/>
      <c r="C169" s="190"/>
      <c r="D169" s="190"/>
      <c r="E169" s="190"/>
      <c r="F169" s="190"/>
      <c r="G169" s="191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ht="17.25" customHeight="1">
      <c r="A170" s="112"/>
      <c r="B170" s="189"/>
      <c r="C170" s="190"/>
      <c r="D170" s="190"/>
      <c r="E170" s="190"/>
      <c r="F170" s="190"/>
      <c r="G170" s="191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</row>
    <row r="171" ht="17.25" customHeight="1">
      <c r="A171" s="112"/>
      <c r="B171" s="189"/>
      <c r="C171" s="190"/>
      <c r="D171" s="190"/>
      <c r="E171" s="190"/>
      <c r="F171" s="190"/>
      <c r="G171" s="191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</row>
    <row r="172" ht="17.25" customHeight="1">
      <c r="A172" s="112"/>
      <c r="B172" s="189"/>
      <c r="C172" s="190"/>
      <c r="D172" s="190"/>
      <c r="E172" s="190"/>
      <c r="F172" s="190"/>
      <c r="G172" s="191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ht="17.25" customHeight="1">
      <c r="A173" s="112"/>
      <c r="B173" s="189"/>
      <c r="C173" s="190"/>
      <c r="D173" s="190"/>
      <c r="E173" s="190"/>
      <c r="F173" s="190"/>
      <c r="G173" s="191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</row>
    <row r="174" ht="17.25" customHeight="1">
      <c r="A174" s="112"/>
      <c r="B174" s="189"/>
      <c r="C174" s="190"/>
      <c r="D174" s="190"/>
      <c r="E174" s="190"/>
      <c r="F174" s="190"/>
      <c r="G174" s="191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</row>
    <row r="175" ht="17.25" customHeight="1">
      <c r="A175" s="112"/>
      <c r="B175" s="189"/>
      <c r="C175" s="190"/>
      <c r="D175" s="190"/>
      <c r="E175" s="190"/>
      <c r="F175" s="190"/>
      <c r="G175" s="191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</row>
    <row r="176" ht="17.25" customHeight="1">
      <c r="A176" s="112"/>
      <c r="B176" s="189"/>
      <c r="C176" s="190"/>
      <c r="D176" s="190"/>
      <c r="E176" s="190"/>
      <c r="F176" s="190"/>
      <c r="G176" s="191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</row>
    <row r="177" ht="17.25" customHeight="1">
      <c r="A177" s="112"/>
      <c r="B177" s="189"/>
      <c r="C177" s="190"/>
      <c r="D177" s="190"/>
      <c r="E177" s="190"/>
      <c r="F177" s="190"/>
      <c r="G177" s="191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</row>
    <row r="178" ht="17.25" customHeight="1">
      <c r="A178" s="112"/>
      <c r="B178" s="189"/>
      <c r="C178" s="190"/>
      <c r="D178" s="190"/>
      <c r="E178" s="190"/>
      <c r="F178" s="190"/>
      <c r="G178" s="191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</row>
    <row r="179" ht="17.25" customHeight="1">
      <c r="A179" s="112"/>
      <c r="B179" s="189"/>
      <c r="C179" s="190"/>
      <c r="D179" s="190"/>
      <c r="E179" s="190"/>
      <c r="F179" s="190"/>
      <c r="G179" s="191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</row>
    <row r="180" ht="17.25" customHeight="1">
      <c r="A180" s="112"/>
      <c r="B180" s="189"/>
      <c r="C180" s="190"/>
      <c r="D180" s="190"/>
      <c r="E180" s="190"/>
      <c r="F180" s="190"/>
      <c r="G180" s="191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</row>
    <row r="181" ht="17.25" customHeight="1">
      <c r="A181" s="112"/>
      <c r="B181" s="189"/>
      <c r="C181" s="190"/>
      <c r="D181" s="190"/>
      <c r="E181" s="190"/>
      <c r="F181" s="190"/>
      <c r="G181" s="191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</row>
    <row r="182" ht="17.25" customHeight="1">
      <c r="A182" s="112"/>
      <c r="B182" s="189"/>
      <c r="C182" s="190"/>
      <c r="D182" s="190"/>
      <c r="E182" s="190"/>
      <c r="F182" s="190"/>
      <c r="G182" s="191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</row>
    <row r="183" ht="17.25" customHeight="1">
      <c r="A183" s="112"/>
      <c r="B183" s="189"/>
      <c r="C183" s="190"/>
      <c r="D183" s="190"/>
      <c r="E183" s="190"/>
      <c r="F183" s="190"/>
      <c r="G183" s="191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</row>
    <row r="184" ht="17.25" customHeight="1">
      <c r="A184" s="112"/>
      <c r="B184" s="189"/>
      <c r="C184" s="190"/>
      <c r="D184" s="190"/>
      <c r="E184" s="190"/>
      <c r="F184" s="190"/>
      <c r="G184" s="191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</row>
    <row r="185" ht="17.25" customHeight="1">
      <c r="A185" s="112"/>
      <c r="B185" s="189"/>
      <c r="C185" s="190"/>
      <c r="D185" s="190"/>
      <c r="E185" s="190"/>
      <c r="F185" s="190"/>
      <c r="G185" s="191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</row>
    <row r="186" ht="17.25" customHeight="1">
      <c r="A186" s="112"/>
      <c r="B186" s="189"/>
      <c r="C186" s="190"/>
      <c r="D186" s="190"/>
      <c r="E186" s="190"/>
      <c r="F186" s="190"/>
      <c r="G186" s="191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</row>
    <row r="187" ht="17.25" customHeight="1">
      <c r="A187" s="112"/>
      <c r="B187" s="189"/>
      <c r="C187" s="190"/>
      <c r="D187" s="190"/>
      <c r="E187" s="190"/>
      <c r="F187" s="190"/>
      <c r="G187" s="191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</row>
    <row r="188" ht="17.25" customHeight="1">
      <c r="A188" s="112"/>
      <c r="B188" s="189"/>
      <c r="C188" s="190"/>
      <c r="D188" s="190"/>
      <c r="E188" s="190"/>
      <c r="F188" s="190"/>
      <c r="G188" s="191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</row>
    <row r="189" ht="17.25" customHeight="1">
      <c r="A189" s="112"/>
      <c r="B189" s="189"/>
      <c r="C189" s="190"/>
      <c r="D189" s="190"/>
      <c r="E189" s="190"/>
      <c r="F189" s="190"/>
      <c r="G189" s="191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</row>
    <row r="190" ht="17.25" customHeight="1">
      <c r="A190" s="112"/>
      <c r="B190" s="189"/>
      <c r="C190" s="190"/>
      <c r="D190" s="190"/>
      <c r="E190" s="190"/>
      <c r="F190" s="190"/>
      <c r="G190" s="191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</row>
    <row r="191" ht="17.25" customHeight="1">
      <c r="A191" s="112"/>
      <c r="B191" s="189"/>
      <c r="C191" s="190"/>
      <c r="D191" s="190"/>
      <c r="E191" s="190"/>
      <c r="F191" s="190"/>
      <c r="G191" s="191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</row>
    <row r="192" ht="17.25" customHeight="1">
      <c r="A192" s="112"/>
      <c r="B192" s="189"/>
      <c r="C192" s="190"/>
      <c r="D192" s="190"/>
      <c r="E192" s="190"/>
      <c r="F192" s="190"/>
      <c r="G192" s="191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</row>
    <row r="193" ht="17.25" customHeight="1">
      <c r="A193" s="112"/>
      <c r="B193" s="189"/>
      <c r="C193" s="190"/>
      <c r="D193" s="190"/>
      <c r="E193" s="190"/>
      <c r="F193" s="190"/>
      <c r="G193" s="191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</row>
    <row r="194" ht="17.25" customHeight="1">
      <c r="A194" s="112"/>
      <c r="B194" s="189"/>
      <c r="C194" s="190"/>
      <c r="D194" s="190"/>
      <c r="E194" s="190"/>
      <c r="F194" s="190"/>
      <c r="G194" s="191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</row>
    <row r="195" ht="17.25" customHeight="1">
      <c r="A195" s="112"/>
      <c r="B195" s="189"/>
      <c r="C195" s="190"/>
      <c r="D195" s="190"/>
      <c r="E195" s="190"/>
      <c r="F195" s="190"/>
      <c r="G195" s="191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</row>
    <row r="196" ht="17.25" customHeight="1">
      <c r="A196" s="112"/>
      <c r="B196" s="189"/>
      <c r="C196" s="190"/>
      <c r="D196" s="190"/>
      <c r="E196" s="190"/>
      <c r="F196" s="190"/>
      <c r="G196" s="191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</row>
    <row r="197" ht="17.25" customHeight="1">
      <c r="A197" s="112"/>
      <c r="B197" s="189"/>
      <c r="C197" s="190"/>
      <c r="D197" s="190"/>
      <c r="E197" s="190"/>
      <c r="F197" s="190"/>
      <c r="G197" s="191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</row>
    <row r="198" ht="17.25" customHeight="1">
      <c r="A198" s="112"/>
      <c r="B198" s="189"/>
      <c r="C198" s="190"/>
      <c r="D198" s="190"/>
      <c r="E198" s="190"/>
      <c r="F198" s="190"/>
      <c r="G198" s="191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</row>
    <row r="199" ht="17.25" customHeight="1">
      <c r="A199" s="112"/>
      <c r="B199" s="189"/>
      <c r="C199" s="190"/>
      <c r="D199" s="190"/>
      <c r="E199" s="190"/>
      <c r="F199" s="190"/>
      <c r="G199" s="191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</row>
    <row r="200" ht="17.25" customHeight="1">
      <c r="A200" s="112"/>
      <c r="B200" s="189"/>
      <c r="C200" s="190"/>
      <c r="D200" s="190"/>
      <c r="E200" s="190"/>
      <c r="F200" s="190"/>
      <c r="G200" s="191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</row>
    <row r="201" ht="17.25" customHeight="1">
      <c r="A201" s="112"/>
      <c r="B201" s="189"/>
      <c r="C201" s="190"/>
      <c r="D201" s="190"/>
      <c r="E201" s="190"/>
      <c r="F201" s="190"/>
      <c r="G201" s="191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/>
      <c r="C202" s="190"/>
      <c r="D202" s="190"/>
      <c r="E202" s="190"/>
      <c r="F202" s="190"/>
      <c r="G202" s="191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/>
      <c r="C203" s="190"/>
      <c r="D203" s="190"/>
      <c r="E203" s="190"/>
      <c r="F203" s="190"/>
      <c r="G203" s="191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/>
      <c r="C204" s="190"/>
      <c r="D204" s="190"/>
      <c r="E204" s="190"/>
      <c r="F204" s="190"/>
      <c r="G204" s="191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/>
      <c r="C205" s="190"/>
      <c r="D205" s="190"/>
      <c r="E205" s="190"/>
      <c r="F205" s="190"/>
      <c r="G205" s="191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/>
      <c r="C206" s="190"/>
      <c r="D206" s="190"/>
      <c r="E206" s="190"/>
      <c r="F206" s="190"/>
      <c r="G206" s="191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/>
      <c r="C207" s="190"/>
      <c r="D207" s="190"/>
      <c r="E207" s="190"/>
      <c r="F207" s="190"/>
      <c r="G207" s="191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/>
      <c r="C208" s="190"/>
      <c r="D208" s="190"/>
      <c r="E208" s="190"/>
      <c r="F208" s="190"/>
      <c r="G208" s="191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/>
      <c r="C209" s="190"/>
      <c r="D209" s="190"/>
      <c r="E209" s="190"/>
      <c r="F209" s="190"/>
      <c r="G209" s="191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/>
      <c r="C210" s="190"/>
      <c r="D210" s="190"/>
      <c r="E210" s="190"/>
      <c r="F210" s="190"/>
      <c r="G210" s="191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/>
      <c r="C211" s="190"/>
      <c r="D211" s="190"/>
      <c r="E211" s="190"/>
      <c r="F211" s="190"/>
      <c r="G211" s="191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/>
      <c r="C212" s="190"/>
      <c r="D212" s="190"/>
      <c r="E212" s="190"/>
      <c r="F212" s="190"/>
      <c r="G212" s="191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/>
      <c r="C213" s="190"/>
      <c r="D213" s="190"/>
      <c r="E213" s="190"/>
      <c r="F213" s="190"/>
      <c r="G213" s="191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/>
      <c r="C214" s="190"/>
      <c r="D214" s="190"/>
      <c r="E214" s="190"/>
      <c r="F214" s="190"/>
      <c r="G214" s="191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/>
      <c r="C215" s="190"/>
      <c r="D215" s="190"/>
      <c r="E215" s="190"/>
      <c r="F215" s="190"/>
      <c r="G215" s="191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/>
      <c r="C216" s="190"/>
      <c r="D216" s="190"/>
      <c r="E216" s="190"/>
      <c r="F216" s="190"/>
      <c r="G216" s="191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/>
      <c r="C217" s="190"/>
      <c r="D217" s="190"/>
      <c r="E217" s="190"/>
      <c r="F217" s="190"/>
      <c r="G217" s="191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/>
      <c r="C218" s="190"/>
      <c r="D218" s="190"/>
      <c r="E218" s="190"/>
      <c r="F218" s="190"/>
      <c r="G218" s="191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/>
      <c r="C219" s="190"/>
      <c r="D219" s="190"/>
      <c r="E219" s="190"/>
      <c r="F219" s="190"/>
      <c r="G219" s="191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/>
      <c r="C220" s="190"/>
      <c r="D220" s="190"/>
      <c r="E220" s="190"/>
      <c r="F220" s="190"/>
      <c r="G220" s="191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/>
      <c r="C221" s="190"/>
      <c r="D221" s="190"/>
      <c r="E221" s="190"/>
      <c r="F221" s="190"/>
      <c r="G221" s="191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/>
      <c r="C222" s="190"/>
      <c r="D222" s="190"/>
      <c r="E222" s="190"/>
      <c r="F222" s="190"/>
      <c r="G222" s="191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/>
      <c r="C223" s="190"/>
      <c r="D223" s="190"/>
      <c r="E223" s="190"/>
      <c r="F223" s="190"/>
      <c r="G223" s="191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/>
      <c r="C224" s="190"/>
      <c r="D224" s="190"/>
      <c r="E224" s="190"/>
      <c r="F224" s="190"/>
      <c r="G224" s="191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/>
      <c r="C225" s="190"/>
      <c r="D225" s="190"/>
      <c r="E225" s="190"/>
      <c r="F225" s="190"/>
      <c r="G225" s="191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/>
      <c r="C226" s="190"/>
      <c r="D226" s="190"/>
      <c r="E226" s="190"/>
      <c r="F226" s="190"/>
      <c r="G226" s="191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/>
      <c r="C227" s="190"/>
      <c r="D227" s="190"/>
      <c r="E227" s="190"/>
      <c r="F227" s="190"/>
      <c r="G227" s="191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/>
      <c r="C228" s="190"/>
      <c r="D228" s="190"/>
      <c r="E228" s="190"/>
      <c r="F228" s="190"/>
      <c r="G228" s="191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/>
      <c r="C229" s="190"/>
      <c r="D229" s="190"/>
      <c r="E229" s="190"/>
      <c r="F229" s="190"/>
      <c r="G229" s="191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/>
      <c r="C230" s="190"/>
      <c r="D230" s="190"/>
      <c r="E230" s="190"/>
      <c r="F230" s="190"/>
      <c r="G230" s="191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/>
      <c r="C231" s="190"/>
      <c r="D231" s="190"/>
      <c r="E231" s="190"/>
      <c r="F231" s="190"/>
      <c r="G231" s="191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/>
      <c r="C232" s="190"/>
      <c r="D232" s="190"/>
      <c r="E232" s="190"/>
      <c r="F232" s="190"/>
      <c r="G232" s="19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/>
      <c r="C233" s="190"/>
      <c r="D233" s="190"/>
      <c r="E233" s="190"/>
      <c r="F233" s="190"/>
      <c r="G233" s="191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/>
      <c r="C234" s="190"/>
      <c r="D234" s="190"/>
      <c r="E234" s="190"/>
      <c r="F234" s="190"/>
      <c r="G234" s="191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/>
      <c r="C235" s="190"/>
      <c r="D235" s="190"/>
      <c r="E235" s="190"/>
      <c r="F235" s="190"/>
      <c r="G235" s="191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/>
      <c r="C236" s="190"/>
      <c r="D236" s="190"/>
      <c r="E236" s="190"/>
      <c r="F236" s="190"/>
      <c r="G236" s="191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/>
      <c r="C237" s="190"/>
      <c r="D237" s="190"/>
      <c r="E237" s="190"/>
      <c r="F237" s="190"/>
      <c r="G237" s="191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/>
      <c r="C238" s="190"/>
      <c r="D238" s="190"/>
      <c r="E238" s="190"/>
      <c r="F238" s="190"/>
      <c r="G238" s="191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/>
      <c r="C239" s="190"/>
      <c r="D239" s="190"/>
      <c r="E239" s="190"/>
      <c r="F239" s="190"/>
      <c r="G239" s="19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/>
      <c r="C240" s="190"/>
      <c r="D240" s="190"/>
      <c r="E240" s="190"/>
      <c r="F240" s="190"/>
      <c r="G240" s="191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/>
      <c r="C241" s="190"/>
      <c r="D241" s="190"/>
      <c r="E241" s="190"/>
      <c r="F241" s="190"/>
      <c r="G241" s="191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/>
      <c r="C242" s="190"/>
      <c r="D242" s="190"/>
      <c r="E242" s="190"/>
      <c r="F242" s="190"/>
      <c r="G242" s="191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/>
      <c r="C243" s="190"/>
      <c r="D243" s="190"/>
      <c r="E243" s="190"/>
      <c r="F243" s="190"/>
      <c r="G243" s="191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/>
      <c r="C244" s="190"/>
      <c r="D244" s="190"/>
      <c r="E244" s="190"/>
      <c r="F244" s="190"/>
      <c r="G244" s="191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/>
      <c r="C245" s="190"/>
      <c r="D245" s="190"/>
      <c r="E245" s="190"/>
      <c r="F245" s="190"/>
      <c r="G245" s="191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/>
      <c r="C246" s="190"/>
      <c r="D246" s="190"/>
      <c r="E246" s="190"/>
      <c r="F246" s="190"/>
      <c r="G246" s="191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/>
      <c r="C247" s="190"/>
      <c r="D247" s="190"/>
      <c r="E247" s="190"/>
      <c r="F247" s="190"/>
      <c r="G247" s="191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/>
      <c r="C248" s="190"/>
      <c r="D248" s="190"/>
      <c r="E248" s="190"/>
      <c r="F248" s="190"/>
      <c r="G248" s="191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/>
      <c r="C249" s="190"/>
      <c r="D249" s="190"/>
      <c r="E249" s="190"/>
      <c r="F249" s="190"/>
      <c r="G249" s="191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/>
      <c r="C250" s="190"/>
      <c r="D250" s="190"/>
      <c r="E250" s="190"/>
      <c r="F250" s="190"/>
      <c r="G250" s="191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/>
      <c r="C251" s="190"/>
      <c r="D251" s="190"/>
      <c r="E251" s="190"/>
      <c r="F251" s="190"/>
      <c r="G251" s="191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/>
      <c r="C252" s="190"/>
      <c r="D252" s="190"/>
      <c r="E252" s="190"/>
      <c r="F252" s="190"/>
      <c r="G252" s="191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/>
      <c r="C253" s="190"/>
      <c r="D253" s="190"/>
      <c r="E253" s="190"/>
      <c r="F253" s="190"/>
      <c r="G253" s="191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/>
      <c r="C254" s="190"/>
      <c r="D254" s="190"/>
      <c r="E254" s="190"/>
      <c r="F254" s="190"/>
      <c r="G254" s="191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/>
      <c r="C255" s="190"/>
      <c r="D255" s="190"/>
      <c r="E255" s="190"/>
      <c r="F255" s="190"/>
      <c r="G255" s="191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/>
      <c r="C256" s="190"/>
      <c r="D256" s="190"/>
      <c r="E256" s="190"/>
      <c r="F256" s="190"/>
      <c r="G256" s="191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/>
      <c r="C257" s="190"/>
      <c r="D257" s="190"/>
      <c r="E257" s="190"/>
      <c r="F257" s="190"/>
      <c r="G257" s="191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/>
      <c r="C258" s="190"/>
      <c r="D258" s="190"/>
      <c r="E258" s="190"/>
      <c r="F258" s="190"/>
      <c r="G258" s="191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/>
      <c r="C259" s="190"/>
      <c r="D259" s="190"/>
      <c r="E259" s="190"/>
      <c r="F259" s="190"/>
      <c r="G259" s="191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/>
      <c r="C260" s="190"/>
      <c r="D260" s="190"/>
      <c r="E260" s="190"/>
      <c r="F260" s="190"/>
      <c r="G260" s="191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/>
      <c r="C261" s="190"/>
      <c r="D261" s="190"/>
      <c r="E261" s="190"/>
      <c r="F261" s="190"/>
      <c r="G261" s="191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/>
      <c r="C262" s="190"/>
      <c r="D262" s="190"/>
      <c r="E262" s="190"/>
      <c r="F262" s="190"/>
      <c r="G262" s="191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/>
      <c r="C263" s="190"/>
      <c r="D263" s="190"/>
      <c r="E263" s="190"/>
      <c r="F263" s="190"/>
      <c r="G263" s="191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/>
      <c r="C264" s="190"/>
      <c r="D264" s="190"/>
      <c r="E264" s="190"/>
      <c r="F264" s="190"/>
      <c r="G264" s="191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/>
      <c r="C265" s="190"/>
      <c r="D265" s="190"/>
      <c r="E265" s="190"/>
      <c r="F265" s="190"/>
      <c r="G265" s="191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/>
      <c r="C266" s="190"/>
      <c r="D266" s="190"/>
      <c r="E266" s="190"/>
      <c r="F266" s="190"/>
      <c r="G266" s="191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/>
      <c r="C267" s="190"/>
      <c r="D267" s="190"/>
      <c r="E267" s="190"/>
      <c r="F267" s="190"/>
      <c r="G267" s="191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/>
      <c r="C268" s="190"/>
      <c r="D268" s="190"/>
      <c r="E268" s="190"/>
      <c r="F268" s="190"/>
      <c r="G268" s="191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/>
      <c r="C269" s="190"/>
      <c r="D269" s="190"/>
      <c r="E269" s="190"/>
      <c r="F269" s="190"/>
      <c r="G269" s="191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/>
      <c r="C270" s="190"/>
      <c r="D270" s="190"/>
      <c r="E270" s="190"/>
      <c r="F270" s="190"/>
      <c r="G270" s="191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/>
      <c r="C271" s="190"/>
      <c r="D271" s="190"/>
      <c r="E271" s="190"/>
      <c r="F271" s="190"/>
      <c r="G271" s="191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/>
      <c r="C272" s="190"/>
      <c r="D272" s="190"/>
      <c r="E272" s="190"/>
      <c r="F272" s="190"/>
      <c r="G272" s="191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/>
      <c r="C273" s="190"/>
      <c r="D273" s="190"/>
      <c r="E273" s="190"/>
      <c r="F273" s="190"/>
      <c r="G273" s="191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/>
      <c r="C274" s="190"/>
      <c r="D274" s="190"/>
      <c r="E274" s="190"/>
      <c r="F274" s="190"/>
      <c r="G274" s="191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/>
      <c r="C275" s="190"/>
      <c r="D275" s="190"/>
      <c r="E275" s="190"/>
      <c r="F275" s="190"/>
      <c r="G275" s="191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/>
      <c r="C276" s="190"/>
      <c r="D276" s="190"/>
      <c r="E276" s="190"/>
      <c r="F276" s="190"/>
      <c r="G276" s="191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/>
      <c r="C277" s="190"/>
      <c r="D277" s="190"/>
      <c r="E277" s="190"/>
      <c r="F277" s="190"/>
      <c r="G277" s="191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/>
      <c r="C278" s="190"/>
      <c r="D278" s="190"/>
      <c r="E278" s="190"/>
      <c r="F278" s="190"/>
      <c r="G278" s="191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/>
      <c r="C279" s="190"/>
      <c r="D279" s="190"/>
      <c r="E279" s="190"/>
      <c r="F279" s="190"/>
      <c r="G279" s="191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/>
      <c r="C280" s="190"/>
      <c r="D280" s="190"/>
      <c r="E280" s="190"/>
      <c r="F280" s="190"/>
      <c r="G280" s="191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/>
      <c r="C281" s="190"/>
      <c r="D281" s="190"/>
      <c r="E281" s="190"/>
      <c r="F281" s="190"/>
      <c r="G281" s="191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/>
      <c r="C282" s="190"/>
      <c r="D282" s="190"/>
      <c r="E282" s="190"/>
      <c r="F282" s="190"/>
      <c r="G282" s="191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/>
      <c r="C283" s="190"/>
      <c r="D283" s="190"/>
      <c r="E283" s="190"/>
      <c r="F283" s="190"/>
      <c r="G283" s="191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/>
      <c r="C284" s="190"/>
      <c r="D284" s="190"/>
      <c r="E284" s="190"/>
      <c r="F284" s="190"/>
      <c r="G284" s="191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/>
      <c r="C285" s="190"/>
      <c r="D285" s="190"/>
      <c r="E285" s="190"/>
      <c r="F285" s="190"/>
      <c r="G285" s="191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/>
      <c r="C286" s="190"/>
      <c r="D286" s="190"/>
      <c r="E286" s="190"/>
      <c r="F286" s="190"/>
      <c r="G286" s="191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/>
      <c r="C287" s="190"/>
      <c r="D287" s="190"/>
      <c r="E287" s="190"/>
      <c r="F287" s="190"/>
      <c r="G287" s="191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/>
      <c r="C288" s="190"/>
      <c r="D288" s="190"/>
      <c r="E288" s="190"/>
      <c r="F288" s="190"/>
      <c r="G288" s="191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/>
      <c r="C289" s="190"/>
      <c r="D289" s="190"/>
      <c r="E289" s="190"/>
      <c r="F289" s="190"/>
      <c r="G289" s="19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/>
      <c r="C290" s="190"/>
      <c r="D290" s="190"/>
      <c r="E290" s="190"/>
      <c r="F290" s="190"/>
      <c r="G290" s="191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/>
      <c r="C291" s="190"/>
      <c r="D291" s="190"/>
      <c r="E291" s="190"/>
      <c r="F291" s="190"/>
      <c r="G291" s="191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/>
      <c r="C292" s="190"/>
      <c r="D292" s="190"/>
      <c r="E292" s="190"/>
      <c r="F292" s="190"/>
      <c r="G292" s="191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/>
      <c r="C293" s="190"/>
      <c r="D293" s="190"/>
      <c r="E293" s="190"/>
      <c r="F293" s="190"/>
      <c r="G293" s="191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/>
      <c r="C294" s="190"/>
      <c r="D294" s="190"/>
      <c r="E294" s="190"/>
      <c r="F294" s="190"/>
      <c r="G294" s="191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/>
      <c r="C295" s="190"/>
      <c r="D295" s="190"/>
      <c r="E295" s="190"/>
      <c r="F295" s="190"/>
      <c r="G295" s="191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/>
      <c r="C296" s="190"/>
      <c r="D296" s="190"/>
      <c r="E296" s="190"/>
      <c r="F296" s="190"/>
      <c r="G296" s="19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/>
      <c r="C297" s="190"/>
      <c r="D297" s="190"/>
      <c r="E297" s="190"/>
      <c r="F297" s="190"/>
      <c r="G297" s="191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/>
      <c r="C298" s="190"/>
      <c r="D298" s="190"/>
      <c r="E298" s="190"/>
      <c r="F298" s="190"/>
      <c r="G298" s="191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/>
      <c r="C299" s="190"/>
      <c r="D299" s="190"/>
      <c r="E299" s="190"/>
      <c r="F299" s="190"/>
      <c r="G299" s="191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/>
      <c r="C300" s="190"/>
      <c r="D300" s="190"/>
      <c r="E300" s="190"/>
      <c r="F300" s="190"/>
      <c r="G300" s="191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/>
      <c r="C301" s="190"/>
      <c r="D301" s="190"/>
      <c r="E301" s="190"/>
      <c r="F301" s="190"/>
      <c r="G301" s="191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/>
      <c r="C302" s="190"/>
      <c r="D302" s="190"/>
      <c r="E302" s="190"/>
      <c r="F302" s="190"/>
      <c r="G302" s="191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/>
      <c r="C303" s="190"/>
      <c r="D303" s="190"/>
      <c r="E303" s="190"/>
      <c r="F303" s="190"/>
      <c r="G303" s="191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/>
      <c r="C304" s="190"/>
      <c r="D304" s="190"/>
      <c r="E304" s="190"/>
      <c r="F304" s="190"/>
      <c r="G304" s="19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/>
      <c r="C305" s="190"/>
      <c r="D305" s="190"/>
      <c r="E305" s="190"/>
      <c r="F305" s="190"/>
      <c r="G305" s="191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/>
      <c r="C306" s="190"/>
      <c r="D306" s="190"/>
      <c r="E306" s="190"/>
      <c r="F306" s="190"/>
      <c r="G306" s="191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/>
      <c r="C307" s="190"/>
      <c r="D307" s="190"/>
      <c r="E307" s="190"/>
      <c r="F307" s="190"/>
      <c r="G307" s="191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/>
      <c r="C308" s="190"/>
      <c r="D308" s="190"/>
      <c r="E308" s="190"/>
      <c r="F308" s="190"/>
      <c r="G308" s="191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/>
      <c r="C309" s="190"/>
      <c r="D309" s="190"/>
      <c r="E309" s="190"/>
      <c r="F309" s="190"/>
      <c r="G309" s="191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/>
      <c r="C310" s="190"/>
      <c r="D310" s="190"/>
      <c r="E310" s="190"/>
      <c r="F310" s="190"/>
      <c r="G310" s="191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/>
      <c r="C311" s="190"/>
      <c r="D311" s="190"/>
      <c r="E311" s="190"/>
      <c r="F311" s="190"/>
      <c r="G311" s="191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/>
      <c r="C312" s="190"/>
      <c r="D312" s="190"/>
      <c r="E312" s="190"/>
      <c r="F312" s="190"/>
      <c r="G312" s="191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/>
      <c r="C313" s="190"/>
      <c r="D313" s="190"/>
      <c r="E313" s="190"/>
      <c r="F313" s="190"/>
      <c r="G313" s="191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/>
      <c r="C314" s="190"/>
      <c r="D314" s="190"/>
      <c r="E314" s="190"/>
      <c r="F314" s="190"/>
      <c r="G314" s="191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/>
      <c r="C315" s="190"/>
      <c r="D315" s="190"/>
      <c r="E315" s="190"/>
      <c r="F315" s="190"/>
      <c r="G315" s="191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/>
      <c r="C316" s="190"/>
      <c r="D316" s="190"/>
      <c r="E316" s="190"/>
      <c r="F316" s="190"/>
      <c r="G316" s="191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/>
      <c r="C317" s="190"/>
      <c r="D317" s="190"/>
      <c r="E317" s="190"/>
      <c r="F317" s="190"/>
      <c r="G317" s="191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/>
      <c r="C318" s="190"/>
      <c r="D318" s="190"/>
      <c r="E318" s="190"/>
      <c r="F318" s="190"/>
      <c r="G318" s="191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/>
      <c r="C319" s="190"/>
      <c r="D319" s="190"/>
      <c r="E319" s="190"/>
      <c r="F319" s="190"/>
      <c r="G319" s="191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/>
      <c r="C320" s="190"/>
      <c r="D320" s="190"/>
      <c r="E320" s="190"/>
      <c r="F320" s="190"/>
      <c r="G320" s="191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/>
      <c r="C321" s="190"/>
      <c r="D321" s="190"/>
      <c r="E321" s="190"/>
      <c r="F321" s="190"/>
      <c r="G321" s="191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/>
      <c r="C322" s="190"/>
      <c r="D322" s="190"/>
      <c r="E322" s="190"/>
      <c r="F322" s="190"/>
      <c r="G322" s="191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/>
      <c r="C323" s="190"/>
      <c r="D323" s="190"/>
      <c r="E323" s="190"/>
      <c r="F323" s="190"/>
      <c r="G323" s="191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/>
      <c r="C324" s="190"/>
      <c r="D324" s="190"/>
      <c r="E324" s="190"/>
      <c r="F324" s="190"/>
      <c r="G324" s="191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/>
      <c r="C325" s="190"/>
      <c r="D325" s="190"/>
      <c r="E325" s="190"/>
      <c r="F325" s="190"/>
      <c r="G325" s="191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/>
      <c r="C326" s="190"/>
      <c r="D326" s="190"/>
      <c r="E326" s="190"/>
      <c r="F326" s="190"/>
      <c r="G326" s="191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/>
      <c r="C327" s="190"/>
      <c r="D327" s="190"/>
      <c r="E327" s="190"/>
      <c r="F327" s="190"/>
      <c r="G327" s="191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/>
      <c r="C328" s="190"/>
      <c r="D328" s="190"/>
      <c r="E328" s="190"/>
      <c r="F328" s="190"/>
      <c r="G328" s="191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/>
      <c r="C329" s="190"/>
      <c r="D329" s="190"/>
      <c r="E329" s="190"/>
      <c r="F329" s="190"/>
      <c r="G329" s="191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/>
      <c r="C330" s="190"/>
      <c r="D330" s="190"/>
      <c r="E330" s="190"/>
      <c r="F330" s="190"/>
      <c r="G330" s="191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/>
      <c r="C331" s="190"/>
      <c r="D331" s="190"/>
      <c r="E331" s="190"/>
      <c r="F331" s="190"/>
      <c r="G331" s="191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/>
      <c r="C332" s="190"/>
      <c r="D332" s="190"/>
      <c r="E332" s="190"/>
      <c r="F332" s="190"/>
      <c r="G332" s="191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/>
      <c r="C333" s="190"/>
      <c r="D333" s="190"/>
      <c r="E333" s="190"/>
      <c r="F333" s="190"/>
      <c r="G333" s="191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/>
      <c r="C334" s="190"/>
      <c r="D334" s="190"/>
      <c r="E334" s="190"/>
      <c r="F334" s="190"/>
      <c r="G334" s="191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/>
      <c r="C335" s="190"/>
      <c r="D335" s="190"/>
      <c r="E335" s="190"/>
      <c r="F335" s="190"/>
      <c r="G335" s="191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/>
      <c r="C336" s="190"/>
      <c r="D336" s="190"/>
      <c r="E336" s="190"/>
      <c r="F336" s="190"/>
      <c r="G336" s="191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/>
      <c r="C337" s="190"/>
      <c r="D337" s="190"/>
      <c r="E337" s="190"/>
      <c r="F337" s="190"/>
      <c r="G337" s="191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/>
      <c r="C338" s="190"/>
      <c r="D338" s="190"/>
      <c r="E338" s="190"/>
      <c r="F338" s="190"/>
      <c r="G338" s="191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/>
      <c r="C339" s="190"/>
      <c r="D339" s="190"/>
      <c r="E339" s="190"/>
      <c r="F339" s="190"/>
      <c r="G339" s="191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/>
      <c r="C340" s="190"/>
      <c r="D340" s="190"/>
      <c r="E340" s="190"/>
      <c r="F340" s="190"/>
      <c r="G340" s="191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/>
      <c r="C341" s="190"/>
      <c r="D341" s="190"/>
      <c r="E341" s="190"/>
      <c r="F341" s="190"/>
      <c r="G341" s="191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/>
      <c r="C342" s="190"/>
      <c r="D342" s="190"/>
      <c r="E342" s="190"/>
      <c r="F342" s="190"/>
      <c r="G342" s="191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/>
      <c r="C343" s="190"/>
      <c r="D343" s="190"/>
      <c r="E343" s="190"/>
      <c r="F343" s="190"/>
      <c r="G343" s="191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/>
      <c r="C344" s="190"/>
      <c r="D344" s="190"/>
      <c r="E344" s="190"/>
      <c r="F344" s="190"/>
      <c r="G344" s="191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/>
      <c r="C345" s="190"/>
      <c r="D345" s="190"/>
      <c r="E345" s="190"/>
      <c r="F345" s="190"/>
      <c r="G345" s="191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/>
      <c r="C346" s="190"/>
      <c r="D346" s="190"/>
      <c r="E346" s="190"/>
      <c r="F346" s="190"/>
      <c r="G346" s="191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/>
      <c r="C347" s="190"/>
      <c r="D347" s="190"/>
      <c r="E347" s="190"/>
      <c r="F347" s="190"/>
      <c r="G347" s="191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/>
      <c r="C348" s="190"/>
      <c r="D348" s="190"/>
      <c r="E348" s="190"/>
      <c r="F348" s="190"/>
      <c r="G348" s="191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/>
      <c r="C349" s="190"/>
      <c r="D349" s="190"/>
      <c r="E349" s="190"/>
      <c r="F349" s="190"/>
      <c r="G349" s="191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/>
      <c r="C350" s="190"/>
      <c r="D350" s="190"/>
      <c r="E350" s="190"/>
      <c r="F350" s="190"/>
      <c r="G350" s="191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/>
      <c r="C351" s="190"/>
      <c r="D351" s="190"/>
      <c r="E351" s="190"/>
      <c r="F351" s="190"/>
      <c r="G351" s="191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/>
      <c r="C352" s="190"/>
      <c r="D352" s="190"/>
      <c r="E352" s="190"/>
      <c r="F352" s="190"/>
      <c r="G352" s="191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/>
      <c r="C353" s="190"/>
      <c r="D353" s="190"/>
      <c r="E353" s="190"/>
      <c r="F353" s="190"/>
      <c r="G353" s="191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/>
      <c r="C354" s="190"/>
      <c r="D354" s="190"/>
      <c r="E354" s="190"/>
      <c r="F354" s="190"/>
      <c r="G354" s="191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/>
      <c r="C355" s="190"/>
      <c r="D355" s="190"/>
      <c r="E355" s="190"/>
      <c r="F355" s="190"/>
      <c r="G355" s="191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/>
      <c r="C356" s="190"/>
      <c r="D356" s="190"/>
      <c r="E356" s="190"/>
      <c r="F356" s="190"/>
      <c r="G356" s="191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/>
      <c r="C357" s="190"/>
      <c r="D357" s="190"/>
      <c r="E357" s="190"/>
      <c r="F357" s="190"/>
      <c r="G357" s="191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/>
      <c r="C358" s="190"/>
      <c r="D358" s="190"/>
      <c r="E358" s="190"/>
      <c r="F358" s="190"/>
      <c r="G358" s="191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/>
      <c r="C359" s="190"/>
      <c r="D359" s="190"/>
      <c r="E359" s="190"/>
      <c r="F359" s="190"/>
      <c r="G359" s="191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/>
      <c r="C360" s="190"/>
      <c r="D360" s="190"/>
      <c r="E360" s="190"/>
      <c r="F360" s="190"/>
      <c r="G360" s="191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/>
      <c r="C361" s="190"/>
      <c r="D361" s="190"/>
      <c r="E361" s="190"/>
      <c r="F361" s="190"/>
      <c r="G361" s="191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/>
      <c r="C362" s="190"/>
      <c r="D362" s="190"/>
      <c r="E362" s="190"/>
      <c r="F362" s="190"/>
      <c r="G362" s="191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/>
      <c r="C363" s="190"/>
      <c r="D363" s="190"/>
      <c r="E363" s="190"/>
      <c r="F363" s="190"/>
      <c r="G363" s="191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/>
      <c r="C364" s="190"/>
      <c r="D364" s="190"/>
      <c r="E364" s="190"/>
      <c r="F364" s="190"/>
      <c r="G364" s="191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/>
      <c r="C365" s="190"/>
      <c r="D365" s="190"/>
      <c r="E365" s="190"/>
      <c r="F365" s="190"/>
      <c r="G365" s="191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/>
      <c r="C366" s="190"/>
      <c r="D366" s="190"/>
      <c r="E366" s="190"/>
      <c r="F366" s="190"/>
      <c r="G366" s="191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/>
      <c r="C367" s="190"/>
      <c r="D367" s="190"/>
      <c r="E367" s="190"/>
      <c r="F367" s="190"/>
      <c r="G367" s="191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/>
      <c r="C368" s="190"/>
      <c r="D368" s="190"/>
      <c r="E368" s="190"/>
      <c r="F368" s="190"/>
      <c r="G368" s="191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/>
      <c r="C369" s="190"/>
      <c r="D369" s="190"/>
      <c r="E369" s="190"/>
      <c r="F369" s="190"/>
      <c r="G369" s="191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/>
      <c r="C370" s="190"/>
      <c r="D370" s="190"/>
      <c r="E370" s="190"/>
      <c r="F370" s="190"/>
      <c r="G370" s="191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/>
      <c r="C371" s="190"/>
      <c r="D371" s="190"/>
      <c r="E371" s="190"/>
      <c r="F371" s="190"/>
      <c r="G371" s="191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/>
      <c r="C372" s="190"/>
      <c r="D372" s="190"/>
      <c r="E372" s="190"/>
      <c r="F372" s="190"/>
      <c r="G372" s="191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/>
      <c r="C373" s="190"/>
      <c r="D373" s="190"/>
      <c r="E373" s="190"/>
      <c r="F373" s="190"/>
      <c r="G373" s="191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/>
      <c r="C374" s="190"/>
      <c r="D374" s="190"/>
      <c r="E374" s="190"/>
      <c r="F374" s="190"/>
      <c r="G374" s="191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/>
      <c r="C375" s="190"/>
      <c r="D375" s="190"/>
      <c r="E375" s="190"/>
      <c r="F375" s="190"/>
      <c r="G375" s="191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/>
      <c r="C376" s="190"/>
      <c r="D376" s="190"/>
      <c r="E376" s="190"/>
      <c r="F376" s="190"/>
      <c r="G376" s="191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/>
      <c r="C377" s="190"/>
      <c r="D377" s="190"/>
      <c r="E377" s="190"/>
      <c r="F377" s="190"/>
      <c r="G377" s="191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/>
      <c r="C378" s="190"/>
      <c r="D378" s="190"/>
      <c r="E378" s="190"/>
      <c r="F378" s="190"/>
      <c r="G378" s="19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/>
      <c r="C379" s="190"/>
      <c r="D379" s="190"/>
      <c r="E379" s="190"/>
      <c r="F379" s="190"/>
      <c r="G379" s="191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/>
      <c r="C380" s="190"/>
      <c r="D380" s="190"/>
      <c r="E380" s="190"/>
      <c r="F380" s="190"/>
      <c r="G380" s="191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/>
      <c r="C381" s="190"/>
      <c r="D381" s="190"/>
      <c r="E381" s="190"/>
      <c r="F381" s="190"/>
      <c r="G381" s="191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/>
      <c r="C382" s="190"/>
      <c r="D382" s="190"/>
      <c r="E382" s="190"/>
      <c r="F382" s="190"/>
      <c r="G382" s="191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/>
      <c r="C383" s="190"/>
      <c r="D383" s="190"/>
      <c r="E383" s="190"/>
      <c r="F383" s="190"/>
      <c r="G383" s="191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/>
      <c r="C384" s="190"/>
      <c r="D384" s="190"/>
      <c r="E384" s="190"/>
      <c r="F384" s="190"/>
      <c r="G384" s="191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/>
      <c r="C385" s="190"/>
      <c r="D385" s="190"/>
      <c r="E385" s="190"/>
      <c r="F385" s="190"/>
      <c r="G385" s="191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/>
      <c r="C386" s="190"/>
      <c r="D386" s="190"/>
      <c r="E386" s="190"/>
      <c r="F386" s="190"/>
      <c r="G386" s="191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/>
      <c r="C387" s="190"/>
      <c r="D387" s="190"/>
      <c r="E387" s="190"/>
      <c r="F387" s="190"/>
      <c r="G387" s="191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/>
      <c r="C388" s="190"/>
      <c r="D388" s="190"/>
      <c r="E388" s="190"/>
      <c r="F388" s="190"/>
      <c r="G388" s="191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/>
      <c r="C389" s="190"/>
      <c r="D389" s="190"/>
      <c r="E389" s="190"/>
      <c r="F389" s="190"/>
      <c r="G389" s="191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/>
      <c r="C390" s="190"/>
      <c r="D390" s="190"/>
      <c r="E390" s="190"/>
      <c r="F390" s="190"/>
      <c r="G390" s="191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/>
      <c r="C391" s="190"/>
      <c r="D391" s="190"/>
      <c r="E391" s="190"/>
      <c r="F391" s="190"/>
      <c r="G391" s="191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/>
      <c r="C392" s="190"/>
      <c r="D392" s="190"/>
      <c r="E392" s="190"/>
      <c r="F392" s="190"/>
      <c r="G392" s="191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/>
      <c r="C393" s="190"/>
      <c r="D393" s="190"/>
      <c r="E393" s="190"/>
      <c r="F393" s="190"/>
      <c r="G393" s="191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/>
      <c r="C394" s="190"/>
      <c r="D394" s="190"/>
      <c r="E394" s="190"/>
      <c r="F394" s="190"/>
      <c r="G394" s="191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/>
      <c r="C395" s="190"/>
      <c r="D395" s="190"/>
      <c r="E395" s="190"/>
      <c r="F395" s="190"/>
      <c r="G395" s="191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/>
      <c r="C396" s="190"/>
      <c r="D396" s="190"/>
      <c r="E396" s="190"/>
      <c r="F396" s="190"/>
      <c r="G396" s="191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/>
      <c r="C397" s="190"/>
      <c r="D397" s="190"/>
      <c r="E397" s="190"/>
      <c r="F397" s="190"/>
      <c r="G397" s="191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/>
      <c r="C398" s="190"/>
      <c r="D398" s="190"/>
      <c r="E398" s="190"/>
      <c r="F398" s="190"/>
      <c r="G398" s="191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/>
      <c r="C399" s="190"/>
      <c r="D399" s="190"/>
      <c r="E399" s="190"/>
      <c r="F399" s="190"/>
      <c r="G399" s="191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/>
      <c r="C400" s="190"/>
      <c r="D400" s="190"/>
      <c r="E400" s="190"/>
      <c r="F400" s="190"/>
      <c r="G400" s="191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/>
      <c r="C401" s="190"/>
      <c r="D401" s="190"/>
      <c r="E401" s="190"/>
      <c r="F401" s="190"/>
      <c r="G401" s="191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/>
      <c r="C402" s="190"/>
      <c r="D402" s="190"/>
      <c r="E402" s="190"/>
      <c r="F402" s="190"/>
      <c r="G402" s="191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/>
      <c r="C403" s="190"/>
      <c r="D403" s="190"/>
      <c r="E403" s="190"/>
      <c r="F403" s="190"/>
      <c r="G403" s="191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/>
      <c r="C404" s="190"/>
      <c r="D404" s="190"/>
      <c r="E404" s="190"/>
      <c r="F404" s="190"/>
      <c r="G404" s="191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/>
      <c r="C405" s="190"/>
      <c r="D405" s="190"/>
      <c r="E405" s="190"/>
      <c r="F405" s="190"/>
      <c r="G405" s="191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/>
      <c r="C406" s="190"/>
      <c r="D406" s="190"/>
      <c r="E406" s="190"/>
      <c r="F406" s="190"/>
      <c r="G406" s="191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/>
      <c r="C407" s="190"/>
      <c r="D407" s="190"/>
      <c r="E407" s="190"/>
      <c r="F407" s="190"/>
      <c r="G407" s="191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/>
      <c r="C408" s="190"/>
      <c r="D408" s="190"/>
      <c r="E408" s="190"/>
      <c r="F408" s="190"/>
      <c r="G408" s="191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/>
      <c r="C409" s="190"/>
      <c r="D409" s="190"/>
      <c r="E409" s="190"/>
      <c r="F409" s="190"/>
      <c r="G409" s="191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/>
      <c r="C410" s="190"/>
      <c r="D410" s="190"/>
      <c r="E410" s="190"/>
      <c r="F410" s="190"/>
      <c r="G410" s="191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/>
      <c r="C411" s="190"/>
      <c r="D411" s="190"/>
      <c r="E411" s="190"/>
      <c r="F411" s="190"/>
      <c r="G411" s="191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/>
      <c r="C412" s="190"/>
      <c r="D412" s="190"/>
      <c r="E412" s="190"/>
      <c r="F412" s="190"/>
      <c r="G412" s="191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/>
      <c r="C413" s="190"/>
      <c r="D413" s="190"/>
      <c r="E413" s="190"/>
      <c r="F413" s="190"/>
      <c r="G413" s="191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/>
      <c r="C414" s="190"/>
      <c r="D414" s="190"/>
      <c r="E414" s="190"/>
      <c r="F414" s="190"/>
      <c r="G414" s="191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/>
      <c r="C415" s="190"/>
      <c r="D415" s="190"/>
      <c r="E415" s="190"/>
      <c r="F415" s="190"/>
      <c r="G415" s="191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/>
      <c r="C416" s="190"/>
      <c r="D416" s="190"/>
      <c r="E416" s="190"/>
      <c r="F416" s="190"/>
      <c r="G416" s="191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/>
      <c r="C417" s="190"/>
      <c r="D417" s="190"/>
      <c r="E417" s="190"/>
      <c r="F417" s="190"/>
      <c r="G417" s="191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/>
      <c r="C418" s="190"/>
      <c r="D418" s="190"/>
      <c r="E418" s="190"/>
      <c r="F418" s="190"/>
      <c r="G418" s="191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/>
      <c r="C419" s="190"/>
      <c r="D419" s="190"/>
      <c r="E419" s="190"/>
      <c r="F419" s="190"/>
      <c r="G419" s="191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/>
      <c r="C420" s="190"/>
      <c r="D420" s="190"/>
      <c r="E420" s="190"/>
      <c r="F420" s="190"/>
      <c r="G420" s="191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/>
      <c r="C421" s="190"/>
      <c r="D421" s="190"/>
      <c r="E421" s="190"/>
      <c r="F421" s="190"/>
      <c r="G421" s="191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/>
      <c r="C422" s="190"/>
      <c r="D422" s="190"/>
      <c r="E422" s="190"/>
      <c r="F422" s="190"/>
      <c r="G422" s="191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/>
      <c r="C423" s="190"/>
      <c r="D423" s="190"/>
      <c r="E423" s="190"/>
      <c r="F423" s="190"/>
      <c r="G423" s="191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/>
      <c r="C424" s="190"/>
      <c r="D424" s="190"/>
      <c r="E424" s="190"/>
      <c r="F424" s="190"/>
      <c r="G424" s="191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/>
      <c r="C425" s="190"/>
      <c r="D425" s="190"/>
      <c r="E425" s="190"/>
      <c r="F425" s="190"/>
      <c r="G425" s="191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/>
      <c r="C426" s="190"/>
      <c r="D426" s="190"/>
      <c r="E426" s="190"/>
      <c r="F426" s="190"/>
      <c r="G426" s="191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/>
      <c r="C427" s="190"/>
      <c r="D427" s="190"/>
      <c r="E427" s="190"/>
      <c r="F427" s="190"/>
      <c r="G427" s="191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/>
      <c r="C428" s="190"/>
      <c r="D428" s="190"/>
      <c r="E428" s="190"/>
      <c r="F428" s="190"/>
      <c r="G428" s="191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/>
      <c r="C429" s="190"/>
      <c r="D429" s="190"/>
      <c r="E429" s="190"/>
      <c r="F429" s="190"/>
      <c r="G429" s="191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/>
      <c r="C430" s="190"/>
      <c r="D430" s="190"/>
      <c r="E430" s="190"/>
      <c r="F430" s="190"/>
      <c r="G430" s="191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/>
      <c r="C431" s="190"/>
      <c r="D431" s="190"/>
      <c r="E431" s="190"/>
      <c r="F431" s="190"/>
      <c r="G431" s="191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/>
      <c r="C432" s="190"/>
      <c r="D432" s="190"/>
      <c r="E432" s="190"/>
      <c r="F432" s="190"/>
      <c r="G432" s="191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/>
      <c r="C433" s="190"/>
      <c r="D433" s="190"/>
      <c r="E433" s="190"/>
      <c r="F433" s="190"/>
      <c r="G433" s="191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/>
      <c r="C434" s="190"/>
      <c r="D434" s="190"/>
      <c r="E434" s="190"/>
      <c r="F434" s="190"/>
      <c r="G434" s="191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/>
      <c r="C435" s="190"/>
      <c r="D435" s="190"/>
      <c r="E435" s="190"/>
      <c r="F435" s="190"/>
      <c r="G435" s="191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/>
      <c r="C436" s="190"/>
      <c r="D436" s="190"/>
      <c r="E436" s="190"/>
      <c r="F436" s="190"/>
      <c r="G436" s="191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/>
      <c r="C437" s="190"/>
      <c r="D437" s="190"/>
      <c r="E437" s="190"/>
      <c r="F437" s="190"/>
      <c r="G437" s="191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/>
      <c r="C438" s="190"/>
      <c r="D438" s="190"/>
      <c r="E438" s="190"/>
      <c r="F438" s="190"/>
      <c r="G438" s="191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/>
      <c r="C439" s="190"/>
      <c r="D439" s="190"/>
      <c r="E439" s="190"/>
      <c r="F439" s="190"/>
      <c r="G439" s="191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/>
      <c r="C440" s="190"/>
      <c r="D440" s="190"/>
      <c r="E440" s="190"/>
      <c r="F440" s="190"/>
      <c r="G440" s="191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/>
      <c r="C441" s="190"/>
      <c r="D441" s="190"/>
      <c r="E441" s="190"/>
      <c r="F441" s="190"/>
      <c r="G441" s="191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/>
      <c r="C442" s="190"/>
      <c r="D442" s="190"/>
      <c r="E442" s="190"/>
      <c r="F442" s="190"/>
      <c r="G442" s="191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/>
      <c r="C443" s="190"/>
      <c r="D443" s="190"/>
      <c r="E443" s="190"/>
      <c r="F443" s="190"/>
      <c r="G443" s="191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/>
      <c r="C444" s="190"/>
      <c r="D444" s="190"/>
      <c r="E444" s="190"/>
      <c r="F444" s="190"/>
      <c r="G444" s="191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/>
      <c r="C445" s="190"/>
      <c r="D445" s="190"/>
      <c r="E445" s="190"/>
      <c r="F445" s="190"/>
      <c r="G445" s="191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/>
      <c r="C446" s="190"/>
      <c r="D446" s="190"/>
      <c r="E446" s="190"/>
      <c r="F446" s="190"/>
      <c r="G446" s="191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/>
      <c r="C447" s="190"/>
      <c r="D447" s="190"/>
      <c r="E447" s="190"/>
      <c r="F447" s="190"/>
      <c r="G447" s="191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/>
      <c r="C448" s="190"/>
      <c r="D448" s="190"/>
      <c r="E448" s="190"/>
      <c r="F448" s="190"/>
      <c r="G448" s="191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/>
      <c r="C449" s="190"/>
      <c r="D449" s="190"/>
      <c r="E449" s="190"/>
      <c r="F449" s="190"/>
      <c r="G449" s="191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/>
      <c r="C450" s="190"/>
      <c r="D450" s="190"/>
      <c r="E450" s="190"/>
      <c r="F450" s="190"/>
      <c r="G450" s="191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/>
      <c r="C451" s="190"/>
      <c r="D451" s="190"/>
      <c r="E451" s="190"/>
      <c r="F451" s="190"/>
      <c r="G451" s="191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/>
      <c r="C452" s="190"/>
      <c r="D452" s="190"/>
      <c r="E452" s="190"/>
      <c r="F452" s="190"/>
      <c r="G452" s="191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/>
      <c r="C453" s="190"/>
      <c r="D453" s="190"/>
      <c r="E453" s="190"/>
      <c r="F453" s="190"/>
      <c r="G453" s="191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/>
      <c r="C454" s="190"/>
      <c r="D454" s="190"/>
      <c r="E454" s="190"/>
      <c r="F454" s="190"/>
      <c r="G454" s="191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/>
      <c r="C455" s="190"/>
      <c r="D455" s="190"/>
      <c r="E455" s="190"/>
      <c r="F455" s="190"/>
      <c r="G455" s="191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/>
      <c r="C456" s="190"/>
      <c r="D456" s="190"/>
      <c r="E456" s="190"/>
      <c r="F456" s="190"/>
      <c r="G456" s="191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/>
      <c r="C457" s="190"/>
      <c r="D457" s="190"/>
      <c r="E457" s="190"/>
      <c r="F457" s="190"/>
      <c r="G457" s="191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/>
      <c r="C458" s="190"/>
      <c r="D458" s="190"/>
      <c r="E458" s="190"/>
      <c r="F458" s="190"/>
      <c r="G458" s="191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/>
      <c r="C459" s="190"/>
      <c r="D459" s="190"/>
      <c r="E459" s="190"/>
      <c r="F459" s="190"/>
      <c r="G459" s="191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/>
      <c r="C460" s="190"/>
      <c r="D460" s="190"/>
      <c r="E460" s="190"/>
      <c r="F460" s="190"/>
      <c r="G460" s="191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/>
      <c r="C461" s="190"/>
      <c r="D461" s="190"/>
      <c r="E461" s="190"/>
      <c r="F461" s="190"/>
      <c r="G461" s="191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/>
      <c r="C462" s="190"/>
      <c r="D462" s="190"/>
      <c r="E462" s="190"/>
      <c r="F462" s="190"/>
      <c r="G462" s="191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/>
      <c r="C463" s="190"/>
      <c r="D463" s="190"/>
      <c r="E463" s="190"/>
      <c r="F463" s="190"/>
      <c r="G463" s="191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/>
      <c r="C464" s="190"/>
      <c r="D464" s="190"/>
      <c r="E464" s="190"/>
      <c r="F464" s="190"/>
      <c r="G464" s="191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/>
      <c r="C465" s="190"/>
      <c r="D465" s="190"/>
      <c r="E465" s="190"/>
      <c r="F465" s="190"/>
      <c r="G465" s="191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/>
      <c r="C466" s="190"/>
      <c r="D466" s="190"/>
      <c r="E466" s="190"/>
      <c r="F466" s="190"/>
      <c r="G466" s="191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/>
      <c r="C467" s="190"/>
      <c r="D467" s="190"/>
      <c r="E467" s="190"/>
      <c r="F467" s="190"/>
      <c r="G467" s="191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/>
      <c r="C468" s="190"/>
      <c r="D468" s="190"/>
      <c r="E468" s="190"/>
      <c r="F468" s="190"/>
      <c r="G468" s="191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/>
      <c r="C469" s="190"/>
      <c r="D469" s="190"/>
      <c r="E469" s="190"/>
      <c r="F469" s="190"/>
      <c r="G469" s="191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/>
      <c r="C470" s="190"/>
      <c r="D470" s="190"/>
      <c r="E470" s="190"/>
      <c r="F470" s="190"/>
      <c r="G470" s="191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/>
      <c r="C471" s="190"/>
      <c r="D471" s="190"/>
      <c r="E471" s="190"/>
      <c r="F471" s="190"/>
      <c r="G471" s="191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/>
      <c r="C472" s="190"/>
      <c r="D472" s="190"/>
      <c r="E472" s="190"/>
      <c r="F472" s="190"/>
      <c r="G472" s="191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/>
      <c r="C473" s="190"/>
      <c r="D473" s="190"/>
      <c r="E473" s="190"/>
      <c r="F473" s="190"/>
      <c r="G473" s="191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/>
      <c r="C474" s="190"/>
      <c r="D474" s="190"/>
      <c r="E474" s="190"/>
      <c r="F474" s="190"/>
      <c r="G474" s="191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/>
      <c r="C475" s="190"/>
      <c r="D475" s="190"/>
      <c r="E475" s="190"/>
      <c r="F475" s="190"/>
      <c r="G475" s="191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/>
      <c r="C476" s="190"/>
      <c r="D476" s="190"/>
      <c r="E476" s="190"/>
      <c r="F476" s="190"/>
      <c r="G476" s="191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/>
      <c r="C477" s="190"/>
      <c r="D477" s="190"/>
      <c r="E477" s="190"/>
      <c r="F477" s="190"/>
      <c r="G477" s="191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/>
      <c r="C478" s="190"/>
      <c r="D478" s="190"/>
      <c r="E478" s="190"/>
      <c r="F478" s="190"/>
      <c r="G478" s="191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/>
      <c r="C479" s="190"/>
      <c r="D479" s="190"/>
      <c r="E479" s="190"/>
      <c r="F479" s="190"/>
      <c r="G479" s="191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/>
      <c r="C480" s="190"/>
      <c r="D480" s="190"/>
      <c r="E480" s="190"/>
      <c r="F480" s="190"/>
      <c r="G480" s="191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/>
      <c r="C481" s="190"/>
      <c r="D481" s="190"/>
      <c r="E481" s="190"/>
      <c r="F481" s="190"/>
      <c r="G481" s="191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/>
      <c r="C482" s="190"/>
      <c r="D482" s="190"/>
      <c r="E482" s="190"/>
      <c r="F482" s="190"/>
      <c r="G482" s="191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/>
      <c r="C483" s="190"/>
      <c r="D483" s="190"/>
      <c r="E483" s="190"/>
      <c r="F483" s="190"/>
      <c r="G483" s="191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/>
      <c r="C484" s="190"/>
      <c r="D484" s="190"/>
      <c r="E484" s="190"/>
      <c r="F484" s="190"/>
      <c r="G484" s="191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/>
      <c r="C485" s="190"/>
      <c r="D485" s="190"/>
      <c r="E485" s="190"/>
      <c r="F485" s="190"/>
      <c r="G485" s="191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/>
      <c r="C486" s="190"/>
      <c r="D486" s="190"/>
      <c r="E486" s="190"/>
      <c r="F486" s="190"/>
      <c r="G486" s="191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/>
      <c r="C487" s="190"/>
      <c r="D487" s="190"/>
      <c r="E487" s="190"/>
      <c r="F487" s="190"/>
      <c r="G487" s="191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/>
      <c r="C488" s="190"/>
      <c r="D488" s="190"/>
      <c r="E488" s="190"/>
      <c r="F488" s="190"/>
      <c r="G488" s="191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/>
      <c r="C489" s="190"/>
      <c r="D489" s="190"/>
      <c r="E489" s="190"/>
      <c r="F489" s="190"/>
      <c r="G489" s="191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/>
      <c r="C490" s="190"/>
      <c r="D490" s="190"/>
      <c r="E490" s="190"/>
      <c r="F490" s="190"/>
      <c r="G490" s="191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/>
      <c r="C491" s="190"/>
      <c r="D491" s="190"/>
      <c r="E491" s="190"/>
      <c r="F491" s="190"/>
      <c r="G491" s="191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/>
      <c r="C492" s="190"/>
      <c r="D492" s="190"/>
      <c r="E492" s="190"/>
      <c r="F492" s="190"/>
      <c r="G492" s="191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/>
      <c r="C493" s="190"/>
      <c r="D493" s="190"/>
      <c r="E493" s="190"/>
      <c r="F493" s="190"/>
      <c r="G493" s="191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/>
      <c r="C494" s="190"/>
      <c r="D494" s="190"/>
      <c r="E494" s="190"/>
      <c r="F494" s="190"/>
      <c r="G494" s="191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/>
      <c r="C495" s="190"/>
      <c r="D495" s="190"/>
      <c r="E495" s="190"/>
      <c r="F495" s="190"/>
      <c r="G495" s="191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/>
      <c r="C496" s="190"/>
      <c r="D496" s="190"/>
      <c r="E496" s="190"/>
      <c r="F496" s="190"/>
      <c r="G496" s="191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/>
      <c r="C497" s="190"/>
      <c r="D497" s="190"/>
      <c r="E497" s="190"/>
      <c r="F497" s="190"/>
      <c r="G497" s="191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/>
      <c r="C498" s="190"/>
      <c r="D498" s="190"/>
      <c r="E498" s="190"/>
      <c r="F498" s="190"/>
      <c r="G498" s="191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/>
      <c r="C499" s="190"/>
      <c r="D499" s="190"/>
      <c r="E499" s="190"/>
      <c r="F499" s="190"/>
      <c r="G499" s="191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/>
      <c r="C500" s="190"/>
      <c r="D500" s="190"/>
      <c r="E500" s="190"/>
      <c r="F500" s="190"/>
      <c r="G500" s="191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/>
      <c r="C501" s="190"/>
      <c r="D501" s="190"/>
      <c r="E501" s="190"/>
      <c r="F501" s="190"/>
      <c r="G501" s="191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/>
      <c r="C502" s="190"/>
      <c r="D502" s="190"/>
      <c r="E502" s="190"/>
      <c r="F502" s="190"/>
      <c r="G502" s="191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/>
      <c r="C503" s="190"/>
      <c r="D503" s="190"/>
      <c r="E503" s="190"/>
      <c r="F503" s="190"/>
      <c r="G503" s="191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/>
      <c r="C504" s="190"/>
      <c r="D504" s="190"/>
      <c r="E504" s="190"/>
      <c r="F504" s="190"/>
      <c r="G504" s="191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/>
      <c r="C505" s="190"/>
      <c r="D505" s="190"/>
      <c r="E505" s="190"/>
      <c r="F505" s="190"/>
      <c r="G505" s="191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/>
      <c r="C506" s="190"/>
      <c r="D506" s="190"/>
      <c r="E506" s="190"/>
      <c r="F506" s="190"/>
      <c r="G506" s="191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/>
      <c r="C507" s="190"/>
      <c r="D507" s="190"/>
      <c r="E507" s="190"/>
      <c r="F507" s="190"/>
      <c r="G507" s="191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/>
      <c r="C508" s="190"/>
      <c r="D508" s="190"/>
      <c r="E508" s="190"/>
      <c r="F508" s="190"/>
      <c r="G508" s="191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/>
      <c r="C509" s="190"/>
      <c r="D509" s="190"/>
      <c r="E509" s="190"/>
      <c r="F509" s="190"/>
      <c r="G509" s="191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/>
      <c r="C510" s="190"/>
      <c r="D510" s="190"/>
      <c r="E510" s="190"/>
      <c r="F510" s="190"/>
      <c r="G510" s="191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/>
      <c r="C511" s="190"/>
      <c r="D511" s="190"/>
      <c r="E511" s="190"/>
      <c r="F511" s="190"/>
      <c r="G511" s="191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/>
      <c r="C512" s="190"/>
      <c r="D512" s="190"/>
      <c r="E512" s="190"/>
      <c r="F512" s="190"/>
      <c r="G512" s="191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/>
      <c r="C513" s="190"/>
      <c r="D513" s="190"/>
      <c r="E513" s="190"/>
      <c r="F513" s="190"/>
      <c r="G513" s="191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/>
      <c r="C514" s="190"/>
      <c r="D514" s="190"/>
      <c r="E514" s="190"/>
      <c r="F514" s="190"/>
      <c r="G514" s="191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/>
      <c r="C515" s="190"/>
      <c r="D515" s="190"/>
      <c r="E515" s="190"/>
      <c r="F515" s="190"/>
      <c r="G515" s="191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/>
      <c r="C516" s="190"/>
      <c r="D516" s="190"/>
      <c r="E516" s="190"/>
      <c r="F516" s="190"/>
      <c r="G516" s="191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/>
      <c r="C517" s="190"/>
      <c r="D517" s="190"/>
      <c r="E517" s="190"/>
      <c r="F517" s="190"/>
      <c r="G517" s="191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/>
      <c r="C518" s="190"/>
      <c r="D518" s="190"/>
      <c r="E518" s="190"/>
      <c r="F518" s="190"/>
      <c r="G518" s="191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/>
      <c r="C519" s="190"/>
      <c r="D519" s="190"/>
      <c r="E519" s="190"/>
      <c r="F519" s="190"/>
      <c r="G519" s="191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/>
      <c r="C520" s="190"/>
      <c r="D520" s="190"/>
      <c r="E520" s="190"/>
      <c r="F520" s="190"/>
      <c r="G520" s="191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/>
      <c r="C521" s="190"/>
      <c r="D521" s="190"/>
      <c r="E521" s="190"/>
      <c r="F521" s="190"/>
      <c r="G521" s="191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/>
      <c r="C522" s="190"/>
      <c r="D522" s="190"/>
      <c r="E522" s="190"/>
      <c r="F522" s="190"/>
      <c r="G522" s="191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/>
      <c r="C523" s="190"/>
      <c r="D523" s="190"/>
      <c r="E523" s="190"/>
      <c r="F523" s="190"/>
      <c r="G523" s="191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/>
      <c r="C524" s="190"/>
      <c r="D524" s="190"/>
      <c r="E524" s="190"/>
      <c r="F524" s="190"/>
      <c r="G524" s="191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/>
      <c r="C525" s="190"/>
      <c r="D525" s="190"/>
      <c r="E525" s="190"/>
      <c r="F525" s="190"/>
      <c r="G525" s="191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/>
      <c r="C526" s="190"/>
      <c r="D526" s="190"/>
      <c r="E526" s="190"/>
      <c r="F526" s="190"/>
      <c r="G526" s="191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/>
      <c r="C527" s="190"/>
      <c r="D527" s="190"/>
      <c r="E527" s="190"/>
      <c r="F527" s="190"/>
      <c r="G527" s="191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/>
      <c r="C528" s="190"/>
      <c r="D528" s="190"/>
      <c r="E528" s="190"/>
      <c r="F528" s="190"/>
      <c r="G528" s="191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/>
      <c r="C529" s="190"/>
      <c r="D529" s="190"/>
      <c r="E529" s="190"/>
      <c r="F529" s="190"/>
      <c r="G529" s="191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/>
      <c r="C530" s="190"/>
      <c r="D530" s="190"/>
      <c r="E530" s="190"/>
      <c r="F530" s="190"/>
      <c r="G530" s="191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/>
      <c r="C531" s="190"/>
      <c r="D531" s="190"/>
      <c r="E531" s="190"/>
      <c r="F531" s="190"/>
      <c r="G531" s="191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/>
      <c r="C532" s="190"/>
      <c r="D532" s="190"/>
      <c r="E532" s="190"/>
      <c r="F532" s="190"/>
      <c r="G532" s="191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/>
      <c r="C533" s="190"/>
      <c r="D533" s="190"/>
      <c r="E533" s="190"/>
      <c r="F533" s="190"/>
      <c r="G533" s="191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/>
      <c r="C534" s="190"/>
      <c r="D534" s="190"/>
      <c r="E534" s="190"/>
      <c r="F534" s="190"/>
      <c r="G534" s="191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/>
      <c r="C535" s="190"/>
      <c r="D535" s="190"/>
      <c r="E535" s="190"/>
      <c r="F535" s="190"/>
      <c r="G535" s="191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/>
      <c r="C536" s="190"/>
      <c r="D536" s="190"/>
      <c r="E536" s="190"/>
      <c r="F536" s="190"/>
      <c r="G536" s="191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/>
      <c r="C537" s="190"/>
      <c r="D537" s="190"/>
      <c r="E537" s="190"/>
      <c r="F537" s="190"/>
      <c r="G537" s="191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/>
      <c r="C538" s="190"/>
      <c r="D538" s="190"/>
      <c r="E538" s="190"/>
      <c r="F538" s="190"/>
      <c r="G538" s="191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/>
      <c r="C539" s="190"/>
      <c r="D539" s="190"/>
      <c r="E539" s="190"/>
      <c r="F539" s="190"/>
      <c r="G539" s="191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/>
      <c r="C540" s="190"/>
      <c r="D540" s="190"/>
      <c r="E540" s="190"/>
      <c r="F540" s="190"/>
      <c r="G540" s="191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/>
      <c r="C541" s="190"/>
      <c r="D541" s="190"/>
      <c r="E541" s="190"/>
      <c r="F541" s="190"/>
      <c r="G541" s="191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/>
      <c r="C542" s="190"/>
      <c r="D542" s="190"/>
      <c r="E542" s="190"/>
      <c r="F542" s="190"/>
      <c r="G542" s="191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/>
      <c r="C543" s="190"/>
      <c r="D543" s="190"/>
      <c r="E543" s="190"/>
      <c r="F543" s="190"/>
      <c r="G543" s="191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/>
      <c r="C544" s="190"/>
      <c r="D544" s="190"/>
      <c r="E544" s="190"/>
      <c r="F544" s="190"/>
      <c r="G544" s="191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/>
      <c r="C545" s="190"/>
      <c r="D545" s="190"/>
      <c r="E545" s="190"/>
      <c r="F545" s="190"/>
      <c r="G545" s="191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/>
      <c r="C546" s="190"/>
      <c r="D546" s="190"/>
      <c r="E546" s="190"/>
      <c r="F546" s="190"/>
      <c r="G546" s="191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/>
      <c r="C547" s="190"/>
      <c r="D547" s="190"/>
      <c r="E547" s="190"/>
      <c r="F547" s="190"/>
      <c r="G547" s="191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/>
      <c r="C548" s="190"/>
      <c r="D548" s="190"/>
      <c r="E548" s="190"/>
      <c r="F548" s="190"/>
      <c r="G548" s="191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/>
      <c r="C549" s="190"/>
      <c r="D549" s="190"/>
      <c r="E549" s="190"/>
      <c r="F549" s="190"/>
      <c r="G549" s="191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/>
      <c r="C550" s="190"/>
      <c r="D550" s="190"/>
      <c r="E550" s="190"/>
      <c r="F550" s="190"/>
      <c r="G550" s="191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/>
      <c r="C551" s="190"/>
      <c r="D551" s="190"/>
      <c r="E551" s="190"/>
      <c r="F551" s="190"/>
      <c r="G551" s="191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/>
      <c r="C552" s="190"/>
      <c r="D552" s="190"/>
      <c r="E552" s="190"/>
      <c r="F552" s="190"/>
      <c r="G552" s="191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/>
      <c r="C553" s="190"/>
      <c r="D553" s="190"/>
      <c r="E553" s="190"/>
      <c r="F553" s="190"/>
      <c r="G553" s="191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/>
      <c r="C554" s="190"/>
      <c r="D554" s="190"/>
      <c r="E554" s="190"/>
      <c r="F554" s="190"/>
      <c r="G554" s="191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/>
      <c r="C555" s="190"/>
      <c r="D555" s="190"/>
      <c r="E555" s="190"/>
      <c r="F555" s="190"/>
      <c r="G555" s="191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/>
      <c r="C556" s="190"/>
      <c r="D556" s="190"/>
      <c r="E556" s="190"/>
      <c r="F556" s="190"/>
      <c r="G556" s="191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/>
      <c r="C557" s="190"/>
      <c r="D557" s="190"/>
      <c r="E557" s="190"/>
      <c r="F557" s="190"/>
      <c r="G557" s="191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/>
      <c r="C558" s="190"/>
      <c r="D558" s="190"/>
      <c r="E558" s="190"/>
      <c r="F558" s="190"/>
      <c r="G558" s="191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/>
      <c r="C559" s="190"/>
      <c r="D559" s="190"/>
      <c r="E559" s="190"/>
      <c r="F559" s="190"/>
      <c r="G559" s="191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/>
      <c r="C560" s="190"/>
      <c r="D560" s="190"/>
      <c r="E560" s="190"/>
      <c r="F560" s="190"/>
      <c r="G560" s="191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/>
      <c r="C561" s="190"/>
      <c r="D561" s="190"/>
      <c r="E561" s="190"/>
      <c r="F561" s="190"/>
      <c r="G561" s="191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/>
      <c r="C562" s="190"/>
      <c r="D562" s="190"/>
      <c r="E562" s="190"/>
      <c r="F562" s="190"/>
      <c r="G562" s="191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/>
      <c r="C563" s="190"/>
      <c r="D563" s="190"/>
      <c r="E563" s="190"/>
      <c r="F563" s="190"/>
      <c r="G563" s="191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/>
      <c r="C564" s="190"/>
      <c r="D564" s="190"/>
      <c r="E564" s="190"/>
      <c r="F564" s="190"/>
      <c r="G564" s="191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/>
      <c r="C565" s="190"/>
      <c r="D565" s="190"/>
      <c r="E565" s="190"/>
      <c r="F565" s="190"/>
      <c r="G565" s="191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/>
      <c r="C566" s="190"/>
      <c r="D566" s="190"/>
      <c r="E566" s="190"/>
      <c r="F566" s="190"/>
      <c r="G566" s="191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/>
      <c r="C567" s="190"/>
      <c r="D567" s="190"/>
      <c r="E567" s="190"/>
      <c r="F567" s="190"/>
      <c r="G567" s="191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/>
      <c r="C568" s="190"/>
      <c r="D568" s="190"/>
      <c r="E568" s="190"/>
      <c r="F568" s="190"/>
      <c r="G568" s="191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/>
      <c r="C569" s="190"/>
      <c r="D569" s="190"/>
      <c r="E569" s="190"/>
      <c r="F569" s="190"/>
      <c r="G569" s="191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/>
      <c r="C570" s="190"/>
      <c r="D570" s="190"/>
      <c r="E570" s="190"/>
      <c r="F570" s="190"/>
      <c r="G570" s="191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/>
      <c r="C571" s="190"/>
      <c r="D571" s="190"/>
      <c r="E571" s="190"/>
      <c r="F571" s="190"/>
      <c r="G571" s="191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/>
      <c r="C572" s="190"/>
      <c r="D572" s="190"/>
      <c r="E572" s="190"/>
      <c r="F572" s="190"/>
      <c r="G572" s="191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/>
      <c r="C573" s="190"/>
      <c r="D573" s="190"/>
      <c r="E573" s="190"/>
      <c r="F573" s="190"/>
      <c r="G573" s="191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/>
      <c r="C574" s="190"/>
      <c r="D574" s="190"/>
      <c r="E574" s="190"/>
      <c r="F574" s="190"/>
      <c r="G574" s="191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/>
      <c r="C575" s="190"/>
      <c r="D575" s="190"/>
      <c r="E575" s="190"/>
      <c r="F575" s="190"/>
      <c r="G575" s="191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/>
      <c r="C576" s="190"/>
      <c r="D576" s="190"/>
      <c r="E576" s="190"/>
      <c r="F576" s="190"/>
      <c r="G576" s="191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/>
      <c r="C577" s="190"/>
      <c r="D577" s="190"/>
      <c r="E577" s="190"/>
      <c r="F577" s="190"/>
      <c r="G577" s="191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/>
      <c r="C578" s="190"/>
      <c r="D578" s="190"/>
      <c r="E578" s="190"/>
      <c r="F578" s="190"/>
      <c r="G578" s="191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/>
      <c r="C579" s="190"/>
      <c r="D579" s="190"/>
      <c r="E579" s="190"/>
      <c r="F579" s="190"/>
      <c r="G579" s="191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/>
      <c r="C580" s="190"/>
      <c r="D580" s="190"/>
      <c r="E580" s="190"/>
      <c r="F580" s="190"/>
      <c r="G580" s="191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/>
      <c r="C581" s="190"/>
      <c r="D581" s="190"/>
      <c r="E581" s="190"/>
      <c r="F581" s="190"/>
      <c r="G581" s="191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/>
      <c r="C582" s="190"/>
      <c r="D582" s="190"/>
      <c r="E582" s="190"/>
      <c r="F582" s="190"/>
      <c r="G582" s="191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/>
      <c r="C583" s="190"/>
      <c r="D583" s="190"/>
      <c r="E583" s="190"/>
      <c r="F583" s="190"/>
      <c r="G583" s="191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/>
      <c r="C584" s="190"/>
      <c r="D584" s="190"/>
      <c r="E584" s="190"/>
      <c r="F584" s="190"/>
      <c r="G584" s="191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/>
      <c r="C585" s="190"/>
      <c r="D585" s="190"/>
      <c r="E585" s="190"/>
      <c r="F585" s="190"/>
      <c r="G585" s="191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/>
      <c r="C586" s="190"/>
      <c r="D586" s="190"/>
      <c r="E586" s="190"/>
      <c r="F586" s="190"/>
      <c r="G586" s="191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/>
      <c r="C587" s="190"/>
      <c r="D587" s="190"/>
      <c r="E587" s="190"/>
      <c r="F587" s="190"/>
      <c r="G587" s="191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/>
      <c r="C588" s="190"/>
      <c r="D588" s="190"/>
      <c r="E588" s="190"/>
      <c r="F588" s="190"/>
      <c r="G588" s="191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/>
      <c r="C589" s="190"/>
      <c r="D589" s="190"/>
      <c r="E589" s="190"/>
      <c r="F589" s="190"/>
      <c r="G589" s="191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/>
      <c r="C590" s="190"/>
      <c r="D590" s="190"/>
      <c r="E590" s="190"/>
      <c r="F590" s="190"/>
      <c r="G590" s="191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/>
      <c r="C591" s="190"/>
      <c r="D591" s="190"/>
      <c r="E591" s="190"/>
      <c r="F591" s="190"/>
      <c r="G591" s="191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/>
      <c r="C592" s="190"/>
      <c r="D592" s="190"/>
      <c r="E592" s="190"/>
      <c r="F592" s="190"/>
      <c r="G592" s="191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/>
      <c r="C593" s="190"/>
      <c r="D593" s="190"/>
      <c r="E593" s="190"/>
      <c r="F593" s="190"/>
      <c r="G593" s="191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/>
      <c r="C594" s="190"/>
      <c r="D594" s="190"/>
      <c r="E594" s="190"/>
      <c r="F594" s="190"/>
      <c r="G594" s="191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/>
      <c r="C595" s="190"/>
      <c r="D595" s="190"/>
      <c r="E595" s="190"/>
      <c r="F595" s="190"/>
      <c r="G595" s="191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/>
      <c r="C596" s="190"/>
      <c r="D596" s="190"/>
      <c r="E596" s="190"/>
      <c r="F596" s="190"/>
      <c r="G596" s="191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/>
      <c r="C597" s="190"/>
      <c r="D597" s="190"/>
      <c r="E597" s="190"/>
      <c r="F597" s="190"/>
      <c r="G597" s="191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/>
      <c r="C598" s="190"/>
      <c r="D598" s="190"/>
      <c r="E598" s="190"/>
      <c r="F598" s="190"/>
      <c r="G598" s="191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/>
      <c r="C599" s="190"/>
      <c r="D599" s="190"/>
      <c r="E599" s="190"/>
      <c r="F599" s="190"/>
      <c r="G599" s="191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/>
      <c r="C600" s="190"/>
      <c r="D600" s="190"/>
      <c r="E600" s="190"/>
      <c r="F600" s="190"/>
      <c r="G600" s="191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/>
      <c r="C601" s="190"/>
      <c r="D601" s="190"/>
      <c r="E601" s="190"/>
      <c r="F601" s="190"/>
      <c r="G601" s="191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/>
      <c r="C602" s="190"/>
      <c r="D602" s="190"/>
      <c r="E602" s="190"/>
      <c r="F602" s="190"/>
      <c r="G602" s="191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/>
      <c r="C603" s="190"/>
      <c r="D603" s="190"/>
      <c r="E603" s="190"/>
      <c r="F603" s="190"/>
      <c r="G603" s="191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/>
      <c r="C604" s="190"/>
      <c r="D604" s="190"/>
      <c r="E604" s="190"/>
      <c r="F604" s="190"/>
      <c r="G604" s="191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/>
      <c r="C605" s="190"/>
      <c r="D605" s="190"/>
      <c r="E605" s="190"/>
      <c r="F605" s="190"/>
      <c r="G605" s="191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/>
      <c r="C606" s="190"/>
      <c r="D606" s="190"/>
      <c r="E606" s="190"/>
      <c r="F606" s="190"/>
      <c r="G606" s="191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/>
      <c r="C607" s="190"/>
      <c r="D607" s="190"/>
      <c r="E607" s="190"/>
      <c r="F607" s="190"/>
      <c r="G607" s="191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/>
      <c r="C608" s="190"/>
      <c r="D608" s="190"/>
      <c r="E608" s="190"/>
      <c r="F608" s="190"/>
      <c r="G608" s="191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/>
      <c r="C609" s="190"/>
      <c r="D609" s="190"/>
      <c r="E609" s="190"/>
      <c r="F609" s="190"/>
      <c r="G609" s="191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/>
      <c r="C610" s="190"/>
      <c r="D610" s="190"/>
      <c r="E610" s="190"/>
      <c r="F610" s="190"/>
      <c r="G610" s="191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/>
      <c r="C611" s="190"/>
      <c r="D611" s="190"/>
      <c r="E611" s="190"/>
      <c r="F611" s="190"/>
      <c r="G611" s="191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/>
      <c r="C612" s="190"/>
      <c r="D612" s="190"/>
      <c r="E612" s="190"/>
      <c r="F612" s="190"/>
      <c r="G612" s="191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/>
      <c r="C613" s="190"/>
      <c r="D613" s="190"/>
      <c r="E613" s="190"/>
      <c r="F613" s="190"/>
      <c r="G613" s="191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/>
      <c r="C614" s="190"/>
      <c r="D614" s="190"/>
      <c r="E614" s="190"/>
      <c r="F614" s="190"/>
      <c r="G614" s="191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/>
      <c r="C615" s="190"/>
      <c r="D615" s="190"/>
      <c r="E615" s="190"/>
      <c r="F615" s="190"/>
      <c r="G615" s="191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/>
      <c r="C616" s="190"/>
      <c r="D616" s="190"/>
      <c r="E616" s="190"/>
      <c r="F616" s="190"/>
      <c r="G616" s="191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/>
      <c r="C617" s="190"/>
      <c r="D617" s="190"/>
      <c r="E617" s="190"/>
      <c r="F617" s="190"/>
      <c r="G617" s="191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/>
      <c r="C618" s="190"/>
      <c r="D618" s="190"/>
      <c r="E618" s="190"/>
      <c r="F618" s="190"/>
      <c r="G618" s="191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/>
      <c r="C619" s="190"/>
      <c r="D619" s="190"/>
      <c r="E619" s="190"/>
      <c r="F619" s="190"/>
      <c r="G619" s="191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/>
      <c r="C620" s="190"/>
      <c r="D620" s="190"/>
      <c r="E620" s="190"/>
      <c r="F620" s="190"/>
      <c r="G620" s="191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/>
      <c r="C621" s="190"/>
      <c r="D621" s="190"/>
      <c r="E621" s="190"/>
      <c r="F621" s="190"/>
      <c r="G621" s="191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/>
      <c r="C622" s="190"/>
      <c r="D622" s="190"/>
      <c r="E622" s="190"/>
      <c r="F622" s="190"/>
      <c r="G622" s="191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/>
      <c r="C623" s="190"/>
      <c r="D623" s="190"/>
      <c r="E623" s="190"/>
      <c r="F623" s="190"/>
      <c r="G623" s="191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/>
      <c r="C624" s="190"/>
      <c r="D624" s="190"/>
      <c r="E624" s="190"/>
      <c r="F624" s="190"/>
      <c r="G624" s="191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/>
      <c r="C625" s="190"/>
      <c r="D625" s="190"/>
      <c r="E625" s="190"/>
      <c r="F625" s="190"/>
      <c r="G625" s="191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/>
      <c r="C626" s="190"/>
      <c r="D626" s="190"/>
      <c r="E626" s="190"/>
      <c r="F626" s="190"/>
      <c r="G626" s="191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/>
      <c r="C627" s="190"/>
      <c r="D627" s="190"/>
      <c r="E627" s="190"/>
      <c r="F627" s="190"/>
      <c r="G627" s="191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/>
      <c r="C628" s="190"/>
      <c r="D628" s="190"/>
      <c r="E628" s="190"/>
      <c r="F628" s="190"/>
      <c r="G628" s="191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/>
      <c r="C629" s="190"/>
      <c r="D629" s="190"/>
      <c r="E629" s="190"/>
      <c r="F629" s="190"/>
      <c r="G629" s="191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/>
      <c r="C630" s="190"/>
      <c r="D630" s="190"/>
      <c r="E630" s="190"/>
      <c r="F630" s="190"/>
      <c r="G630" s="191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/>
      <c r="C631" s="190"/>
      <c r="D631" s="190"/>
      <c r="E631" s="190"/>
      <c r="F631" s="190"/>
      <c r="G631" s="191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/>
      <c r="C632" s="190"/>
      <c r="D632" s="190"/>
      <c r="E632" s="190"/>
      <c r="F632" s="190"/>
      <c r="G632" s="191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/>
      <c r="C633" s="190"/>
      <c r="D633" s="190"/>
      <c r="E633" s="190"/>
      <c r="F633" s="190"/>
      <c r="G633" s="191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/>
      <c r="C634" s="190"/>
      <c r="D634" s="190"/>
      <c r="E634" s="190"/>
      <c r="F634" s="190"/>
      <c r="G634" s="191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/>
      <c r="C635" s="190"/>
      <c r="D635" s="190"/>
      <c r="E635" s="190"/>
      <c r="F635" s="190"/>
      <c r="G635" s="191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/>
      <c r="C636" s="190"/>
      <c r="D636" s="190"/>
      <c r="E636" s="190"/>
      <c r="F636" s="190"/>
      <c r="G636" s="191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/>
      <c r="C637" s="190"/>
      <c r="D637" s="190"/>
      <c r="E637" s="190"/>
      <c r="F637" s="190"/>
      <c r="G637" s="191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/>
      <c r="C638" s="190"/>
      <c r="D638" s="190"/>
      <c r="E638" s="190"/>
      <c r="F638" s="190"/>
      <c r="G638" s="191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/>
      <c r="C639" s="190"/>
      <c r="D639" s="190"/>
      <c r="E639" s="190"/>
      <c r="F639" s="190"/>
      <c r="G639" s="191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/>
      <c r="C640" s="190"/>
      <c r="D640" s="190"/>
      <c r="E640" s="190"/>
      <c r="F640" s="190"/>
      <c r="G640" s="191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/>
      <c r="C641" s="190"/>
      <c r="D641" s="190"/>
      <c r="E641" s="190"/>
      <c r="F641" s="190"/>
      <c r="G641" s="191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/>
      <c r="C642" s="190"/>
      <c r="D642" s="190"/>
      <c r="E642" s="190"/>
      <c r="F642" s="190"/>
      <c r="G642" s="191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/>
      <c r="C643" s="190"/>
      <c r="D643" s="190"/>
      <c r="E643" s="190"/>
      <c r="F643" s="190"/>
      <c r="G643" s="191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/>
      <c r="C644" s="190"/>
      <c r="D644" s="190"/>
      <c r="E644" s="190"/>
      <c r="F644" s="190"/>
      <c r="G644" s="191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/>
      <c r="C645" s="190"/>
      <c r="D645" s="190"/>
      <c r="E645" s="190"/>
      <c r="F645" s="190"/>
      <c r="G645" s="191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/>
      <c r="C646" s="190"/>
      <c r="D646" s="190"/>
      <c r="E646" s="190"/>
      <c r="F646" s="190"/>
      <c r="G646" s="191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/>
      <c r="C647" s="190"/>
      <c r="D647" s="190"/>
      <c r="E647" s="190"/>
      <c r="F647" s="190"/>
      <c r="G647" s="191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/>
      <c r="C648" s="190"/>
      <c r="D648" s="190"/>
      <c r="E648" s="190"/>
      <c r="F648" s="190"/>
      <c r="G648" s="191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/>
      <c r="C649" s="190"/>
      <c r="D649" s="190"/>
      <c r="E649" s="190"/>
      <c r="F649" s="190"/>
      <c r="G649" s="191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/>
      <c r="C650" s="190"/>
      <c r="D650" s="190"/>
      <c r="E650" s="190"/>
      <c r="F650" s="190"/>
      <c r="G650" s="191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/>
      <c r="C651" s="190"/>
      <c r="D651" s="190"/>
      <c r="E651" s="190"/>
      <c r="F651" s="190"/>
      <c r="G651" s="191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/>
      <c r="C652" s="190"/>
      <c r="D652" s="190"/>
      <c r="E652" s="190"/>
      <c r="F652" s="190"/>
      <c r="G652" s="191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/>
      <c r="C653" s="190"/>
      <c r="D653" s="190"/>
      <c r="E653" s="190"/>
      <c r="F653" s="190"/>
      <c r="G653" s="191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/>
      <c r="C654" s="190"/>
      <c r="D654" s="190"/>
      <c r="E654" s="190"/>
      <c r="F654" s="190"/>
      <c r="G654" s="191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/>
      <c r="C655" s="190"/>
      <c r="D655" s="190"/>
      <c r="E655" s="190"/>
      <c r="F655" s="190"/>
      <c r="G655" s="191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/>
      <c r="C656" s="190"/>
      <c r="D656" s="190"/>
      <c r="E656" s="190"/>
      <c r="F656" s="190"/>
      <c r="G656" s="191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/>
      <c r="C657" s="190"/>
      <c r="D657" s="190"/>
      <c r="E657" s="190"/>
      <c r="F657" s="190"/>
      <c r="G657" s="191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/>
      <c r="C658" s="190"/>
      <c r="D658" s="190"/>
      <c r="E658" s="190"/>
      <c r="F658" s="190"/>
      <c r="G658" s="191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/>
      <c r="C659" s="190"/>
      <c r="D659" s="190"/>
      <c r="E659" s="190"/>
      <c r="F659" s="190"/>
      <c r="G659" s="191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/>
      <c r="C660" s="190"/>
      <c r="D660" s="190"/>
      <c r="E660" s="190"/>
      <c r="F660" s="190"/>
      <c r="G660" s="191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/>
      <c r="C661" s="190"/>
      <c r="D661" s="190"/>
      <c r="E661" s="190"/>
      <c r="F661" s="190"/>
      <c r="G661" s="191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/>
      <c r="C662" s="190"/>
      <c r="D662" s="190"/>
      <c r="E662" s="190"/>
      <c r="F662" s="190"/>
      <c r="G662" s="191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/>
      <c r="C663" s="190"/>
      <c r="D663" s="190"/>
      <c r="E663" s="190"/>
      <c r="F663" s="190"/>
      <c r="G663" s="191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/>
      <c r="C664" s="190"/>
      <c r="D664" s="190"/>
      <c r="E664" s="190"/>
      <c r="F664" s="190"/>
      <c r="G664" s="191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/>
      <c r="C665" s="190"/>
      <c r="D665" s="190"/>
      <c r="E665" s="190"/>
      <c r="F665" s="190"/>
      <c r="G665" s="191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/>
      <c r="C666" s="190"/>
      <c r="D666" s="190"/>
      <c r="E666" s="190"/>
      <c r="F666" s="190"/>
      <c r="G666" s="191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/>
      <c r="C667" s="190"/>
      <c r="D667" s="190"/>
      <c r="E667" s="190"/>
      <c r="F667" s="190"/>
      <c r="G667" s="191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/>
      <c r="C668" s="190"/>
      <c r="D668" s="190"/>
      <c r="E668" s="190"/>
      <c r="F668" s="190"/>
      <c r="G668" s="191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/>
      <c r="C669" s="190"/>
      <c r="D669" s="190"/>
      <c r="E669" s="190"/>
      <c r="F669" s="190"/>
      <c r="G669" s="191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/>
      <c r="C670" s="190"/>
      <c r="D670" s="190"/>
      <c r="E670" s="190"/>
      <c r="F670" s="190"/>
      <c r="G670" s="191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/>
      <c r="C671" s="190"/>
      <c r="D671" s="190"/>
      <c r="E671" s="190"/>
      <c r="F671" s="190"/>
      <c r="G671" s="191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/>
      <c r="C672" s="190"/>
      <c r="D672" s="190"/>
      <c r="E672" s="190"/>
      <c r="F672" s="190"/>
      <c r="G672" s="191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/>
      <c r="C673" s="190"/>
      <c r="D673" s="190"/>
      <c r="E673" s="190"/>
      <c r="F673" s="190"/>
      <c r="G673" s="191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/>
      <c r="C674" s="190"/>
      <c r="D674" s="190"/>
      <c r="E674" s="190"/>
      <c r="F674" s="190"/>
      <c r="G674" s="191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/>
      <c r="C675" s="190"/>
      <c r="D675" s="190"/>
      <c r="E675" s="190"/>
      <c r="F675" s="190"/>
      <c r="G675" s="191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/>
      <c r="C676" s="190"/>
      <c r="D676" s="190"/>
      <c r="E676" s="190"/>
      <c r="F676" s="190"/>
      <c r="G676" s="191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/>
      <c r="C678" s="190"/>
      <c r="D678" s="190"/>
      <c r="E678" s="190"/>
      <c r="F678" s="190"/>
      <c r="G678" s="191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/>
      <c r="C679" s="190"/>
      <c r="D679" s="190"/>
      <c r="E679" s="190"/>
      <c r="F679" s="190"/>
      <c r="G679" s="191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/>
      <c r="C680" s="190"/>
      <c r="D680" s="190"/>
      <c r="E680" s="190"/>
      <c r="F680" s="190"/>
      <c r="G680" s="191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/>
      <c r="C681" s="190"/>
      <c r="D681" s="190"/>
      <c r="E681" s="190"/>
      <c r="F681" s="190"/>
      <c r="G681" s="191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/>
      <c r="C682" s="190"/>
      <c r="D682" s="190"/>
      <c r="E682" s="190"/>
      <c r="F682" s="190"/>
      <c r="G682" s="191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/>
      <c r="C683" s="190"/>
      <c r="D683" s="190"/>
      <c r="E683" s="190"/>
      <c r="F683" s="190"/>
      <c r="G683" s="191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/>
      <c r="C684" s="190"/>
      <c r="D684" s="190"/>
      <c r="E684" s="190"/>
      <c r="F684" s="190"/>
      <c r="G684" s="191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/>
      <c r="C685" s="190"/>
      <c r="D685" s="190"/>
      <c r="E685" s="190"/>
      <c r="F685" s="190"/>
      <c r="G685" s="191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/>
      <c r="C686" s="190"/>
      <c r="D686" s="190"/>
      <c r="E686" s="190"/>
      <c r="F686" s="190"/>
      <c r="G686" s="191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/>
      <c r="C687" s="190"/>
      <c r="D687" s="190"/>
      <c r="E687" s="190"/>
      <c r="F687" s="190"/>
      <c r="G687" s="191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/>
      <c r="C688" s="190"/>
      <c r="D688" s="190"/>
      <c r="E688" s="190"/>
      <c r="F688" s="190"/>
      <c r="G688" s="191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/>
      <c r="C689" s="190"/>
      <c r="D689" s="190"/>
      <c r="E689" s="190"/>
      <c r="F689" s="190"/>
      <c r="G689" s="191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/>
      <c r="C690" s="190"/>
      <c r="D690" s="190"/>
      <c r="E690" s="190"/>
      <c r="F690" s="190"/>
      <c r="G690" s="191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/>
      <c r="C691" s="190"/>
      <c r="D691" s="190"/>
      <c r="E691" s="190"/>
      <c r="F691" s="190"/>
      <c r="G691" s="191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/>
      <c r="C692" s="190"/>
      <c r="D692" s="190"/>
      <c r="E692" s="190"/>
      <c r="F692" s="190"/>
      <c r="G692" s="191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/>
      <c r="C693" s="190"/>
      <c r="D693" s="190"/>
      <c r="E693" s="190"/>
      <c r="F693" s="190"/>
      <c r="G693" s="191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/>
      <c r="C694" s="190"/>
      <c r="D694" s="190"/>
      <c r="E694" s="190"/>
      <c r="F694" s="190"/>
      <c r="G694" s="191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/>
      <c r="C695" s="190"/>
      <c r="D695" s="190"/>
      <c r="E695" s="190"/>
      <c r="F695" s="190"/>
      <c r="G695" s="191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/>
      <c r="C696" s="190"/>
      <c r="D696" s="190"/>
      <c r="E696" s="190"/>
      <c r="F696" s="190"/>
      <c r="G696" s="191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/>
      <c r="C697" s="190"/>
      <c r="D697" s="190"/>
      <c r="E697" s="190"/>
      <c r="F697" s="190"/>
      <c r="G697" s="191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/>
      <c r="C698" s="190"/>
      <c r="D698" s="190"/>
      <c r="E698" s="190"/>
      <c r="F698" s="190"/>
      <c r="G698" s="191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/>
      <c r="C699" s="190"/>
      <c r="D699" s="190"/>
      <c r="E699" s="190"/>
      <c r="F699" s="190"/>
      <c r="G699" s="191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/>
      <c r="C700" s="190"/>
      <c r="D700" s="190"/>
      <c r="E700" s="190"/>
      <c r="F700" s="190"/>
      <c r="G700" s="191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/>
      <c r="C701" s="190"/>
      <c r="D701" s="190"/>
      <c r="E701" s="190"/>
      <c r="F701" s="190"/>
      <c r="G701" s="191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/>
      <c r="C702" s="190"/>
      <c r="D702" s="190"/>
      <c r="E702" s="190"/>
      <c r="F702" s="190"/>
      <c r="G702" s="191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/>
      <c r="C703" s="190"/>
      <c r="D703" s="190"/>
      <c r="E703" s="190"/>
      <c r="F703" s="190"/>
      <c r="G703" s="191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/>
      <c r="C704" s="190"/>
      <c r="D704" s="190"/>
      <c r="E704" s="190"/>
      <c r="F704" s="190"/>
      <c r="G704" s="191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/>
      <c r="C705" s="190"/>
      <c r="D705" s="190"/>
      <c r="E705" s="190"/>
      <c r="F705" s="190"/>
      <c r="G705" s="191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/>
      <c r="C706" s="190"/>
      <c r="D706" s="190"/>
      <c r="E706" s="190"/>
      <c r="F706" s="190"/>
      <c r="G706" s="191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/>
      <c r="C707" s="190"/>
      <c r="D707" s="190"/>
      <c r="E707" s="190"/>
      <c r="F707" s="190"/>
      <c r="G707" s="191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/>
      <c r="C708" s="190"/>
      <c r="D708" s="190"/>
      <c r="E708" s="190"/>
      <c r="F708" s="190"/>
      <c r="G708" s="191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/>
      <c r="C709" s="190"/>
      <c r="D709" s="190"/>
      <c r="E709" s="190"/>
      <c r="F709" s="190"/>
      <c r="G709" s="191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/>
      <c r="C710" s="190"/>
      <c r="D710" s="190"/>
      <c r="E710" s="190"/>
      <c r="F710" s="190"/>
      <c r="G710" s="191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/>
      <c r="C711" s="190"/>
      <c r="D711" s="190"/>
      <c r="E711" s="190"/>
      <c r="F711" s="190"/>
      <c r="G711" s="191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/>
      <c r="C712" s="190"/>
      <c r="D712" s="190"/>
      <c r="E712" s="190"/>
      <c r="F712" s="190"/>
      <c r="G712" s="191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/>
      <c r="C713" s="190"/>
      <c r="D713" s="190"/>
      <c r="E713" s="190"/>
      <c r="F713" s="190"/>
      <c r="G713" s="191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/>
      <c r="C714" s="190"/>
      <c r="D714" s="190"/>
      <c r="E714" s="190"/>
      <c r="F714" s="190"/>
      <c r="G714" s="191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/>
      <c r="C715" s="190"/>
      <c r="D715" s="190"/>
      <c r="E715" s="190"/>
      <c r="F715" s="190"/>
      <c r="G715" s="191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/>
      <c r="C716" s="190"/>
      <c r="D716" s="190"/>
      <c r="E716" s="190"/>
      <c r="F716" s="190"/>
      <c r="G716" s="191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/>
      <c r="C717" s="190"/>
      <c r="D717" s="190"/>
      <c r="E717" s="190"/>
      <c r="F717" s="190"/>
      <c r="G717" s="191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/>
      <c r="C718" s="190"/>
      <c r="D718" s="190"/>
      <c r="E718" s="190"/>
      <c r="F718" s="190"/>
      <c r="G718" s="191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/>
      <c r="C719" s="190"/>
      <c r="D719" s="190"/>
      <c r="E719" s="190"/>
      <c r="F719" s="190"/>
      <c r="G719" s="191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/>
      <c r="C720" s="190"/>
      <c r="D720" s="190"/>
      <c r="E720" s="190"/>
      <c r="F720" s="190"/>
      <c r="G720" s="191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/>
      <c r="C721" s="190"/>
      <c r="D721" s="190"/>
      <c r="E721" s="190"/>
      <c r="F721" s="190"/>
      <c r="G721" s="191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/>
      <c r="C722" s="190"/>
      <c r="D722" s="190"/>
      <c r="E722" s="190"/>
      <c r="F722" s="190"/>
      <c r="G722" s="191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/>
      <c r="C723" s="190"/>
      <c r="D723" s="190"/>
      <c r="E723" s="190"/>
      <c r="F723" s="190"/>
      <c r="G723" s="191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/>
      <c r="C724" s="190"/>
      <c r="D724" s="190"/>
      <c r="E724" s="190"/>
      <c r="F724" s="190"/>
      <c r="G724" s="191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/>
      <c r="C725" s="190"/>
      <c r="D725" s="190"/>
      <c r="E725" s="190"/>
      <c r="F725" s="190"/>
      <c r="G725" s="191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/>
      <c r="C726" s="190"/>
      <c r="D726" s="190"/>
      <c r="E726" s="190"/>
      <c r="F726" s="190"/>
      <c r="G726" s="191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/>
      <c r="C727" s="190"/>
      <c r="D727" s="190"/>
      <c r="E727" s="190"/>
      <c r="F727" s="190"/>
      <c r="G727" s="191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/>
      <c r="C728" s="190"/>
      <c r="D728" s="190"/>
      <c r="E728" s="190"/>
      <c r="F728" s="190"/>
      <c r="G728" s="191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/>
      <c r="C729" s="190"/>
      <c r="D729" s="190"/>
      <c r="E729" s="190"/>
      <c r="F729" s="190"/>
      <c r="G729" s="191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/>
      <c r="C730" s="190"/>
      <c r="D730" s="190"/>
      <c r="E730" s="190"/>
      <c r="F730" s="190"/>
      <c r="G730" s="191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/>
      <c r="C731" s="190"/>
      <c r="D731" s="190"/>
      <c r="E731" s="190"/>
      <c r="F731" s="190"/>
      <c r="G731" s="191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/>
      <c r="C732" s="190"/>
      <c r="D732" s="190"/>
      <c r="E732" s="190"/>
      <c r="F732" s="190"/>
      <c r="G732" s="191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/>
      <c r="C733" s="190"/>
      <c r="D733" s="190"/>
      <c r="E733" s="190"/>
      <c r="F733" s="190"/>
      <c r="G733" s="191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/>
      <c r="C734" s="190"/>
      <c r="D734" s="190"/>
      <c r="E734" s="190"/>
      <c r="F734" s="190"/>
      <c r="G734" s="191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/>
      <c r="C735" s="190"/>
      <c r="D735" s="190"/>
      <c r="E735" s="190"/>
      <c r="F735" s="190"/>
      <c r="G735" s="191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/>
      <c r="C736" s="190"/>
      <c r="D736" s="190"/>
      <c r="E736" s="190"/>
      <c r="F736" s="190"/>
      <c r="G736" s="191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/>
      <c r="C737" s="190"/>
      <c r="D737" s="190"/>
      <c r="E737" s="190"/>
      <c r="F737" s="190"/>
      <c r="G737" s="191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/>
      <c r="C738" s="190"/>
      <c r="D738" s="190"/>
      <c r="E738" s="190"/>
      <c r="F738" s="190"/>
      <c r="G738" s="191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/>
      <c r="C739" s="190"/>
      <c r="D739" s="190"/>
      <c r="E739" s="190"/>
      <c r="F739" s="190"/>
      <c r="G739" s="191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/>
      <c r="C740" s="190"/>
      <c r="D740" s="190"/>
      <c r="E740" s="190"/>
      <c r="F740" s="190"/>
      <c r="G740" s="191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/>
      <c r="C741" s="190"/>
      <c r="D741" s="190"/>
      <c r="E741" s="190"/>
      <c r="F741" s="190"/>
      <c r="G741" s="191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/>
      <c r="C742" s="190"/>
      <c r="D742" s="190"/>
      <c r="E742" s="190"/>
      <c r="F742" s="190"/>
      <c r="G742" s="191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/>
      <c r="C743" s="190"/>
      <c r="D743" s="190"/>
      <c r="E743" s="190"/>
      <c r="F743" s="190"/>
      <c r="G743" s="191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/>
      <c r="C744" s="190"/>
      <c r="D744" s="190"/>
      <c r="E744" s="190"/>
      <c r="F744" s="190"/>
      <c r="G744" s="191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/>
      <c r="C745" s="190"/>
      <c r="D745" s="190"/>
      <c r="E745" s="190"/>
      <c r="F745" s="190"/>
      <c r="G745" s="191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/>
      <c r="C746" s="190"/>
      <c r="D746" s="190"/>
      <c r="E746" s="190"/>
      <c r="F746" s="190"/>
      <c r="G746" s="191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/>
      <c r="C747" s="190"/>
      <c r="D747" s="190"/>
      <c r="E747" s="190"/>
      <c r="F747" s="190"/>
      <c r="G747" s="191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/>
      <c r="C748" s="190"/>
      <c r="D748" s="190"/>
      <c r="E748" s="190"/>
      <c r="F748" s="190"/>
      <c r="G748" s="191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/>
      <c r="C749" s="190"/>
      <c r="D749" s="190"/>
      <c r="E749" s="190"/>
      <c r="F749" s="190"/>
      <c r="G749" s="191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/>
      <c r="C750" s="190"/>
      <c r="D750" s="190"/>
      <c r="E750" s="190"/>
      <c r="F750" s="190"/>
      <c r="G750" s="191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/>
      <c r="C751" s="190"/>
      <c r="D751" s="190"/>
      <c r="E751" s="190"/>
      <c r="F751" s="190"/>
      <c r="G751" s="191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/>
      <c r="C752" s="190"/>
      <c r="D752" s="190"/>
      <c r="E752" s="190"/>
      <c r="F752" s="190"/>
      <c r="G752" s="191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/>
      <c r="C753" s="190"/>
      <c r="D753" s="190"/>
      <c r="E753" s="190"/>
      <c r="F753" s="190"/>
      <c r="G753" s="191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156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104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IFERROR(__xludf.DUMMYFUNCTION("GOOGLEFINANCE(B16,""name"")"),"FUBON TWSE CORPORATE GOVERNANCE 100 ETF")</f>
        <v>FUBON TWSE CORPORATE GOVERNANCE 100 ETF</v>
      </c>
      <c r="H5" s="64"/>
      <c r="I5" s="64"/>
      <c r="J5" s="157"/>
      <c r="K5" s="64"/>
      <c r="L5" s="64"/>
      <c r="M5" s="64"/>
      <c r="N5" s="64"/>
      <c r="O5" s="201" t="s">
        <v>254</v>
      </c>
      <c r="P5" s="64"/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IFERROR(__xludf.DUMMYFUNCTION("GOOGLEFINANCE(B16,""price"")"),90.45)</f>
        <v>90.45</v>
      </c>
      <c r="D8" s="171">
        <f>IFERROR(__xludf.DUMMYFUNCTION("IFERROR(GOOGLEFINANCE(B16,""change""),""-"")"),3.2)</f>
        <v>3.2</v>
      </c>
      <c r="E8" s="172">
        <f>IFERROR(__xludf.DUMMYFUNCTION("IFERROR(GOOGLEFINANCE(B16,""changepct"")/100,""-"")"),0.036699999999999997)</f>
        <v>0.0367</v>
      </c>
      <c r="F8" s="64"/>
      <c r="G8" s="64"/>
      <c r="H8" s="64"/>
      <c r="I8" s="64"/>
      <c r="J8" s="202">
        <f>SUM(K26:K100)</f>
        <v>7500</v>
      </c>
      <c r="K8" s="203">
        <f>SUM(N26:N100)</f>
        <v>258743</v>
      </c>
      <c r="L8" s="175">
        <f>K8/J8</f>
        <v>34.49906667</v>
      </c>
      <c r="M8" s="64"/>
      <c r="N8" s="176" t="s">
        <v>163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 t="str">
        <f>IFERROR(__xludf.DUMMYFUNCTION("IFERROR(GOOGLEFINANCE(B16,""marketcap""),""-"")"),"-")</f>
        <v>-</v>
      </c>
      <c r="C12" s="181" t="str">
        <f>IFERROR(__xludf.DUMMYFUNCTION("IFERROR(GOOGLEFINANCE(B16,""pe""),""-"")"),"-")</f>
        <v>-</v>
      </c>
      <c r="D12" s="181" t="str">
        <f>IFERROR(__xludf.DUMMYFUNCTION("IFERROR(GOOGLEFINANCE(B16,""beta""),""-"")"),"-")</f>
        <v>-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255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TPE:00692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IFERROR(__xludf.DUMMYFUNCTION("""COMPUTED_VALUE"""),45076.5625)</f>
        <v>45076.5625</v>
      </c>
      <c r="C26" s="190">
        <f>IFERROR(__xludf.DUMMYFUNCTION("""COMPUTED_VALUE"""),31.56)</f>
        <v>31.56</v>
      </c>
      <c r="D26" s="190">
        <f>IFERROR(__xludf.DUMMYFUNCTION("""COMPUTED_VALUE"""),31.64)</f>
        <v>31.64</v>
      </c>
      <c r="E26" s="190">
        <f>IFERROR(__xludf.DUMMYFUNCTION("""COMPUTED_VALUE"""),31.47)</f>
        <v>31.47</v>
      </c>
      <c r="F26" s="190">
        <f>IFERROR(__xludf.DUMMYFUNCTION("""COMPUTED_VALUE"""),31.56)</f>
        <v>31.56</v>
      </c>
      <c r="G26" s="191">
        <f>IFERROR(__xludf.DUMMYFUNCTION("""COMPUTED_VALUE"""),2208747.0)</f>
        <v>2208747</v>
      </c>
      <c r="H26" s="112"/>
      <c r="I26" s="112"/>
      <c r="J26" s="192">
        <v>43879.0</v>
      </c>
      <c r="K26" s="204">
        <v>1000.0</v>
      </c>
      <c r="L26" s="194">
        <v>23.45</v>
      </c>
      <c r="M26" s="94">
        <v>20.0</v>
      </c>
      <c r="N26" s="112">
        <f t="shared" ref="N26:N41" si="1">K26*L26+M26</f>
        <v>23470</v>
      </c>
      <c r="O26" s="112">
        <f>N26/K26</f>
        <v>23.47</v>
      </c>
      <c r="P26" s="112"/>
      <c r="Q26" s="112"/>
      <c r="R26" s="112"/>
    </row>
    <row r="27" ht="17.25" customHeight="1">
      <c r="A27" s="112"/>
      <c r="B27" s="189">
        <f>IFERROR(__xludf.DUMMYFUNCTION("""COMPUTED_VALUE"""),45077.5625)</f>
        <v>45077.5625</v>
      </c>
      <c r="C27" s="190">
        <f>IFERROR(__xludf.DUMMYFUNCTION("""COMPUTED_VALUE"""),31.56)</f>
        <v>31.56</v>
      </c>
      <c r="D27" s="190">
        <f>IFERROR(__xludf.DUMMYFUNCTION("""COMPUTED_VALUE"""),31.56)</f>
        <v>31.56</v>
      </c>
      <c r="E27" s="190">
        <f>IFERROR(__xludf.DUMMYFUNCTION("""COMPUTED_VALUE"""),31.26)</f>
        <v>31.26</v>
      </c>
      <c r="F27" s="190">
        <f>IFERROR(__xludf.DUMMYFUNCTION("""COMPUTED_VALUE"""),31.46)</f>
        <v>31.46</v>
      </c>
      <c r="G27" s="191">
        <f>IFERROR(__xludf.DUMMYFUNCTION("""COMPUTED_VALUE"""),1203835.0)</f>
        <v>1203835</v>
      </c>
      <c r="H27" s="112"/>
      <c r="I27" s="112"/>
      <c r="J27" s="192">
        <v>44046.0</v>
      </c>
      <c r="K27" s="204">
        <v>1000.0</v>
      </c>
      <c r="L27" s="194">
        <v>26.18</v>
      </c>
      <c r="M27" s="94">
        <v>20.0</v>
      </c>
      <c r="N27" s="112">
        <f t="shared" si="1"/>
        <v>26200</v>
      </c>
      <c r="O27" s="196">
        <f t="shared" ref="O27:O41" si="2">SUM($N$26:N27)/SUM($K$26:K27)</f>
        <v>24.835</v>
      </c>
      <c r="P27" s="112"/>
      <c r="Q27" s="112"/>
      <c r="R27" s="112"/>
    </row>
    <row r="28" ht="17.25" customHeight="1">
      <c r="A28" s="112"/>
      <c r="B28" s="189">
        <f>IFERROR(__xludf.DUMMYFUNCTION("""COMPUTED_VALUE"""),45078.5625)</f>
        <v>45078.5625</v>
      </c>
      <c r="C28" s="190">
        <f>IFERROR(__xludf.DUMMYFUNCTION("""COMPUTED_VALUE"""),31.32)</f>
        <v>31.32</v>
      </c>
      <c r="D28" s="190">
        <f>IFERROR(__xludf.DUMMYFUNCTION("""COMPUTED_VALUE"""),31.35)</f>
        <v>31.35</v>
      </c>
      <c r="E28" s="190">
        <f>IFERROR(__xludf.DUMMYFUNCTION("""COMPUTED_VALUE"""),31.2)</f>
        <v>31.2</v>
      </c>
      <c r="F28" s="190">
        <f>IFERROR(__xludf.DUMMYFUNCTION("""COMPUTED_VALUE"""),31.28)</f>
        <v>31.28</v>
      </c>
      <c r="G28" s="191">
        <f>IFERROR(__xludf.DUMMYFUNCTION("""COMPUTED_VALUE"""),1665850.0)</f>
        <v>1665850</v>
      </c>
      <c r="H28" s="112"/>
      <c r="I28" s="112"/>
      <c r="J28" s="192">
        <v>44845.0</v>
      </c>
      <c r="K28" s="194">
        <v>500.0</v>
      </c>
      <c r="L28" s="194">
        <v>25.47</v>
      </c>
      <c r="M28" s="94">
        <v>20.0</v>
      </c>
      <c r="N28" s="112">
        <f t="shared" si="1"/>
        <v>12755</v>
      </c>
      <c r="O28" s="196">
        <f t="shared" si="2"/>
        <v>24.97</v>
      </c>
      <c r="P28" s="198"/>
      <c r="Q28" s="112"/>
      <c r="R28" s="112"/>
    </row>
    <row r="29" ht="17.25" customHeight="1">
      <c r="A29" s="112"/>
      <c r="B29" s="189">
        <f>IFERROR(__xludf.DUMMYFUNCTION("""COMPUTED_VALUE"""),45079.5625)</f>
        <v>45079.5625</v>
      </c>
      <c r="C29" s="190">
        <f>IFERROR(__xludf.DUMMYFUNCTION("""COMPUTED_VALUE"""),31.3)</f>
        <v>31.3</v>
      </c>
      <c r="D29" s="190">
        <f>IFERROR(__xludf.DUMMYFUNCTION("""COMPUTED_VALUE"""),31.72)</f>
        <v>31.72</v>
      </c>
      <c r="E29" s="190">
        <f>IFERROR(__xludf.DUMMYFUNCTION("""COMPUTED_VALUE"""),31.3)</f>
        <v>31.3</v>
      </c>
      <c r="F29" s="190">
        <f>IFERROR(__xludf.DUMMYFUNCTION("""COMPUTED_VALUE"""),31.66)</f>
        <v>31.66</v>
      </c>
      <c r="G29" s="191">
        <f>IFERROR(__xludf.DUMMYFUNCTION("""COMPUTED_VALUE"""),2381586.0)</f>
        <v>2381586</v>
      </c>
      <c r="H29" s="112"/>
      <c r="I29" s="112"/>
      <c r="J29" s="192">
        <v>45133.0</v>
      </c>
      <c r="K29" s="204">
        <v>500.0</v>
      </c>
      <c r="L29" s="194">
        <v>32.57</v>
      </c>
      <c r="M29" s="94">
        <v>20.0</v>
      </c>
      <c r="N29" s="112">
        <f t="shared" si="1"/>
        <v>16305</v>
      </c>
      <c r="O29" s="196">
        <f t="shared" si="2"/>
        <v>26.24333333</v>
      </c>
      <c r="P29" s="199"/>
      <c r="Q29" s="112"/>
      <c r="R29" s="112"/>
    </row>
    <row r="30" ht="17.25" customHeight="1">
      <c r="A30" s="112"/>
      <c r="B30" s="189">
        <f>IFERROR(__xludf.DUMMYFUNCTION("""COMPUTED_VALUE"""),45082.5625)</f>
        <v>45082.5625</v>
      </c>
      <c r="C30" s="190">
        <f>IFERROR(__xludf.DUMMYFUNCTION("""COMPUTED_VALUE"""),31.68)</f>
        <v>31.68</v>
      </c>
      <c r="D30" s="190">
        <f>IFERROR(__xludf.DUMMYFUNCTION("""COMPUTED_VALUE"""),31.7)</f>
        <v>31.7</v>
      </c>
      <c r="E30" s="190">
        <f>IFERROR(__xludf.DUMMYFUNCTION("""COMPUTED_VALUE"""),31.58)</f>
        <v>31.58</v>
      </c>
      <c r="F30" s="190">
        <f>IFERROR(__xludf.DUMMYFUNCTION("""COMPUTED_VALUE"""),31.59)</f>
        <v>31.59</v>
      </c>
      <c r="G30" s="191">
        <f>IFERROR(__xludf.DUMMYFUNCTION("""COMPUTED_VALUE"""),1782328.0)</f>
        <v>1782328</v>
      </c>
      <c r="H30" s="112"/>
      <c r="I30" s="112"/>
      <c r="J30" s="192">
        <v>45142.0</v>
      </c>
      <c r="K30" s="204">
        <v>500.0</v>
      </c>
      <c r="L30" s="194">
        <v>31.91</v>
      </c>
      <c r="M30" s="94">
        <v>12.0</v>
      </c>
      <c r="N30" s="112">
        <f t="shared" si="1"/>
        <v>15967</v>
      </c>
      <c r="O30" s="196">
        <f t="shared" si="2"/>
        <v>27.05628571</v>
      </c>
      <c r="P30" s="200"/>
      <c r="Q30" s="112"/>
      <c r="R30" s="112"/>
    </row>
    <row r="31" ht="17.25" customHeight="1">
      <c r="A31" s="112"/>
      <c r="B31" s="189">
        <f>IFERROR(__xludf.DUMMYFUNCTION("""COMPUTED_VALUE"""),45083.5625)</f>
        <v>45083.5625</v>
      </c>
      <c r="C31" s="190">
        <f>IFERROR(__xludf.DUMMYFUNCTION("""COMPUTED_VALUE"""),31.59)</f>
        <v>31.59</v>
      </c>
      <c r="D31" s="190">
        <f>IFERROR(__xludf.DUMMYFUNCTION("""COMPUTED_VALUE"""),31.86)</f>
        <v>31.86</v>
      </c>
      <c r="E31" s="190">
        <f>IFERROR(__xludf.DUMMYFUNCTION("""COMPUTED_VALUE"""),31.58)</f>
        <v>31.58</v>
      </c>
      <c r="F31" s="190">
        <f>IFERROR(__xludf.DUMMYFUNCTION("""COMPUTED_VALUE"""),31.8)</f>
        <v>31.8</v>
      </c>
      <c r="G31" s="191">
        <f>IFERROR(__xludf.DUMMYFUNCTION("""COMPUTED_VALUE"""),3119797.0)</f>
        <v>3119797</v>
      </c>
      <c r="H31" s="112"/>
      <c r="I31" s="112"/>
      <c r="J31" s="192">
        <v>45159.0</v>
      </c>
      <c r="K31" s="204">
        <v>500.0</v>
      </c>
      <c r="L31" s="194">
        <v>31.09</v>
      </c>
      <c r="M31" s="94">
        <v>12.0</v>
      </c>
      <c r="N31" s="112">
        <f t="shared" si="1"/>
        <v>15557</v>
      </c>
      <c r="O31" s="196">
        <f t="shared" si="2"/>
        <v>27.5635</v>
      </c>
      <c r="P31" s="198"/>
      <c r="Q31" s="112"/>
      <c r="R31" s="112"/>
    </row>
    <row r="32" ht="17.25" customHeight="1">
      <c r="A32" s="112"/>
      <c r="B32" s="189">
        <f>IFERROR(__xludf.DUMMYFUNCTION("""COMPUTED_VALUE"""),45084.5625)</f>
        <v>45084.5625</v>
      </c>
      <c r="C32" s="190">
        <f>IFERROR(__xludf.DUMMYFUNCTION("""COMPUTED_VALUE"""),31.84)</f>
        <v>31.84</v>
      </c>
      <c r="D32" s="190">
        <f>IFERROR(__xludf.DUMMYFUNCTION("""COMPUTED_VALUE"""),32.05)</f>
        <v>32.05</v>
      </c>
      <c r="E32" s="190">
        <f>IFERROR(__xludf.DUMMYFUNCTION("""COMPUTED_VALUE"""),31.82)</f>
        <v>31.82</v>
      </c>
      <c r="F32" s="190">
        <f>IFERROR(__xludf.DUMMYFUNCTION("""COMPUTED_VALUE"""),32.05)</f>
        <v>32.05</v>
      </c>
      <c r="G32" s="191">
        <f>IFERROR(__xludf.DUMMYFUNCTION("""COMPUTED_VALUE"""),2741304.0)</f>
        <v>2741304</v>
      </c>
      <c r="H32" s="112"/>
      <c r="I32" s="112"/>
      <c r="J32" s="192">
        <v>45499.0</v>
      </c>
      <c r="K32" s="204">
        <v>500.0</v>
      </c>
      <c r="L32" s="194">
        <v>42.05</v>
      </c>
      <c r="M32" s="94">
        <v>16.0</v>
      </c>
      <c r="N32" s="112">
        <f t="shared" si="1"/>
        <v>21041</v>
      </c>
      <c r="O32" s="196">
        <f t="shared" si="2"/>
        <v>29.17666667</v>
      </c>
      <c r="P32" s="198"/>
      <c r="Q32" s="112"/>
      <c r="R32" s="112"/>
    </row>
    <row r="33" ht="17.25" customHeight="1">
      <c r="A33" s="112"/>
      <c r="B33" s="189">
        <f>IFERROR(__xludf.DUMMYFUNCTION("""COMPUTED_VALUE"""),45085.5625)</f>
        <v>45085.5625</v>
      </c>
      <c r="C33" s="190">
        <f>IFERROR(__xludf.DUMMYFUNCTION("""COMPUTED_VALUE"""),32.03)</f>
        <v>32.03</v>
      </c>
      <c r="D33" s="190">
        <f>IFERROR(__xludf.DUMMYFUNCTION("""COMPUTED_VALUE"""),32.03)</f>
        <v>32.03</v>
      </c>
      <c r="E33" s="190">
        <f>IFERROR(__xludf.DUMMYFUNCTION("""COMPUTED_VALUE"""),31.63)</f>
        <v>31.63</v>
      </c>
      <c r="F33" s="190">
        <f>IFERROR(__xludf.DUMMYFUNCTION("""COMPUTED_VALUE"""),31.72)</f>
        <v>31.72</v>
      </c>
      <c r="G33" s="191">
        <f>IFERROR(__xludf.DUMMYFUNCTION("""COMPUTED_VALUE"""),2941389.0)</f>
        <v>2941389</v>
      </c>
      <c r="H33" s="112"/>
      <c r="I33" s="112"/>
      <c r="J33" s="192">
        <v>45506.0</v>
      </c>
      <c r="K33" s="204">
        <v>500.0</v>
      </c>
      <c r="L33" s="194">
        <v>42.02</v>
      </c>
      <c r="M33" s="94">
        <v>20.0</v>
      </c>
      <c r="N33" s="112">
        <f t="shared" si="1"/>
        <v>21030</v>
      </c>
      <c r="O33" s="196">
        <f t="shared" si="2"/>
        <v>30.465</v>
      </c>
      <c r="P33" s="112"/>
      <c r="Q33" s="112"/>
      <c r="R33" s="112"/>
    </row>
    <row r="34" ht="17.25" customHeight="1">
      <c r="A34" s="112"/>
      <c r="B34" s="189">
        <f>IFERROR(__xludf.DUMMYFUNCTION("""COMPUTED_VALUE"""),45086.5625)</f>
        <v>45086.5625</v>
      </c>
      <c r="C34" s="190">
        <f>IFERROR(__xludf.DUMMYFUNCTION("""COMPUTED_VALUE"""),31.82)</f>
        <v>31.82</v>
      </c>
      <c r="D34" s="190">
        <f>IFERROR(__xludf.DUMMYFUNCTION("""COMPUTED_VALUE"""),32.0)</f>
        <v>32</v>
      </c>
      <c r="E34" s="190">
        <f>IFERROR(__xludf.DUMMYFUNCTION("""COMPUTED_VALUE"""),31.8)</f>
        <v>31.8</v>
      </c>
      <c r="F34" s="190">
        <f>IFERROR(__xludf.DUMMYFUNCTION("""COMPUTED_VALUE"""),31.98)</f>
        <v>31.98</v>
      </c>
      <c r="G34" s="191">
        <f>IFERROR(__xludf.DUMMYFUNCTION("""COMPUTED_VALUE"""),1629907.0)</f>
        <v>1629907</v>
      </c>
      <c r="H34" s="112"/>
      <c r="I34" s="112"/>
      <c r="J34" s="192">
        <v>45509.0</v>
      </c>
      <c r="K34" s="204">
        <v>500.0</v>
      </c>
      <c r="L34" s="194">
        <v>39.0</v>
      </c>
      <c r="M34" s="94">
        <v>15.0</v>
      </c>
      <c r="N34" s="112">
        <f t="shared" si="1"/>
        <v>19515</v>
      </c>
      <c r="O34" s="196">
        <f t="shared" si="2"/>
        <v>31.24363636</v>
      </c>
      <c r="P34" s="112"/>
      <c r="Q34" s="112"/>
      <c r="R34" s="112"/>
    </row>
    <row r="35" ht="17.25" customHeight="1">
      <c r="A35" s="112"/>
      <c r="B35" s="189">
        <f>IFERROR(__xludf.DUMMYFUNCTION("""COMPUTED_VALUE"""),45089.5625)</f>
        <v>45089.5625</v>
      </c>
      <c r="C35" s="190">
        <f>IFERROR(__xludf.DUMMYFUNCTION("""COMPUTED_VALUE"""),32.02)</f>
        <v>32.02</v>
      </c>
      <c r="D35" s="190">
        <f>IFERROR(__xludf.DUMMYFUNCTION("""COMPUTED_VALUE"""),32.24)</f>
        <v>32.24</v>
      </c>
      <c r="E35" s="190">
        <f>IFERROR(__xludf.DUMMYFUNCTION("""COMPUTED_VALUE"""),32.02)</f>
        <v>32.02</v>
      </c>
      <c r="F35" s="190">
        <f>IFERROR(__xludf.DUMMYFUNCTION("""COMPUTED_VALUE"""),32.17)</f>
        <v>32.17</v>
      </c>
      <c r="G35" s="191">
        <f>IFERROR(__xludf.DUMMYFUNCTION("""COMPUTED_VALUE"""),1576598.0)</f>
        <v>1576598</v>
      </c>
      <c r="H35" s="112"/>
      <c r="I35" s="112"/>
      <c r="J35" s="192">
        <v>45539.0</v>
      </c>
      <c r="K35" s="204">
        <v>500.0</v>
      </c>
      <c r="L35" s="194">
        <v>40.43</v>
      </c>
      <c r="M35" s="94">
        <v>16.0</v>
      </c>
      <c r="N35" s="112">
        <f t="shared" si="1"/>
        <v>20231</v>
      </c>
      <c r="O35" s="196">
        <f t="shared" si="2"/>
        <v>32.01183333</v>
      </c>
      <c r="P35" s="112"/>
      <c r="Q35" s="112"/>
      <c r="R35" s="112"/>
    </row>
    <row r="36" ht="17.25" customHeight="1">
      <c r="A36" s="112"/>
      <c r="B36" s="189">
        <f>IFERROR(__xludf.DUMMYFUNCTION("""COMPUTED_VALUE"""),45090.5625)</f>
        <v>45090.5625</v>
      </c>
      <c r="C36" s="190">
        <f>IFERROR(__xludf.DUMMYFUNCTION("""COMPUTED_VALUE"""),32.41)</f>
        <v>32.41</v>
      </c>
      <c r="D36" s="190">
        <f>IFERROR(__xludf.DUMMYFUNCTION("""COMPUTED_VALUE"""),32.79)</f>
        <v>32.79</v>
      </c>
      <c r="E36" s="190">
        <f>IFERROR(__xludf.DUMMYFUNCTION("""COMPUTED_VALUE"""),32.41)</f>
        <v>32.41</v>
      </c>
      <c r="F36" s="190">
        <f>IFERROR(__xludf.DUMMYFUNCTION("""COMPUTED_VALUE"""),32.74)</f>
        <v>32.74</v>
      </c>
      <c r="G36" s="191">
        <f>IFERROR(__xludf.DUMMYFUNCTION("""COMPUTED_VALUE"""),9618461.0)</f>
        <v>9618461</v>
      </c>
      <c r="H36" s="112"/>
      <c r="I36" s="112"/>
      <c r="J36" s="192">
        <v>45597.0</v>
      </c>
      <c r="K36" s="194">
        <v>1000.0</v>
      </c>
      <c r="L36" s="194">
        <v>44.32</v>
      </c>
      <c r="M36" s="94">
        <v>35.0</v>
      </c>
      <c r="N36" s="112">
        <f t="shared" si="1"/>
        <v>44355</v>
      </c>
      <c r="O36" s="196">
        <f t="shared" si="2"/>
        <v>33.77514286</v>
      </c>
      <c r="P36" s="112"/>
      <c r="Q36" s="112"/>
      <c r="R36" s="112"/>
    </row>
    <row r="37" ht="17.25" customHeight="1">
      <c r="A37" s="112"/>
      <c r="B37" s="189">
        <f>IFERROR(__xludf.DUMMYFUNCTION("""COMPUTED_VALUE"""),45091.5625)</f>
        <v>45091.5625</v>
      </c>
      <c r="C37" s="190">
        <f>IFERROR(__xludf.DUMMYFUNCTION("""COMPUTED_VALUE"""),32.71)</f>
        <v>32.71</v>
      </c>
      <c r="D37" s="190">
        <f>IFERROR(__xludf.DUMMYFUNCTION("""COMPUTED_VALUE"""),32.78)</f>
        <v>32.78</v>
      </c>
      <c r="E37" s="190">
        <f>IFERROR(__xludf.DUMMYFUNCTION("""COMPUTED_VALUE"""),32.66)</f>
        <v>32.66</v>
      </c>
      <c r="F37" s="190">
        <f>IFERROR(__xludf.DUMMYFUNCTION("""COMPUTED_VALUE"""),32.76)</f>
        <v>32.76</v>
      </c>
      <c r="G37" s="191">
        <f>IFERROR(__xludf.DUMMYFUNCTION("""COMPUTED_VALUE"""),1877387.0)</f>
        <v>1877387</v>
      </c>
      <c r="H37" s="112"/>
      <c r="I37" s="112"/>
      <c r="J37" s="192">
        <v>45691.0</v>
      </c>
      <c r="K37" s="194">
        <v>500.0</v>
      </c>
      <c r="L37" s="194">
        <v>44.6</v>
      </c>
      <c r="M37" s="94">
        <v>17.0</v>
      </c>
      <c r="N37" s="112">
        <f t="shared" si="1"/>
        <v>22317</v>
      </c>
      <c r="O37" s="196">
        <f t="shared" si="2"/>
        <v>34.49906667</v>
      </c>
      <c r="P37" s="112"/>
      <c r="Q37" s="112"/>
      <c r="R37" s="112"/>
    </row>
    <row r="38" ht="17.25" customHeight="1">
      <c r="A38" s="112"/>
      <c r="B38" s="189">
        <f>IFERROR(__xludf.DUMMYFUNCTION("""COMPUTED_VALUE"""),45092.5625)</f>
        <v>45092.5625</v>
      </c>
      <c r="C38" s="190">
        <f>IFERROR(__xludf.DUMMYFUNCTION("""COMPUTED_VALUE"""),32.76)</f>
        <v>32.76</v>
      </c>
      <c r="D38" s="190">
        <f>IFERROR(__xludf.DUMMYFUNCTION("""COMPUTED_VALUE"""),33.0)</f>
        <v>33</v>
      </c>
      <c r="E38" s="190">
        <f>IFERROR(__xludf.DUMMYFUNCTION("""COMPUTED_VALUE"""),32.76)</f>
        <v>32.76</v>
      </c>
      <c r="F38" s="190">
        <f>IFERROR(__xludf.DUMMYFUNCTION("""COMPUTED_VALUE"""),32.92)</f>
        <v>32.92</v>
      </c>
      <c r="G38" s="191">
        <f>IFERROR(__xludf.DUMMYFUNCTION("""COMPUTED_VALUE"""),2224959.0)</f>
        <v>2224959</v>
      </c>
      <c r="H38" s="112"/>
      <c r="I38" s="112"/>
      <c r="J38" s="192"/>
      <c r="K38" s="204"/>
      <c r="L38" s="194"/>
      <c r="M38" s="94"/>
      <c r="N38" s="112">
        <f t="shared" si="1"/>
        <v>0</v>
      </c>
      <c r="O38" s="196">
        <f t="shared" si="2"/>
        <v>34.49906667</v>
      </c>
      <c r="P38" s="112"/>
      <c r="Q38" s="112"/>
      <c r="R38" s="112"/>
    </row>
    <row r="39" ht="17.25" customHeight="1">
      <c r="A39" s="112"/>
      <c r="B39" s="189">
        <f>IFERROR(__xludf.DUMMYFUNCTION("""COMPUTED_VALUE"""),45093.5625)</f>
        <v>45093.5625</v>
      </c>
      <c r="C39" s="190">
        <f>IFERROR(__xludf.DUMMYFUNCTION("""COMPUTED_VALUE"""),32.92)</f>
        <v>32.92</v>
      </c>
      <c r="D39" s="190">
        <f>IFERROR(__xludf.DUMMYFUNCTION("""COMPUTED_VALUE"""),32.94)</f>
        <v>32.94</v>
      </c>
      <c r="E39" s="190">
        <f>IFERROR(__xludf.DUMMYFUNCTION("""COMPUTED_VALUE"""),32.78)</f>
        <v>32.78</v>
      </c>
      <c r="F39" s="190">
        <f>IFERROR(__xludf.DUMMYFUNCTION("""COMPUTED_VALUE"""),32.89)</f>
        <v>32.89</v>
      </c>
      <c r="G39" s="191">
        <f>IFERROR(__xludf.DUMMYFUNCTION("""COMPUTED_VALUE"""),3125048.0)</f>
        <v>3125048</v>
      </c>
      <c r="H39" s="112"/>
      <c r="I39" s="112"/>
      <c r="J39" s="192"/>
      <c r="K39" s="204"/>
      <c r="L39" s="194"/>
      <c r="M39" s="94"/>
      <c r="N39" s="112">
        <f t="shared" si="1"/>
        <v>0</v>
      </c>
      <c r="O39" s="196">
        <f t="shared" si="2"/>
        <v>34.49906667</v>
      </c>
      <c r="P39" s="112"/>
      <c r="Q39" s="112"/>
      <c r="R39" s="112"/>
    </row>
    <row r="40" ht="17.25" customHeight="1">
      <c r="A40" s="112"/>
      <c r="B40" s="189">
        <f>IFERROR(__xludf.DUMMYFUNCTION("""COMPUTED_VALUE"""),45096.5625)</f>
        <v>45096.5625</v>
      </c>
      <c r="C40" s="190">
        <f>IFERROR(__xludf.DUMMYFUNCTION("""COMPUTED_VALUE"""),32.84)</f>
        <v>32.84</v>
      </c>
      <c r="D40" s="190">
        <f>IFERROR(__xludf.DUMMYFUNCTION("""COMPUTED_VALUE"""),32.89)</f>
        <v>32.89</v>
      </c>
      <c r="E40" s="190">
        <f>IFERROR(__xludf.DUMMYFUNCTION("""COMPUTED_VALUE"""),32.7)</f>
        <v>32.7</v>
      </c>
      <c r="F40" s="190">
        <f>IFERROR(__xludf.DUMMYFUNCTION("""COMPUTED_VALUE"""),32.85)</f>
        <v>32.85</v>
      </c>
      <c r="G40" s="191">
        <f>IFERROR(__xludf.DUMMYFUNCTION("""COMPUTED_VALUE"""),2242288.0)</f>
        <v>2242288</v>
      </c>
      <c r="H40" s="112"/>
      <c r="I40" s="112"/>
      <c r="J40" s="192"/>
      <c r="K40" s="204"/>
      <c r="L40" s="194"/>
      <c r="M40" s="94"/>
      <c r="N40" s="112">
        <f t="shared" si="1"/>
        <v>0</v>
      </c>
      <c r="O40" s="196">
        <f t="shared" si="2"/>
        <v>34.49906667</v>
      </c>
      <c r="P40" s="112"/>
      <c r="Q40" s="112"/>
      <c r="R40" s="112"/>
    </row>
    <row r="41" ht="17.25" customHeight="1">
      <c r="A41" s="112"/>
      <c r="B41" s="189">
        <f>IFERROR(__xludf.DUMMYFUNCTION("""COMPUTED_VALUE"""),45097.5625)</f>
        <v>45097.5625</v>
      </c>
      <c r="C41" s="190">
        <f>IFERROR(__xludf.DUMMYFUNCTION("""COMPUTED_VALUE"""),32.84)</f>
        <v>32.84</v>
      </c>
      <c r="D41" s="190">
        <f>IFERROR(__xludf.DUMMYFUNCTION("""COMPUTED_VALUE"""),32.84)</f>
        <v>32.84</v>
      </c>
      <c r="E41" s="190">
        <f>IFERROR(__xludf.DUMMYFUNCTION("""COMPUTED_VALUE"""),32.6)</f>
        <v>32.6</v>
      </c>
      <c r="F41" s="190">
        <f>IFERROR(__xludf.DUMMYFUNCTION("""COMPUTED_VALUE"""),32.71)</f>
        <v>32.71</v>
      </c>
      <c r="G41" s="191">
        <f>IFERROR(__xludf.DUMMYFUNCTION("""COMPUTED_VALUE"""),1494425.0)</f>
        <v>1494425</v>
      </c>
      <c r="H41" s="112"/>
      <c r="I41" s="112"/>
      <c r="J41" s="192">
        <f>TODAY()</f>
        <v>46172</v>
      </c>
      <c r="K41" s="194"/>
      <c r="L41" s="207">
        <f>B8</f>
        <v>90.45</v>
      </c>
      <c r="M41" s="94"/>
      <c r="N41" s="112">
        <f t="shared" si="1"/>
        <v>0</v>
      </c>
      <c r="O41" s="196">
        <f t="shared" si="2"/>
        <v>34.49906667</v>
      </c>
      <c r="P41" s="112"/>
      <c r="Q41" s="112"/>
      <c r="R41" s="112"/>
    </row>
    <row r="42" ht="17.25" customHeight="1">
      <c r="A42" s="112"/>
      <c r="B42" s="189">
        <f>IFERROR(__xludf.DUMMYFUNCTION("""COMPUTED_VALUE"""),45098.5625)</f>
        <v>45098.5625</v>
      </c>
      <c r="C42" s="190">
        <f>IFERROR(__xludf.DUMMYFUNCTION("""COMPUTED_VALUE"""),32.64)</f>
        <v>32.64</v>
      </c>
      <c r="D42" s="190">
        <f>IFERROR(__xludf.DUMMYFUNCTION("""COMPUTED_VALUE"""),32.82)</f>
        <v>32.82</v>
      </c>
      <c r="E42" s="190">
        <f>IFERROR(__xludf.DUMMYFUNCTION("""COMPUTED_VALUE"""),32.58)</f>
        <v>32.58</v>
      </c>
      <c r="F42" s="190">
        <f>IFERROR(__xludf.DUMMYFUNCTION("""COMPUTED_VALUE"""),32.75)</f>
        <v>32.75</v>
      </c>
      <c r="G42" s="191">
        <f>IFERROR(__xludf.DUMMYFUNCTION("""COMPUTED_VALUE"""),3248823.0)</f>
        <v>3248823</v>
      </c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</row>
    <row r="43" ht="17.25" customHeight="1">
      <c r="A43" s="112"/>
      <c r="B43" s="189">
        <f>IFERROR(__xludf.DUMMYFUNCTION("""COMPUTED_VALUE"""),45103.5625)</f>
        <v>45103.5625</v>
      </c>
      <c r="C43" s="190">
        <f>IFERROR(__xludf.DUMMYFUNCTION("""COMPUTED_VALUE"""),32.5)</f>
        <v>32.5</v>
      </c>
      <c r="D43" s="190">
        <f>IFERROR(__xludf.DUMMYFUNCTION("""COMPUTED_VALUE"""),32.65)</f>
        <v>32.65</v>
      </c>
      <c r="E43" s="190">
        <f>IFERROR(__xludf.DUMMYFUNCTION("""COMPUTED_VALUE"""),32.45)</f>
        <v>32.45</v>
      </c>
      <c r="F43" s="190">
        <f>IFERROR(__xludf.DUMMYFUNCTION("""COMPUTED_VALUE"""),32.56)</f>
        <v>32.56</v>
      </c>
      <c r="G43" s="191">
        <f>IFERROR(__xludf.DUMMYFUNCTION("""COMPUTED_VALUE"""),2750073.0)</f>
        <v>2750073</v>
      </c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</row>
    <row r="44" ht="17.25" customHeight="1">
      <c r="A44" s="112"/>
      <c r="B44" s="189">
        <f>IFERROR(__xludf.DUMMYFUNCTION("""COMPUTED_VALUE"""),45104.5625)</f>
        <v>45104.5625</v>
      </c>
      <c r="C44" s="190">
        <f>IFERROR(__xludf.DUMMYFUNCTION("""COMPUTED_VALUE"""),32.47)</f>
        <v>32.47</v>
      </c>
      <c r="D44" s="190">
        <f>IFERROR(__xludf.DUMMYFUNCTION("""COMPUTED_VALUE"""),32.5)</f>
        <v>32.5</v>
      </c>
      <c r="E44" s="190">
        <f>IFERROR(__xludf.DUMMYFUNCTION("""COMPUTED_VALUE"""),32.31)</f>
        <v>32.31</v>
      </c>
      <c r="F44" s="190">
        <f>IFERROR(__xludf.DUMMYFUNCTION("""COMPUTED_VALUE"""),32.34)</f>
        <v>32.34</v>
      </c>
      <c r="G44" s="191">
        <f>IFERROR(__xludf.DUMMYFUNCTION("""COMPUTED_VALUE"""),2113436.0)</f>
        <v>2113436</v>
      </c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</row>
    <row r="45" ht="17.25" customHeight="1">
      <c r="A45" s="112"/>
      <c r="B45" s="189">
        <f>IFERROR(__xludf.DUMMYFUNCTION("""COMPUTED_VALUE"""),45105.5625)</f>
        <v>45105.5625</v>
      </c>
      <c r="C45" s="190">
        <f>IFERROR(__xludf.DUMMYFUNCTION("""COMPUTED_VALUE"""),32.38)</f>
        <v>32.38</v>
      </c>
      <c r="D45" s="190">
        <f>IFERROR(__xludf.DUMMYFUNCTION("""COMPUTED_VALUE"""),32.47)</f>
        <v>32.47</v>
      </c>
      <c r="E45" s="190">
        <f>IFERROR(__xludf.DUMMYFUNCTION("""COMPUTED_VALUE"""),32.3)</f>
        <v>32.3</v>
      </c>
      <c r="F45" s="190">
        <f>IFERROR(__xludf.DUMMYFUNCTION("""COMPUTED_VALUE"""),32.36)</f>
        <v>32.36</v>
      </c>
      <c r="G45" s="191">
        <f>IFERROR(__xludf.DUMMYFUNCTION("""COMPUTED_VALUE"""),2899639.0)</f>
        <v>2899639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</row>
    <row r="46" ht="17.25" customHeight="1">
      <c r="A46" s="112"/>
      <c r="B46" s="189">
        <f>IFERROR(__xludf.DUMMYFUNCTION("""COMPUTED_VALUE"""),45106.5625)</f>
        <v>45106.5625</v>
      </c>
      <c r="C46" s="190">
        <f>IFERROR(__xludf.DUMMYFUNCTION("""COMPUTED_VALUE"""),32.55)</f>
        <v>32.55</v>
      </c>
      <c r="D46" s="190">
        <f>IFERROR(__xludf.DUMMYFUNCTION("""COMPUTED_VALUE"""),32.68)</f>
        <v>32.68</v>
      </c>
      <c r="E46" s="190">
        <f>IFERROR(__xludf.DUMMYFUNCTION("""COMPUTED_VALUE"""),32.32)</f>
        <v>32.32</v>
      </c>
      <c r="F46" s="190">
        <f>IFERROR(__xludf.DUMMYFUNCTION("""COMPUTED_VALUE"""),32.37)</f>
        <v>32.37</v>
      </c>
      <c r="G46" s="191">
        <f>IFERROR(__xludf.DUMMYFUNCTION("""COMPUTED_VALUE"""),3728493.0)</f>
        <v>3728493</v>
      </c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</row>
    <row r="47" ht="17.25" customHeight="1">
      <c r="A47" s="112"/>
      <c r="B47" s="189">
        <f>IFERROR(__xludf.DUMMYFUNCTION("""COMPUTED_VALUE"""),45107.5625)</f>
        <v>45107.5625</v>
      </c>
      <c r="C47" s="190">
        <f>IFERROR(__xludf.DUMMYFUNCTION("""COMPUTED_VALUE"""),32.37)</f>
        <v>32.37</v>
      </c>
      <c r="D47" s="190">
        <f>IFERROR(__xludf.DUMMYFUNCTION("""COMPUTED_VALUE"""),32.46)</f>
        <v>32.46</v>
      </c>
      <c r="E47" s="190">
        <f>IFERROR(__xludf.DUMMYFUNCTION("""COMPUTED_VALUE"""),32.25)</f>
        <v>32.25</v>
      </c>
      <c r="F47" s="190">
        <f>IFERROR(__xludf.DUMMYFUNCTION("""COMPUTED_VALUE"""),32.46)</f>
        <v>32.46</v>
      </c>
      <c r="G47" s="191">
        <f>IFERROR(__xludf.DUMMYFUNCTION("""COMPUTED_VALUE"""),2158609.0)</f>
        <v>2158609</v>
      </c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</row>
    <row r="48" ht="17.25" customHeight="1">
      <c r="A48" s="112"/>
      <c r="B48" s="189">
        <f>IFERROR(__xludf.DUMMYFUNCTION("""COMPUTED_VALUE"""),45110.5625)</f>
        <v>45110.5625</v>
      </c>
      <c r="C48" s="190">
        <f>IFERROR(__xludf.DUMMYFUNCTION("""COMPUTED_VALUE"""),32.52)</f>
        <v>32.52</v>
      </c>
      <c r="D48" s="190">
        <f>IFERROR(__xludf.DUMMYFUNCTION("""COMPUTED_VALUE"""),32.89)</f>
        <v>32.89</v>
      </c>
      <c r="E48" s="190">
        <f>IFERROR(__xludf.DUMMYFUNCTION("""COMPUTED_VALUE"""),32.52)</f>
        <v>32.52</v>
      </c>
      <c r="F48" s="190">
        <f>IFERROR(__xludf.DUMMYFUNCTION("""COMPUTED_VALUE"""),32.85)</f>
        <v>32.85</v>
      </c>
      <c r="G48" s="191">
        <f>IFERROR(__xludf.DUMMYFUNCTION("""COMPUTED_VALUE"""),2239965.0)</f>
        <v>2239965</v>
      </c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</row>
    <row r="49" ht="17.25" customHeight="1">
      <c r="A49" s="112"/>
      <c r="B49" s="189">
        <f>IFERROR(__xludf.DUMMYFUNCTION("""COMPUTED_VALUE"""),45111.5625)</f>
        <v>45111.5625</v>
      </c>
      <c r="C49" s="190">
        <f>IFERROR(__xludf.DUMMYFUNCTION("""COMPUTED_VALUE"""),32.9)</f>
        <v>32.9</v>
      </c>
      <c r="D49" s="190">
        <f>IFERROR(__xludf.DUMMYFUNCTION("""COMPUTED_VALUE"""),32.97)</f>
        <v>32.97</v>
      </c>
      <c r="E49" s="190">
        <f>IFERROR(__xludf.DUMMYFUNCTION("""COMPUTED_VALUE"""),32.8)</f>
        <v>32.8</v>
      </c>
      <c r="F49" s="190">
        <f>IFERROR(__xludf.DUMMYFUNCTION("""COMPUTED_VALUE"""),32.97)</f>
        <v>32.97</v>
      </c>
      <c r="G49" s="191">
        <f>IFERROR(__xludf.DUMMYFUNCTION("""COMPUTED_VALUE"""),2576274.0)</f>
        <v>2576274</v>
      </c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</row>
    <row r="50" ht="17.25" customHeight="1">
      <c r="A50" s="112"/>
      <c r="B50" s="189">
        <f>IFERROR(__xludf.DUMMYFUNCTION("""COMPUTED_VALUE"""),45112.5625)</f>
        <v>45112.5625</v>
      </c>
      <c r="C50" s="190">
        <f>IFERROR(__xludf.DUMMYFUNCTION("""COMPUTED_VALUE"""),32.97)</f>
        <v>32.97</v>
      </c>
      <c r="D50" s="190">
        <f>IFERROR(__xludf.DUMMYFUNCTION("""COMPUTED_VALUE"""),32.97)</f>
        <v>32.97</v>
      </c>
      <c r="E50" s="190">
        <f>IFERROR(__xludf.DUMMYFUNCTION("""COMPUTED_VALUE"""),32.74)</f>
        <v>32.74</v>
      </c>
      <c r="F50" s="190">
        <f>IFERROR(__xludf.DUMMYFUNCTION("""COMPUTED_VALUE"""),32.82)</f>
        <v>32.82</v>
      </c>
      <c r="G50" s="191">
        <f>IFERROR(__xludf.DUMMYFUNCTION("""COMPUTED_VALUE"""),1897359.0)</f>
        <v>1897359</v>
      </c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 ht="17.25" customHeight="1">
      <c r="A51" s="112"/>
      <c r="B51" s="189">
        <f>IFERROR(__xludf.DUMMYFUNCTION("""COMPUTED_VALUE"""),45113.5625)</f>
        <v>45113.5625</v>
      </c>
      <c r="C51" s="190">
        <f>IFERROR(__xludf.DUMMYFUNCTION("""COMPUTED_VALUE"""),32.53)</f>
        <v>32.53</v>
      </c>
      <c r="D51" s="190">
        <f>IFERROR(__xludf.DUMMYFUNCTION("""COMPUTED_VALUE"""),32.57)</f>
        <v>32.57</v>
      </c>
      <c r="E51" s="190">
        <f>IFERROR(__xludf.DUMMYFUNCTION("""COMPUTED_VALUE"""),32.19)</f>
        <v>32.19</v>
      </c>
      <c r="F51" s="190">
        <f>IFERROR(__xludf.DUMMYFUNCTION("""COMPUTED_VALUE"""),32.29)</f>
        <v>32.29</v>
      </c>
      <c r="G51" s="191">
        <f>IFERROR(__xludf.DUMMYFUNCTION("""COMPUTED_VALUE"""),5305953.0)</f>
        <v>5305953</v>
      </c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</row>
    <row r="52" ht="17.25" customHeight="1">
      <c r="A52" s="112"/>
      <c r="B52" s="189">
        <f>IFERROR(__xludf.DUMMYFUNCTION("""COMPUTED_VALUE"""),45114.5625)</f>
        <v>45114.5625</v>
      </c>
      <c r="C52" s="190">
        <f>IFERROR(__xludf.DUMMYFUNCTION("""COMPUTED_VALUE"""),32.02)</f>
        <v>32.02</v>
      </c>
      <c r="D52" s="190">
        <f>IFERROR(__xludf.DUMMYFUNCTION("""COMPUTED_VALUE"""),32.29)</f>
        <v>32.29</v>
      </c>
      <c r="E52" s="190">
        <f>IFERROR(__xludf.DUMMYFUNCTION("""COMPUTED_VALUE"""),32.0)</f>
        <v>32</v>
      </c>
      <c r="F52" s="190">
        <f>IFERROR(__xludf.DUMMYFUNCTION("""COMPUTED_VALUE"""),32.12)</f>
        <v>32.12</v>
      </c>
      <c r="G52" s="191">
        <f>IFERROR(__xludf.DUMMYFUNCTION("""COMPUTED_VALUE"""),2736816.0)</f>
        <v>2736816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 ht="17.25" customHeight="1">
      <c r="A53" s="112"/>
      <c r="B53" s="189">
        <f>IFERROR(__xludf.DUMMYFUNCTION("""COMPUTED_VALUE"""),45117.5625)</f>
        <v>45117.5625</v>
      </c>
      <c r="C53" s="190">
        <f>IFERROR(__xludf.DUMMYFUNCTION("""COMPUTED_VALUE"""),32.1)</f>
        <v>32.1</v>
      </c>
      <c r="D53" s="190">
        <f>IFERROR(__xludf.DUMMYFUNCTION("""COMPUTED_VALUE"""),32.35)</f>
        <v>32.35</v>
      </c>
      <c r="E53" s="190">
        <f>IFERROR(__xludf.DUMMYFUNCTION("""COMPUTED_VALUE"""),31.97)</f>
        <v>31.97</v>
      </c>
      <c r="F53" s="190">
        <f>IFERROR(__xludf.DUMMYFUNCTION("""COMPUTED_VALUE"""),32.08)</f>
        <v>32.08</v>
      </c>
      <c r="G53" s="191">
        <f>IFERROR(__xludf.DUMMYFUNCTION("""COMPUTED_VALUE"""),2796845.0)</f>
        <v>2796845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</row>
    <row r="54" ht="17.25" customHeight="1">
      <c r="A54" s="112"/>
      <c r="B54" s="189">
        <f>IFERROR(__xludf.DUMMYFUNCTION("""COMPUTED_VALUE"""),45118.5625)</f>
        <v>45118.5625</v>
      </c>
      <c r="C54" s="190">
        <f>IFERROR(__xludf.DUMMYFUNCTION("""COMPUTED_VALUE"""),32.34)</f>
        <v>32.34</v>
      </c>
      <c r="D54" s="190">
        <f>IFERROR(__xludf.DUMMYFUNCTION("""COMPUTED_VALUE"""),32.55)</f>
        <v>32.55</v>
      </c>
      <c r="E54" s="190">
        <f>IFERROR(__xludf.DUMMYFUNCTION("""COMPUTED_VALUE"""),32.33)</f>
        <v>32.33</v>
      </c>
      <c r="F54" s="190">
        <f>IFERROR(__xludf.DUMMYFUNCTION("""COMPUTED_VALUE"""),32.55)</f>
        <v>32.55</v>
      </c>
      <c r="G54" s="191">
        <f>IFERROR(__xludf.DUMMYFUNCTION("""COMPUTED_VALUE"""),1901212.0)</f>
        <v>1901212</v>
      </c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</row>
    <row r="55" ht="17.25" customHeight="1">
      <c r="A55" s="112"/>
      <c r="B55" s="189">
        <f>IFERROR(__xludf.DUMMYFUNCTION("""COMPUTED_VALUE"""),45119.5625)</f>
        <v>45119.5625</v>
      </c>
      <c r="C55" s="190">
        <f>IFERROR(__xludf.DUMMYFUNCTION("""COMPUTED_VALUE"""),32.56)</f>
        <v>32.56</v>
      </c>
      <c r="D55" s="190">
        <f>IFERROR(__xludf.DUMMYFUNCTION("""COMPUTED_VALUE"""),32.73)</f>
        <v>32.73</v>
      </c>
      <c r="E55" s="190">
        <f>IFERROR(__xludf.DUMMYFUNCTION("""COMPUTED_VALUE"""),32.48)</f>
        <v>32.48</v>
      </c>
      <c r="F55" s="190">
        <f>IFERROR(__xludf.DUMMYFUNCTION("""COMPUTED_VALUE"""),32.73)</f>
        <v>32.73</v>
      </c>
      <c r="G55" s="191">
        <f>IFERROR(__xludf.DUMMYFUNCTION("""COMPUTED_VALUE"""),3395907.0)</f>
        <v>3395907</v>
      </c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</row>
    <row r="56" ht="17.25" customHeight="1">
      <c r="A56" s="112"/>
      <c r="B56" s="189">
        <f>IFERROR(__xludf.DUMMYFUNCTION("""COMPUTED_VALUE"""),45120.5625)</f>
        <v>45120.5625</v>
      </c>
      <c r="C56" s="190">
        <f>IFERROR(__xludf.DUMMYFUNCTION("""COMPUTED_VALUE"""),32.92)</f>
        <v>32.92</v>
      </c>
      <c r="D56" s="190">
        <f>IFERROR(__xludf.DUMMYFUNCTION("""COMPUTED_VALUE"""),33.27)</f>
        <v>33.27</v>
      </c>
      <c r="E56" s="190">
        <f>IFERROR(__xludf.DUMMYFUNCTION("""COMPUTED_VALUE"""),32.92)</f>
        <v>32.92</v>
      </c>
      <c r="F56" s="190">
        <f>IFERROR(__xludf.DUMMYFUNCTION("""COMPUTED_VALUE"""),33.0)</f>
        <v>33</v>
      </c>
      <c r="G56" s="191">
        <f>IFERROR(__xludf.DUMMYFUNCTION("""COMPUTED_VALUE"""),3724538.0)</f>
        <v>3724538</v>
      </c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</row>
    <row r="57" ht="17.25" customHeight="1">
      <c r="A57" s="112"/>
      <c r="B57" s="189">
        <f>IFERROR(__xludf.DUMMYFUNCTION("""COMPUTED_VALUE"""),45121.5625)</f>
        <v>45121.5625</v>
      </c>
      <c r="C57" s="190">
        <f>IFERROR(__xludf.DUMMYFUNCTION("""COMPUTED_VALUE"""),33.07)</f>
        <v>33.07</v>
      </c>
      <c r="D57" s="190">
        <f>IFERROR(__xludf.DUMMYFUNCTION("""COMPUTED_VALUE"""),33.36)</f>
        <v>33.36</v>
      </c>
      <c r="E57" s="190">
        <f>IFERROR(__xludf.DUMMYFUNCTION("""COMPUTED_VALUE"""),33.07)</f>
        <v>33.07</v>
      </c>
      <c r="F57" s="190">
        <f>IFERROR(__xludf.DUMMYFUNCTION("""COMPUTED_VALUE"""),33.34)</f>
        <v>33.34</v>
      </c>
      <c r="G57" s="191">
        <f>IFERROR(__xludf.DUMMYFUNCTION("""COMPUTED_VALUE"""),3290354.0)</f>
        <v>3290354</v>
      </c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</row>
    <row r="58" ht="17.25" customHeight="1">
      <c r="A58" s="112"/>
      <c r="B58" s="189">
        <f>IFERROR(__xludf.DUMMYFUNCTION("""COMPUTED_VALUE"""),45124.5625)</f>
        <v>45124.5625</v>
      </c>
      <c r="C58" s="190">
        <f>IFERROR(__xludf.DUMMYFUNCTION("""COMPUTED_VALUE"""),33.33)</f>
        <v>33.33</v>
      </c>
      <c r="D58" s="190">
        <f>IFERROR(__xludf.DUMMYFUNCTION("""COMPUTED_VALUE"""),33.4)</f>
        <v>33.4</v>
      </c>
      <c r="E58" s="190">
        <f>IFERROR(__xludf.DUMMYFUNCTION("""COMPUTED_VALUE"""),33.23)</f>
        <v>33.23</v>
      </c>
      <c r="F58" s="190">
        <f>IFERROR(__xludf.DUMMYFUNCTION("""COMPUTED_VALUE"""),33.33)</f>
        <v>33.33</v>
      </c>
      <c r="G58" s="191">
        <f>IFERROR(__xludf.DUMMYFUNCTION("""COMPUTED_VALUE"""),3245081.0)</f>
        <v>3245081</v>
      </c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</row>
    <row r="59" ht="17.25" customHeight="1">
      <c r="A59" s="112"/>
      <c r="B59" s="189">
        <f>IFERROR(__xludf.DUMMYFUNCTION("""COMPUTED_VALUE"""),45125.5625)</f>
        <v>45125.5625</v>
      </c>
      <c r="C59" s="190">
        <f>IFERROR(__xludf.DUMMYFUNCTION("""COMPUTED_VALUE"""),33.0)</f>
        <v>33</v>
      </c>
      <c r="D59" s="190">
        <f>IFERROR(__xludf.DUMMYFUNCTION("""COMPUTED_VALUE"""),33.0)</f>
        <v>33</v>
      </c>
      <c r="E59" s="190">
        <f>IFERROR(__xludf.DUMMYFUNCTION("""COMPUTED_VALUE"""),32.43)</f>
        <v>32.43</v>
      </c>
      <c r="F59" s="190">
        <f>IFERROR(__xludf.DUMMYFUNCTION("""COMPUTED_VALUE"""),32.56)</f>
        <v>32.56</v>
      </c>
      <c r="G59" s="191">
        <f>IFERROR(__xludf.DUMMYFUNCTION("""COMPUTED_VALUE"""),2819990.0)</f>
        <v>2819990</v>
      </c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</row>
    <row r="60" ht="17.25" customHeight="1">
      <c r="A60" s="112"/>
      <c r="B60" s="189">
        <f>IFERROR(__xludf.DUMMYFUNCTION("""COMPUTED_VALUE"""),45126.5625)</f>
        <v>45126.5625</v>
      </c>
      <c r="C60" s="190">
        <f>IFERROR(__xludf.DUMMYFUNCTION("""COMPUTED_VALUE"""),32.6)</f>
        <v>32.6</v>
      </c>
      <c r="D60" s="190">
        <f>IFERROR(__xludf.DUMMYFUNCTION("""COMPUTED_VALUE"""),32.76)</f>
        <v>32.76</v>
      </c>
      <c r="E60" s="190">
        <f>IFERROR(__xludf.DUMMYFUNCTION("""COMPUTED_VALUE"""),32.33)</f>
        <v>32.33</v>
      </c>
      <c r="F60" s="190">
        <f>IFERROR(__xludf.DUMMYFUNCTION("""COMPUTED_VALUE"""),32.39)</f>
        <v>32.39</v>
      </c>
      <c r="G60" s="191">
        <f>IFERROR(__xludf.DUMMYFUNCTION("""COMPUTED_VALUE"""),3789764.0)</f>
        <v>3789764</v>
      </c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</row>
    <row r="61" ht="17.25" customHeight="1">
      <c r="A61" s="112"/>
      <c r="B61" s="189">
        <f>IFERROR(__xludf.DUMMYFUNCTION("""COMPUTED_VALUE"""),45127.5625)</f>
        <v>45127.5625</v>
      </c>
      <c r="C61" s="190">
        <f>IFERROR(__xludf.DUMMYFUNCTION("""COMPUTED_VALUE"""),32.39)</f>
        <v>32.39</v>
      </c>
      <c r="D61" s="190">
        <f>IFERROR(__xludf.DUMMYFUNCTION("""COMPUTED_VALUE"""),32.49)</f>
        <v>32.49</v>
      </c>
      <c r="E61" s="190">
        <f>IFERROR(__xludf.DUMMYFUNCTION("""COMPUTED_VALUE"""),32.34)</f>
        <v>32.34</v>
      </c>
      <c r="F61" s="190">
        <f>IFERROR(__xludf.DUMMYFUNCTION("""COMPUTED_VALUE"""),32.41)</f>
        <v>32.41</v>
      </c>
      <c r="G61" s="191">
        <f>IFERROR(__xludf.DUMMYFUNCTION("""COMPUTED_VALUE"""),1428001.0)</f>
        <v>1428001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</row>
    <row r="62" ht="17.25" customHeight="1">
      <c r="A62" s="112"/>
      <c r="B62" s="189">
        <f>IFERROR(__xludf.DUMMYFUNCTION("""COMPUTED_VALUE"""),45128.5625)</f>
        <v>45128.5625</v>
      </c>
      <c r="C62" s="190">
        <f>IFERROR(__xludf.DUMMYFUNCTION("""COMPUTED_VALUE"""),31.97)</f>
        <v>31.97</v>
      </c>
      <c r="D62" s="190">
        <f>IFERROR(__xludf.DUMMYFUNCTION("""COMPUTED_VALUE"""),32.14)</f>
        <v>32.14</v>
      </c>
      <c r="E62" s="190">
        <f>IFERROR(__xludf.DUMMYFUNCTION("""COMPUTED_VALUE"""),31.81)</f>
        <v>31.81</v>
      </c>
      <c r="F62" s="190">
        <f>IFERROR(__xludf.DUMMYFUNCTION("""COMPUTED_VALUE"""),32.1)</f>
        <v>32.1</v>
      </c>
      <c r="G62" s="191">
        <f>IFERROR(__xludf.DUMMYFUNCTION("""COMPUTED_VALUE"""),3344051.0)</f>
        <v>3344051</v>
      </c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</row>
    <row r="63" ht="17.25" customHeight="1">
      <c r="A63" s="112"/>
      <c r="B63" s="189">
        <f>IFERROR(__xludf.DUMMYFUNCTION("""COMPUTED_VALUE"""),45131.5625)</f>
        <v>45131.5625</v>
      </c>
      <c r="C63" s="190">
        <f>IFERROR(__xludf.DUMMYFUNCTION("""COMPUTED_VALUE"""),32.09)</f>
        <v>32.09</v>
      </c>
      <c r="D63" s="190">
        <f>IFERROR(__xludf.DUMMYFUNCTION("""COMPUTED_VALUE"""),32.23)</f>
        <v>32.23</v>
      </c>
      <c r="E63" s="190">
        <f>IFERROR(__xludf.DUMMYFUNCTION("""COMPUTED_VALUE"""),31.94)</f>
        <v>31.94</v>
      </c>
      <c r="F63" s="190">
        <f>IFERROR(__xludf.DUMMYFUNCTION("""COMPUTED_VALUE"""),32.19)</f>
        <v>32.19</v>
      </c>
      <c r="G63" s="191">
        <f>IFERROR(__xludf.DUMMYFUNCTION("""COMPUTED_VALUE"""),1578494.0)</f>
        <v>1578494</v>
      </c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</row>
    <row r="64" ht="17.25" customHeight="1">
      <c r="A64" s="112"/>
      <c r="B64" s="189">
        <f>IFERROR(__xludf.DUMMYFUNCTION("""COMPUTED_VALUE"""),45132.5625)</f>
        <v>45132.5625</v>
      </c>
      <c r="C64" s="190">
        <f>IFERROR(__xludf.DUMMYFUNCTION("""COMPUTED_VALUE"""),32.25)</f>
        <v>32.25</v>
      </c>
      <c r="D64" s="190">
        <f>IFERROR(__xludf.DUMMYFUNCTION("""COMPUTED_VALUE"""),32.56)</f>
        <v>32.56</v>
      </c>
      <c r="E64" s="190">
        <f>IFERROR(__xludf.DUMMYFUNCTION("""COMPUTED_VALUE"""),32.25)</f>
        <v>32.25</v>
      </c>
      <c r="F64" s="190">
        <f>IFERROR(__xludf.DUMMYFUNCTION("""COMPUTED_VALUE"""),32.48)</f>
        <v>32.48</v>
      </c>
      <c r="G64" s="191">
        <f>IFERROR(__xludf.DUMMYFUNCTION("""COMPUTED_VALUE"""),1787904.0)</f>
        <v>1787904</v>
      </c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</row>
    <row r="65" ht="17.25" customHeight="1">
      <c r="A65" s="112"/>
      <c r="B65" s="189">
        <f>IFERROR(__xludf.DUMMYFUNCTION("""COMPUTED_VALUE"""),45133.5625)</f>
        <v>45133.5625</v>
      </c>
      <c r="C65" s="190">
        <f>IFERROR(__xludf.DUMMYFUNCTION("""COMPUTED_VALUE"""),32.54)</f>
        <v>32.54</v>
      </c>
      <c r="D65" s="190">
        <f>IFERROR(__xludf.DUMMYFUNCTION("""COMPUTED_VALUE"""),32.58)</f>
        <v>32.58</v>
      </c>
      <c r="E65" s="190">
        <f>IFERROR(__xludf.DUMMYFUNCTION("""COMPUTED_VALUE"""),32.33)</f>
        <v>32.33</v>
      </c>
      <c r="F65" s="190">
        <f>IFERROR(__xludf.DUMMYFUNCTION("""COMPUTED_VALUE"""),32.41)</f>
        <v>32.41</v>
      </c>
      <c r="G65" s="191">
        <f>IFERROR(__xludf.DUMMYFUNCTION("""COMPUTED_VALUE"""),2208464.0)</f>
        <v>2208464</v>
      </c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</row>
    <row r="66" ht="17.25" customHeight="1">
      <c r="A66" s="112"/>
      <c r="B66" s="189">
        <f>IFERROR(__xludf.DUMMYFUNCTION("""COMPUTED_VALUE"""),45134.5625)</f>
        <v>45134.5625</v>
      </c>
      <c r="C66" s="190">
        <f>IFERROR(__xludf.DUMMYFUNCTION("""COMPUTED_VALUE"""),32.54)</f>
        <v>32.54</v>
      </c>
      <c r="D66" s="190">
        <f>IFERROR(__xludf.DUMMYFUNCTION("""COMPUTED_VALUE"""),32.63)</f>
        <v>32.63</v>
      </c>
      <c r="E66" s="190">
        <f>IFERROR(__xludf.DUMMYFUNCTION("""COMPUTED_VALUE"""),32.5)</f>
        <v>32.5</v>
      </c>
      <c r="F66" s="190">
        <f>IFERROR(__xludf.DUMMYFUNCTION("""COMPUTED_VALUE"""),32.56)</f>
        <v>32.56</v>
      </c>
      <c r="G66" s="191">
        <f>IFERROR(__xludf.DUMMYFUNCTION("""COMPUTED_VALUE"""),1476242.0)</f>
        <v>1476242</v>
      </c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</row>
    <row r="67" ht="17.25" customHeight="1">
      <c r="A67" s="112"/>
      <c r="B67" s="189">
        <f>IFERROR(__xludf.DUMMYFUNCTION("""COMPUTED_VALUE"""),45135.5625)</f>
        <v>45135.5625</v>
      </c>
      <c r="C67" s="190">
        <f>IFERROR(__xludf.DUMMYFUNCTION("""COMPUTED_VALUE"""),32.52)</f>
        <v>32.52</v>
      </c>
      <c r="D67" s="190">
        <f>IFERROR(__xludf.DUMMYFUNCTION("""COMPUTED_VALUE"""),32.7)</f>
        <v>32.7</v>
      </c>
      <c r="E67" s="190">
        <f>IFERROR(__xludf.DUMMYFUNCTION("""COMPUTED_VALUE"""),32.42)</f>
        <v>32.42</v>
      </c>
      <c r="F67" s="190">
        <f>IFERROR(__xludf.DUMMYFUNCTION("""COMPUTED_VALUE"""),32.6)</f>
        <v>32.6</v>
      </c>
      <c r="G67" s="191">
        <f>IFERROR(__xludf.DUMMYFUNCTION("""COMPUTED_VALUE"""),1826314.0)</f>
        <v>1826314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</row>
    <row r="68" ht="17.25" customHeight="1">
      <c r="A68" s="112"/>
      <c r="B68" s="189">
        <f>IFERROR(__xludf.DUMMYFUNCTION("""COMPUTED_VALUE"""),45138.5625)</f>
        <v>45138.5625</v>
      </c>
      <c r="C68" s="190">
        <f>IFERROR(__xludf.DUMMYFUNCTION("""COMPUTED_VALUE"""),32.82)</f>
        <v>32.82</v>
      </c>
      <c r="D68" s="190">
        <f>IFERROR(__xludf.DUMMYFUNCTION("""COMPUTED_VALUE"""),32.9)</f>
        <v>32.9</v>
      </c>
      <c r="E68" s="190">
        <f>IFERROR(__xludf.DUMMYFUNCTION("""COMPUTED_VALUE"""),32.22)</f>
        <v>32.22</v>
      </c>
      <c r="F68" s="190">
        <f>IFERROR(__xludf.DUMMYFUNCTION("""COMPUTED_VALUE"""),32.3)</f>
        <v>32.3</v>
      </c>
      <c r="G68" s="191">
        <f>IFERROR(__xludf.DUMMYFUNCTION("""COMPUTED_VALUE"""),2240619.0)</f>
        <v>2240619</v>
      </c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</row>
    <row r="69" ht="17.25" customHeight="1">
      <c r="A69" s="112"/>
      <c r="B69" s="189">
        <f>IFERROR(__xludf.DUMMYFUNCTION("""COMPUTED_VALUE"""),45139.5625)</f>
        <v>45139.5625</v>
      </c>
      <c r="C69" s="190">
        <f>IFERROR(__xludf.DUMMYFUNCTION("""COMPUTED_VALUE"""),32.37)</f>
        <v>32.37</v>
      </c>
      <c r="D69" s="190">
        <f>IFERROR(__xludf.DUMMYFUNCTION("""COMPUTED_VALUE"""),32.51)</f>
        <v>32.51</v>
      </c>
      <c r="E69" s="190">
        <f>IFERROR(__xludf.DUMMYFUNCTION("""COMPUTED_VALUE"""),32.31)</f>
        <v>32.31</v>
      </c>
      <c r="F69" s="190">
        <f>IFERROR(__xludf.DUMMYFUNCTION("""COMPUTED_VALUE"""),32.49)</f>
        <v>32.49</v>
      </c>
      <c r="G69" s="191">
        <f>IFERROR(__xludf.DUMMYFUNCTION("""COMPUTED_VALUE"""),1679011.0)</f>
        <v>1679011</v>
      </c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</row>
    <row r="70" ht="17.25" customHeight="1">
      <c r="A70" s="112"/>
      <c r="B70" s="189">
        <f>IFERROR(__xludf.DUMMYFUNCTION("""COMPUTED_VALUE"""),45140.5625)</f>
        <v>45140.5625</v>
      </c>
      <c r="C70" s="190">
        <f>IFERROR(__xludf.DUMMYFUNCTION("""COMPUTED_VALUE"""),32.49)</f>
        <v>32.49</v>
      </c>
      <c r="D70" s="190">
        <f>IFERROR(__xludf.DUMMYFUNCTION("""COMPUTED_VALUE"""),32.49)</f>
        <v>32.49</v>
      </c>
      <c r="E70" s="190">
        <f>IFERROR(__xludf.DUMMYFUNCTION("""COMPUTED_VALUE"""),31.92)</f>
        <v>31.92</v>
      </c>
      <c r="F70" s="190">
        <f>IFERROR(__xludf.DUMMYFUNCTION("""COMPUTED_VALUE"""),32.0)</f>
        <v>32</v>
      </c>
      <c r="G70" s="191">
        <f>IFERROR(__xludf.DUMMYFUNCTION("""COMPUTED_VALUE"""),4285216.0)</f>
        <v>4285216</v>
      </c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</row>
    <row r="71" ht="17.25" customHeight="1">
      <c r="A71" s="112"/>
      <c r="B71" s="189">
        <f>IFERROR(__xludf.DUMMYFUNCTION("""COMPUTED_VALUE"""),45142.5625)</f>
        <v>45142.5625</v>
      </c>
      <c r="C71" s="190">
        <f>IFERROR(__xludf.DUMMYFUNCTION("""COMPUTED_VALUE"""),31.9)</f>
        <v>31.9</v>
      </c>
      <c r="D71" s="190">
        <f>IFERROR(__xludf.DUMMYFUNCTION("""COMPUTED_VALUE"""),31.95)</f>
        <v>31.95</v>
      </c>
      <c r="E71" s="190">
        <f>IFERROR(__xludf.DUMMYFUNCTION("""COMPUTED_VALUE"""),31.75)</f>
        <v>31.75</v>
      </c>
      <c r="F71" s="190">
        <f>IFERROR(__xludf.DUMMYFUNCTION("""COMPUTED_VALUE"""),31.9)</f>
        <v>31.9</v>
      </c>
      <c r="G71" s="191">
        <f>IFERROR(__xludf.DUMMYFUNCTION("""COMPUTED_VALUE"""),2316638.0)</f>
        <v>2316638</v>
      </c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</row>
    <row r="72" ht="17.25" customHeight="1">
      <c r="A72" s="112"/>
      <c r="B72" s="189">
        <f>IFERROR(__xludf.DUMMYFUNCTION("""COMPUTED_VALUE"""),45145.5625)</f>
        <v>45145.5625</v>
      </c>
      <c r="C72" s="190">
        <f>IFERROR(__xludf.DUMMYFUNCTION("""COMPUTED_VALUE"""),31.9)</f>
        <v>31.9</v>
      </c>
      <c r="D72" s="190">
        <f>IFERROR(__xludf.DUMMYFUNCTION("""COMPUTED_VALUE"""),32.26)</f>
        <v>32.26</v>
      </c>
      <c r="E72" s="190">
        <f>IFERROR(__xludf.DUMMYFUNCTION("""COMPUTED_VALUE"""),31.9)</f>
        <v>31.9</v>
      </c>
      <c r="F72" s="190">
        <f>IFERROR(__xludf.DUMMYFUNCTION("""COMPUTED_VALUE"""),32.21)</f>
        <v>32.21</v>
      </c>
      <c r="G72" s="191">
        <f>IFERROR(__xludf.DUMMYFUNCTION("""COMPUTED_VALUE"""),2651681.0)</f>
        <v>2651681</v>
      </c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</row>
    <row r="73" ht="17.25" customHeight="1">
      <c r="A73" s="112"/>
      <c r="B73" s="189">
        <f>IFERROR(__xludf.DUMMYFUNCTION("""COMPUTED_VALUE"""),45146.5625)</f>
        <v>45146.5625</v>
      </c>
      <c r="C73" s="190">
        <f>IFERROR(__xludf.DUMMYFUNCTION("""COMPUTED_VALUE"""),32.21)</f>
        <v>32.21</v>
      </c>
      <c r="D73" s="190">
        <f>IFERROR(__xludf.DUMMYFUNCTION("""COMPUTED_VALUE"""),32.23)</f>
        <v>32.23</v>
      </c>
      <c r="E73" s="190">
        <f>IFERROR(__xludf.DUMMYFUNCTION("""COMPUTED_VALUE"""),31.74)</f>
        <v>31.74</v>
      </c>
      <c r="F73" s="190">
        <f>IFERROR(__xludf.DUMMYFUNCTION("""COMPUTED_VALUE"""),31.88)</f>
        <v>31.88</v>
      </c>
      <c r="G73" s="191">
        <f>IFERROR(__xludf.DUMMYFUNCTION("""COMPUTED_VALUE"""),2176206.0)</f>
        <v>2176206</v>
      </c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</row>
    <row r="74" ht="17.25" customHeight="1">
      <c r="A74" s="112"/>
      <c r="B74" s="189">
        <f>IFERROR(__xludf.DUMMYFUNCTION("""COMPUTED_VALUE"""),45147.5625)</f>
        <v>45147.5625</v>
      </c>
      <c r="C74" s="190">
        <f>IFERROR(__xludf.DUMMYFUNCTION("""COMPUTED_VALUE"""),31.88)</f>
        <v>31.88</v>
      </c>
      <c r="D74" s="190">
        <f>IFERROR(__xludf.DUMMYFUNCTION("""COMPUTED_VALUE"""),32.04)</f>
        <v>32.04</v>
      </c>
      <c r="E74" s="190">
        <f>IFERROR(__xludf.DUMMYFUNCTION("""COMPUTED_VALUE"""),31.67)</f>
        <v>31.67</v>
      </c>
      <c r="F74" s="190">
        <f>IFERROR(__xludf.DUMMYFUNCTION("""COMPUTED_VALUE"""),31.87)</f>
        <v>31.87</v>
      </c>
      <c r="G74" s="191">
        <f>IFERROR(__xludf.DUMMYFUNCTION("""COMPUTED_VALUE"""),1300368.0)</f>
        <v>1300368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</row>
    <row r="75" ht="17.25" customHeight="1">
      <c r="A75" s="112"/>
      <c r="B75" s="189">
        <f>IFERROR(__xludf.DUMMYFUNCTION("""COMPUTED_VALUE"""),45148.5625)</f>
        <v>45148.5625</v>
      </c>
      <c r="C75" s="190">
        <f>IFERROR(__xludf.DUMMYFUNCTION("""COMPUTED_VALUE"""),31.81)</f>
        <v>31.81</v>
      </c>
      <c r="D75" s="190">
        <f>IFERROR(__xludf.DUMMYFUNCTION("""COMPUTED_VALUE"""),31.81)</f>
        <v>31.81</v>
      </c>
      <c r="E75" s="190">
        <f>IFERROR(__xludf.DUMMYFUNCTION("""COMPUTED_VALUE"""),31.55)</f>
        <v>31.55</v>
      </c>
      <c r="F75" s="190">
        <f>IFERROR(__xludf.DUMMYFUNCTION("""COMPUTED_VALUE"""),31.61)</f>
        <v>31.61</v>
      </c>
      <c r="G75" s="191">
        <f>IFERROR(__xludf.DUMMYFUNCTION("""COMPUTED_VALUE"""),3277548.0)</f>
        <v>3277548</v>
      </c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</row>
    <row r="76" ht="17.25" customHeight="1">
      <c r="A76" s="112"/>
      <c r="B76" s="189">
        <f>IFERROR(__xludf.DUMMYFUNCTION("""COMPUTED_VALUE"""),45149.5625)</f>
        <v>45149.5625</v>
      </c>
      <c r="C76" s="190">
        <f>IFERROR(__xludf.DUMMYFUNCTION("""COMPUTED_VALUE"""),31.67)</f>
        <v>31.67</v>
      </c>
      <c r="D76" s="190">
        <f>IFERROR(__xludf.DUMMYFUNCTION("""COMPUTED_VALUE"""),31.84)</f>
        <v>31.84</v>
      </c>
      <c r="E76" s="190">
        <f>IFERROR(__xludf.DUMMYFUNCTION("""COMPUTED_VALUE"""),31.53)</f>
        <v>31.53</v>
      </c>
      <c r="F76" s="190">
        <f>IFERROR(__xludf.DUMMYFUNCTION("""COMPUTED_VALUE"""),31.6)</f>
        <v>31.6</v>
      </c>
      <c r="G76" s="191">
        <f>IFERROR(__xludf.DUMMYFUNCTION("""COMPUTED_VALUE"""),1489677.0)</f>
        <v>1489677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</row>
    <row r="77" ht="17.25" customHeight="1">
      <c r="A77" s="112"/>
      <c r="B77" s="189">
        <f>IFERROR(__xludf.DUMMYFUNCTION("""COMPUTED_VALUE"""),45152.5625)</f>
        <v>45152.5625</v>
      </c>
      <c r="C77" s="190">
        <f>IFERROR(__xludf.DUMMYFUNCTION("""COMPUTED_VALUE"""),31.4)</f>
        <v>31.4</v>
      </c>
      <c r="D77" s="190">
        <f>IFERROR(__xludf.DUMMYFUNCTION("""COMPUTED_VALUE"""),31.44)</f>
        <v>31.44</v>
      </c>
      <c r="E77" s="190">
        <f>IFERROR(__xludf.DUMMYFUNCTION("""COMPUTED_VALUE"""),31.08)</f>
        <v>31.08</v>
      </c>
      <c r="F77" s="190">
        <f>IFERROR(__xludf.DUMMYFUNCTION("""COMPUTED_VALUE"""),31.18)</f>
        <v>31.18</v>
      </c>
      <c r="G77" s="191">
        <f>IFERROR(__xludf.DUMMYFUNCTION("""COMPUTED_VALUE"""),4459271.0)</f>
        <v>4459271</v>
      </c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</row>
    <row r="78" ht="17.25" customHeight="1">
      <c r="A78" s="112"/>
      <c r="B78" s="189">
        <f>IFERROR(__xludf.DUMMYFUNCTION("""COMPUTED_VALUE"""),45153.5625)</f>
        <v>45153.5625</v>
      </c>
      <c r="C78" s="190">
        <f>IFERROR(__xludf.DUMMYFUNCTION("""COMPUTED_VALUE"""),31.29)</f>
        <v>31.29</v>
      </c>
      <c r="D78" s="190">
        <f>IFERROR(__xludf.DUMMYFUNCTION("""COMPUTED_VALUE"""),31.46)</f>
        <v>31.46</v>
      </c>
      <c r="E78" s="190">
        <f>IFERROR(__xludf.DUMMYFUNCTION("""COMPUTED_VALUE"""),31.22)</f>
        <v>31.22</v>
      </c>
      <c r="F78" s="190">
        <f>IFERROR(__xludf.DUMMYFUNCTION("""COMPUTED_VALUE"""),31.27)</f>
        <v>31.27</v>
      </c>
      <c r="G78" s="191">
        <f>IFERROR(__xludf.DUMMYFUNCTION("""COMPUTED_VALUE"""),1100887.0)</f>
        <v>1100887</v>
      </c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</row>
    <row r="79" ht="17.25" customHeight="1">
      <c r="A79" s="112"/>
      <c r="B79" s="189">
        <f>IFERROR(__xludf.DUMMYFUNCTION("""COMPUTED_VALUE"""),45154.5625)</f>
        <v>45154.5625</v>
      </c>
      <c r="C79" s="190">
        <f>IFERROR(__xludf.DUMMYFUNCTION("""COMPUTED_VALUE"""),31.16)</f>
        <v>31.16</v>
      </c>
      <c r="D79" s="190">
        <f>IFERROR(__xludf.DUMMYFUNCTION("""COMPUTED_VALUE"""),31.23)</f>
        <v>31.23</v>
      </c>
      <c r="E79" s="190">
        <f>IFERROR(__xludf.DUMMYFUNCTION("""COMPUTED_VALUE"""),31.01)</f>
        <v>31.01</v>
      </c>
      <c r="F79" s="190">
        <f>IFERROR(__xludf.DUMMYFUNCTION("""COMPUTED_VALUE"""),31.12)</f>
        <v>31.12</v>
      </c>
      <c r="G79" s="191">
        <f>IFERROR(__xludf.DUMMYFUNCTION("""COMPUTED_VALUE"""),4732128.0)</f>
        <v>4732128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</row>
    <row r="80" ht="17.25" customHeight="1">
      <c r="A80" s="112"/>
      <c r="B80" s="189">
        <f>IFERROR(__xludf.DUMMYFUNCTION("""COMPUTED_VALUE"""),45155.5625)</f>
        <v>45155.5625</v>
      </c>
      <c r="C80" s="190">
        <f>IFERROR(__xludf.DUMMYFUNCTION("""COMPUTED_VALUE"""),31.05)</f>
        <v>31.05</v>
      </c>
      <c r="D80" s="190">
        <f>IFERROR(__xludf.DUMMYFUNCTION("""COMPUTED_VALUE"""),31.35)</f>
        <v>31.35</v>
      </c>
      <c r="E80" s="190">
        <f>IFERROR(__xludf.DUMMYFUNCTION("""COMPUTED_VALUE"""),30.83)</f>
        <v>30.83</v>
      </c>
      <c r="F80" s="190">
        <f>IFERROR(__xludf.DUMMYFUNCTION("""COMPUTED_VALUE"""),31.32)</f>
        <v>31.32</v>
      </c>
      <c r="G80" s="191">
        <f>IFERROR(__xludf.DUMMYFUNCTION("""COMPUTED_VALUE"""),2100006.0)</f>
        <v>2100006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</row>
    <row r="81" ht="17.25" customHeight="1">
      <c r="A81" s="112"/>
      <c r="B81" s="189">
        <f>IFERROR(__xludf.DUMMYFUNCTION("""COMPUTED_VALUE"""),45156.5625)</f>
        <v>45156.5625</v>
      </c>
      <c r="C81" s="190">
        <f>IFERROR(__xludf.DUMMYFUNCTION("""COMPUTED_VALUE"""),31.23)</f>
        <v>31.23</v>
      </c>
      <c r="D81" s="190">
        <f>IFERROR(__xludf.DUMMYFUNCTION("""COMPUTED_VALUE"""),31.4)</f>
        <v>31.4</v>
      </c>
      <c r="E81" s="190">
        <f>IFERROR(__xludf.DUMMYFUNCTION("""COMPUTED_VALUE"""),31.05)</f>
        <v>31.05</v>
      </c>
      <c r="F81" s="190">
        <f>IFERROR(__xludf.DUMMYFUNCTION("""COMPUTED_VALUE"""),31.12)</f>
        <v>31.12</v>
      </c>
      <c r="G81" s="191">
        <f>IFERROR(__xludf.DUMMYFUNCTION("""COMPUTED_VALUE"""),1979786.0)</f>
        <v>1979786</v>
      </c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</row>
    <row r="82" ht="17.25" customHeight="1">
      <c r="A82" s="112"/>
      <c r="B82" s="189">
        <f>IFERROR(__xludf.DUMMYFUNCTION("""COMPUTED_VALUE"""),45159.5625)</f>
        <v>45159.5625</v>
      </c>
      <c r="C82" s="190">
        <f>IFERROR(__xludf.DUMMYFUNCTION("""COMPUTED_VALUE"""),31.2)</f>
        <v>31.2</v>
      </c>
      <c r="D82" s="190">
        <f>IFERROR(__xludf.DUMMYFUNCTION("""COMPUTED_VALUE"""),31.22)</f>
        <v>31.22</v>
      </c>
      <c r="E82" s="190">
        <f>IFERROR(__xludf.DUMMYFUNCTION("""COMPUTED_VALUE"""),30.96)</f>
        <v>30.96</v>
      </c>
      <c r="F82" s="190">
        <f>IFERROR(__xludf.DUMMYFUNCTION("""COMPUTED_VALUE"""),31.0)</f>
        <v>31</v>
      </c>
      <c r="G82" s="191">
        <f>IFERROR(__xludf.DUMMYFUNCTION("""COMPUTED_VALUE"""),1778185.0)</f>
        <v>1778185</v>
      </c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</row>
    <row r="83" ht="17.25" customHeight="1">
      <c r="A83" s="112"/>
      <c r="B83" s="189">
        <f>IFERROR(__xludf.DUMMYFUNCTION("""COMPUTED_VALUE"""),45160.5625)</f>
        <v>45160.5625</v>
      </c>
      <c r="C83" s="190">
        <f>IFERROR(__xludf.DUMMYFUNCTION("""COMPUTED_VALUE"""),31.19)</f>
        <v>31.19</v>
      </c>
      <c r="D83" s="190">
        <f>IFERROR(__xludf.DUMMYFUNCTION("""COMPUTED_VALUE"""),31.28)</f>
        <v>31.28</v>
      </c>
      <c r="E83" s="190">
        <f>IFERROR(__xludf.DUMMYFUNCTION("""COMPUTED_VALUE"""),31.08)</f>
        <v>31.08</v>
      </c>
      <c r="F83" s="190">
        <f>IFERROR(__xludf.DUMMYFUNCTION("""COMPUTED_VALUE"""),31.18)</f>
        <v>31.18</v>
      </c>
      <c r="G83" s="191">
        <f>IFERROR(__xludf.DUMMYFUNCTION("""COMPUTED_VALUE"""),693769.0)</f>
        <v>693769</v>
      </c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</row>
    <row r="84" ht="17.25" customHeight="1">
      <c r="A84" s="112"/>
      <c r="B84" s="189">
        <f>IFERROR(__xludf.DUMMYFUNCTION("""COMPUTED_VALUE"""),45161.5625)</f>
        <v>45161.5625</v>
      </c>
      <c r="C84" s="190">
        <f>IFERROR(__xludf.DUMMYFUNCTION("""COMPUTED_VALUE"""),31.18)</f>
        <v>31.18</v>
      </c>
      <c r="D84" s="190">
        <f>IFERROR(__xludf.DUMMYFUNCTION("""COMPUTED_VALUE"""),31.43)</f>
        <v>31.43</v>
      </c>
      <c r="E84" s="190">
        <f>IFERROR(__xludf.DUMMYFUNCTION("""COMPUTED_VALUE"""),31.18)</f>
        <v>31.18</v>
      </c>
      <c r="F84" s="190">
        <f>IFERROR(__xludf.DUMMYFUNCTION("""COMPUTED_VALUE"""),31.42)</f>
        <v>31.42</v>
      </c>
      <c r="G84" s="191">
        <f>IFERROR(__xludf.DUMMYFUNCTION("""COMPUTED_VALUE"""),919301.0)</f>
        <v>919301</v>
      </c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</row>
    <row r="85" ht="17.25" customHeight="1">
      <c r="A85" s="112"/>
      <c r="B85" s="189">
        <f>IFERROR(__xludf.DUMMYFUNCTION("""COMPUTED_VALUE"""),45162.5625)</f>
        <v>45162.5625</v>
      </c>
      <c r="C85" s="190">
        <f>IFERROR(__xludf.DUMMYFUNCTION("""COMPUTED_VALUE"""),31.77)</f>
        <v>31.77</v>
      </c>
      <c r="D85" s="190">
        <f>IFERROR(__xludf.DUMMYFUNCTION("""COMPUTED_VALUE"""),31.9)</f>
        <v>31.9</v>
      </c>
      <c r="E85" s="190">
        <f>IFERROR(__xludf.DUMMYFUNCTION("""COMPUTED_VALUE"""),31.69)</f>
        <v>31.69</v>
      </c>
      <c r="F85" s="190">
        <f>IFERROR(__xludf.DUMMYFUNCTION("""COMPUTED_VALUE"""),31.82)</f>
        <v>31.82</v>
      </c>
      <c r="G85" s="191">
        <f>IFERROR(__xludf.DUMMYFUNCTION("""COMPUTED_VALUE"""),1182170.0)</f>
        <v>1182170</v>
      </c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</row>
    <row r="86" ht="17.25" customHeight="1">
      <c r="A86" s="112"/>
      <c r="B86" s="189">
        <f>IFERROR(__xludf.DUMMYFUNCTION("""COMPUTED_VALUE"""),45163.5625)</f>
        <v>45163.5625</v>
      </c>
      <c r="C86" s="190">
        <f>IFERROR(__xludf.DUMMYFUNCTION("""COMPUTED_VALUE"""),31.52)</f>
        <v>31.52</v>
      </c>
      <c r="D86" s="190">
        <f>IFERROR(__xludf.DUMMYFUNCTION("""COMPUTED_VALUE"""),31.52)</f>
        <v>31.52</v>
      </c>
      <c r="E86" s="190">
        <f>IFERROR(__xludf.DUMMYFUNCTION("""COMPUTED_VALUE"""),31.22)</f>
        <v>31.22</v>
      </c>
      <c r="F86" s="190">
        <f>IFERROR(__xludf.DUMMYFUNCTION("""COMPUTED_VALUE"""),31.22)</f>
        <v>31.22</v>
      </c>
      <c r="G86" s="191">
        <f>IFERROR(__xludf.DUMMYFUNCTION("""COMPUTED_VALUE"""),1713181.0)</f>
        <v>1713181</v>
      </c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</row>
    <row r="87" ht="17.25" customHeight="1">
      <c r="A87" s="112"/>
      <c r="B87" s="189">
        <f>IFERROR(__xludf.DUMMYFUNCTION("""COMPUTED_VALUE"""),45166.5625)</f>
        <v>45166.5625</v>
      </c>
      <c r="C87" s="190">
        <f>IFERROR(__xludf.DUMMYFUNCTION("""COMPUTED_VALUE"""),31.23)</f>
        <v>31.23</v>
      </c>
      <c r="D87" s="190">
        <f>IFERROR(__xludf.DUMMYFUNCTION("""COMPUTED_VALUE"""),31.51)</f>
        <v>31.51</v>
      </c>
      <c r="E87" s="190">
        <f>IFERROR(__xludf.DUMMYFUNCTION("""COMPUTED_VALUE"""),31.23)</f>
        <v>31.23</v>
      </c>
      <c r="F87" s="190">
        <f>IFERROR(__xludf.DUMMYFUNCTION("""COMPUTED_VALUE"""),31.35)</f>
        <v>31.35</v>
      </c>
      <c r="G87" s="191">
        <f>IFERROR(__xludf.DUMMYFUNCTION("""COMPUTED_VALUE"""),1893685.0)</f>
        <v>1893685</v>
      </c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</row>
    <row r="88" ht="17.25" customHeight="1">
      <c r="A88" s="112"/>
      <c r="B88" s="189">
        <f>IFERROR(__xludf.DUMMYFUNCTION("""COMPUTED_VALUE"""),45167.5625)</f>
        <v>45167.5625</v>
      </c>
      <c r="C88" s="190">
        <f>IFERROR(__xludf.DUMMYFUNCTION("""COMPUTED_VALUE"""),31.4)</f>
        <v>31.4</v>
      </c>
      <c r="D88" s="190">
        <f>IFERROR(__xludf.DUMMYFUNCTION("""COMPUTED_VALUE"""),31.54)</f>
        <v>31.54</v>
      </c>
      <c r="E88" s="190">
        <f>IFERROR(__xludf.DUMMYFUNCTION("""COMPUTED_VALUE"""),31.25)</f>
        <v>31.25</v>
      </c>
      <c r="F88" s="190">
        <f>IFERROR(__xludf.DUMMYFUNCTION("""COMPUTED_VALUE"""),31.54)</f>
        <v>31.54</v>
      </c>
      <c r="G88" s="191">
        <f>IFERROR(__xludf.DUMMYFUNCTION("""COMPUTED_VALUE"""),1113771.0)</f>
        <v>1113771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</row>
    <row r="89" ht="17.25" customHeight="1">
      <c r="A89" s="112"/>
      <c r="B89" s="189">
        <f>IFERROR(__xludf.DUMMYFUNCTION("""COMPUTED_VALUE"""),45168.5625)</f>
        <v>45168.5625</v>
      </c>
      <c r="C89" s="190">
        <f>IFERROR(__xludf.DUMMYFUNCTION("""COMPUTED_VALUE"""),31.7)</f>
        <v>31.7</v>
      </c>
      <c r="D89" s="190">
        <f>IFERROR(__xludf.DUMMYFUNCTION("""COMPUTED_VALUE"""),31.8)</f>
        <v>31.8</v>
      </c>
      <c r="E89" s="190">
        <f>IFERROR(__xludf.DUMMYFUNCTION("""COMPUTED_VALUE"""),31.64)</f>
        <v>31.64</v>
      </c>
      <c r="F89" s="190">
        <f>IFERROR(__xludf.DUMMYFUNCTION("""COMPUTED_VALUE"""),31.66)</f>
        <v>31.66</v>
      </c>
      <c r="G89" s="191">
        <f>IFERROR(__xludf.DUMMYFUNCTION("""COMPUTED_VALUE"""),741362.0)</f>
        <v>741362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</row>
    <row r="90" ht="17.25" customHeight="1">
      <c r="A90" s="112"/>
      <c r="B90" s="189">
        <f>IFERROR(__xludf.DUMMYFUNCTION("""COMPUTED_VALUE"""),45169.5625)</f>
        <v>45169.5625</v>
      </c>
      <c r="C90" s="190">
        <f>IFERROR(__xludf.DUMMYFUNCTION("""COMPUTED_VALUE"""),31.66)</f>
        <v>31.66</v>
      </c>
      <c r="D90" s="190">
        <f>IFERROR(__xludf.DUMMYFUNCTION("""COMPUTED_VALUE"""),31.66)</f>
        <v>31.66</v>
      </c>
      <c r="E90" s="190">
        <f>IFERROR(__xludf.DUMMYFUNCTION("""COMPUTED_VALUE"""),31.42)</f>
        <v>31.42</v>
      </c>
      <c r="F90" s="190">
        <f>IFERROR(__xludf.DUMMYFUNCTION("""COMPUTED_VALUE"""),31.46)</f>
        <v>31.46</v>
      </c>
      <c r="G90" s="191">
        <f>IFERROR(__xludf.DUMMYFUNCTION("""COMPUTED_VALUE"""),1094734.0)</f>
        <v>1094734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</row>
    <row r="91" ht="17.25" customHeight="1">
      <c r="A91" s="112"/>
      <c r="B91" s="189">
        <f>IFERROR(__xludf.DUMMYFUNCTION("""COMPUTED_VALUE"""),45170.5625)</f>
        <v>45170.5625</v>
      </c>
      <c r="C91" s="190">
        <f>IFERROR(__xludf.DUMMYFUNCTION("""COMPUTED_VALUE"""),31.43)</f>
        <v>31.43</v>
      </c>
      <c r="D91" s="190">
        <f>IFERROR(__xludf.DUMMYFUNCTION("""COMPUTED_VALUE"""),31.58)</f>
        <v>31.58</v>
      </c>
      <c r="E91" s="190">
        <f>IFERROR(__xludf.DUMMYFUNCTION("""COMPUTED_VALUE"""),31.4)</f>
        <v>31.4</v>
      </c>
      <c r="F91" s="190">
        <f>IFERROR(__xludf.DUMMYFUNCTION("""COMPUTED_VALUE"""),31.46)</f>
        <v>31.46</v>
      </c>
      <c r="G91" s="191">
        <f>IFERROR(__xludf.DUMMYFUNCTION("""COMPUTED_VALUE"""),850235.0)</f>
        <v>850235</v>
      </c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</row>
    <row r="92" ht="17.25" customHeight="1">
      <c r="A92" s="112"/>
      <c r="B92" s="189">
        <f>IFERROR(__xludf.DUMMYFUNCTION("""COMPUTED_VALUE"""),45173.5625)</f>
        <v>45173.5625</v>
      </c>
      <c r="C92" s="190">
        <f>IFERROR(__xludf.DUMMYFUNCTION("""COMPUTED_VALUE"""),31.46)</f>
        <v>31.46</v>
      </c>
      <c r="D92" s="190">
        <f>IFERROR(__xludf.DUMMYFUNCTION("""COMPUTED_VALUE"""),31.69)</f>
        <v>31.69</v>
      </c>
      <c r="E92" s="190">
        <f>IFERROR(__xludf.DUMMYFUNCTION("""COMPUTED_VALUE"""),31.4)</f>
        <v>31.4</v>
      </c>
      <c r="F92" s="190">
        <f>IFERROR(__xludf.DUMMYFUNCTION("""COMPUTED_VALUE"""),31.69)</f>
        <v>31.69</v>
      </c>
      <c r="G92" s="191">
        <f>IFERROR(__xludf.DUMMYFUNCTION("""COMPUTED_VALUE"""),875156.0)</f>
        <v>875156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ht="17.25" customHeight="1">
      <c r="A93" s="112"/>
      <c r="B93" s="189">
        <f>IFERROR(__xludf.DUMMYFUNCTION("""COMPUTED_VALUE"""),45174.5625)</f>
        <v>45174.5625</v>
      </c>
      <c r="C93" s="190">
        <f>IFERROR(__xludf.DUMMYFUNCTION("""COMPUTED_VALUE"""),31.67)</f>
        <v>31.67</v>
      </c>
      <c r="D93" s="190">
        <f>IFERROR(__xludf.DUMMYFUNCTION("""COMPUTED_VALUE"""),31.68)</f>
        <v>31.68</v>
      </c>
      <c r="E93" s="190">
        <f>IFERROR(__xludf.DUMMYFUNCTION("""COMPUTED_VALUE"""),31.53)</f>
        <v>31.53</v>
      </c>
      <c r="F93" s="190">
        <f>IFERROR(__xludf.DUMMYFUNCTION("""COMPUTED_VALUE"""),31.65)</f>
        <v>31.65</v>
      </c>
      <c r="G93" s="191">
        <f>IFERROR(__xludf.DUMMYFUNCTION("""COMPUTED_VALUE"""),741317.0)</f>
        <v>741317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ht="17.25" customHeight="1">
      <c r="A94" s="112"/>
      <c r="B94" s="189">
        <f>IFERROR(__xludf.DUMMYFUNCTION("""COMPUTED_VALUE"""),45175.5625)</f>
        <v>45175.5625</v>
      </c>
      <c r="C94" s="190">
        <f>IFERROR(__xludf.DUMMYFUNCTION("""COMPUTED_VALUE"""),31.65)</f>
        <v>31.65</v>
      </c>
      <c r="D94" s="190">
        <f>IFERROR(__xludf.DUMMYFUNCTION("""COMPUTED_VALUE"""),31.73)</f>
        <v>31.73</v>
      </c>
      <c r="E94" s="190">
        <f>IFERROR(__xludf.DUMMYFUNCTION("""COMPUTED_VALUE"""),31.56)</f>
        <v>31.56</v>
      </c>
      <c r="F94" s="190">
        <f>IFERROR(__xludf.DUMMYFUNCTION("""COMPUTED_VALUE"""),31.57)</f>
        <v>31.57</v>
      </c>
      <c r="G94" s="191">
        <f>IFERROR(__xludf.DUMMYFUNCTION("""COMPUTED_VALUE"""),2995072.0)</f>
        <v>2995072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</row>
    <row r="95" ht="17.25" customHeight="1">
      <c r="A95" s="112"/>
      <c r="B95" s="189">
        <f>IFERROR(__xludf.DUMMYFUNCTION("""COMPUTED_VALUE"""),45176.5625)</f>
        <v>45176.5625</v>
      </c>
      <c r="C95" s="190">
        <f>IFERROR(__xludf.DUMMYFUNCTION("""COMPUTED_VALUE"""),31.45)</f>
        <v>31.45</v>
      </c>
      <c r="D95" s="190">
        <f>IFERROR(__xludf.DUMMYFUNCTION("""COMPUTED_VALUE"""),31.45)</f>
        <v>31.45</v>
      </c>
      <c r="E95" s="190">
        <f>IFERROR(__xludf.DUMMYFUNCTION("""COMPUTED_VALUE"""),31.28)</f>
        <v>31.28</v>
      </c>
      <c r="F95" s="190">
        <f>IFERROR(__xludf.DUMMYFUNCTION("""COMPUTED_VALUE"""),31.33)</f>
        <v>31.33</v>
      </c>
      <c r="G95" s="191">
        <f>IFERROR(__xludf.DUMMYFUNCTION("""COMPUTED_VALUE"""),1616219.0)</f>
        <v>1616219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</row>
    <row r="96" ht="17.25" customHeight="1">
      <c r="A96" s="112"/>
      <c r="B96" s="189">
        <f>IFERROR(__xludf.DUMMYFUNCTION("""COMPUTED_VALUE"""),45177.5625)</f>
        <v>45177.5625</v>
      </c>
      <c r="C96" s="190">
        <f>IFERROR(__xludf.DUMMYFUNCTION("""COMPUTED_VALUE"""),31.18)</f>
        <v>31.18</v>
      </c>
      <c r="D96" s="190">
        <f>IFERROR(__xludf.DUMMYFUNCTION("""COMPUTED_VALUE"""),31.25)</f>
        <v>31.25</v>
      </c>
      <c r="E96" s="190">
        <f>IFERROR(__xludf.DUMMYFUNCTION("""COMPUTED_VALUE"""),31.08)</f>
        <v>31.08</v>
      </c>
      <c r="F96" s="190">
        <f>IFERROR(__xludf.DUMMYFUNCTION("""COMPUTED_VALUE"""),31.23)</f>
        <v>31.23</v>
      </c>
      <c r="G96" s="191">
        <f>IFERROR(__xludf.DUMMYFUNCTION("""COMPUTED_VALUE"""),1741818.0)</f>
        <v>1741818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</row>
    <row r="97" ht="17.25" customHeight="1">
      <c r="A97" s="112"/>
      <c r="B97" s="189">
        <f>IFERROR(__xludf.DUMMYFUNCTION("""COMPUTED_VALUE"""),45180.5625)</f>
        <v>45180.5625</v>
      </c>
      <c r="C97" s="190">
        <f>IFERROR(__xludf.DUMMYFUNCTION("""COMPUTED_VALUE"""),31.23)</f>
        <v>31.23</v>
      </c>
      <c r="D97" s="190">
        <f>IFERROR(__xludf.DUMMYFUNCTION("""COMPUTED_VALUE"""),31.23)</f>
        <v>31.23</v>
      </c>
      <c r="E97" s="190">
        <f>IFERROR(__xludf.DUMMYFUNCTION("""COMPUTED_VALUE"""),30.93)</f>
        <v>30.93</v>
      </c>
      <c r="F97" s="190">
        <f>IFERROR(__xludf.DUMMYFUNCTION("""COMPUTED_VALUE"""),31.04)</f>
        <v>31.04</v>
      </c>
      <c r="G97" s="191">
        <f>IFERROR(__xludf.DUMMYFUNCTION("""COMPUTED_VALUE"""),2683143.0)</f>
        <v>2683143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ht="17.25" customHeight="1">
      <c r="A98" s="112"/>
      <c r="B98" s="189">
        <f>IFERROR(__xludf.DUMMYFUNCTION("""COMPUTED_VALUE"""),45181.5625)</f>
        <v>45181.5625</v>
      </c>
      <c r="C98" s="190">
        <f>IFERROR(__xludf.DUMMYFUNCTION("""COMPUTED_VALUE"""),31.05)</f>
        <v>31.05</v>
      </c>
      <c r="D98" s="190">
        <f>IFERROR(__xludf.DUMMYFUNCTION("""COMPUTED_VALUE"""),31.3)</f>
        <v>31.3</v>
      </c>
      <c r="E98" s="190">
        <f>IFERROR(__xludf.DUMMYFUNCTION("""COMPUTED_VALUE"""),31.0)</f>
        <v>31</v>
      </c>
      <c r="F98" s="190">
        <f>IFERROR(__xludf.DUMMYFUNCTION("""COMPUTED_VALUE"""),31.27)</f>
        <v>31.27</v>
      </c>
      <c r="G98" s="191">
        <f>IFERROR(__xludf.DUMMYFUNCTION("""COMPUTED_VALUE"""),1154222.0)</f>
        <v>1154222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</row>
    <row r="99" ht="17.25" customHeight="1">
      <c r="A99" s="112"/>
      <c r="B99" s="189">
        <f>IFERROR(__xludf.DUMMYFUNCTION("""COMPUTED_VALUE"""),45182.5625)</f>
        <v>45182.5625</v>
      </c>
      <c r="C99" s="190">
        <f>IFERROR(__xludf.DUMMYFUNCTION("""COMPUTED_VALUE"""),31.27)</f>
        <v>31.27</v>
      </c>
      <c r="D99" s="190">
        <f>IFERROR(__xludf.DUMMYFUNCTION("""COMPUTED_VALUE"""),31.44)</f>
        <v>31.44</v>
      </c>
      <c r="E99" s="190">
        <f>IFERROR(__xludf.DUMMYFUNCTION("""COMPUTED_VALUE"""),31.21)</f>
        <v>31.21</v>
      </c>
      <c r="F99" s="190">
        <f>IFERROR(__xludf.DUMMYFUNCTION("""COMPUTED_VALUE"""),31.32)</f>
        <v>31.32</v>
      </c>
      <c r="G99" s="191">
        <f>IFERROR(__xludf.DUMMYFUNCTION("""COMPUTED_VALUE"""),1261140.0)</f>
        <v>1261140</v>
      </c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</row>
    <row r="100" ht="17.25" customHeight="1">
      <c r="A100" s="112"/>
      <c r="B100" s="189">
        <f>IFERROR(__xludf.DUMMYFUNCTION("""COMPUTED_VALUE"""),45183.5625)</f>
        <v>45183.5625</v>
      </c>
      <c r="C100" s="190">
        <f>IFERROR(__xludf.DUMMYFUNCTION("""COMPUTED_VALUE"""),31.43)</f>
        <v>31.43</v>
      </c>
      <c r="D100" s="190">
        <f>IFERROR(__xludf.DUMMYFUNCTION("""COMPUTED_VALUE"""),31.7)</f>
        <v>31.7</v>
      </c>
      <c r="E100" s="190">
        <f>IFERROR(__xludf.DUMMYFUNCTION("""COMPUTED_VALUE"""),31.42)</f>
        <v>31.42</v>
      </c>
      <c r="F100" s="190">
        <f>IFERROR(__xludf.DUMMYFUNCTION("""COMPUTED_VALUE"""),31.7)</f>
        <v>31.7</v>
      </c>
      <c r="G100" s="191">
        <f>IFERROR(__xludf.DUMMYFUNCTION("""COMPUTED_VALUE"""),1679354.0)</f>
        <v>1679354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</row>
    <row r="101" ht="17.25" customHeight="1">
      <c r="A101" s="112"/>
      <c r="B101" s="189">
        <f>IFERROR(__xludf.DUMMYFUNCTION("""COMPUTED_VALUE"""),45184.5625)</f>
        <v>45184.5625</v>
      </c>
      <c r="C101" s="190">
        <f>IFERROR(__xludf.DUMMYFUNCTION("""COMPUTED_VALUE"""),31.7)</f>
        <v>31.7</v>
      </c>
      <c r="D101" s="190">
        <f>IFERROR(__xludf.DUMMYFUNCTION("""COMPUTED_VALUE"""),31.93)</f>
        <v>31.93</v>
      </c>
      <c r="E101" s="190">
        <f>IFERROR(__xludf.DUMMYFUNCTION("""COMPUTED_VALUE"""),31.69)</f>
        <v>31.69</v>
      </c>
      <c r="F101" s="190">
        <f>IFERROR(__xludf.DUMMYFUNCTION("""COMPUTED_VALUE"""),31.93)</f>
        <v>31.93</v>
      </c>
      <c r="G101" s="191">
        <f>IFERROR(__xludf.DUMMYFUNCTION("""COMPUTED_VALUE"""),1489692.0)</f>
        <v>1489692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</row>
    <row r="102" ht="17.25" customHeight="1">
      <c r="A102" s="112"/>
      <c r="B102" s="189">
        <f>IFERROR(__xludf.DUMMYFUNCTION("""COMPUTED_VALUE"""),45187.5625)</f>
        <v>45187.5625</v>
      </c>
      <c r="C102" s="190">
        <f>IFERROR(__xludf.DUMMYFUNCTION("""COMPUTED_VALUE"""),31.71)</f>
        <v>31.71</v>
      </c>
      <c r="D102" s="190">
        <f>IFERROR(__xludf.DUMMYFUNCTION("""COMPUTED_VALUE"""),31.71)</f>
        <v>31.71</v>
      </c>
      <c r="E102" s="190">
        <f>IFERROR(__xludf.DUMMYFUNCTION("""COMPUTED_VALUE"""),31.54)</f>
        <v>31.54</v>
      </c>
      <c r="F102" s="190">
        <f>IFERROR(__xludf.DUMMYFUNCTION("""COMPUTED_VALUE"""),31.55)</f>
        <v>31.55</v>
      </c>
      <c r="G102" s="191">
        <f>IFERROR(__xludf.DUMMYFUNCTION("""COMPUTED_VALUE"""),3451563.0)</f>
        <v>3451563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</row>
    <row r="103" ht="17.25" customHeight="1">
      <c r="A103" s="112"/>
      <c r="B103" s="189">
        <f>IFERROR(__xludf.DUMMYFUNCTION("""COMPUTED_VALUE"""),45188.5625)</f>
        <v>45188.5625</v>
      </c>
      <c r="C103" s="190">
        <f>IFERROR(__xludf.DUMMYFUNCTION("""COMPUTED_VALUE"""),31.45)</f>
        <v>31.45</v>
      </c>
      <c r="D103" s="190">
        <f>IFERROR(__xludf.DUMMYFUNCTION("""COMPUTED_VALUE"""),31.53)</f>
        <v>31.53</v>
      </c>
      <c r="E103" s="190">
        <f>IFERROR(__xludf.DUMMYFUNCTION("""COMPUTED_VALUE"""),31.38)</f>
        <v>31.38</v>
      </c>
      <c r="F103" s="190">
        <f>IFERROR(__xludf.DUMMYFUNCTION("""COMPUTED_VALUE"""),31.4)</f>
        <v>31.4</v>
      </c>
      <c r="G103" s="191">
        <f>IFERROR(__xludf.DUMMYFUNCTION("""COMPUTED_VALUE"""),1620447.0)</f>
        <v>1620447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</row>
    <row r="104" ht="17.25" customHeight="1">
      <c r="A104" s="112"/>
      <c r="B104" s="189">
        <f>IFERROR(__xludf.DUMMYFUNCTION("""COMPUTED_VALUE"""),45189.5625)</f>
        <v>45189.5625</v>
      </c>
      <c r="C104" s="190">
        <f>IFERROR(__xludf.DUMMYFUNCTION("""COMPUTED_VALUE"""),31.36)</f>
        <v>31.36</v>
      </c>
      <c r="D104" s="190">
        <f>IFERROR(__xludf.DUMMYFUNCTION("""COMPUTED_VALUE"""),31.4)</f>
        <v>31.4</v>
      </c>
      <c r="E104" s="190">
        <f>IFERROR(__xludf.DUMMYFUNCTION("""COMPUTED_VALUE"""),31.22)</f>
        <v>31.22</v>
      </c>
      <c r="F104" s="190">
        <f>IFERROR(__xludf.DUMMYFUNCTION("""COMPUTED_VALUE"""),31.24)</f>
        <v>31.24</v>
      </c>
      <c r="G104" s="191">
        <f>IFERROR(__xludf.DUMMYFUNCTION("""COMPUTED_VALUE"""),1252981.0)</f>
        <v>1252981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</row>
    <row r="105" ht="17.25" customHeight="1">
      <c r="A105" s="112"/>
      <c r="B105" s="189">
        <f>IFERROR(__xludf.DUMMYFUNCTION("""COMPUTED_VALUE"""),45190.5625)</f>
        <v>45190.5625</v>
      </c>
      <c r="C105" s="190">
        <f>IFERROR(__xludf.DUMMYFUNCTION("""COMPUTED_VALUE"""),31.05)</f>
        <v>31.05</v>
      </c>
      <c r="D105" s="190">
        <f>IFERROR(__xludf.DUMMYFUNCTION("""COMPUTED_VALUE"""),31.05)</f>
        <v>31.05</v>
      </c>
      <c r="E105" s="190">
        <f>IFERROR(__xludf.DUMMYFUNCTION("""COMPUTED_VALUE"""),30.81)</f>
        <v>30.81</v>
      </c>
      <c r="F105" s="190">
        <f>IFERROR(__xludf.DUMMYFUNCTION("""COMPUTED_VALUE"""),30.86)</f>
        <v>30.86</v>
      </c>
      <c r="G105" s="191">
        <f>IFERROR(__xludf.DUMMYFUNCTION("""COMPUTED_VALUE"""),5833851.0)</f>
        <v>5833851</v>
      </c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</row>
    <row r="106" ht="17.25" customHeight="1">
      <c r="A106" s="112"/>
      <c r="B106" s="189">
        <f>IFERROR(__xludf.DUMMYFUNCTION("""COMPUTED_VALUE"""),45191.5625)</f>
        <v>45191.5625</v>
      </c>
      <c r="C106" s="190">
        <f>IFERROR(__xludf.DUMMYFUNCTION("""COMPUTED_VALUE"""),30.76)</f>
        <v>30.76</v>
      </c>
      <c r="D106" s="190">
        <f>IFERROR(__xludf.DUMMYFUNCTION("""COMPUTED_VALUE"""),30.86)</f>
        <v>30.86</v>
      </c>
      <c r="E106" s="190">
        <f>IFERROR(__xludf.DUMMYFUNCTION("""COMPUTED_VALUE"""),30.64)</f>
        <v>30.64</v>
      </c>
      <c r="F106" s="190">
        <f>IFERROR(__xludf.DUMMYFUNCTION("""COMPUTED_VALUE"""),30.8)</f>
        <v>30.8</v>
      </c>
      <c r="G106" s="191">
        <f>IFERROR(__xludf.DUMMYFUNCTION("""COMPUTED_VALUE"""),2819821.0)</f>
        <v>2819821</v>
      </c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</row>
    <row r="107" ht="17.25" customHeight="1">
      <c r="A107" s="112"/>
      <c r="B107" s="189">
        <f>IFERROR(__xludf.DUMMYFUNCTION("""COMPUTED_VALUE"""),45194.5625)</f>
        <v>45194.5625</v>
      </c>
      <c r="C107" s="190">
        <f>IFERROR(__xludf.DUMMYFUNCTION("""COMPUTED_VALUE"""),30.8)</f>
        <v>30.8</v>
      </c>
      <c r="D107" s="190">
        <f>IFERROR(__xludf.DUMMYFUNCTION("""COMPUTED_VALUE"""),31.04)</f>
        <v>31.04</v>
      </c>
      <c r="E107" s="190">
        <f>IFERROR(__xludf.DUMMYFUNCTION("""COMPUTED_VALUE"""),30.8)</f>
        <v>30.8</v>
      </c>
      <c r="F107" s="190">
        <f>IFERROR(__xludf.DUMMYFUNCTION("""COMPUTED_VALUE"""),30.99)</f>
        <v>30.99</v>
      </c>
      <c r="G107" s="191">
        <f>IFERROR(__xludf.DUMMYFUNCTION("""COMPUTED_VALUE"""),1216319.0)</f>
        <v>1216319</v>
      </c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</row>
    <row r="108" ht="17.25" customHeight="1">
      <c r="A108" s="112"/>
      <c r="B108" s="189">
        <f>IFERROR(__xludf.DUMMYFUNCTION("""COMPUTED_VALUE"""),45195.5625)</f>
        <v>45195.5625</v>
      </c>
      <c r="C108" s="190">
        <f>IFERROR(__xludf.DUMMYFUNCTION("""COMPUTED_VALUE"""),30.78)</f>
        <v>30.78</v>
      </c>
      <c r="D108" s="190">
        <f>IFERROR(__xludf.DUMMYFUNCTION("""COMPUTED_VALUE"""),30.87)</f>
        <v>30.87</v>
      </c>
      <c r="E108" s="190">
        <f>IFERROR(__xludf.DUMMYFUNCTION("""COMPUTED_VALUE"""),30.62)</f>
        <v>30.62</v>
      </c>
      <c r="F108" s="190">
        <f>IFERROR(__xludf.DUMMYFUNCTION("""COMPUTED_VALUE"""),30.62)</f>
        <v>30.62</v>
      </c>
      <c r="G108" s="191">
        <f>IFERROR(__xludf.DUMMYFUNCTION("""COMPUTED_VALUE"""),3144255.0)</f>
        <v>3144255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</row>
    <row r="109" ht="17.25" customHeight="1">
      <c r="A109" s="112"/>
      <c r="B109" s="189">
        <f>IFERROR(__xludf.DUMMYFUNCTION("""COMPUTED_VALUE"""),45196.5625)</f>
        <v>45196.5625</v>
      </c>
      <c r="C109" s="190">
        <f>IFERROR(__xludf.DUMMYFUNCTION("""COMPUTED_VALUE"""),30.59)</f>
        <v>30.59</v>
      </c>
      <c r="D109" s="190">
        <f>IFERROR(__xludf.DUMMYFUNCTION("""COMPUTED_VALUE"""),30.72)</f>
        <v>30.72</v>
      </c>
      <c r="E109" s="190">
        <f>IFERROR(__xludf.DUMMYFUNCTION("""COMPUTED_VALUE"""),30.5)</f>
        <v>30.5</v>
      </c>
      <c r="F109" s="190">
        <f>IFERROR(__xludf.DUMMYFUNCTION("""COMPUTED_VALUE"""),30.69)</f>
        <v>30.69</v>
      </c>
      <c r="G109" s="191">
        <f>IFERROR(__xludf.DUMMYFUNCTION("""COMPUTED_VALUE"""),2219796.0)</f>
        <v>2219796</v>
      </c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</row>
    <row r="110" ht="17.25" customHeight="1">
      <c r="A110" s="112"/>
      <c r="B110" s="189">
        <f>IFERROR(__xludf.DUMMYFUNCTION("""COMPUTED_VALUE"""),45197.5625)</f>
        <v>45197.5625</v>
      </c>
      <c r="C110" s="190">
        <f>IFERROR(__xludf.DUMMYFUNCTION("""COMPUTED_VALUE"""),30.83)</f>
        <v>30.83</v>
      </c>
      <c r="D110" s="190">
        <f>IFERROR(__xludf.DUMMYFUNCTION("""COMPUTED_VALUE"""),30.9)</f>
        <v>30.9</v>
      </c>
      <c r="E110" s="190">
        <f>IFERROR(__xludf.DUMMYFUNCTION("""COMPUTED_VALUE"""),30.66)</f>
        <v>30.66</v>
      </c>
      <c r="F110" s="190">
        <f>IFERROR(__xludf.DUMMYFUNCTION("""COMPUTED_VALUE"""),30.79)</f>
        <v>30.79</v>
      </c>
      <c r="G110" s="191">
        <f>IFERROR(__xludf.DUMMYFUNCTION("""COMPUTED_VALUE"""),2158710.0)</f>
        <v>2158710</v>
      </c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</row>
    <row r="111" ht="17.25" customHeight="1">
      <c r="A111" s="112"/>
      <c r="B111" s="189">
        <f>IFERROR(__xludf.DUMMYFUNCTION("""COMPUTED_VALUE"""),45201.5625)</f>
        <v>45201.5625</v>
      </c>
      <c r="C111" s="190">
        <f>IFERROR(__xludf.DUMMYFUNCTION("""COMPUTED_VALUE"""),30.99)</f>
        <v>30.99</v>
      </c>
      <c r="D111" s="190">
        <f>IFERROR(__xludf.DUMMYFUNCTION("""COMPUTED_VALUE"""),31.2)</f>
        <v>31.2</v>
      </c>
      <c r="E111" s="190">
        <f>IFERROR(__xludf.DUMMYFUNCTION("""COMPUTED_VALUE"""),30.99)</f>
        <v>30.99</v>
      </c>
      <c r="F111" s="190">
        <f>IFERROR(__xludf.DUMMYFUNCTION("""COMPUTED_VALUE"""),31.14)</f>
        <v>31.14</v>
      </c>
      <c r="G111" s="191">
        <f>IFERROR(__xludf.DUMMYFUNCTION("""COMPUTED_VALUE"""),1842568.0)</f>
        <v>1842568</v>
      </c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</row>
    <row r="112" ht="17.25" customHeight="1">
      <c r="A112" s="112"/>
      <c r="B112" s="189">
        <f>IFERROR(__xludf.DUMMYFUNCTION("""COMPUTED_VALUE"""),45202.5625)</f>
        <v>45202.5625</v>
      </c>
      <c r="C112" s="190">
        <f>IFERROR(__xludf.DUMMYFUNCTION("""COMPUTED_VALUE"""),31.11)</f>
        <v>31.11</v>
      </c>
      <c r="D112" s="190">
        <f>IFERROR(__xludf.DUMMYFUNCTION("""COMPUTED_VALUE"""),31.14)</f>
        <v>31.14</v>
      </c>
      <c r="E112" s="190">
        <f>IFERROR(__xludf.DUMMYFUNCTION("""COMPUTED_VALUE"""),30.95)</f>
        <v>30.95</v>
      </c>
      <c r="F112" s="190">
        <f>IFERROR(__xludf.DUMMYFUNCTION("""COMPUTED_VALUE"""),30.96)</f>
        <v>30.96</v>
      </c>
      <c r="G112" s="191">
        <f>IFERROR(__xludf.DUMMYFUNCTION("""COMPUTED_VALUE"""),1785593.0)</f>
        <v>1785593</v>
      </c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</row>
    <row r="113" ht="17.25" customHeight="1">
      <c r="A113" s="112"/>
      <c r="B113" s="189">
        <f>IFERROR(__xludf.DUMMYFUNCTION("""COMPUTED_VALUE"""),45203.5625)</f>
        <v>45203.5625</v>
      </c>
      <c r="C113" s="190">
        <f>IFERROR(__xludf.DUMMYFUNCTION("""COMPUTED_VALUE"""),30.65)</f>
        <v>30.65</v>
      </c>
      <c r="D113" s="190">
        <f>IFERROR(__xludf.DUMMYFUNCTION("""COMPUTED_VALUE"""),30.65)</f>
        <v>30.65</v>
      </c>
      <c r="E113" s="190">
        <f>IFERROR(__xludf.DUMMYFUNCTION("""COMPUTED_VALUE"""),30.47)</f>
        <v>30.47</v>
      </c>
      <c r="F113" s="190">
        <f>IFERROR(__xludf.DUMMYFUNCTION("""COMPUTED_VALUE"""),30.59)</f>
        <v>30.59</v>
      </c>
      <c r="G113" s="191">
        <f>IFERROR(__xludf.DUMMYFUNCTION("""COMPUTED_VALUE"""),1899121.0)</f>
        <v>1899121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</row>
    <row r="114" ht="17.25" customHeight="1">
      <c r="A114" s="112"/>
      <c r="B114" s="189">
        <f>IFERROR(__xludf.DUMMYFUNCTION("""COMPUTED_VALUE"""),45204.5625)</f>
        <v>45204.5625</v>
      </c>
      <c r="C114" s="190">
        <f>IFERROR(__xludf.DUMMYFUNCTION("""COMPUTED_VALUE"""),30.64)</f>
        <v>30.64</v>
      </c>
      <c r="D114" s="190">
        <f>IFERROR(__xludf.DUMMYFUNCTION("""COMPUTED_VALUE"""),30.99)</f>
        <v>30.99</v>
      </c>
      <c r="E114" s="190">
        <f>IFERROR(__xludf.DUMMYFUNCTION("""COMPUTED_VALUE"""),30.64)</f>
        <v>30.64</v>
      </c>
      <c r="F114" s="190">
        <f>IFERROR(__xludf.DUMMYFUNCTION("""COMPUTED_VALUE"""),30.97)</f>
        <v>30.97</v>
      </c>
      <c r="G114" s="191">
        <f>IFERROR(__xludf.DUMMYFUNCTION("""COMPUTED_VALUE"""),1486309.0)</f>
        <v>1486309</v>
      </c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</row>
    <row r="115" ht="17.25" customHeight="1">
      <c r="A115" s="112"/>
      <c r="B115" s="189">
        <f>IFERROR(__xludf.DUMMYFUNCTION("""COMPUTED_VALUE"""),45205.5625)</f>
        <v>45205.5625</v>
      </c>
      <c r="C115" s="190">
        <f>IFERROR(__xludf.DUMMYFUNCTION("""COMPUTED_VALUE"""),31.0)</f>
        <v>31</v>
      </c>
      <c r="D115" s="190">
        <f>IFERROR(__xludf.DUMMYFUNCTION("""COMPUTED_VALUE"""),31.16)</f>
        <v>31.16</v>
      </c>
      <c r="E115" s="190">
        <f>IFERROR(__xludf.DUMMYFUNCTION("""COMPUTED_VALUE"""),31.0)</f>
        <v>31</v>
      </c>
      <c r="F115" s="190">
        <f>IFERROR(__xludf.DUMMYFUNCTION("""COMPUTED_VALUE"""),31.12)</f>
        <v>31.12</v>
      </c>
      <c r="G115" s="191">
        <f>IFERROR(__xludf.DUMMYFUNCTION("""COMPUTED_VALUE"""),2212391.0)</f>
        <v>2212391</v>
      </c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</row>
    <row r="116" ht="17.25" customHeight="1">
      <c r="A116" s="112"/>
      <c r="B116" s="189">
        <f>IFERROR(__xludf.DUMMYFUNCTION("""COMPUTED_VALUE"""),45210.5625)</f>
        <v>45210.5625</v>
      </c>
      <c r="C116" s="190">
        <f>IFERROR(__xludf.DUMMYFUNCTION("""COMPUTED_VALUE"""),31.41)</f>
        <v>31.41</v>
      </c>
      <c r="D116" s="190">
        <f>IFERROR(__xludf.DUMMYFUNCTION("""COMPUTED_VALUE"""),31.58)</f>
        <v>31.58</v>
      </c>
      <c r="E116" s="190">
        <f>IFERROR(__xludf.DUMMYFUNCTION("""COMPUTED_VALUE"""),31.41)</f>
        <v>31.41</v>
      </c>
      <c r="F116" s="190">
        <f>IFERROR(__xludf.DUMMYFUNCTION("""COMPUTED_VALUE"""),31.56)</f>
        <v>31.56</v>
      </c>
      <c r="G116" s="191">
        <f>IFERROR(__xludf.DUMMYFUNCTION("""COMPUTED_VALUE"""),2371916.0)</f>
        <v>2371916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</row>
    <row r="117" ht="17.25" customHeight="1">
      <c r="A117" s="112"/>
      <c r="B117" s="189">
        <f>IFERROR(__xludf.DUMMYFUNCTION("""COMPUTED_VALUE"""),45211.5625)</f>
        <v>45211.5625</v>
      </c>
      <c r="C117" s="190">
        <f>IFERROR(__xludf.DUMMYFUNCTION("""COMPUTED_VALUE"""),31.59)</f>
        <v>31.59</v>
      </c>
      <c r="D117" s="190">
        <f>IFERROR(__xludf.DUMMYFUNCTION("""COMPUTED_VALUE"""),31.81)</f>
        <v>31.81</v>
      </c>
      <c r="E117" s="190">
        <f>IFERROR(__xludf.DUMMYFUNCTION("""COMPUTED_VALUE"""),31.58)</f>
        <v>31.58</v>
      </c>
      <c r="F117" s="190">
        <f>IFERROR(__xludf.DUMMYFUNCTION("""COMPUTED_VALUE"""),31.81)</f>
        <v>31.81</v>
      </c>
      <c r="G117" s="191">
        <f>IFERROR(__xludf.DUMMYFUNCTION("""COMPUTED_VALUE"""),1524985.0)</f>
        <v>1524985</v>
      </c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</row>
    <row r="118" ht="17.25" customHeight="1">
      <c r="A118" s="112"/>
      <c r="B118" s="189">
        <f>IFERROR(__xludf.DUMMYFUNCTION("""COMPUTED_VALUE"""),45212.5625)</f>
        <v>45212.5625</v>
      </c>
      <c r="C118" s="190">
        <f>IFERROR(__xludf.DUMMYFUNCTION("""COMPUTED_VALUE"""),31.77)</f>
        <v>31.77</v>
      </c>
      <c r="D118" s="190">
        <f>IFERROR(__xludf.DUMMYFUNCTION("""COMPUTED_VALUE"""),31.77)</f>
        <v>31.77</v>
      </c>
      <c r="E118" s="190">
        <f>IFERROR(__xludf.DUMMYFUNCTION("""COMPUTED_VALUE"""),31.6)</f>
        <v>31.6</v>
      </c>
      <c r="F118" s="190">
        <f>IFERROR(__xludf.DUMMYFUNCTION("""COMPUTED_VALUE"""),31.74)</f>
        <v>31.74</v>
      </c>
      <c r="G118" s="191">
        <f>IFERROR(__xludf.DUMMYFUNCTION("""COMPUTED_VALUE"""),2286404.0)</f>
        <v>2286404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ht="17.25" customHeight="1">
      <c r="A119" s="112"/>
      <c r="B119" s="189">
        <f>IFERROR(__xludf.DUMMYFUNCTION("""COMPUTED_VALUE"""),45215.5625)</f>
        <v>45215.5625</v>
      </c>
      <c r="C119" s="190">
        <f>IFERROR(__xludf.DUMMYFUNCTION("""COMPUTED_VALUE"""),31.56)</f>
        <v>31.56</v>
      </c>
      <c r="D119" s="190">
        <f>IFERROR(__xludf.DUMMYFUNCTION("""COMPUTED_VALUE"""),31.6)</f>
        <v>31.6</v>
      </c>
      <c r="E119" s="190">
        <f>IFERROR(__xludf.DUMMYFUNCTION("""COMPUTED_VALUE"""),31.45)</f>
        <v>31.45</v>
      </c>
      <c r="F119" s="190">
        <f>IFERROR(__xludf.DUMMYFUNCTION("""COMPUTED_VALUE"""),31.58)</f>
        <v>31.58</v>
      </c>
      <c r="G119" s="191">
        <f>IFERROR(__xludf.DUMMYFUNCTION("""COMPUTED_VALUE"""),2134931.0)</f>
        <v>2134931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ht="17.25" customHeight="1">
      <c r="A120" s="112"/>
      <c r="B120" s="189">
        <f>IFERROR(__xludf.DUMMYFUNCTION("""COMPUTED_VALUE"""),45216.5625)</f>
        <v>45216.5625</v>
      </c>
      <c r="C120" s="190">
        <f>IFERROR(__xludf.DUMMYFUNCTION("""COMPUTED_VALUE"""),31.63)</f>
        <v>31.63</v>
      </c>
      <c r="D120" s="190">
        <f>IFERROR(__xludf.DUMMYFUNCTION("""COMPUTED_VALUE"""),31.71)</f>
        <v>31.71</v>
      </c>
      <c r="E120" s="190">
        <f>IFERROR(__xludf.DUMMYFUNCTION("""COMPUTED_VALUE"""),31.53)</f>
        <v>31.53</v>
      </c>
      <c r="F120" s="190">
        <f>IFERROR(__xludf.DUMMYFUNCTION("""COMPUTED_VALUE"""),31.55)</f>
        <v>31.55</v>
      </c>
      <c r="G120" s="191">
        <f>IFERROR(__xludf.DUMMYFUNCTION("""COMPUTED_VALUE"""),671822.0)</f>
        <v>671822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</row>
    <row r="121" ht="17.25" customHeight="1">
      <c r="A121" s="112"/>
      <c r="B121" s="189">
        <f>IFERROR(__xludf.DUMMYFUNCTION("""COMPUTED_VALUE"""),45217.5625)</f>
        <v>45217.5625</v>
      </c>
      <c r="C121" s="190">
        <f>IFERROR(__xludf.DUMMYFUNCTION("""COMPUTED_VALUE"""),31.52)</f>
        <v>31.52</v>
      </c>
      <c r="D121" s="190">
        <f>IFERROR(__xludf.DUMMYFUNCTION("""COMPUTED_VALUE"""),31.52)</f>
        <v>31.52</v>
      </c>
      <c r="E121" s="190">
        <f>IFERROR(__xludf.DUMMYFUNCTION("""COMPUTED_VALUE"""),31.18)</f>
        <v>31.18</v>
      </c>
      <c r="F121" s="190">
        <f>IFERROR(__xludf.DUMMYFUNCTION("""COMPUTED_VALUE"""),31.21)</f>
        <v>31.21</v>
      </c>
      <c r="G121" s="191">
        <f>IFERROR(__xludf.DUMMYFUNCTION("""COMPUTED_VALUE"""),2051399.0)</f>
        <v>2051399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</row>
    <row r="122" ht="17.25" customHeight="1">
      <c r="A122" s="112"/>
      <c r="B122" s="189">
        <f>IFERROR(__xludf.DUMMYFUNCTION("""COMPUTED_VALUE"""),45218.5625)</f>
        <v>45218.5625</v>
      </c>
      <c r="C122" s="190">
        <f>IFERROR(__xludf.DUMMYFUNCTION("""COMPUTED_VALUE"""),31.25)</f>
        <v>31.25</v>
      </c>
      <c r="D122" s="190">
        <f>IFERROR(__xludf.DUMMYFUNCTION("""COMPUTED_VALUE"""),31.28)</f>
        <v>31.28</v>
      </c>
      <c r="E122" s="190">
        <f>IFERROR(__xludf.DUMMYFUNCTION("""COMPUTED_VALUE"""),31.1)</f>
        <v>31.1</v>
      </c>
      <c r="F122" s="190">
        <f>IFERROR(__xludf.DUMMYFUNCTION("""COMPUTED_VALUE"""),31.25)</f>
        <v>31.25</v>
      </c>
      <c r="G122" s="191">
        <f>IFERROR(__xludf.DUMMYFUNCTION("""COMPUTED_VALUE"""),1029378.0)</f>
        <v>1029378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</row>
    <row r="123" ht="17.25" customHeight="1">
      <c r="A123" s="112"/>
      <c r="B123" s="189">
        <f>IFERROR(__xludf.DUMMYFUNCTION("""COMPUTED_VALUE"""),45219.5625)</f>
        <v>45219.5625</v>
      </c>
      <c r="C123" s="190">
        <f>IFERROR(__xludf.DUMMYFUNCTION("""COMPUTED_VALUE"""),31.21)</f>
        <v>31.21</v>
      </c>
      <c r="D123" s="190">
        <f>IFERROR(__xludf.DUMMYFUNCTION("""COMPUTED_VALUE"""),31.3)</f>
        <v>31.3</v>
      </c>
      <c r="E123" s="190">
        <f>IFERROR(__xludf.DUMMYFUNCTION("""COMPUTED_VALUE"""),30.94)</f>
        <v>30.94</v>
      </c>
      <c r="F123" s="190">
        <f>IFERROR(__xludf.DUMMYFUNCTION("""COMPUTED_VALUE"""),31.27)</f>
        <v>31.27</v>
      </c>
      <c r="G123" s="191">
        <f>IFERROR(__xludf.DUMMYFUNCTION("""COMPUTED_VALUE"""),2797817.0)</f>
        <v>2797817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</row>
    <row r="124" ht="17.25" customHeight="1">
      <c r="A124" s="112"/>
      <c r="B124" s="189">
        <f>IFERROR(__xludf.DUMMYFUNCTION("""COMPUTED_VALUE"""),45222.5625)</f>
        <v>45222.5625</v>
      </c>
      <c r="C124" s="190">
        <f>IFERROR(__xludf.DUMMYFUNCTION("""COMPUTED_VALUE"""),31.15)</f>
        <v>31.15</v>
      </c>
      <c r="D124" s="190">
        <f>IFERROR(__xludf.DUMMYFUNCTION("""COMPUTED_VALUE"""),31.15)</f>
        <v>31.15</v>
      </c>
      <c r="E124" s="190">
        <f>IFERROR(__xludf.DUMMYFUNCTION("""COMPUTED_VALUE"""),30.87)</f>
        <v>30.87</v>
      </c>
      <c r="F124" s="190">
        <f>IFERROR(__xludf.DUMMYFUNCTION("""COMPUTED_VALUE"""),30.9)</f>
        <v>30.9</v>
      </c>
      <c r="G124" s="191">
        <f>IFERROR(__xludf.DUMMYFUNCTION("""COMPUTED_VALUE"""),1714369.0)</f>
        <v>1714369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</row>
    <row r="125" ht="17.25" customHeight="1">
      <c r="A125" s="112"/>
      <c r="B125" s="189">
        <f>IFERROR(__xludf.DUMMYFUNCTION("""COMPUTED_VALUE"""),45223.5625)</f>
        <v>45223.5625</v>
      </c>
      <c r="C125" s="190">
        <f>IFERROR(__xludf.DUMMYFUNCTION("""COMPUTED_VALUE"""),30.9)</f>
        <v>30.9</v>
      </c>
      <c r="D125" s="190">
        <f>IFERROR(__xludf.DUMMYFUNCTION("""COMPUTED_VALUE"""),30.94)</f>
        <v>30.94</v>
      </c>
      <c r="E125" s="190">
        <f>IFERROR(__xludf.DUMMYFUNCTION("""COMPUTED_VALUE"""),30.67)</f>
        <v>30.67</v>
      </c>
      <c r="F125" s="190">
        <f>IFERROR(__xludf.DUMMYFUNCTION("""COMPUTED_VALUE"""),30.93)</f>
        <v>30.93</v>
      </c>
      <c r="G125" s="191">
        <f>IFERROR(__xludf.DUMMYFUNCTION("""COMPUTED_VALUE"""),2247564.0)</f>
        <v>2247564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</row>
    <row r="126" ht="17.25" customHeight="1">
      <c r="A126" s="112"/>
      <c r="B126" s="189">
        <f>IFERROR(__xludf.DUMMYFUNCTION("""COMPUTED_VALUE"""),45224.5625)</f>
        <v>45224.5625</v>
      </c>
      <c r="C126" s="190">
        <f>IFERROR(__xludf.DUMMYFUNCTION("""COMPUTED_VALUE"""),30.93)</f>
        <v>30.93</v>
      </c>
      <c r="D126" s="190">
        <f>IFERROR(__xludf.DUMMYFUNCTION("""COMPUTED_VALUE"""),31.16)</f>
        <v>31.16</v>
      </c>
      <c r="E126" s="190">
        <f>IFERROR(__xludf.DUMMYFUNCTION("""COMPUTED_VALUE"""),30.93)</f>
        <v>30.93</v>
      </c>
      <c r="F126" s="190">
        <f>IFERROR(__xludf.DUMMYFUNCTION("""COMPUTED_VALUE"""),30.98)</f>
        <v>30.98</v>
      </c>
      <c r="G126" s="191">
        <f>IFERROR(__xludf.DUMMYFUNCTION("""COMPUTED_VALUE"""),853990.0)</f>
        <v>853990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</row>
    <row r="127" ht="17.25" customHeight="1">
      <c r="A127" s="112"/>
      <c r="B127" s="189">
        <f>IFERROR(__xludf.DUMMYFUNCTION("""COMPUTED_VALUE"""),45225.5625)</f>
        <v>45225.5625</v>
      </c>
      <c r="C127" s="190">
        <f>IFERROR(__xludf.DUMMYFUNCTION("""COMPUTED_VALUE"""),30.6)</f>
        <v>30.6</v>
      </c>
      <c r="D127" s="190">
        <f>IFERROR(__xludf.DUMMYFUNCTION("""COMPUTED_VALUE"""),30.6)</f>
        <v>30.6</v>
      </c>
      <c r="E127" s="190">
        <f>IFERROR(__xludf.DUMMYFUNCTION("""COMPUTED_VALUE"""),30.41)</f>
        <v>30.41</v>
      </c>
      <c r="F127" s="190">
        <f>IFERROR(__xludf.DUMMYFUNCTION("""COMPUTED_VALUE"""),30.44)</f>
        <v>30.44</v>
      </c>
      <c r="G127" s="191">
        <f>IFERROR(__xludf.DUMMYFUNCTION("""COMPUTED_VALUE"""),4714373.0)</f>
        <v>4714373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</row>
    <row r="128" ht="17.25" customHeight="1">
      <c r="A128" s="112"/>
      <c r="B128" s="189">
        <f>IFERROR(__xludf.DUMMYFUNCTION("""COMPUTED_VALUE"""),45226.5625)</f>
        <v>45226.5625</v>
      </c>
      <c r="C128" s="190">
        <f>IFERROR(__xludf.DUMMYFUNCTION("""COMPUTED_VALUE"""),30.48)</f>
        <v>30.48</v>
      </c>
      <c r="D128" s="190">
        <f>IFERROR(__xludf.DUMMYFUNCTION("""COMPUTED_VALUE"""),30.69)</f>
        <v>30.69</v>
      </c>
      <c r="E128" s="190">
        <f>IFERROR(__xludf.DUMMYFUNCTION("""COMPUTED_VALUE"""),30.48)</f>
        <v>30.48</v>
      </c>
      <c r="F128" s="190">
        <f>IFERROR(__xludf.DUMMYFUNCTION("""COMPUTED_VALUE"""),30.54)</f>
        <v>30.54</v>
      </c>
      <c r="G128" s="191">
        <f>IFERROR(__xludf.DUMMYFUNCTION("""COMPUTED_VALUE"""),1362598.0)</f>
        <v>1362598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</row>
    <row r="129" ht="17.25" customHeight="1">
      <c r="A129" s="112"/>
      <c r="B129" s="189">
        <f>IFERROR(__xludf.DUMMYFUNCTION("""COMPUTED_VALUE"""),45229.5625)</f>
        <v>45229.5625</v>
      </c>
      <c r="C129" s="190">
        <f>IFERROR(__xludf.DUMMYFUNCTION("""COMPUTED_VALUE"""),30.54)</f>
        <v>30.54</v>
      </c>
      <c r="D129" s="190">
        <f>IFERROR(__xludf.DUMMYFUNCTION("""COMPUTED_VALUE"""),30.7)</f>
        <v>30.7</v>
      </c>
      <c r="E129" s="190">
        <f>IFERROR(__xludf.DUMMYFUNCTION("""COMPUTED_VALUE"""),30.43)</f>
        <v>30.43</v>
      </c>
      <c r="F129" s="190">
        <f>IFERROR(__xludf.DUMMYFUNCTION("""COMPUTED_VALUE"""),30.53)</f>
        <v>30.53</v>
      </c>
      <c r="G129" s="191">
        <f>IFERROR(__xludf.DUMMYFUNCTION("""COMPUTED_VALUE"""),2601834.0)</f>
        <v>2601834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</row>
    <row r="130" ht="17.25" customHeight="1">
      <c r="A130" s="112"/>
      <c r="B130" s="189">
        <f>IFERROR(__xludf.DUMMYFUNCTION("""COMPUTED_VALUE"""),45230.5625)</f>
        <v>45230.5625</v>
      </c>
      <c r="C130" s="190">
        <f>IFERROR(__xludf.DUMMYFUNCTION("""COMPUTED_VALUE"""),30.53)</f>
        <v>30.53</v>
      </c>
      <c r="D130" s="190">
        <f>IFERROR(__xludf.DUMMYFUNCTION("""COMPUTED_VALUE"""),30.55)</f>
        <v>30.55</v>
      </c>
      <c r="E130" s="190">
        <f>IFERROR(__xludf.DUMMYFUNCTION("""COMPUTED_VALUE"""),30.29)</f>
        <v>30.29</v>
      </c>
      <c r="F130" s="190">
        <f>IFERROR(__xludf.DUMMYFUNCTION("""COMPUTED_VALUE"""),30.33)</f>
        <v>30.33</v>
      </c>
      <c r="G130" s="191">
        <f>IFERROR(__xludf.DUMMYFUNCTION("""COMPUTED_VALUE"""),1775741.0)</f>
        <v>1775741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</row>
    <row r="131" ht="17.25" customHeight="1">
      <c r="A131" s="112"/>
      <c r="B131" s="189">
        <f>IFERROR(__xludf.DUMMYFUNCTION("""COMPUTED_VALUE"""),45231.5625)</f>
        <v>45231.5625</v>
      </c>
      <c r="C131" s="190">
        <f>IFERROR(__xludf.DUMMYFUNCTION("""COMPUTED_VALUE"""),30.42)</f>
        <v>30.42</v>
      </c>
      <c r="D131" s="190">
        <f>IFERROR(__xludf.DUMMYFUNCTION("""COMPUTED_VALUE"""),30.49)</f>
        <v>30.49</v>
      </c>
      <c r="E131" s="190">
        <f>IFERROR(__xludf.DUMMYFUNCTION("""COMPUTED_VALUE"""),30.3)</f>
        <v>30.3</v>
      </c>
      <c r="F131" s="190">
        <f>IFERROR(__xludf.DUMMYFUNCTION("""COMPUTED_VALUE"""),30.4)</f>
        <v>30.4</v>
      </c>
      <c r="G131" s="191">
        <f>IFERROR(__xludf.DUMMYFUNCTION("""COMPUTED_VALUE"""),1423697.0)</f>
        <v>1423697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</row>
    <row r="132" ht="17.25" customHeight="1">
      <c r="A132" s="112"/>
      <c r="B132" s="189">
        <f>IFERROR(__xludf.DUMMYFUNCTION("""COMPUTED_VALUE"""),45232.5625)</f>
        <v>45232.5625</v>
      </c>
      <c r="C132" s="190">
        <f>IFERROR(__xludf.DUMMYFUNCTION("""COMPUTED_VALUE"""),30.7)</f>
        <v>30.7</v>
      </c>
      <c r="D132" s="190">
        <f>IFERROR(__xludf.DUMMYFUNCTION("""COMPUTED_VALUE"""),31.09)</f>
        <v>31.09</v>
      </c>
      <c r="E132" s="190">
        <f>IFERROR(__xludf.DUMMYFUNCTION("""COMPUTED_VALUE"""),30.7)</f>
        <v>30.7</v>
      </c>
      <c r="F132" s="190">
        <f>IFERROR(__xludf.DUMMYFUNCTION("""COMPUTED_VALUE"""),31.09)</f>
        <v>31.09</v>
      </c>
      <c r="G132" s="191">
        <f>IFERROR(__xludf.DUMMYFUNCTION("""COMPUTED_VALUE"""),1132076.0)</f>
        <v>1132076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</row>
    <row r="133" ht="17.25" customHeight="1">
      <c r="A133" s="112"/>
      <c r="B133" s="189">
        <f>IFERROR(__xludf.DUMMYFUNCTION("""COMPUTED_VALUE"""),45233.5625)</f>
        <v>45233.5625</v>
      </c>
      <c r="C133" s="190">
        <f>IFERROR(__xludf.DUMMYFUNCTION("""COMPUTED_VALUE"""),31.29)</f>
        <v>31.29</v>
      </c>
      <c r="D133" s="190">
        <f>IFERROR(__xludf.DUMMYFUNCTION("""COMPUTED_VALUE"""),31.32)</f>
        <v>31.32</v>
      </c>
      <c r="E133" s="190">
        <f>IFERROR(__xludf.DUMMYFUNCTION("""COMPUTED_VALUE"""),31.18)</f>
        <v>31.18</v>
      </c>
      <c r="F133" s="190">
        <f>IFERROR(__xludf.DUMMYFUNCTION("""COMPUTED_VALUE"""),31.31)</f>
        <v>31.31</v>
      </c>
      <c r="G133" s="191">
        <f>IFERROR(__xludf.DUMMYFUNCTION("""COMPUTED_VALUE"""),1696287.0)</f>
        <v>1696287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</row>
    <row r="134" ht="17.25" customHeight="1">
      <c r="A134" s="112"/>
      <c r="B134" s="189">
        <f>IFERROR(__xludf.DUMMYFUNCTION("""COMPUTED_VALUE"""),45236.5625)</f>
        <v>45236.5625</v>
      </c>
      <c r="C134" s="190">
        <f>IFERROR(__xludf.DUMMYFUNCTION("""COMPUTED_VALUE"""),31.4)</f>
        <v>31.4</v>
      </c>
      <c r="D134" s="190">
        <f>IFERROR(__xludf.DUMMYFUNCTION("""COMPUTED_VALUE"""),31.74)</f>
        <v>31.74</v>
      </c>
      <c r="E134" s="190">
        <f>IFERROR(__xludf.DUMMYFUNCTION("""COMPUTED_VALUE"""),31.4)</f>
        <v>31.4</v>
      </c>
      <c r="F134" s="190">
        <f>IFERROR(__xludf.DUMMYFUNCTION("""COMPUTED_VALUE"""),31.58)</f>
        <v>31.58</v>
      </c>
      <c r="G134" s="191">
        <f>IFERROR(__xludf.DUMMYFUNCTION("""COMPUTED_VALUE"""),3450750.0)</f>
        <v>3450750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</row>
    <row r="135" ht="17.25" customHeight="1">
      <c r="A135" s="112"/>
      <c r="B135" s="189">
        <f>IFERROR(__xludf.DUMMYFUNCTION("""COMPUTED_VALUE"""),45237.5625)</f>
        <v>45237.5625</v>
      </c>
      <c r="C135" s="190">
        <f>IFERROR(__xludf.DUMMYFUNCTION("""COMPUTED_VALUE"""),31.53)</f>
        <v>31.53</v>
      </c>
      <c r="D135" s="190">
        <f>IFERROR(__xludf.DUMMYFUNCTION("""COMPUTED_VALUE"""),31.6)</f>
        <v>31.6</v>
      </c>
      <c r="E135" s="190">
        <f>IFERROR(__xludf.DUMMYFUNCTION("""COMPUTED_VALUE"""),31.49)</f>
        <v>31.49</v>
      </c>
      <c r="F135" s="190">
        <f>IFERROR(__xludf.DUMMYFUNCTION("""COMPUTED_VALUE"""),31.59)</f>
        <v>31.59</v>
      </c>
      <c r="G135" s="191">
        <f>IFERROR(__xludf.DUMMYFUNCTION("""COMPUTED_VALUE"""),1549612.0)</f>
        <v>1549612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</row>
    <row r="136" ht="17.25" customHeight="1">
      <c r="A136" s="112"/>
      <c r="B136" s="189">
        <f>IFERROR(__xludf.DUMMYFUNCTION("""COMPUTED_VALUE"""),45238.5625)</f>
        <v>45238.5625</v>
      </c>
      <c r="C136" s="190">
        <f>IFERROR(__xludf.DUMMYFUNCTION("""COMPUTED_VALUE"""),31.59)</f>
        <v>31.59</v>
      </c>
      <c r="D136" s="190">
        <f>IFERROR(__xludf.DUMMYFUNCTION("""COMPUTED_VALUE"""),31.79)</f>
        <v>31.79</v>
      </c>
      <c r="E136" s="190">
        <f>IFERROR(__xludf.DUMMYFUNCTION("""COMPUTED_VALUE"""),31.59)</f>
        <v>31.59</v>
      </c>
      <c r="F136" s="190">
        <f>IFERROR(__xludf.DUMMYFUNCTION("""COMPUTED_VALUE"""),31.71)</f>
        <v>31.71</v>
      </c>
      <c r="G136" s="191">
        <f>IFERROR(__xludf.DUMMYFUNCTION("""COMPUTED_VALUE"""),2448997.0)</f>
        <v>2448997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</row>
    <row r="137" ht="17.25" customHeight="1">
      <c r="A137" s="112"/>
      <c r="B137" s="189">
        <f>IFERROR(__xludf.DUMMYFUNCTION("""COMPUTED_VALUE"""),45239.5625)</f>
        <v>45239.5625</v>
      </c>
      <c r="C137" s="190">
        <f>IFERROR(__xludf.DUMMYFUNCTION("""COMPUTED_VALUE"""),31.68)</f>
        <v>31.68</v>
      </c>
      <c r="D137" s="190">
        <f>IFERROR(__xludf.DUMMYFUNCTION("""COMPUTED_VALUE"""),31.79)</f>
        <v>31.79</v>
      </c>
      <c r="E137" s="190">
        <f>IFERROR(__xludf.DUMMYFUNCTION("""COMPUTED_VALUE"""),31.64)</f>
        <v>31.64</v>
      </c>
      <c r="F137" s="190">
        <f>IFERROR(__xludf.DUMMYFUNCTION("""COMPUTED_VALUE"""),31.77)</f>
        <v>31.77</v>
      </c>
      <c r="G137" s="191">
        <f>IFERROR(__xludf.DUMMYFUNCTION("""COMPUTED_VALUE"""),2073469.0)</f>
        <v>2073469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</row>
    <row r="138" ht="17.25" customHeight="1">
      <c r="A138" s="112"/>
      <c r="B138" s="189">
        <f>IFERROR(__xludf.DUMMYFUNCTION("""COMPUTED_VALUE"""),45240.5625)</f>
        <v>45240.5625</v>
      </c>
      <c r="C138" s="190">
        <f>IFERROR(__xludf.DUMMYFUNCTION("""COMPUTED_VALUE"""),31.65)</f>
        <v>31.65</v>
      </c>
      <c r="D138" s="190">
        <f>IFERROR(__xludf.DUMMYFUNCTION("""COMPUTED_VALUE"""),31.66)</f>
        <v>31.66</v>
      </c>
      <c r="E138" s="190">
        <f>IFERROR(__xludf.DUMMYFUNCTION("""COMPUTED_VALUE"""),31.58)</f>
        <v>31.58</v>
      </c>
      <c r="F138" s="190">
        <f>IFERROR(__xludf.DUMMYFUNCTION("""COMPUTED_VALUE"""),31.64)</f>
        <v>31.64</v>
      </c>
      <c r="G138" s="191">
        <f>IFERROR(__xludf.DUMMYFUNCTION("""COMPUTED_VALUE"""),3892524.0)</f>
        <v>3892524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</row>
    <row r="139" ht="17.25" customHeight="1">
      <c r="A139" s="112"/>
      <c r="B139" s="189">
        <f>IFERROR(__xludf.DUMMYFUNCTION("""COMPUTED_VALUE"""),45243.5625)</f>
        <v>45243.5625</v>
      </c>
      <c r="C139" s="190">
        <f>IFERROR(__xludf.DUMMYFUNCTION("""COMPUTED_VALUE"""),32.17)</f>
        <v>32.17</v>
      </c>
      <c r="D139" s="190">
        <f>IFERROR(__xludf.DUMMYFUNCTION("""COMPUTED_VALUE"""),32.25)</f>
        <v>32.25</v>
      </c>
      <c r="E139" s="190">
        <f>IFERROR(__xludf.DUMMYFUNCTION("""COMPUTED_VALUE"""),32.0)</f>
        <v>32</v>
      </c>
      <c r="F139" s="190">
        <f>IFERROR(__xludf.DUMMYFUNCTION("""COMPUTED_VALUE"""),32.04)</f>
        <v>32.04</v>
      </c>
      <c r="G139" s="191">
        <f>IFERROR(__xludf.DUMMYFUNCTION("""COMPUTED_VALUE"""),3523767.0)</f>
        <v>3523767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</row>
    <row r="140" ht="17.25" customHeight="1">
      <c r="A140" s="112"/>
      <c r="B140" s="189">
        <f>IFERROR(__xludf.DUMMYFUNCTION("""COMPUTED_VALUE"""),45244.5625)</f>
        <v>45244.5625</v>
      </c>
      <c r="C140" s="190">
        <f>IFERROR(__xludf.DUMMYFUNCTION("""COMPUTED_VALUE"""),32.14)</f>
        <v>32.14</v>
      </c>
      <c r="D140" s="190">
        <f>IFERROR(__xludf.DUMMYFUNCTION("""COMPUTED_VALUE"""),32.24)</f>
        <v>32.24</v>
      </c>
      <c r="E140" s="190">
        <f>IFERROR(__xludf.DUMMYFUNCTION("""COMPUTED_VALUE"""),32.13)</f>
        <v>32.13</v>
      </c>
      <c r="F140" s="190">
        <f>IFERROR(__xludf.DUMMYFUNCTION("""COMPUTED_VALUE"""),32.15)</f>
        <v>32.15</v>
      </c>
      <c r="G140" s="191">
        <f>IFERROR(__xludf.DUMMYFUNCTION("""COMPUTED_VALUE"""),5184487.0)</f>
        <v>5184487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</row>
    <row r="141" ht="17.25" customHeight="1">
      <c r="A141" s="112"/>
      <c r="B141" s="189">
        <f>IFERROR(__xludf.DUMMYFUNCTION("""COMPUTED_VALUE"""),45245.5625)</f>
        <v>45245.5625</v>
      </c>
      <c r="C141" s="190">
        <f>IFERROR(__xludf.DUMMYFUNCTION("""COMPUTED_VALUE"""),32.55)</f>
        <v>32.55</v>
      </c>
      <c r="D141" s="190">
        <f>IFERROR(__xludf.DUMMYFUNCTION("""COMPUTED_VALUE"""),32.58)</f>
        <v>32.58</v>
      </c>
      <c r="E141" s="190">
        <f>IFERROR(__xludf.DUMMYFUNCTION("""COMPUTED_VALUE"""),32.39)</f>
        <v>32.39</v>
      </c>
      <c r="F141" s="190">
        <f>IFERROR(__xludf.DUMMYFUNCTION("""COMPUTED_VALUE"""),32.55)</f>
        <v>32.55</v>
      </c>
      <c r="G141" s="191">
        <f>IFERROR(__xludf.DUMMYFUNCTION("""COMPUTED_VALUE"""),7398848.0)</f>
        <v>7398848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</row>
    <row r="142" ht="17.25" customHeight="1">
      <c r="A142" s="112"/>
      <c r="B142" s="189">
        <f>IFERROR(__xludf.DUMMYFUNCTION("""COMPUTED_VALUE"""),45246.5625)</f>
        <v>45246.5625</v>
      </c>
      <c r="C142" s="190">
        <f>IFERROR(__xludf.DUMMYFUNCTION("""COMPUTED_VALUE"""),31.65)</f>
        <v>31.65</v>
      </c>
      <c r="D142" s="190">
        <f>IFERROR(__xludf.DUMMYFUNCTION("""COMPUTED_VALUE"""),31.65)</f>
        <v>31.65</v>
      </c>
      <c r="E142" s="190">
        <f>IFERROR(__xludf.DUMMYFUNCTION("""COMPUTED_VALUE"""),31.41)</f>
        <v>31.41</v>
      </c>
      <c r="F142" s="190">
        <f>IFERROR(__xludf.DUMMYFUNCTION("""COMPUTED_VALUE"""),31.54)</f>
        <v>31.54</v>
      </c>
      <c r="G142" s="191">
        <f>IFERROR(__xludf.DUMMYFUNCTION("""COMPUTED_VALUE"""),6902967.0)</f>
        <v>6902967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</row>
    <row r="143" ht="17.25" customHeight="1">
      <c r="A143" s="112"/>
      <c r="B143" s="189">
        <f>IFERROR(__xludf.DUMMYFUNCTION("""COMPUTED_VALUE"""),45247.5625)</f>
        <v>45247.5625</v>
      </c>
      <c r="C143" s="190">
        <f>IFERROR(__xludf.DUMMYFUNCTION("""COMPUTED_VALUE"""),31.54)</f>
        <v>31.54</v>
      </c>
      <c r="D143" s="190">
        <f>IFERROR(__xludf.DUMMYFUNCTION("""COMPUTED_VALUE"""),31.61)</f>
        <v>31.61</v>
      </c>
      <c r="E143" s="190">
        <f>IFERROR(__xludf.DUMMYFUNCTION("""COMPUTED_VALUE"""),31.49)</f>
        <v>31.49</v>
      </c>
      <c r="F143" s="190">
        <f>IFERROR(__xludf.DUMMYFUNCTION("""COMPUTED_VALUE"""),31.54)</f>
        <v>31.54</v>
      </c>
      <c r="G143" s="191">
        <f>IFERROR(__xludf.DUMMYFUNCTION("""COMPUTED_VALUE"""),4210341.0)</f>
        <v>4210341</v>
      </c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</row>
    <row r="144" ht="17.25" customHeight="1">
      <c r="A144" s="112"/>
      <c r="B144" s="189">
        <f>IFERROR(__xludf.DUMMYFUNCTION("""COMPUTED_VALUE"""),45250.5625)</f>
        <v>45250.5625</v>
      </c>
      <c r="C144" s="190">
        <f>IFERROR(__xludf.DUMMYFUNCTION("""COMPUTED_VALUE"""),31.54)</f>
        <v>31.54</v>
      </c>
      <c r="D144" s="190">
        <f>IFERROR(__xludf.DUMMYFUNCTION("""COMPUTED_VALUE"""),31.58)</f>
        <v>31.58</v>
      </c>
      <c r="E144" s="190">
        <f>IFERROR(__xludf.DUMMYFUNCTION("""COMPUTED_VALUE"""),31.4)</f>
        <v>31.4</v>
      </c>
      <c r="F144" s="190">
        <f>IFERROR(__xludf.DUMMYFUNCTION("""COMPUTED_VALUE"""),31.48)</f>
        <v>31.48</v>
      </c>
      <c r="G144" s="191">
        <f>IFERROR(__xludf.DUMMYFUNCTION("""COMPUTED_VALUE"""),2154839.0)</f>
        <v>2154839</v>
      </c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</row>
    <row r="145" ht="17.25" customHeight="1">
      <c r="A145" s="112"/>
      <c r="B145" s="189">
        <f>IFERROR(__xludf.DUMMYFUNCTION("""COMPUTED_VALUE"""),45251.5625)</f>
        <v>45251.5625</v>
      </c>
      <c r="C145" s="190">
        <f>IFERROR(__xludf.DUMMYFUNCTION("""COMPUTED_VALUE"""),31.6)</f>
        <v>31.6</v>
      </c>
      <c r="D145" s="190">
        <f>IFERROR(__xludf.DUMMYFUNCTION("""COMPUTED_VALUE"""),31.85)</f>
        <v>31.85</v>
      </c>
      <c r="E145" s="190">
        <f>IFERROR(__xludf.DUMMYFUNCTION("""COMPUTED_VALUE"""),31.6)</f>
        <v>31.6</v>
      </c>
      <c r="F145" s="190">
        <f>IFERROR(__xludf.DUMMYFUNCTION("""COMPUTED_VALUE"""),31.85)</f>
        <v>31.85</v>
      </c>
      <c r="G145" s="191">
        <f>IFERROR(__xludf.DUMMYFUNCTION("""COMPUTED_VALUE"""),3484597.0)</f>
        <v>3484597</v>
      </c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ht="17.25" customHeight="1">
      <c r="A146" s="112"/>
      <c r="B146" s="189">
        <f>IFERROR(__xludf.DUMMYFUNCTION("""COMPUTED_VALUE"""),45252.5625)</f>
        <v>45252.5625</v>
      </c>
      <c r="C146" s="190">
        <f>IFERROR(__xludf.DUMMYFUNCTION("""COMPUTED_VALUE"""),31.68)</f>
        <v>31.68</v>
      </c>
      <c r="D146" s="190">
        <f>IFERROR(__xludf.DUMMYFUNCTION("""COMPUTED_VALUE"""),31.68)</f>
        <v>31.68</v>
      </c>
      <c r="E146" s="190">
        <f>IFERROR(__xludf.DUMMYFUNCTION("""COMPUTED_VALUE"""),31.53)</f>
        <v>31.53</v>
      </c>
      <c r="F146" s="190">
        <f>IFERROR(__xludf.DUMMYFUNCTION("""COMPUTED_VALUE"""),31.58)</f>
        <v>31.58</v>
      </c>
      <c r="G146" s="191">
        <f>IFERROR(__xludf.DUMMYFUNCTION("""COMPUTED_VALUE"""),1719041.0)</f>
        <v>1719041</v>
      </c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ht="17.25" customHeight="1">
      <c r="A147" s="112"/>
      <c r="B147" s="189">
        <f>IFERROR(__xludf.DUMMYFUNCTION("""COMPUTED_VALUE"""),45253.5625)</f>
        <v>45253.5625</v>
      </c>
      <c r="C147" s="190">
        <f>IFERROR(__xludf.DUMMYFUNCTION("""COMPUTED_VALUE"""),31.58)</f>
        <v>31.58</v>
      </c>
      <c r="D147" s="190">
        <f>IFERROR(__xludf.DUMMYFUNCTION("""COMPUTED_VALUE"""),31.6)</f>
        <v>31.6</v>
      </c>
      <c r="E147" s="190">
        <f>IFERROR(__xludf.DUMMYFUNCTION("""COMPUTED_VALUE"""),31.46)</f>
        <v>31.46</v>
      </c>
      <c r="F147" s="190">
        <f>IFERROR(__xludf.DUMMYFUNCTION("""COMPUTED_VALUE"""),31.59)</f>
        <v>31.59</v>
      </c>
      <c r="G147" s="191">
        <f>IFERROR(__xludf.DUMMYFUNCTION("""COMPUTED_VALUE"""),1563680.0)</f>
        <v>1563680</v>
      </c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ht="17.25" customHeight="1">
      <c r="A148" s="112"/>
      <c r="B148" s="189">
        <f>IFERROR(__xludf.DUMMYFUNCTION("""COMPUTED_VALUE"""),45254.5625)</f>
        <v>45254.5625</v>
      </c>
      <c r="C148" s="190">
        <f>IFERROR(__xludf.DUMMYFUNCTION("""COMPUTED_VALUE"""),31.59)</f>
        <v>31.59</v>
      </c>
      <c r="D148" s="190">
        <f>IFERROR(__xludf.DUMMYFUNCTION("""COMPUTED_VALUE"""),31.62)</f>
        <v>31.62</v>
      </c>
      <c r="E148" s="190">
        <f>IFERROR(__xludf.DUMMYFUNCTION("""COMPUTED_VALUE"""),31.54)</f>
        <v>31.54</v>
      </c>
      <c r="F148" s="190">
        <f>IFERROR(__xludf.DUMMYFUNCTION("""COMPUTED_VALUE"""),31.58)</f>
        <v>31.58</v>
      </c>
      <c r="G148" s="191">
        <f>IFERROR(__xludf.DUMMYFUNCTION("""COMPUTED_VALUE"""),851263.0)</f>
        <v>851263</v>
      </c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</row>
    <row r="149" ht="17.25" customHeight="1">
      <c r="A149" s="112"/>
      <c r="B149" s="189">
        <f>IFERROR(__xludf.DUMMYFUNCTION("""COMPUTED_VALUE"""),45257.5625)</f>
        <v>45257.5625</v>
      </c>
      <c r="C149" s="190">
        <f>IFERROR(__xludf.DUMMYFUNCTION("""COMPUTED_VALUE"""),31.58)</f>
        <v>31.58</v>
      </c>
      <c r="D149" s="190">
        <f>IFERROR(__xludf.DUMMYFUNCTION("""COMPUTED_VALUE"""),31.7)</f>
        <v>31.7</v>
      </c>
      <c r="E149" s="190">
        <f>IFERROR(__xludf.DUMMYFUNCTION("""COMPUTED_VALUE"""),31.38)</f>
        <v>31.38</v>
      </c>
      <c r="F149" s="190">
        <f>IFERROR(__xludf.DUMMYFUNCTION("""COMPUTED_VALUE"""),31.4)</f>
        <v>31.4</v>
      </c>
      <c r="G149" s="191">
        <f>IFERROR(__xludf.DUMMYFUNCTION("""COMPUTED_VALUE"""),3604773.0)</f>
        <v>3604773</v>
      </c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ht="17.25" customHeight="1">
      <c r="A150" s="112"/>
      <c r="B150" s="189">
        <f>IFERROR(__xludf.DUMMYFUNCTION("""COMPUTED_VALUE"""),45258.5625)</f>
        <v>45258.5625</v>
      </c>
      <c r="C150" s="190">
        <f>IFERROR(__xludf.DUMMYFUNCTION("""COMPUTED_VALUE"""),31.45)</f>
        <v>31.45</v>
      </c>
      <c r="D150" s="190">
        <f>IFERROR(__xludf.DUMMYFUNCTION("""COMPUTED_VALUE"""),31.73)</f>
        <v>31.73</v>
      </c>
      <c r="E150" s="190">
        <f>IFERROR(__xludf.DUMMYFUNCTION("""COMPUTED_VALUE"""),31.45)</f>
        <v>31.45</v>
      </c>
      <c r="F150" s="190">
        <f>IFERROR(__xludf.DUMMYFUNCTION("""COMPUTED_VALUE"""),31.65)</f>
        <v>31.65</v>
      </c>
      <c r="G150" s="191">
        <f>IFERROR(__xludf.DUMMYFUNCTION("""COMPUTED_VALUE"""),3189692.0)</f>
        <v>3189692</v>
      </c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ht="17.25" customHeight="1">
      <c r="A151" s="112"/>
      <c r="B151" s="189">
        <f>IFERROR(__xludf.DUMMYFUNCTION("""COMPUTED_VALUE"""),45259.5625)</f>
        <v>45259.5625</v>
      </c>
      <c r="C151" s="190">
        <f>IFERROR(__xludf.DUMMYFUNCTION("""COMPUTED_VALUE"""),31.67)</f>
        <v>31.67</v>
      </c>
      <c r="D151" s="190">
        <f>IFERROR(__xludf.DUMMYFUNCTION("""COMPUTED_VALUE"""),31.79)</f>
        <v>31.79</v>
      </c>
      <c r="E151" s="190">
        <f>IFERROR(__xludf.DUMMYFUNCTION("""COMPUTED_VALUE"""),31.58)</f>
        <v>31.58</v>
      </c>
      <c r="F151" s="190">
        <f>IFERROR(__xludf.DUMMYFUNCTION("""COMPUTED_VALUE"""),31.6)</f>
        <v>31.6</v>
      </c>
      <c r="G151" s="191">
        <f>IFERROR(__xludf.DUMMYFUNCTION("""COMPUTED_VALUE"""),2111435.0)</f>
        <v>2111435</v>
      </c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ht="17.25" customHeight="1">
      <c r="A152" s="112"/>
      <c r="B152" s="189">
        <f>IFERROR(__xludf.DUMMYFUNCTION("""COMPUTED_VALUE"""),45260.5625)</f>
        <v>45260.5625</v>
      </c>
      <c r="C152" s="190">
        <f>IFERROR(__xludf.DUMMYFUNCTION("""COMPUTED_VALUE"""),31.65)</f>
        <v>31.65</v>
      </c>
      <c r="D152" s="190">
        <f>IFERROR(__xludf.DUMMYFUNCTION("""COMPUTED_VALUE"""),31.68)</f>
        <v>31.68</v>
      </c>
      <c r="E152" s="190">
        <f>IFERROR(__xludf.DUMMYFUNCTION("""COMPUTED_VALUE"""),31.51)</f>
        <v>31.51</v>
      </c>
      <c r="F152" s="190">
        <f>IFERROR(__xludf.DUMMYFUNCTION("""COMPUTED_VALUE"""),31.68)</f>
        <v>31.68</v>
      </c>
      <c r="G152" s="191">
        <f>IFERROR(__xludf.DUMMYFUNCTION("""COMPUTED_VALUE"""),3014446.0)</f>
        <v>3014446</v>
      </c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</row>
    <row r="153" ht="17.25" customHeight="1">
      <c r="A153" s="112"/>
      <c r="B153" s="189">
        <f>IFERROR(__xludf.DUMMYFUNCTION("""COMPUTED_VALUE"""),45261.5625)</f>
        <v>45261.5625</v>
      </c>
      <c r="C153" s="190">
        <f>IFERROR(__xludf.DUMMYFUNCTION("""COMPUTED_VALUE"""),31.62)</f>
        <v>31.62</v>
      </c>
      <c r="D153" s="190">
        <f>IFERROR(__xludf.DUMMYFUNCTION("""COMPUTED_VALUE"""),31.72)</f>
        <v>31.72</v>
      </c>
      <c r="E153" s="190">
        <f>IFERROR(__xludf.DUMMYFUNCTION("""COMPUTED_VALUE"""),31.55)</f>
        <v>31.55</v>
      </c>
      <c r="F153" s="190">
        <f>IFERROR(__xludf.DUMMYFUNCTION("""COMPUTED_VALUE"""),31.7)</f>
        <v>31.7</v>
      </c>
      <c r="G153" s="191">
        <f>IFERROR(__xludf.DUMMYFUNCTION("""COMPUTED_VALUE"""),2311533.0)</f>
        <v>2311533</v>
      </c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ht="17.25" customHeight="1">
      <c r="A154" s="112"/>
      <c r="B154" s="189">
        <f>IFERROR(__xludf.DUMMYFUNCTION("""COMPUTED_VALUE"""),45264.5625)</f>
        <v>45264.5625</v>
      </c>
      <c r="C154" s="190">
        <f>IFERROR(__xludf.DUMMYFUNCTION("""COMPUTED_VALUE"""),31.78)</f>
        <v>31.78</v>
      </c>
      <c r="D154" s="190">
        <f>IFERROR(__xludf.DUMMYFUNCTION("""COMPUTED_VALUE"""),31.82)</f>
        <v>31.82</v>
      </c>
      <c r="E154" s="190">
        <f>IFERROR(__xludf.DUMMYFUNCTION("""COMPUTED_VALUE"""),31.6)</f>
        <v>31.6</v>
      </c>
      <c r="F154" s="190">
        <f>IFERROR(__xludf.DUMMYFUNCTION("""COMPUTED_VALUE"""),31.72)</f>
        <v>31.72</v>
      </c>
      <c r="G154" s="191">
        <f>IFERROR(__xludf.DUMMYFUNCTION("""COMPUTED_VALUE"""),1667510.0)</f>
        <v>1667510</v>
      </c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</row>
    <row r="155" ht="17.25" customHeight="1">
      <c r="A155" s="112"/>
      <c r="B155" s="189">
        <f>IFERROR(__xludf.DUMMYFUNCTION("""COMPUTED_VALUE"""),45265.5625)</f>
        <v>45265.5625</v>
      </c>
      <c r="C155" s="190">
        <f>IFERROR(__xludf.DUMMYFUNCTION("""COMPUTED_VALUE"""),31.59)</f>
        <v>31.59</v>
      </c>
      <c r="D155" s="190">
        <f>IFERROR(__xludf.DUMMYFUNCTION("""COMPUTED_VALUE"""),31.6)</f>
        <v>31.6</v>
      </c>
      <c r="E155" s="190">
        <f>IFERROR(__xludf.DUMMYFUNCTION("""COMPUTED_VALUE"""),31.4)</f>
        <v>31.4</v>
      </c>
      <c r="F155" s="190">
        <f>IFERROR(__xludf.DUMMYFUNCTION("""COMPUTED_VALUE"""),31.5)</f>
        <v>31.5</v>
      </c>
      <c r="G155" s="191">
        <f>IFERROR(__xludf.DUMMYFUNCTION("""COMPUTED_VALUE"""),2472765.0)</f>
        <v>2472765</v>
      </c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ht="17.25" customHeight="1">
      <c r="A156" s="112"/>
      <c r="B156" s="189">
        <f>IFERROR(__xludf.DUMMYFUNCTION("""COMPUTED_VALUE"""),45266.5625)</f>
        <v>45266.5625</v>
      </c>
      <c r="C156" s="190">
        <f>IFERROR(__xludf.DUMMYFUNCTION("""COMPUTED_VALUE"""),31.5)</f>
        <v>31.5</v>
      </c>
      <c r="D156" s="190">
        <f>IFERROR(__xludf.DUMMYFUNCTION("""COMPUTED_VALUE"""),31.74)</f>
        <v>31.74</v>
      </c>
      <c r="E156" s="190">
        <f>IFERROR(__xludf.DUMMYFUNCTION("""COMPUTED_VALUE"""),31.5)</f>
        <v>31.5</v>
      </c>
      <c r="F156" s="190">
        <f>IFERROR(__xludf.DUMMYFUNCTION("""COMPUTED_VALUE"""),31.63)</f>
        <v>31.63</v>
      </c>
      <c r="G156" s="191">
        <f>IFERROR(__xludf.DUMMYFUNCTION("""COMPUTED_VALUE"""),2444832.0)</f>
        <v>2444832</v>
      </c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ht="17.25" customHeight="1">
      <c r="A157" s="112"/>
      <c r="B157" s="189">
        <f>IFERROR(__xludf.DUMMYFUNCTION("""COMPUTED_VALUE"""),45267.5625)</f>
        <v>45267.5625</v>
      </c>
      <c r="C157" s="190">
        <f>IFERROR(__xludf.DUMMYFUNCTION("""COMPUTED_VALUE"""),31.57)</f>
        <v>31.57</v>
      </c>
      <c r="D157" s="190">
        <f>IFERROR(__xludf.DUMMYFUNCTION("""COMPUTED_VALUE"""),31.57)</f>
        <v>31.57</v>
      </c>
      <c r="E157" s="190">
        <f>IFERROR(__xludf.DUMMYFUNCTION("""COMPUTED_VALUE"""),31.43)</f>
        <v>31.43</v>
      </c>
      <c r="F157" s="190">
        <f>IFERROR(__xludf.DUMMYFUNCTION("""COMPUTED_VALUE"""),31.43)</f>
        <v>31.43</v>
      </c>
      <c r="G157" s="191">
        <f>IFERROR(__xludf.DUMMYFUNCTION("""COMPUTED_VALUE"""),1991952.0)</f>
        <v>1991952</v>
      </c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ht="17.25" customHeight="1">
      <c r="A158" s="112"/>
      <c r="B158" s="189">
        <f>IFERROR(__xludf.DUMMYFUNCTION("""COMPUTED_VALUE"""),45268.5625)</f>
        <v>45268.5625</v>
      </c>
      <c r="C158" s="190">
        <f>IFERROR(__xludf.DUMMYFUNCTION("""COMPUTED_VALUE"""),31.66)</f>
        <v>31.66</v>
      </c>
      <c r="D158" s="190">
        <f>IFERROR(__xludf.DUMMYFUNCTION("""COMPUTED_VALUE"""),31.74)</f>
        <v>31.74</v>
      </c>
      <c r="E158" s="190">
        <f>IFERROR(__xludf.DUMMYFUNCTION("""COMPUTED_VALUE"""),31.59)</f>
        <v>31.59</v>
      </c>
      <c r="F158" s="190">
        <f>IFERROR(__xludf.DUMMYFUNCTION("""COMPUTED_VALUE"""),31.63)</f>
        <v>31.63</v>
      </c>
      <c r="G158" s="191">
        <f>IFERROR(__xludf.DUMMYFUNCTION("""COMPUTED_VALUE"""),2425837.0)</f>
        <v>2425837</v>
      </c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ht="17.25" customHeight="1">
      <c r="A159" s="112"/>
      <c r="B159" s="189">
        <f>IFERROR(__xludf.DUMMYFUNCTION("""COMPUTED_VALUE"""),45271.5625)</f>
        <v>45271.5625</v>
      </c>
      <c r="C159" s="190">
        <f>IFERROR(__xludf.DUMMYFUNCTION("""COMPUTED_VALUE"""),31.68)</f>
        <v>31.68</v>
      </c>
      <c r="D159" s="190">
        <f>IFERROR(__xludf.DUMMYFUNCTION("""COMPUTED_VALUE"""),31.68)</f>
        <v>31.68</v>
      </c>
      <c r="E159" s="190">
        <f>IFERROR(__xludf.DUMMYFUNCTION("""COMPUTED_VALUE"""),31.57)</f>
        <v>31.57</v>
      </c>
      <c r="F159" s="190">
        <f>IFERROR(__xludf.DUMMYFUNCTION("""COMPUTED_VALUE"""),31.64)</f>
        <v>31.64</v>
      </c>
      <c r="G159" s="191">
        <f>IFERROR(__xludf.DUMMYFUNCTION("""COMPUTED_VALUE"""),1295950.0)</f>
        <v>1295950</v>
      </c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ht="17.25" customHeight="1">
      <c r="A160" s="112"/>
      <c r="B160" s="189">
        <f>IFERROR(__xludf.DUMMYFUNCTION("""COMPUTED_VALUE"""),45272.5625)</f>
        <v>45272.5625</v>
      </c>
      <c r="C160" s="190">
        <f>IFERROR(__xludf.DUMMYFUNCTION("""COMPUTED_VALUE"""),31.81)</f>
        <v>31.81</v>
      </c>
      <c r="D160" s="190">
        <f>IFERROR(__xludf.DUMMYFUNCTION("""COMPUTED_VALUE"""),31.84)</f>
        <v>31.84</v>
      </c>
      <c r="E160" s="190">
        <f>IFERROR(__xludf.DUMMYFUNCTION("""COMPUTED_VALUE"""),31.67)</f>
        <v>31.67</v>
      </c>
      <c r="F160" s="190">
        <f>IFERROR(__xludf.DUMMYFUNCTION("""COMPUTED_VALUE"""),31.73)</f>
        <v>31.73</v>
      </c>
      <c r="G160" s="191">
        <f>IFERROR(__xludf.DUMMYFUNCTION("""COMPUTED_VALUE"""),2454396.0)</f>
        <v>2454396</v>
      </c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ht="17.25" customHeight="1">
      <c r="A161" s="112"/>
      <c r="B161" s="189">
        <f>IFERROR(__xludf.DUMMYFUNCTION("""COMPUTED_VALUE"""),45273.5625)</f>
        <v>45273.5625</v>
      </c>
      <c r="C161" s="190">
        <f>IFERROR(__xludf.DUMMYFUNCTION("""COMPUTED_VALUE"""),31.73)</f>
        <v>31.73</v>
      </c>
      <c r="D161" s="190">
        <f>IFERROR(__xludf.DUMMYFUNCTION("""COMPUTED_VALUE"""),31.8)</f>
        <v>31.8</v>
      </c>
      <c r="E161" s="190">
        <f>IFERROR(__xludf.DUMMYFUNCTION("""COMPUTED_VALUE"""),31.7)</f>
        <v>31.7</v>
      </c>
      <c r="F161" s="190">
        <f>IFERROR(__xludf.DUMMYFUNCTION("""COMPUTED_VALUE"""),31.75)</f>
        <v>31.75</v>
      </c>
      <c r="G161" s="191">
        <f>IFERROR(__xludf.DUMMYFUNCTION("""COMPUTED_VALUE"""),2676582.0)</f>
        <v>2676582</v>
      </c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ht="17.25" customHeight="1">
      <c r="A162" s="112"/>
      <c r="B162" s="189">
        <f>IFERROR(__xludf.DUMMYFUNCTION("""COMPUTED_VALUE"""),45274.5625)</f>
        <v>45274.5625</v>
      </c>
      <c r="C162" s="190">
        <f>IFERROR(__xludf.DUMMYFUNCTION("""COMPUTED_VALUE"""),32.0)</f>
        <v>32</v>
      </c>
      <c r="D162" s="190">
        <f>IFERROR(__xludf.DUMMYFUNCTION("""COMPUTED_VALUE"""),32.1)</f>
        <v>32.1</v>
      </c>
      <c r="E162" s="190">
        <f>IFERROR(__xludf.DUMMYFUNCTION("""COMPUTED_VALUE"""),31.94)</f>
        <v>31.94</v>
      </c>
      <c r="F162" s="190">
        <f>IFERROR(__xludf.DUMMYFUNCTION("""COMPUTED_VALUE"""),32.07)</f>
        <v>32.07</v>
      </c>
      <c r="G162" s="191">
        <f>IFERROR(__xludf.DUMMYFUNCTION("""COMPUTED_VALUE"""),3569617.0)</f>
        <v>3569617</v>
      </c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ht="17.25" customHeight="1">
      <c r="A163" s="112"/>
      <c r="B163" s="189">
        <f>IFERROR(__xludf.DUMMYFUNCTION("""COMPUTED_VALUE"""),45275.5625)</f>
        <v>45275.5625</v>
      </c>
      <c r="C163" s="190">
        <f>IFERROR(__xludf.DUMMYFUNCTION("""COMPUTED_VALUE"""),32.21)</f>
        <v>32.21</v>
      </c>
      <c r="D163" s="190">
        <f>IFERROR(__xludf.DUMMYFUNCTION("""COMPUTED_VALUE"""),32.26)</f>
        <v>32.26</v>
      </c>
      <c r="E163" s="190">
        <f>IFERROR(__xludf.DUMMYFUNCTION("""COMPUTED_VALUE"""),32.11)</f>
        <v>32.11</v>
      </c>
      <c r="F163" s="190">
        <f>IFERROR(__xludf.DUMMYFUNCTION("""COMPUTED_VALUE"""),32.15)</f>
        <v>32.15</v>
      </c>
      <c r="G163" s="191">
        <f>IFERROR(__xludf.DUMMYFUNCTION("""COMPUTED_VALUE"""),4361428.0)</f>
        <v>4361428</v>
      </c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</row>
    <row r="164" ht="17.25" customHeight="1">
      <c r="A164" s="112"/>
      <c r="B164" s="189">
        <f>IFERROR(__xludf.DUMMYFUNCTION("""COMPUTED_VALUE"""),45278.5625)</f>
        <v>45278.5625</v>
      </c>
      <c r="C164" s="190">
        <f>IFERROR(__xludf.DUMMYFUNCTION("""COMPUTED_VALUE"""),32.09)</f>
        <v>32.09</v>
      </c>
      <c r="D164" s="190">
        <f>IFERROR(__xludf.DUMMYFUNCTION("""COMPUTED_VALUE"""),32.2)</f>
        <v>32.2</v>
      </c>
      <c r="E164" s="190">
        <f>IFERROR(__xludf.DUMMYFUNCTION("""COMPUTED_VALUE"""),32.0)</f>
        <v>32</v>
      </c>
      <c r="F164" s="190">
        <f>IFERROR(__xludf.DUMMYFUNCTION("""COMPUTED_VALUE"""),32.18)</f>
        <v>32.18</v>
      </c>
      <c r="G164" s="191">
        <f>IFERROR(__xludf.DUMMYFUNCTION("""COMPUTED_VALUE"""),3516305.0)</f>
        <v>3516305</v>
      </c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ht="17.25" customHeight="1">
      <c r="A165" s="112"/>
      <c r="B165" s="189">
        <f>IFERROR(__xludf.DUMMYFUNCTION("""COMPUTED_VALUE"""),45279.5625)</f>
        <v>45279.5625</v>
      </c>
      <c r="C165" s="190">
        <f>IFERROR(__xludf.DUMMYFUNCTION("""COMPUTED_VALUE"""),32.18)</f>
        <v>32.18</v>
      </c>
      <c r="D165" s="190">
        <f>IFERROR(__xludf.DUMMYFUNCTION("""COMPUTED_VALUE"""),32.18)</f>
        <v>32.18</v>
      </c>
      <c r="E165" s="190">
        <f>IFERROR(__xludf.DUMMYFUNCTION("""COMPUTED_VALUE"""),31.98)</f>
        <v>31.98</v>
      </c>
      <c r="F165" s="190">
        <f>IFERROR(__xludf.DUMMYFUNCTION("""COMPUTED_VALUE"""),32.09)</f>
        <v>32.09</v>
      </c>
      <c r="G165" s="191">
        <f>IFERROR(__xludf.DUMMYFUNCTION("""COMPUTED_VALUE"""),1540800.0)</f>
        <v>1540800</v>
      </c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ht="17.25" customHeight="1">
      <c r="A166" s="112"/>
      <c r="B166" s="189">
        <f>IFERROR(__xludf.DUMMYFUNCTION("""COMPUTED_VALUE"""),45280.5625)</f>
        <v>45280.5625</v>
      </c>
      <c r="C166" s="190">
        <f>IFERROR(__xludf.DUMMYFUNCTION("""COMPUTED_VALUE"""),32.13)</f>
        <v>32.13</v>
      </c>
      <c r="D166" s="190">
        <f>IFERROR(__xludf.DUMMYFUNCTION("""COMPUTED_VALUE"""),32.22)</f>
        <v>32.22</v>
      </c>
      <c r="E166" s="190">
        <f>IFERROR(__xludf.DUMMYFUNCTION("""COMPUTED_VALUE"""),32.11)</f>
        <v>32.11</v>
      </c>
      <c r="F166" s="190">
        <f>IFERROR(__xludf.DUMMYFUNCTION("""COMPUTED_VALUE"""),32.21)</f>
        <v>32.21</v>
      </c>
      <c r="G166" s="191">
        <f>IFERROR(__xludf.DUMMYFUNCTION("""COMPUTED_VALUE"""),1872200.0)</f>
        <v>1872200</v>
      </c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ht="17.25" customHeight="1">
      <c r="A167" s="112"/>
      <c r="B167" s="189">
        <f>IFERROR(__xludf.DUMMYFUNCTION("""COMPUTED_VALUE"""),45281.5625)</f>
        <v>45281.5625</v>
      </c>
      <c r="C167" s="190">
        <f>IFERROR(__xludf.DUMMYFUNCTION("""COMPUTED_VALUE"""),31.87)</f>
        <v>31.87</v>
      </c>
      <c r="D167" s="190">
        <f>IFERROR(__xludf.DUMMYFUNCTION("""COMPUTED_VALUE"""),31.98)</f>
        <v>31.98</v>
      </c>
      <c r="E167" s="190">
        <f>IFERROR(__xludf.DUMMYFUNCTION("""COMPUTED_VALUE"""),31.83)</f>
        <v>31.83</v>
      </c>
      <c r="F167" s="190">
        <f>IFERROR(__xludf.DUMMYFUNCTION("""COMPUTED_VALUE"""),31.97)</f>
        <v>31.97</v>
      </c>
      <c r="G167" s="191">
        <f>IFERROR(__xludf.DUMMYFUNCTION("""COMPUTED_VALUE"""),2235709.0)</f>
        <v>2235709</v>
      </c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</row>
    <row r="168" ht="17.25" customHeight="1">
      <c r="A168" s="112"/>
      <c r="B168" s="189">
        <f>IFERROR(__xludf.DUMMYFUNCTION("""COMPUTED_VALUE"""),45282.5625)</f>
        <v>45282.5625</v>
      </c>
      <c r="C168" s="190">
        <f>IFERROR(__xludf.DUMMYFUNCTION("""COMPUTED_VALUE"""),32.09)</f>
        <v>32.09</v>
      </c>
      <c r="D168" s="190">
        <f>IFERROR(__xludf.DUMMYFUNCTION("""COMPUTED_VALUE"""),32.11)</f>
        <v>32.11</v>
      </c>
      <c r="E168" s="190">
        <f>IFERROR(__xludf.DUMMYFUNCTION("""COMPUTED_VALUE"""),32.01)</f>
        <v>32.01</v>
      </c>
      <c r="F168" s="190">
        <f>IFERROR(__xludf.DUMMYFUNCTION("""COMPUTED_VALUE"""),32.05)</f>
        <v>32.05</v>
      </c>
      <c r="G168" s="191">
        <f>IFERROR(__xludf.DUMMYFUNCTION("""COMPUTED_VALUE"""),1590274.0)</f>
        <v>1590274</v>
      </c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ht="17.25" customHeight="1">
      <c r="A169" s="112"/>
      <c r="B169" s="189">
        <f>IFERROR(__xludf.DUMMYFUNCTION("""COMPUTED_VALUE"""),45285.5625)</f>
        <v>45285.5625</v>
      </c>
      <c r="C169" s="190">
        <f>IFERROR(__xludf.DUMMYFUNCTION("""COMPUTED_VALUE"""),32.08)</f>
        <v>32.08</v>
      </c>
      <c r="D169" s="190">
        <f>IFERROR(__xludf.DUMMYFUNCTION("""COMPUTED_VALUE"""),32.17)</f>
        <v>32.17</v>
      </c>
      <c r="E169" s="190">
        <f>IFERROR(__xludf.DUMMYFUNCTION("""COMPUTED_VALUE"""),32.07)</f>
        <v>32.07</v>
      </c>
      <c r="F169" s="190">
        <f>IFERROR(__xludf.DUMMYFUNCTION("""COMPUTED_VALUE"""),32.11)</f>
        <v>32.11</v>
      </c>
      <c r="G169" s="191">
        <f>IFERROR(__xludf.DUMMYFUNCTION("""COMPUTED_VALUE"""),1522257.0)</f>
        <v>1522257</v>
      </c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ht="17.25" customHeight="1">
      <c r="A170" s="112"/>
      <c r="B170" s="189">
        <f>IFERROR(__xludf.DUMMYFUNCTION("""COMPUTED_VALUE"""),45286.5625)</f>
        <v>45286.5625</v>
      </c>
      <c r="C170" s="190">
        <f>IFERROR(__xludf.DUMMYFUNCTION("""COMPUTED_VALUE"""),32.14)</f>
        <v>32.14</v>
      </c>
      <c r="D170" s="190">
        <f>IFERROR(__xludf.DUMMYFUNCTION("""COMPUTED_VALUE"""),32.41)</f>
        <v>32.41</v>
      </c>
      <c r="E170" s="190">
        <f>IFERROR(__xludf.DUMMYFUNCTION("""COMPUTED_VALUE"""),32.14)</f>
        <v>32.14</v>
      </c>
      <c r="F170" s="190">
        <f>IFERROR(__xludf.DUMMYFUNCTION("""COMPUTED_VALUE"""),32.39)</f>
        <v>32.39</v>
      </c>
      <c r="G170" s="191">
        <f>IFERROR(__xludf.DUMMYFUNCTION("""COMPUTED_VALUE"""),7047168.0)</f>
        <v>7047168</v>
      </c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</row>
    <row r="171" ht="17.25" customHeight="1">
      <c r="A171" s="112"/>
      <c r="B171" s="189">
        <f>IFERROR(__xludf.DUMMYFUNCTION("""COMPUTED_VALUE"""),45287.5625)</f>
        <v>45287.5625</v>
      </c>
      <c r="C171" s="190">
        <f>IFERROR(__xludf.DUMMYFUNCTION("""COMPUTED_VALUE"""),32.43)</f>
        <v>32.43</v>
      </c>
      <c r="D171" s="190">
        <f>IFERROR(__xludf.DUMMYFUNCTION("""COMPUTED_VALUE"""),32.66)</f>
        <v>32.66</v>
      </c>
      <c r="E171" s="190">
        <f>IFERROR(__xludf.DUMMYFUNCTION("""COMPUTED_VALUE"""),32.42)</f>
        <v>32.42</v>
      </c>
      <c r="F171" s="190">
        <f>IFERROR(__xludf.DUMMYFUNCTION("""COMPUTED_VALUE"""),32.62)</f>
        <v>32.62</v>
      </c>
      <c r="G171" s="191">
        <f>IFERROR(__xludf.DUMMYFUNCTION("""COMPUTED_VALUE"""),4561936.0)</f>
        <v>4561936</v>
      </c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</row>
    <row r="172" ht="17.25" customHeight="1">
      <c r="A172" s="112"/>
      <c r="B172" s="189">
        <f>IFERROR(__xludf.DUMMYFUNCTION("""COMPUTED_VALUE"""),45288.5625)</f>
        <v>45288.5625</v>
      </c>
      <c r="C172" s="190">
        <f>IFERROR(__xludf.DUMMYFUNCTION("""COMPUTED_VALUE"""),32.65)</f>
        <v>32.65</v>
      </c>
      <c r="D172" s="190">
        <f>IFERROR(__xludf.DUMMYFUNCTION("""COMPUTED_VALUE"""),32.68)</f>
        <v>32.68</v>
      </c>
      <c r="E172" s="190">
        <f>IFERROR(__xludf.DUMMYFUNCTION("""COMPUTED_VALUE"""),32.52)</f>
        <v>32.52</v>
      </c>
      <c r="F172" s="190">
        <f>IFERROR(__xludf.DUMMYFUNCTION("""COMPUTED_VALUE"""),32.63)</f>
        <v>32.63</v>
      </c>
      <c r="G172" s="191">
        <f>IFERROR(__xludf.DUMMYFUNCTION("""COMPUTED_VALUE"""),2669061.0)</f>
        <v>2669061</v>
      </c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ht="17.25" customHeight="1">
      <c r="A173" s="112"/>
      <c r="B173" s="189">
        <f>IFERROR(__xludf.DUMMYFUNCTION("""COMPUTED_VALUE"""),45289.5625)</f>
        <v>45289.5625</v>
      </c>
      <c r="C173" s="190">
        <f>IFERROR(__xludf.DUMMYFUNCTION("""COMPUTED_VALUE"""),32.62)</f>
        <v>32.62</v>
      </c>
      <c r="D173" s="190">
        <f>IFERROR(__xludf.DUMMYFUNCTION("""COMPUTED_VALUE"""),32.64)</f>
        <v>32.64</v>
      </c>
      <c r="E173" s="190">
        <f>IFERROR(__xludf.DUMMYFUNCTION("""COMPUTED_VALUE"""),32.5)</f>
        <v>32.5</v>
      </c>
      <c r="F173" s="190">
        <f>IFERROR(__xludf.DUMMYFUNCTION("""COMPUTED_VALUE"""),32.54)</f>
        <v>32.54</v>
      </c>
      <c r="G173" s="191">
        <f>IFERROR(__xludf.DUMMYFUNCTION("""COMPUTED_VALUE"""),5341730.0)</f>
        <v>5341730</v>
      </c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</row>
    <row r="174" ht="17.25" customHeight="1">
      <c r="A174" s="112"/>
      <c r="B174" s="189">
        <f>IFERROR(__xludf.DUMMYFUNCTION("""COMPUTED_VALUE"""),45293.5625)</f>
        <v>45293.5625</v>
      </c>
      <c r="C174" s="190">
        <f>IFERROR(__xludf.DUMMYFUNCTION("""COMPUTED_VALUE"""),32.53)</f>
        <v>32.53</v>
      </c>
      <c r="D174" s="190">
        <f>IFERROR(__xludf.DUMMYFUNCTION("""COMPUTED_VALUE"""),32.61)</f>
        <v>32.61</v>
      </c>
      <c r="E174" s="190">
        <f>IFERROR(__xludf.DUMMYFUNCTION("""COMPUTED_VALUE"""),32.35)</f>
        <v>32.35</v>
      </c>
      <c r="F174" s="190">
        <f>IFERROR(__xludf.DUMMYFUNCTION("""COMPUTED_VALUE"""),32.49)</f>
        <v>32.49</v>
      </c>
      <c r="G174" s="191">
        <f>IFERROR(__xludf.DUMMYFUNCTION("""COMPUTED_VALUE"""),3555753.0)</f>
        <v>3555753</v>
      </c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</row>
    <row r="175" ht="17.25" customHeight="1">
      <c r="A175" s="112"/>
      <c r="B175" s="189">
        <f>IFERROR(__xludf.DUMMYFUNCTION("""COMPUTED_VALUE"""),45294.5625)</f>
        <v>45294.5625</v>
      </c>
      <c r="C175" s="190">
        <f>IFERROR(__xludf.DUMMYFUNCTION("""COMPUTED_VALUE"""),32.24)</f>
        <v>32.24</v>
      </c>
      <c r="D175" s="190">
        <f>IFERROR(__xludf.DUMMYFUNCTION("""COMPUTED_VALUE"""),32.25)</f>
        <v>32.25</v>
      </c>
      <c r="E175" s="190">
        <f>IFERROR(__xludf.DUMMYFUNCTION("""COMPUTED_VALUE"""),31.91)</f>
        <v>31.91</v>
      </c>
      <c r="F175" s="190">
        <f>IFERROR(__xludf.DUMMYFUNCTION("""COMPUTED_VALUE"""),31.99)</f>
        <v>31.99</v>
      </c>
      <c r="G175" s="191">
        <f>IFERROR(__xludf.DUMMYFUNCTION("""COMPUTED_VALUE"""),3669462.0)</f>
        <v>3669462</v>
      </c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</row>
    <row r="176" ht="17.25" customHeight="1">
      <c r="A176" s="112"/>
      <c r="B176" s="189">
        <f>IFERROR(__xludf.DUMMYFUNCTION("""COMPUTED_VALUE"""),45295.5625)</f>
        <v>45295.5625</v>
      </c>
      <c r="C176" s="190">
        <f>IFERROR(__xludf.DUMMYFUNCTION("""COMPUTED_VALUE"""),31.98)</f>
        <v>31.98</v>
      </c>
      <c r="D176" s="190">
        <f>IFERROR(__xludf.DUMMYFUNCTION("""COMPUTED_VALUE"""),32.05)</f>
        <v>32.05</v>
      </c>
      <c r="E176" s="190">
        <f>IFERROR(__xludf.DUMMYFUNCTION("""COMPUTED_VALUE"""),31.94)</f>
        <v>31.94</v>
      </c>
      <c r="F176" s="190">
        <f>IFERROR(__xludf.DUMMYFUNCTION("""COMPUTED_VALUE"""),32.01)</f>
        <v>32.01</v>
      </c>
      <c r="G176" s="191">
        <f>IFERROR(__xludf.DUMMYFUNCTION("""COMPUTED_VALUE"""),1661322.0)</f>
        <v>1661322</v>
      </c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</row>
    <row r="177" ht="17.25" customHeight="1">
      <c r="A177" s="112"/>
      <c r="B177" s="189">
        <f>IFERROR(__xludf.DUMMYFUNCTION("""COMPUTED_VALUE"""),45296.5625)</f>
        <v>45296.5625</v>
      </c>
      <c r="C177" s="190">
        <f>IFERROR(__xludf.DUMMYFUNCTION("""COMPUTED_VALUE"""),32.01)</f>
        <v>32.01</v>
      </c>
      <c r="D177" s="190">
        <f>IFERROR(__xludf.DUMMYFUNCTION("""COMPUTED_VALUE"""),32.08)</f>
        <v>32.08</v>
      </c>
      <c r="E177" s="190">
        <f>IFERROR(__xludf.DUMMYFUNCTION("""COMPUTED_VALUE"""),31.87)</f>
        <v>31.87</v>
      </c>
      <c r="F177" s="190">
        <f>IFERROR(__xludf.DUMMYFUNCTION("""COMPUTED_VALUE"""),31.89)</f>
        <v>31.89</v>
      </c>
      <c r="G177" s="191">
        <f>IFERROR(__xludf.DUMMYFUNCTION("""COMPUTED_VALUE"""),2260149.0)</f>
        <v>2260149</v>
      </c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</row>
    <row r="178" ht="17.25" customHeight="1">
      <c r="A178" s="112"/>
      <c r="B178" s="189">
        <f>IFERROR(__xludf.DUMMYFUNCTION("""COMPUTED_VALUE"""),45299.5625)</f>
        <v>45299.5625</v>
      </c>
      <c r="C178" s="190">
        <f>IFERROR(__xludf.DUMMYFUNCTION("""COMPUTED_VALUE"""),32.05)</f>
        <v>32.05</v>
      </c>
      <c r="D178" s="190">
        <f>IFERROR(__xludf.DUMMYFUNCTION("""COMPUTED_VALUE"""),32.23)</f>
        <v>32.23</v>
      </c>
      <c r="E178" s="190">
        <f>IFERROR(__xludf.DUMMYFUNCTION("""COMPUTED_VALUE"""),32.03)</f>
        <v>32.03</v>
      </c>
      <c r="F178" s="190">
        <f>IFERROR(__xludf.DUMMYFUNCTION("""COMPUTED_VALUE"""),32.09)</f>
        <v>32.09</v>
      </c>
      <c r="G178" s="191">
        <f>IFERROR(__xludf.DUMMYFUNCTION("""COMPUTED_VALUE"""),3504957.0)</f>
        <v>3504957</v>
      </c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</row>
    <row r="179" ht="17.25" customHeight="1">
      <c r="A179" s="112"/>
      <c r="B179" s="189">
        <f>IFERROR(__xludf.DUMMYFUNCTION("""COMPUTED_VALUE"""),45300.5625)</f>
        <v>45300.5625</v>
      </c>
      <c r="C179" s="190">
        <f>IFERROR(__xludf.DUMMYFUNCTION("""COMPUTED_VALUE"""),32.19)</f>
        <v>32.19</v>
      </c>
      <c r="D179" s="190">
        <f>IFERROR(__xludf.DUMMYFUNCTION("""COMPUTED_VALUE"""),32.23)</f>
        <v>32.23</v>
      </c>
      <c r="E179" s="190">
        <f>IFERROR(__xludf.DUMMYFUNCTION("""COMPUTED_VALUE"""),32.0)</f>
        <v>32</v>
      </c>
      <c r="F179" s="190">
        <f>IFERROR(__xludf.DUMMYFUNCTION("""COMPUTED_VALUE"""),32.03)</f>
        <v>32.03</v>
      </c>
      <c r="G179" s="191">
        <f>IFERROR(__xludf.DUMMYFUNCTION("""COMPUTED_VALUE"""),1751026.0)</f>
        <v>1751026</v>
      </c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</row>
    <row r="180" ht="17.25" customHeight="1">
      <c r="A180" s="112"/>
      <c r="B180" s="189">
        <f>IFERROR(__xludf.DUMMYFUNCTION("""COMPUTED_VALUE"""),45301.5625)</f>
        <v>45301.5625</v>
      </c>
      <c r="C180" s="190">
        <f>IFERROR(__xludf.DUMMYFUNCTION("""COMPUTED_VALUE"""),31.98)</f>
        <v>31.98</v>
      </c>
      <c r="D180" s="190">
        <f>IFERROR(__xludf.DUMMYFUNCTION("""COMPUTED_VALUE"""),31.98)</f>
        <v>31.98</v>
      </c>
      <c r="E180" s="190">
        <f>IFERROR(__xludf.DUMMYFUNCTION("""COMPUTED_VALUE"""),31.8)</f>
        <v>31.8</v>
      </c>
      <c r="F180" s="190">
        <f>IFERROR(__xludf.DUMMYFUNCTION("""COMPUTED_VALUE"""),31.9)</f>
        <v>31.9</v>
      </c>
      <c r="G180" s="191">
        <f>IFERROR(__xludf.DUMMYFUNCTION("""COMPUTED_VALUE"""),1440838.0)</f>
        <v>1440838</v>
      </c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</row>
    <row r="181" ht="17.25" customHeight="1">
      <c r="A181" s="112"/>
      <c r="B181" s="189">
        <f>IFERROR(__xludf.DUMMYFUNCTION("""COMPUTED_VALUE"""),45302.5625)</f>
        <v>45302.5625</v>
      </c>
      <c r="C181" s="190">
        <f>IFERROR(__xludf.DUMMYFUNCTION("""COMPUTED_VALUE"""),31.9)</f>
        <v>31.9</v>
      </c>
      <c r="D181" s="190">
        <f>IFERROR(__xludf.DUMMYFUNCTION("""COMPUTED_VALUE"""),32.07)</f>
        <v>32.07</v>
      </c>
      <c r="E181" s="190">
        <f>IFERROR(__xludf.DUMMYFUNCTION("""COMPUTED_VALUE"""),31.9)</f>
        <v>31.9</v>
      </c>
      <c r="F181" s="190">
        <f>IFERROR(__xludf.DUMMYFUNCTION("""COMPUTED_VALUE"""),32.02)</f>
        <v>32.02</v>
      </c>
      <c r="G181" s="191">
        <f>IFERROR(__xludf.DUMMYFUNCTION("""COMPUTED_VALUE"""),2259087.0)</f>
        <v>2259087</v>
      </c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</row>
    <row r="182" ht="17.25" customHeight="1">
      <c r="A182" s="112"/>
      <c r="B182" s="189">
        <f>IFERROR(__xludf.DUMMYFUNCTION("""COMPUTED_VALUE"""),45303.5625)</f>
        <v>45303.5625</v>
      </c>
      <c r="C182" s="190">
        <f>IFERROR(__xludf.DUMMYFUNCTION("""COMPUTED_VALUE"""),31.88)</f>
        <v>31.88</v>
      </c>
      <c r="D182" s="190">
        <f>IFERROR(__xludf.DUMMYFUNCTION("""COMPUTED_VALUE"""),32.03)</f>
        <v>32.03</v>
      </c>
      <c r="E182" s="190">
        <f>IFERROR(__xludf.DUMMYFUNCTION("""COMPUTED_VALUE"""),31.82)</f>
        <v>31.82</v>
      </c>
      <c r="F182" s="190">
        <f>IFERROR(__xludf.DUMMYFUNCTION("""COMPUTED_VALUE"""),31.91)</f>
        <v>31.91</v>
      </c>
      <c r="G182" s="191">
        <f>IFERROR(__xludf.DUMMYFUNCTION("""COMPUTED_VALUE"""),1249580.0)</f>
        <v>1249580</v>
      </c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</row>
    <row r="183" ht="17.25" customHeight="1">
      <c r="A183" s="112"/>
      <c r="B183" s="189">
        <f>IFERROR(__xludf.DUMMYFUNCTION("""COMPUTED_VALUE"""),45306.5625)</f>
        <v>45306.5625</v>
      </c>
      <c r="C183" s="190">
        <f>IFERROR(__xludf.DUMMYFUNCTION("""COMPUTED_VALUE"""),32.1)</f>
        <v>32.1</v>
      </c>
      <c r="D183" s="190">
        <f>IFERROR(__xludf.DUMMYFUNCTION("""COMPUTED_VALUE"""),32.14)</f>
        <v>32.14</v>
      </c>
      <c r="E183" s="190">
        <f>IFERROR(__xludf.DUMMYFUNCTION("""COMPUTED_VALUE"""),31.97)</f>
        <v>31.97</v>
      </c>
      <c r="F183" s="190">
        <f>IFERROR(__xludf.DUMMYFUNCTION("""COMPUTED_VALUE"""),32.03)</f>
        <v>32.03</v>
      </c>
      <c r="G183" s="191">
        <f>IFERROR(__xludf.DUMMYFUNCTION("""COMPUTED_VALUE"""),1803212.0)</f>
        <v>1803212</v>
      </c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</row>
    <row r="184" ht="17.25" customHeight="1">
      <c r="A184" s="112"/>
      <c r="B184" s="189">
        <f>IFERROR(__xludf.DUMMYFUNCTION("""COMPUTED_VALUE"""),45307.5625)</f>
        <v>45307.5625</v>
      </c>
      <c r="C184" s="190">
        <f>IFERROR(__xludf.DUMMYFUNCTION("""COMPUTED_VALUE"""),31.84)</f>
        <v>31.84</v>
      </c>
      <c r="D184" s="190">
        <f>IFERROR(__xludf.DUMMYFUNCTION("""COMPUTED_VALUE"""),31.9)</f>
        <v>31.9</v>
      </c>
      <c r="E184" s="190">
        <f>IFERROR(__xludf.DUMMYFUNCTION("""COMPUTED_VALUE"""),31.61)</f>
        <v>31.61</v>
      </c>
      <c r="F184" s="190">
        <f>IFERROR(__xludf.DUMMYFUNCTION("""COMPUTED_VALUE"""),31.72)</f>
        <v>31.72</v>
      </c>
      <c r="G184" s="191">
        <f>IFERROR(__xludf.DUMMYFUNCTION("""COMPUTED_VALUE"""),3850707.0)</f>
        <v>3850707</v>
      </c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</row>
    <row r="185" ht="17.25" customHeight="1">
      <c r="A185" s="112"/>
      <c r="B185" s="189">
        <f>IFERROR(__xludf.DUMMYFUNCTION("""COMPUTED_VALUE"""),45308.5625)</f>
        <v>45308.5625</v>
      </c>
      <c r="C185" s="190">
        <f>IFERROR(__xludf.DUMMYFUNCTION("""COMPUTED_VALUE"""),31.69)</f>
        <v>31.69</v>
      </c>
      <c r="D185" s="190">
        <f>IFERROR(__xludf.DUMMYFUNCTION("""COMPUTED_VALUE"""),31.69)</f>
        <v>31.69</v>
      </c>
      <c r="E185" s="190">
        <f>IFERROR(__xludf.DUMMYFUNCTION("""COMPUTED_VALUE"""),31.45)</f>
        <v>31.45</v>
      </c>
      <c r="F185" s="190">
        <f>IFERROR(__xludf.DUMMYFUNCTION("""COMPUTED_VALUE"""),31.49)</f>
        <v>31.49</v>
      </c>
      <c r="G185" s="191">
        <f>IFERROR(__xludf.DUMMYFUNCTION("""COMPUTED_VALUE"""),2659385.0)</f>
        <v>2659385</v>
      </c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</row>
    <row r="186" ht="17.25" customHeight="1">
      <c r="A186" s="112"/>
      <c r="B186" s="189">
        <f>IFERROR(__xludf.DUMMYFUNCTION("""COMPUTED_VALUE"""),45309.5625)</f>
        <v>45309.5625</v>
      </c>
      <c r="C186" s="190">
        <f>IFERROR(__xludf.DUMMYFUNCTION("""COMPUTED_VALUE"""),31.53)</f>
        <v>31.53</v>
      </c>
      <c r="D186" s="190">
        <f>IFERROR(__xludf.DUMMYFUNCTION("""COMPUTED_VALUE"""),31.64)</f>
        <v>31.64</v>
      </c>
      <c r="E186" s="190">
        <f>IFERROR(__xludf.DUMMYFUNCTION("""COMPUTED_VALUE"""),31.5)</f>
        <v>31.5</v>
      </c>
      <c r="F186" s="190">
        <f>IFERROR(__xludf.DUMMYFUNCTION("""COMPUTED_VALUE"""),31.62)</f>
        <v>31.62</v>
      </c>
      <c r="G186" s="191">
        <f>IFERROR(__xludf.DUMMYFUNCTION("""COMPUTED_VALUE"""),996654.0)</f>
        <v>996654</v>
      </c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</row>
    <row r="187" ht="17.25" customHeight="1">
      <c r="A187" s="112"/>
      <c r="B187" s="189">
        <f>IFERROR(__xludf.DUMMYFUNCTION("""COMPUTED_VALUE"""),45310.5625)</f>
        <v>45310.5625</v>
      </c>
      <c r="C187" s="190">
        <f>IFERROR(__xludf.DUMMYFUNCTION("""COMPUTED_VALUE"""),32.23)</f>
        <v>32.23</v>
      </c>
      <c r="D187" s="190">
        <f>IFERROR(__xludf.DUMMYFUNCTION("""COMPUTED_VALUE"""),32.52)</f>
        <v>32.52</v>
      </c>
      <c r="E187" s="190">
        <f>IFERROR(__xludf.DUMMYFUNCTION("""COMPUTED_VALUE"""),32.13)</f>
        <v>32.13</v>
      </c>
      <c r="F187" s="190">
        <f>IFERROR(__xludf.DUMMYFUNCTION("""COMPUTED_VALUE"""),32.5)</f>
        <v>32.5</v>
      </c>
      <c r="G187" s="191">
        <f>IFERROR(__xludf.DUMMYFUNCTION("""COMPUTED_VALUE"""),4710333.0)</f>
        <v>4710333</v>
      </c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</row>
    <row r="188" ht="17.25" customHeight="1">
      <c r="A188" s="112"/>
      <c r="B188" s="189">
        <f>IFERROR(__xludf.DUMMYFUNCTION("""COMPUTED_VALUE"""),45313.5625)</f>
        <v>45313.5625</v>
      </c>
      <c r="C188" s="190">
        <f>IFERROR(__xludf.DUMMYFUNCTION("""COMPUTED_VALUE"""),32.7)</f>
        <v>32.7</v>
      </c>
      <c r="D188" s="190">
        <f>IFERROR(__xludf.DUMMYFUNCTION("""COMPUTED_VALUE"""),32.79)</f>
        <v>32.79</v>
      </c>
      <c r="E188" s="190">
        <f>IFERROR(__xludf.DUMMYFUNCTION("""COMPUTED_VALUE"""),32.55)</f>
        <v>32.55</v>
      </c>
      <c r="F188" s="190">
        <f>IFERROR(__xludf.DUMMYFUNCTION("""COMPUTED_VALUE"""),32.62)</f>
        <v>32.62</v>
      </c>
      <c r="G188" s="191">
        <f>IFERROR(__xludf.DUMMYFUNCTION("""COMPUTED_VALUE"""),2764325.0)</f>
        <v>2764325</v>
      </c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</row>
    <row r="189" ht="17.25" customHeight="1">
      <c r="A189" s="112"/>
      <c r="B189" s="189">
        <f>IFERROR(__xludf.DUMMYFUNCTION("""COMPUTED_VALUE"""),45314.5625)</f>
        <v>45314.5625</v>
      </c>
      <c r="C189" s="190">
        <f>IFERROR(__xludf.DUMMYFUNCTION("""COMPUTED_VALUE"""),32.68)</f>
        <v>32.68</v>
      </c>
      <c r="D189" s="190">
        <f>IFERROR(__xludf.DUMMYFUNCTION("""COMPUTED_VALUE"""),32.75)</f>
        <v>32.75</v>
      </c>
      <c r="E189" s="190">
        <f>IFERROR(__xludf.DUMMYFUNCTION("""COMPUTED_VALUE"""),32.61)</f>
        <v>32.61</v>
      </c>
      <c r="F189" s="190">
        <f>IFERROR(__xludf.DUMMYFUNCTION("""COMPUTED_VALUE"""),32.74)</f>
        <v>32.74</v>
      </c>
      <c r="G189" s="191">
        <f>IFERROR(__xludf.DUMMYFUNCTION("""COMPUTED_VALUE"""),2773839.0)</f>
        <v>2773839</v>
      </c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</row>
    <row r="190" ht="17.25" customHeight="1">
      <c r="A190" s="112"/>
      <c r="B190" s="189">
        <f>IFERROR(__xludf.DUMMYFUNCTION("""COMPUTED_VALUE"""),45315.5625)</f>
        <v>45315.5625</v>
      </c>
      <c r="C190" s="190">
        <f>IFERROR(__xludf.DUMMYFUNCTION("""COMPUTED_VALUE"""),32.74)</f>
        <v>32.74</v>
      </c>
      <c r="D190" s="190">
        <f>IFERROR(__xludf.DUMMYFUNCTION("""COMPUTED_VALUE"""),32.85)</f>
        <v>32.85</v>
      </c>
      <c r="E190" s="190">
        <f>IFERROR(__xludf.DUMMYFUNCTION("""COMPUTED_VALUE"""),32.72)</f>
        <v>32.72</v>
      </c>
      <c r="F190" s="190">
        <f>IFERROR(__xludf.DUMMYFUNCTION("""COMPUTED_VALUE"""),32.72)</f>
        <v>32.72</v>
      </c>
      <c r="G190" s="191">
        <f>IFERROR(__xludf.DUMMYFUNCTION("""COMPUTED_VALUE"""),2032592.0)</f>
        <v>2032592</v>
      </c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</row>
    <row r="191" ht="17.25" customHeight="1">
      <c r="A191" s="112"/>
      <c r="B191" s="189">
        <f>IFERROR(__xludf.DUMMYFUNCTION("""COMPUTED_VALUE"""),45316.5625)</f>
        <v>45316.5625</v>
      </c>
      <c r="C191" s="190">
        <f>IFERROR(__xludf.DUMMYFUNCTION("""COMPUTED_VALUE"""),32.96)</f>
        <v>32.96</v>
      </c>
      <c r="D191" s="190">
        <f>IFERROR(__xludf.DUMMYFUNCTION("""COMPUTED_VALUE"""),33.07)</f>
        <v>33.07</v>
      </c>
      <c r="E191" s="190">
        <f>IFERROR(__xludf.DUMMYFUNCTION("""COMPUTED_VALUE"""),32.92)</f>
        <v>32.92</v>
      </c>
      <c r="F191" s="190">
        <f>IFERROR(__xludf.DUMMYFUNCTION("""COMPUTED_VALUE"""),33.05)</f>
        <v>33.05</v>
      </c>
      <c r="G191" s="191">
        <f>IFERROR(__xludf.DUMMYFUNCTION("""COMPUTED_VALUE"""),4471819.0)</f>
        <v>4471819</v>
      </c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</row>
    <row r="192" ht="17.25" customHeight="1">
      <c r="A192" s="112"/>
      <c r="B192" s="189">
        <f>IFERROR(__xludf.DUMMYFUNCTION("""COMPUTED_VALUE"""),45317.5625)</f>
        <v>45317.5625</v>
      </c>
      <c r="C192" s="190">
        <f>IFERROR(__xludf.DUMMYFUNCTION("""COMPUTED_VALUE"""),33.04)</f>
        <v>33.04</v>
      </c>
      <c r="D192" s="190">
        <f>IFERROR(__xludf.DUMMYFUNCTION("""COMPUTED_VALUE"""),33.13)</f>
        <v>33.13</v>
      </c>
      <c r="E192" s="190">
        <f>IFERROR(__xludf.DUMMYFUNCTION("""COMPUTED_VALUE"""),32.98)</f>
        <v>32.98</v>
      </c>
      <c r="F192" s="190">
        <f>IFERROR(__xludf.DUMMYFUNCTION("""COMPUTED_VALUE"""),33.05)</f>
        <v>33.05</v>
      </c>
      <c r="G192" s="191">
        <f>IFERROR(__xludf.DUMMYFUNCTION("""COMPUTED_VALUE"""),2330570.0)</f>
        <v>2330570</v>
      </c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</row>
    <row r="193" ht="17.25" customHeight="1">
      <c r="A193" s="112"/>
      <c r="B193" s="189">
        <f>IFERROR(__xludf.DUMMYFUNCTION("""COMPUTED_VALUE"""),45320.5625)</f>
        <v>45320.5625</v>
      </c>
      <c r="C193" s="190">
        <f>IFERROR(__xludf.DUMMYFUNCTION("""COMPUTED_VALUE"""),33.06)</f>
        <v>33.06</v>
      </c>
      <c r="D193" s="190">
        <f>IFERROR(__xludf.DUMMYFUNCTION("""COMPUTED_VALUE"""),33.28)</f>
        <v>33.28</v>
      </c>
      <c r="E193" s="190">
        <f>IFERROR(__xludf.DUMMYFUNCTION("""COMPUTED_VALUE"""),33.06)</f>
        <v>33.06</v>
      </c>
      <c r="F193" s="190">
        <f>IFERROR(__xludf.DUMMYFUNCTION("""COMPUTED_VALUE"""),33.27)</f>
        <v>33.27</v>
      </c>
      <c r="G193" s="191">
        <f>IFERROR(__xludf.DUMMYFUNCTION("""COMPUTED_VALUE"""),3664538.0)</f>
        <v>3664538</v>
      </c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</row>
    <row r="194" ht="17.25" customHeight="1">
      <c r="A194" s="112"/>
      <c r="B194" s="189">
        <f>IFERROR(__xludf.DUMMYFUNCTION("""COMPUTED_VALUE"""),45321.5625)</f>
        <v>45321.5625</v>
      </c>
      <c r="C194" s="190">
        <f>IFERROR(__xludf.DUMMYFUNCTION("""COMPUTED_VALUE"""),33.26)</f>
        <v>33.26</v>
      </c>
      <c r="D194" s="190">
        <f>IFERROR(__xludf.DUMMYFUNCTION("""COMPUTED_VALUE"""),33.28)</f>
        <v>33.28</v>
      </c>
      <c r="E194" s="190">
        <f>IFERROR(__xludf.DUMMYFUNCTION("""COMPUTED_VALUE"""),33.17)</f>
        <v>33.17</v>
      </c>
      <c r="F194" s="190">
        <f>IFERROR(__xludf.DUMMYFUNCTION("""COMPUTED_VALUE"""),33.18)</f>
        <v>33.18</v>
      </c>
      <c r="G194" s="191">
        <f>IFERROR(__xludf.DUMMYFUNCTION("""COMPUTED_VALUE"""),2854008.0)</f>
        <v>2854008</v>
      </c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</row>
    <row r="195" ht="17.25" customHeight="1">
      <c r="A195" s="112"/>
      <c r="B195" s="189">
        <f>IFERROR(__xludf.DUMMYFUNCTION("""COMPUTED_VALUE"""),45322.5625)</f>
        <v>45322.5625</v>
      </c>
      <c r="C195" s="190">
        <f>IFERROR(__xludf.DUMMYFUNCTION("""COMPUTED_VALUE"""),33.05)</f>
        <v>33.05</v>
      </c>
      <c r="D195" s="190">
        <f>IFERROR(__xludf.DUMMYFUNCTION("""COMPUTED_VALUE"""),33.05)</f>
        <v>33.05</v>
      </c>
      <c r="E195" s="190">
        <f>IFERROR(__xludf.DUMMYFUNCTION("""COMPUTED_VALUE"""),32.81)</f>
        <v>32.81</v>
      </c>
      <c r="F195" s="190">
        <f>IFERROR(__xludf.DUMMYFUNCTION("""COMPUTED_VALUE"""),32.82)</f>
        <v>32.82</v>
      </c>
      <c r="G195" s="191">
        <f>IFERROR(__xludf.DUMMYFUNCTION("""COMPUTED_VALUE"""),1836679.0)</f>
        <v>1836679</v>
      </c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</row>
    <row r="196" ht="17.25" customHeight="1">
      <c r="A196" s="112"/>
      <c r="B196" s="189">
        <f>IFERROR(__xludf.DUMMYFUNCTION("""COMPUTED_VALUE"""),45323.5625)</f>
        <v>45323.5625</v>
      </c>
      <c r="C196" s="190">
        <f>IFERROR(__xludf.DUMMYFUNCTION("""COMPUTED_VALUE"""),32.82)</f>
        <v>32.82</v>
      </c>
      <c r="D196" s="190">
        <f>IFERROR(__xludf.DUMMYFUNCTION("""COMPUTED_VALUE"""),32.94)</f>
        <v>32.94</v>
      </c>
      <c r="E196" s="190">
        <f>IFERROR(__xludf.DUMMYFUNCTION("""COMPUTED_VALUE"""),32.71)</f>
        <v>32.71</v>
      </c>
      <c r="F196" s="190">
        <f>IFERROR(__xludf.DUMMYFUNCTION("""COMPUTED_VALUE"""),32.94)</f>
        <v>32.94</v>
      </c>
      <c r="G196" s="191">
        <f>IFERROR(__xludf.DUMMYFUNCTION("""COMPUTED_VALUE"""),2285280.0)</f>
        <v>2285280</v>
      </c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</row>
    <row r="197" ht="17.25" customHeight="1">
      <c r="A197" s="112"/>
      <c r="B197" s="189">
        <f>IFERROR(__xludf.DUMMYFUNCTION("""COMPUTED_VALUE"""),45324.5625)</f>
        <v>45324.5625</v>
      </c>
      <c r="C197" s="190">
        <f>IFERROR(__xludf.DUMMYFUNCTION("""COMPUTED_VALUE"""),33.03)</f>
        <v>33.03</v>
      </c>
      <c r="D197" s="190">
        <f>IFERROR(__xludf.DUMMYFUNCTION("""COMPUTED_VALUE"""),33.07)</f>
        <v>33.07</v>
      </c>
      <c r="E197" s="190">
        <f>IFERROR(__xludf.DUMMYFUNCTION("""COMPUTED_VALUE"""),32.95)</f>
        <v>32.95</v>
      </c>
      <c r="F197" s="190">
        <f>IFERROR(__xludf.DUMMYFUNCTION("""COMPUTED_VALUE"""),33.07)</f>
        <v>33.07</v>
      </c>
      <c r="G197" s="191">
        <f>IFERROR(__xludf.DUMMYFUNCTION("""COMPUTED_VALUE"""),2232603.0)</f>
        <v>2232603</v>
      </c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</row>
    <row r="198" ht="17.25" customHeight="1">
      <c r="A198" s="112"/>
      <c r="B198" s="189">
        <f>IFERROR(__xludf.DUMMYFUNCTION("""COMPUTED_VALUE"""),45327.5625)</f>
        <v>45327.5625</v>
      </c>
      <c r="C198" s="190">
        <f>IFERROR(__xludf.DUMMYFUNCTION("""COMPUTED_VALUE"""),33.07)</f>
        <v>33.07</v>
      </c>
      <c r="D198" s="190">
        <f>IFERROR(__xludf.DUMMYFUNCTION("""COMPUTED_VALUE"""),33.19)</f>
        <v>33.19</v>
      </c>
      <c r="E198" s="190">
        <f>IFERROR(__xludf.DUMMYFUNCTION("""COMPUTED_VALUE"""),32.92)</f>
        <v>32.92</v>
      </c>
      <c r="F198" s="190">
        <f>IFERROR(__xludf.DUMMYFUNCTION("""COMPUTED_VALUE"""),33.19)</f>
        <v>33.19</v>
      </c>
      <c r="G198" s="191">
        <f>IFERROR(__xludf.DUMMYFUNCTION("""COMPUTED_VALUE"""),2336821.0)</f>
        <v>2336821</v>
      </c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</row>
    <row r="199" ht="17.25" customHeight="1">
      <c r="A199" s="112"/>
      <c r="B199" s="189">
        <f>IFERROR(__xludf.DUMMYFUNCTION("""COMPUTED_VALUE"""),45337.5625)</f>
        <v>45337.5625</v>
      </c>
      <c r="C199" s="190">
        <f>IFERROR(__xludf.DUMMYFUNCTION("""COMPUTED_VALUE"""),34.07)</f>
        <v>34.07</v>
      </c>
      <c r="D199" s="190">
        <f>IFERROR(__xludf.DUMMYFUNCTION("""COMPUTED_VALUE"""),34.78)</f>
        <v>34.78</v>
      </c>
      <c r="E199" s="190">
        <f>IFERROR(__xludf.DUMMYFUNCTION("""COMPUTED_VALUE"""),34.07)</f>
        <v>34.07</v>
      </c>
      <c r="F199" s="190">
        <f>IFERROR(__xludf.DUMMYFUNCTION("""COMPUTED_VALUE"""),34.41)</f>
        <v>34.41</v>
      </c>
      <c r="G199" s="191">
        <f>IFERROR(__xludf.DUMMYFUNCTION("""COMPUTED_VALUE"""),7120088.0)</f>
        <v>7120088</v>
      </c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</row>
    <row r="200" ht="17.25" customHeight="1">
      <c r="A200" s="112"/>
      <c r="B200" s="189">
        <f>IFERROR(__xludf.DUMMYFUNCTION("""COMPUTED_VALUE"""),45338.5625)</f>
        <v>45338.5625</v>
      </c>
      <c r="C200" s="190">
        <f>IFERROR(__xludf.DUMMYFUNCTION("""COMPUTED_VALUE"""),34.37)</f>
        <v>34.37</v>
      </c>
      <c r="D200" s="190">
        <f>IFERROR(__xludf.DUMMYFUNCTION("""COMPUTED_VALUE"""),34.41)</f>
        <v>34.41</v>
      </c>
      <c r="E200" s="190">
        <f>IFERROR(__xludf.DUMMYFUNCTION("""COMPUTED_VALUE"""),34.2)</f>
        <v>34.2</v>
      </c>
      <c r="F200" s="190">
        <f>IFERROR(__xludf.DUMMYFUNCTION("""COMPUTED_VALUE"""),34.23)</f>
        <v>34.23</v>
      </c>
      <c r="G200" s="191">
        <f>IFERROR(__xludf.DUMMYFUNCTION("""COMPUTED_VALUE"""),4059989.0)</f>
        <v>4059989</v>
      </c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</row>
    <row r="201" ht="17.25" customHeight="1">
      <c r="A201" s="112"/>
      <c r="B201" s="189">
        <f>IFERROR(__xludf.DUMMYFUNCTION("""COMPUTED_VALUE"""),45341.5625)</f>
        <v>45341.5625</v>
      </c>
      <c r="C201" s="190">
        <f>IFERROR(__xludf.DUMMYFUNCTION("""COMPUTED_VALUE"""),34.17)</f>
        <v>34.17</v>
      </c>
      <c r="D201" s="190">
        <f>IFERROR(__xludf.DUMMYFUNCTION("""COMPUTED_VALUE"""),34.23)</f>
        <v>34.23</v>
      </c>
      <c r="E201" s="190">
        <f>IFERROR(__xludf.DUMMYFUNCTION("""COMPUTED_VALUE"""),34.09)</f>
        <v>34.09</v>
      </c>
      <c r="F201" s="190">
        <f>IFERROR(__xludf.DUMMYFUNCTION("""COMPUTED_VALUE"""),34.21)</f>
        <v>34.21</v>
      </c>
      <c r="G201" s="191">
        <f>IFERROR(__xludf.DUMMYFUNCTION("""COMPUTED_VALUE"""),4737435.0)</f>
        <v>4737435</v>
      </c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>
        <f>IFERROR(__xludf.DUMMYFUNCTION("""COMPUTED_VALUE"""),45342.5625)</f>
        <v>45342.5625</v>
      </c>
      <c r="C202" s="190">
        <f>IFERROR(__xludf.DUMMYFUNCTION("""COMPUTED_VALUE"""),34.17)</f>
        <v>34.17</v>
      </c>
      <c r="D202" s="190">
        <f>IFERROR(__xludf.DUMMYFUNCTION("""COMPUTED_VALUE"""),34.43)</f>
        <v>34.43</v>
      </c>
      <c r="E202" s="190">
        <f>IFERROR(__xludf.DUMMYFUNCTION("""COMPUTED_VALUE"""),34.17)</f>
        <v>34.17</v>
      </c>
      <c r="F202" s="190">
        <f>IFERROR(__xludf.DUMMYFUNCTION("""COMPUTED_VALUE"""),34.43)</f>
        <v>34.43</v>
      </c>
      <c r="G202" s="191">
        <f>IFERROR(__xludf.DUMMYFUNCTION("""COMPUTED_VALUE"""),7076380.0)</f>
        <v>7076380</v>
      </c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>
        <f>IFERROR(__xludf.DUMMYFUNCTION("""COMPUTED_VALUE"""),45343.5625)</f>
        <v>45343.5625</v>
      </c>
      <c r="C203" s="190">
        <f>IFERROR(__xludf.DUMMYFUNCTION("""COMPUTED_VALUE"""),34.28)</f>
        <v>34.28</v>
      </c>
      <c r="D203" s="190">
        <f>IFERROR(__xludf.DUMMYFUNCTION("""COMPUTED_VALUE"""),34.36)</f>
        <v>34.36</v>
      </c>
      <c r="E203" s="190">
        <f>IFERROR(__xludf.DUMMYFUNCTION("""COMPUTED_VALUE"""),34.25)</f>
        <v>34.25</v>
      </c>
      <c r="F203" s="190">
        <f>IFERROR(__xludf.DUMMYFUNCTION("""COMPUTED_VALUE"""),34.36)</f>
        <v>34.36</v>
      </c>
      <c r="G203" s="191">
        <f>IFERROR(__xludf.DUMMYFUNCTION("""COMPUTED_VALUE"""),8621859.0)</f>
        <v>8621859</v>
      </c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>
        <f>IFERROR(__xludf.DUMMYFUNCTION("""COMPUTED_VALUE"""),45344.5625)</f>
        <v>45344.5625</v>
      </c>
      <c r="C204" s="190">
        <f>IFERROR(__xludf.DUMMYFUNCTION("""COMPUTED_VALUE"""),34.54)</f>
        <v>34.54</v>
      </c>
      <c r="D204" s="190">
        <f>IFERROR(__xludf.DUMMYFUNCTION("""COMPUTED_VALUE"""),34.62)</f>
        <v>34.62</v>
      </c>
      <c r="E204" s="190">
        <f>IFERROR(__xludf.DUMMYFUNCTION("""COMPUTED_VALUE"""),34.41)</f>
        <v>34.41</v>
      </c>
      <c r="F204" s="190">
        <f>IFERROR(__xludf.DUMMYFUNCTION("""COMPUTED_VALUE"""),34.58)</f>
        <v>34.58</v>
      </c>
      <c r="G204" s="191">
        <f>IFERROR(__xludf.DUMMYFUNCTION("""COMPUTED_VALUE"""),8610090.0)</f>
        <v>8610090</v>
      </c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>
        <f>IFERROR(__xludf.DUMMYFUNCTION("""COMPUTED_VALUE"""),45345.5625)</f>
        <v>45345.5625</v>
      </c>
      <c r="C205" s="190">
        <f>IFERROR(__xludf.DUMMYFUNCTION("""COMPUTED_VALUE"""),34.78)</f>
        <v>34.78</v>
      </c>
      <c r="D205" s="190">
        <f>IFERROR(__xludf.DUMMYFUNCTION("""COMPUTED_VALUE"""),34.86)</f>
        <v>34.86</v>
      </c>
      <c r="E205" s="190">
        <f>IFERROR(__xludf.DUMMYFUNCTION("""COMPUTED_VALUE"""),34.71)</f>
        <v>34.71</v>
      </c>
      <c r="F205" s="190">
        <f>IFERROR(__xludf.DUMMYFUNCTION("""COMPUTED_VALUE"""),34.76)</f>
        <v>34.76</v>
      </c>
      <c r="G205" s="191">
        <f>IFERROR(__xludf.DUMMYFUNCTION("""COMPUTED_VALUE"""),4816407.0)</f>
        <v>4816407</v>
      </c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>
        <f>IFERROR(__xludf.DUMMYFUNCTION("""COMPUTED_VALUE"""),45348.5625)</f>
        <v>45348.5625</v>
      </c>
      <c r="C206" s="190">
        <f>IFERROR(__xludf.DUMMYFUNCTION("""COMPUTED_VALUE"""),34.72)</f>
        <v>34.72</v>
      </c>
      <c r="D206" s="190">
        <f>IFERROR(__xludf.DUMMYFUNCTION("""COMPUTED_VALUE"""),34.87)</f>
        <v>34.87</v>
      </c>
      <c r="E206" s="190">
        <f>IFERROR(__xludf.DUMMYFUNCTION("""COMPUTED_VALUE"""),34.66)</f>
        <v>34.66</v>
      </c>
      <c r="F206" s="190">
        <f>IFERROR(__xludf.DUMMYFUNCTION("""COMPUTED_VALUE"""),34.86)</f>
        <v>34.86</v>
      </c>
      <c r="G206" s="191">
        <f>IFERROR(__xludf.DUMMYFUNCTION("""COMPUTED_VALUE"""),3794559.0)</f>
        <v>3794559</v>
      </c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>
        <f>IFERROR(__xludf.DUMMYFUNCTION("""COMPUTED_VALUE"""),45349.5625)</f>
        <v>45349.5625</v>
      </c>
      <c r="C207" s="190">
        <f>IFERROR(__xludf.DUMMYFUNCTION("""COMPUTED_VALUE"""),34.86)</f>
        <v>34.86</v>
      </c>
      <c r="D207" s="190">
        <f>IFERROR(__xludf.DUMMYFUNCTION("""COMPUTED_VALUE"""),34.89)</f>
        <v>34.89</v>
      </c>
      <c r="E207" s="190">
        <f>IFERROR(__xludf.DUMMYFUNCTION("""COMPUTED_VALUE"""),34.5)</f>
        <v>34.5</v>
      </c>
      <c r="F207" s="190">
        <f>IFERROR(__xludf.DUMMYFUNCTION("""COMPUTED_VALUE"""),34.7)</f>
        <v>34.7</v>
      </c>
      <c r="G207" s="191">
        <f>IFERROR(__xludf.DUMMYFUNCTION("""COMPUTED_VALUE"""),3920330.0)</f>
        <v>3920330</v>
      </c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>
        <f>IFERROR(__xludf.DUMMYFUNCTION("""COMPUTED_VALUE"""),45351.5625)</f>
        <v>45351.5625</v>
      </c>
      <c r="C208" s="190">
        <f>IFERROR(__xludf.DUMMYFUNCTION("""COMPUTED_VALUE"""),34.65)</f>
        <v>34.65</v>
      </c>
      <c r="D208" s="190">
        <f>IFERROR(__xludf.DUMMYFUNCTION("""COMPUTED_VALUE"""),34.85)</f>
        <v>34.85</v>
      </c>
      <c r="E208" s="190">
        <f>IFERROR(__xludf.DUMMYFUNCTION("""COMPUTED_VALUE"""),34.5)</f>
        <v>34.5</v>
      </c>
      <c r="F208" s="190">
        <f>IFERROR(__xludf.DUMMYFUNCTION("""COMPUTED_VALUE"""),34.74)</f>
        <v>34.74</v>
      </c>
      <c r="G208" s="191">
        <f>IFERROR(__xludf.DUMMYFUNCTION("""COMPUTED_VALUE"""),3276916.0)</f>
        <v>3276916</v>
      </c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>
        <f>IFERROR(__xludf.DUMMYFUNCTION("""COMPUTED_VALUE"""),45352.5625)</f>
        <v>45352.5625</v>
      </c>
      <c r="C209" s="190">
        <f>IFERROR(__xludf.DUMMYFUNCTION("""COMPUTED_VALUE"""),34.77)</f>
        <v>34.77</v>
      </c>
      <c r="D209" s="190">
        <f>IFERROR(__xludf.DUMMYFUNCTION("""COMPUTED_VALUE"""),34.83)</f>
        <v>34.83</v>
      </c>
      <c r="E209" s="190">
        <f>IFERROR(__xludf.DUMMYFUNCTION("""COMPUTED_VALUE"""),34.64)</f>
        <v>34.64</v>
      </c>
      <c r="F209" s="190">
        <f>IFERROR(__xludf.DUMMYFUNCTION("""COMPUTED_VALUE"""),34.67)</f>
        <v>34.67</v>
      </c>
      <c r="G209" s="191">
        <f>IFERROR(__xludf.DUMMYFUNCTION("""COMPUTED_VALUE"""),2231987.0)</f>
        <v>2231987</v>
      </c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>
        <f>IFERROR(__xludf.DUMMYFUNCTION("""COMPUTED_VALUE"""),45355.5625)</f>
        <v>45355.5625</v>
      </c>
      <c r="C210" s="190">
        <f>IFERROR(__xludf.DUMMYFUNCTION("""COMPUTED_VALUE"""),35.02)</f>
        <v>35.02</v>
      </c>
      <c r="D210" s="190">
        <f>IFERROR(__xludf.DUMMYFUNCTION("""COMPUTED_VALUE"""),35.49)</f>
        <v>35.49</v>
      </c>
      <c r="E210" s="190">
        <f>IFERROR(__xludf.DUMMYFUNCTION("""COMPUTED_VALUE"""),35.02)</f>
        <v>35.02</v>
      </c>
      <c r="F210" s="190">
        <f>IFERROR(__xludf.DUMMYFUNCTION("""COMPUTED_VALUE"""),35.4)</f>
        <v>35.4</v>
      </c>
      <c r="G210" s="191">
        <f>IFERROR(__xludf.DUMMYFUNCTION("""COMPUTED_VALUE"""),1.1370352E7)</f>
        <v>11370352</v>
      </c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>
        <f>IFERROR(__xludf.DUMMYFUNCTION("""COMPUTED_VALUE"""),45356.5625)</f>
        <v>45356.5625</v>
      </c>
      <c r="C211" s="190">
        <f>IFERROR(__xludf.DUMMYFUNCTION("""COMPUTED_VALUE"""),35.55)</f>
        <v>35.55</v>
      </c>
      <c r="D211" s="190">
        <f>IFERROR(__xludf.DUMMYFUNCTION("""COMPUTED_VALUE"""),35.8)</f>
        <v>35.8</v>
      </c>
      <c r="E211" s="190">
        <f>IFERROR(__xludf.DUMMYFUNCTION("""COMPUTED_VALUE"""),35.54)</f>
        <v>35.54</v>
      </c>
      <c r="F211" s="190">
        <f>IFERROR(__xludf.DUMMYFUNCTION("""COMPUTED_VALUE"""),35.71)</f>
        <v>35.71</v>
      </c>
      <c r="G211" s="191">
        <f>IFERROR(__xludf.DUMMYFUNCTION("""COMPUTED_VALUE"""),4714236.0)</f>
        <v>4714236</v>
      </c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>
        <f>IFERROR(__xludf.DUMMYFUNCTION("""COMPUTED_VALUE"""),45357.5625)</f>
        <v>45357.5625</v>
      </c>
      <c r="C212" s="190">
        <f>IFERROR(__xludf.DUMMYFUNCTION("""COMPUTED_VALUE"""),35.6)</f>
        <v>35.6</v>
      </c>
      <c r="D212" s="190">
        <f>IFERROR(__xludf.DUMMYFUNCTION("""COMPUTED_VALUE"""),35.9)</f>
        <v>35.9</v>
      </c>
      <c r="E212" s="190">
        <f>IFERROR(__xludf.DUMMYFUNCTION("""COMPUTED_VALUE"""),35.44)</f>
        <v>35.44</v>
      </c>
      <c r="F212" s="190">
        <f>IFERROR(__xludf.DUMMYFUNCTION("""COMPUTED_VALUE"""),35.86)</f>
        <v>35.86</v>
      </c>
      <c r="G212" s="191">
        <f>IFERROR(__xludf.DUMMYFUNCTION("""COMPUTED_VALUE"""),5845407.0)</f>
        <v>5845407</v>
      </c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>
        <f>IFERROR(__xludf.DUMMYFUNCTION("""COMPUTED_VALUE"""),45358.5625)</f>
        <v>45358.5625</v>
      </c>
      <c r="C213" s="190">
        <f>IFERROR(__xludf.DUMMYFUNCTION("""COMPUTED_VALUE"""),36.19)</f>
        <v>36.19</v>
      </c>
      <c r="D213" s="190">
        <f>IFERROR(__xludf.DUMMYFUNCTION("""COMPUTED_VALUE"""),36.72)</f>
        <v>36.72</v>
      </c>
      <c r="E213" s="190">
        <f>IFERROR(__xludf.DUMMYFUNCTION("""COMPUTED_VALUE"""),36.19)</f>
        <v>36.19</v>
      </c>
      <c r="F213" s="190">
        <f>IFERROR(__xludf.DUMMYFUNCTION("""COMPUTED_VALUE"""),36.56)</f>
        <v>36.56</v>
      </c>
      <c r="G213" s="191">
        <f>IFERROR(__xludf.DUMMYFUNCTION("""COMPUTED_VALUE"""),1.0536831E7)</f>
        <v>10536831</v>
      </c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>
        <f>IFERROR(__xludf.DUMMYFUNCTION("""COMPUTED_VALUE"""),45359.5625)</f>
        <v>45359.5625</v>
      </c>
      <c r="C214" s="190">
        <f>IFERROR(__xludf.DUMMYFUNCTION("""COMPUTED_VALUE"""),37.14)</f>
        <v>37.14</v>
      </c>
      <c r="D214" s="190">
        <f>IFERROR(__xludf.DUMMYFUNCTION("""COMPUTED_VALUE"""),37.34)</f>
        <v>37.34</v>
      </c>
      <c r="E214" s="190">
        <f>IFERROR(__xludf.DUMMYFUNCTION("""COMPUTED_VALUE"""),36.66)</f>
        <v>36.66</v>
      </c>
      <c r="F214" s="190">
        <f>IFERROR(__xludf.DUMMYFUNCTION("""COMPUTED_VALUE"""),36.97)</f>
        <v>36.97</v>
      </c>
      <c r="G214" s="191">
        <f>IFERROR(__xludf.DUMMYFUNCTION("""COMPUTED_VALUE"""),1.4437303E7)</f>
        <v>14437303</v>
      </c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>
        <f>IFERROR(__xludf.DUMMYFUNCTION("""COMPUTED_VALUE"""),45362.5625)</f>
        <v>45362.5625</v>
      </c>
      <c r="C215" s="190">
        <f>IFERROR(__xludf.DUMMYFUNCTION("""COMPUTED_VALUE"""),36.7)</f>
        <v>36.7</v>
      </c>
      <c r="D215" s="190">
        <f>IFERROR(__xludf.DUMMYFUNCTION("""COMPUTED_VALUE"""),36.95)</f>
        <v>36.95</v>
      </c>
      <c r="E215" s="190">
        <f>IFERROR(__xludf.DUMMYFUNCTION("""COMPUTED_VALUE"""),36.62)</f>
        <v>36.62</v>
      </c>
      <c r="F215" s="190">
        <f>IFERROR(__xludf.DUMMYFUNCTION("""COMPUTED_VALUE"""),36.71)</f>
        <v>36.71</v>
      </c>
      <c r="G215" s="191">
        <f>IFERROR(__xludf.DUMMYFUNCTION("""COMPUTED_VALUE"""),3484564.0)</f>
        <v>3484564</v>
      </c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>
        <f>IFERROR(__xludf.DUMMYFUNCTION("""COMPUTED_VALUE"""),45363.5625)</f>
        <v>45363.5625</v>
      </c>
      <c r="C216" s="190">
        <f>IFERROR(__xludf.DUMMYFUNCTION("""COMPUTED_VALUE"""),36.53)</f>
        <v>36.53</v>
      </c>
      <c r="D216" s="190">
        <f>IFERROR(__xludf.DUMMYFUNCTION("""COMPUTED_VALUE"""),37.08)</f>
        <v>37.08</v>
      </c>
      <c r="E216" s="190">
        <f>IFERROR(__xludf.DUMMYFUNCTION("""COMPUTED_VALUE"""),36.53)</f>
        <v>36.53</v>
      </c>
      <c r="F216" s="190">
        <f>IFERROR(__xludf.DUMMYFUNCTION("""COMPUTED_VALUE"""),37.07)</f>
        <v>37.07</v>
      </c>
      <c r="G216" s="191">
        <f>IFERROR(__xludf.DUMMYFUNCTION("""COMPUTED_VALUE"""),2951919.0)</f>
        <v>2951919</v>
      </c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>
        <f>IFERROR(__xludf.DUMMYFUNCTION("""COMPUTED_VALUE"""),45364.5625)</f>
        <v>45364.5625</v>
      </c>
      <c r="C217" s="190">
        <f>IFERROR(__xludf.DUMMYFUNCTION("""COMPUTED_VALUE"""),37.22)</f>
        <v>37.22</v>
      </c>
      <c r="D217" s="190">
        <f>IFERROR(__xludf.DUMMYFUNCTION("""COMPUTED_VALUE"""),37.4)</f>
        <v>37.4</v>
      </c>
      <c r="E217" s="190">
        <f>IFERROR(__xludf.DUMMYFUNCTION("""COMPUTED_VALUE"""),37.13)</f>
        <v>37.13</v>
      </c>
      <c r="F217" s="190">
        <f>IFERROR(__xludf.DUMMYFUNCTION("""COMPUTED_VALUE"""),37.22)</f>
        <v>37.22</v>
      </c>
      <c r="G217" s="191">
        <f>IFERROR(__xludf.DUMMYFUNCTION("""COMPUTED_VALUE"""),2744626.0)</f>
        <v>2744626</v>
      </c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>
        <f>IFERROR(__xludf.DUMMYFUNCTION("""COMPUTED_VALUE"""),45365.5625)</f>
        <v>45365.5625</v>
      </c>
      <c r="C218" s="190">
        <f>IFERROR(__xludf.DUMMYFUNCTION("""COMPUTED_VALUE"""),37.16)</f>
        <v>37.16</v>
      </c>
      <c r="D218" s="190">
        <f>IFERROR(__xludf.DUMMYFUNCTION("""COMPUTED_VALUE"""),37.3)</f>
        <v>37.3</v>
      </c>
      <c r="E218" s="190">
        <f>IFERROR(__xludf.DUMMYFUNCTION("""COMPUTED_VALUE"""),37.04)</f>
        <v>37.04</v>
      </c>
      <c r="F218" s="190">
        <f>IFERROR(__xludf.DUMMYFUNCTION("""COMPUTED_VALUE"""),37.16)</f>
        <v>37.16</v>
      </c>
      <c r="G218" s="191">
        <f>IFERROR(__xludf.DUMMYFUNCTION("""COMPUTED_VALUE"""),5782768.0)</f>
        <v>5782768</v>
      </c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>
        <f>IFERROR(__xludf.DUMMYFUNCTION("""COMPUTED_VALUE"""),45366.5625)</f>
        <v>45366.5625</v>
      </c>
      <c r="C219" s="190">
        <f>IFERROR(__xludf.DUMMYFUNCTION("""COMPUTED_VALUE"""),37.04)</f>
        <v>37.04</v>
      </c>
      <c r="D219" s="190">
        <f>IFERROR(__xludf.DUMMYFUNCTION("""COMPUTED_VALUE"""),37.11)</f>
        <v>37.11</v>
      </c>
      <c r="E219" s="190">
        <f>IFERROR(__xludf.DUMMYFUNCTION("""COMPUTED_VALUE"""),36.86)</f>
        <v>36.86</v>
      </c>
      <c r="F219" s="190">
        <f>IFERROR(__xludf.DUMMYFUNCTION("""COMPUTED_VALUE"""),36.88)</f>
        <v>36.88</v>
      </c>
      <c r="G219" s="191">
        <f>IFERROR(__xludf.DUMMYFUNCTION("""COMPUTED_VALUE"""),2484390.0)</f>
        <v>2484390</v>
      </c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>
        <f>IFERROR(__xludf.DUMMYFUNCTION("""COMPUTED_VALUE"""),45369.5625)</f>
        <v>45369.5625</v>
      </c>
      <c r="C220" s="190">
        <f>IFERROR(__xludf.DUMMYFUNCTION("""COMPUTED_VALUE"""),36.88)</f>
        <v>36.88</v>
      </c>
      <c r="D220" s="190">
        <f>IFERROR(__xludf.DUMMYFUNCTION("""COMPUTED_VALUE"""),37.04)</f>
        <v>37.04</v>
      </c>
      <c r="E220" s="190">
        <f>IFERROR(__xludf.DUMMYFUNCTION("""COMPUTED_VALUE"""),36.8)</f>
        <v>36.8</v>
      </c>
      <c r="F220" s="190">
        <f>IFERROR(__xludf.DUMMYFUNCTION("""COMPUTED_VALUE"""),37.04)</f>
        <v>37.04</v>
      </c>
      <c r="G220" s="191">
        <f>IFERROR(__xludf.DUMMYFUNCTION("""COMPUTED_VALUE"""),4543876.0)</f>
        <v>4543876</v>
      </c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>
        <f>IFERROR(__xludf.DUMMYFUNCTION("""COMPUTED_VALUE"""),45370.5625)</f>
        <v>45370.5625</v>
      </c>
      <c r="C221" s="190">
        <f>IFERROR(__xludf.DUMMYFUNCTION("""COMPUTED_VALUE"""),36.89)</f>
        <v>36.89</v>
      </c>
      <c r="D221" s="190">
        <f>IFERROR(__xludf.DUMMYFUNCTION("""COMPUTED_VALUE"""),37.15)</f>
        <v>37.15</v>
      </c>
      <c r="E221" s="190">
        <f>IFERROR(__xludf.DUMMYFUNCTION("""COMPUTED_VALUE"""),36.8)</f>
        <v>36.8</v>
      </c>
      <c r="F221" s="190">
        <f>IFERROR(__xludf.DUMMYFUNCTION("""COMPUTED_VALUE"""),37.09)</f>
        <v>37.09</v>
      </c>
      <c r="G221" s="191">
        <f>IFERROR(__xludf.DUMMYFUNCTION("""COMPUTED_VALUE"""),2278131.0)</f>
        <v>2278131</v>
      </c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>
        <f>IFERROR(__xludf.DUMMYFUNCTION("""COMPUTED_VALUE"""),45371.5625)</f>
        <v>45371.5625</v>
      </c>
      <c r="C222" s="190">
        <f>IFERROR(__xludf.DUMMYFUNCTION("""COMPUTED_VALUE"""),37.1)</f>
        <v>37.1</v>
      </c>
      <c r="D222" s="190">
        <f>IFERROR(__xludf.DUMMYFUNCTION("""COMPUTED_VALUE"""),37.28)</f>
        <v>37.28</v>
      </c>
      <c r="E222" s="190">
        <f>IFERROR(__xludf.DUMMYFUNCTION("""COMPUTED_VALUE"""),36.88)</f>
        <v>36.88</v>
      </c>
      <c r="F222" s="190">
        <f>IFERROR(__xludf.DUMMYFUNCTION("""COMPUTED_VALUE"""),36.9)</f>
        <v>36.9</v>
      </c>
      <c r="G222" s="191">
        <f>IFERROR(__xludf.DUMMYFUNCTION("""COMPUTED_VALUE"""),2273488.0)</f>
        <v>2273488</v>
      </c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>
        <f>IFERROR(__xludf.DUMMYFUNCTION("""COMPUTED_VALUE"""),45372.5625)</f>
        <v>45372.5625</v>
      </c>
      <c r="C223" s="190">
        <f>IFERROR(__xludf.DUMMYFUNCTION("""COMPUTED_VALUE"""),37.28)</f>
        <v>37.28</v>
      </c>
      <c r="D223" s="190">
        <f>IFERROR(__xludf.DUMMYFUNCTION("""COMPUTED_VALUE"""),37.8)</f>
        <v>37.8</v>
      </c>
      <c r="E223" s="190">
        <f>IFERROR(__xludf.DUMMYFUNCTION("""COMPUTED_VALUE"""),37.28)</f>
        <v>37.28</v>
      </c>
      <c r="F223" s="190">
        <f>IFERROR(__xludf.DUMMYFUNCTION("""COMPUTED_VALUE"""),37.77)</f>
        <v>37.77</v>
      </c>
      <c r="G223" s="191">
        <f>IFERROR(__xludf.DUMMYFUNCTION("""COMPUTED_VALUE"""),4813249.0)</f>
        <v>4813249</v>
      </c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>
        <f>IFERROR(__xludf.DUMMYFUNCTION("""COMPUTED_VALUE"""),45373.5625)</f>
        <v>45373.5625</v>
      </c>
      <c r="C224" s="190">
        <f>IFERROR(__xludf.DUMMYFUNCTION("""COMPUTED_VALUE"""),37.68)</f>
        <v>37.68</v>
      </c>
      <c r="D224" s="190">
        <f>IFERROR(__xludf.DUMMYFUNCTION("""COMPUTED_VALUE"""),37.9)</f>
        <v>37.9</v>
      </c>
      <c r="E224" s="190">
        <f>IFERROR(__xludf.DUMMYFUNCTION("""COMPUTED_VALUE"""),37.56)</f>
        <v>37.56</v>
      </c>
      <c r="F224" s="190">
        <f>IFERROR(__xludf.DUMMYFUNCTION("""COMPUTED_VALUE"""),37.76)</f>
        <v>37.76</v>
      </c>
      <c r="G224" s="191">
        <f>IFERROR(__xludf.DUMMYFUNCTION("""COMPUTED_VALUE"""),4511272.0)</f>
        <v>4511272</v>
      </c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>
        <f>IFERROR(__xludf.DUMMYFUNCTION("""COMPUTED_VALUE"""),45376.5625)</f>
        <v>45376.5625</v>
      </c>
      <c r="C225" s="190">
        <f>IFERROR(__xludf.DUMMYFUNCTION("""COMPUTED_VALUE"""),37.76)</f>
        <v>37.76</v>
      </c>
      <c r="D225" s="190">
        <f>IFERROR(__xludf.DUMMYFUNCTION("""COMPUTED_VALUE"""),37.86)</f>
        <v>37.86</v>
      </c>
      <c r="E225" s="190">
        <f>IFERROR(__xludf.DUMMYFUNCTION("""COMPUTED_VALUE"""),37.6)</f>
        <v>37.6</v>
      </c>
      <c r="F225" s="190">
        <f>IFERROR(__xludf.DUMMYFUNCTION("""COMPUTED_VALUE"""),37.7)</f>
        <v>37.7</v>
      </c>
      <c r="G225" s="191">
        <f>IFERROR(__xludf.DUMMYFUNCTION("""COMPUTED_VALUE"""),2009750.0)</f>
        <v>2009750</v>
      </c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>
        <f>IFERROR(__xludf.DUMMYFUNCTION("""COMPUTED_VALUE"""),45377.5625)</f>
        <v>45377.5625</v>
      </c>
      <c r="C226" s="190">
        <f>IFERROR(__xludf.DUMMYFUNCTION("""COMPUTED_VALUE"""),37.74)</f>
        <v>37.74</v>
      </c>
      <c r="D226" s="190">
        <f>IFERROR(__xludf.DUMMYFUNCTION("""COMPUTED_VALUE"""),38.15)</f>
        <v>38.15</v>
      </c>
      <c r="E226" s="190">
        <f>IFERROR(__xludf.DUMMYFUNCTION("""COMPUTED_VALUE"""),37.49)</f>
        <v>37.49</v>
      </c>
      <c r="F226" s="190">
        <f>IFERROR(__xludf.DUMMYFUNCTION("""COMPUTED_VALUE"""),37.81)</f>
        <v>37.81</v>
      </c>
      <c r="G226" s="191">
        <f>IFERROR(__xludf.DUMMYFUNCTION("""COMPUTED_VALUE"""),7439062.0)</f>
        <v>7439062</v>
      </c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>
        <f>IFERROR(__xludf.DUMMYFUNCTION("""COMPUTED_VALUE"""),45378.5625)</f>
        <v>45378.5625</v>
      </c>
      <c r="C227" s="190">
        <f>IFERROR(__xludf.DUMMYFUNCTION("""COMPUTED_VALUE"""),37.75)</f>
        <v>37.75</v>
      </c>
      <c r="D227" s="190">
        <f>IFERROR(__xludf.DUMMYFUNCTION("""COMPUTED_VALUE"""),37.88)</f>
        <v>37.88</v>
      </c>
      <c r="E227" s="190">
        <f>IFERROR(__xludf.DUMMYFUNCTION("""COMPUTED_VALUE"""),37.64)</f>
        <v>37.64</v>
      </c>
      <c r="F227" s="190">
        <f>IFERROR(__xludf.DUMMYFUNCTION("""COMPUTED_VALUE"""),37.81)</f>
        <v>37.81</v>
      </c>
      <c r="G227" s="191">
        <f>IFERROR(__xludf.DUMMYFUNCTION("""COMPUTED_VALUE"""),7203666.0)</f>
        <v>7203666</v>
      </c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>
        <f>IFERROR(__xludf.DUMMYFUNCTION("""COMPUTED_VALUE"""),45379.5625)</f>
        <v>45379.5625</v>
      </c>
      <c r="C228" s="190">
        <f>IFERROR(__xludf.DUMMYFUNCTION("""COMPUTED_VALUE"""),37.65)</f>
        <v>37.65</v>
      </c>
      <c r="D228" s="190">
        <f>IFERROR(__xludf.DUMMYFUNCTION("""COMPUTED_VALUE"""),37.81)</f>
        <v>37.81</v>
      </c>
      <c r="E228" s="190">
        <f>IFERROR(__xludf.DUMMYFUNCTION("""COMPUTED_VALUE"""),37.48)</f>
        <v>37.48</v>
      </c>
      <c r="F228" s="190">
        <f>IFERROR(__xludf.DUMMYFUNCTION("""COMPUTED_VALUE"""),37.76)</f>
        <v>37.76</v>
      </c>
      <c r="G228" s="191">
        <f>IFERROR(__xludf.DUMMYFUNCTION("""COMPUTED_VALUE"""),5613339.0)</f>
        <v>5613339</v>
      </c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>
        <f>IFERROR(__xludf.DUMMYFUNCTION("""COMPUTED_VALUE"""),45380.5625)</f>
        <v>45380.5625</v>
      </c>
      <c r="C229" s="190">
        <f>IFERROR(__xludf.DUMMYFUNCTION("""COMPUTED_VALUE"""),37.76)</f>
        <v>37.76</v>
      </c>
      <c r="D229" s="190">
        <f>IFERROR(__xludf.DUMMYFUNCTION("""COMPUTED_VALUE"""),38.0)</f>
        <v>38</v>
      </c>
      <c r="E229" s="190">
        <f>IFERROR(__xludf.DUMMYFUNCTION("""COMPUTED_VALUE"""),37.75)</f>
        <v>37.75</v>
      </c>
      <c r="F229" s="190">
        <f>IFERROR(__xludf.DUMMYFUNCTION("""COMPUTED_VALUE"""),37.95)</f>
        <v>37.95</v>
      </c>
      <c r="G229" s="191">
        <f>IFERROR(__xludf.DUMMYFUNCTION("""COMPUTED_VALUE"""),4351311.0)</f>
        <v>4351311</v>
      </c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>
        <f>IFERROR(__xludf.DUMMYFUNCTION("""COMPUTED_VALUE"""),45383.5625)</f>
        <v>45383.5625</v>
      </c>
      <c r="C230" s="190">
        <f>IFERROR(__xludf.DUMMYFUNCTION("""COMPUTED_VALUE"""),38.0)</f>
        <v>38</v>
      </c>
      <c r="D230" s="190">
        <f>IFERROR(__xludf.DUMMYFUNCTION("""COMPUTED_VALUE"""),38.1)</f>
        <v>38.1</v>
      </c>
      <c r="E230" s="190">
        <f>IFERROR(__xludf.DUMMYFUNCTION("""COMPUTED_VALUE"""),37.74)</f>
        <v>37.74</v>
      </c>
      <c r="F230" s="190">
        <f>IFERROR(__xludf.DUMMYFUNCTION("""COMPUTED_VALUE"""),37.74)</f>
        <v>37.74</v>
      </c>
      <c r="G230" s="191">
        <f>IFERROR(__xludf.DUMMYFUNCTION("""COMPUTED_VALUE"""),2221207.0)</f>
        <v>2221207</v>
      </c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>
        <f>IFERROR(__xludf.DUMMYFUNCTION("""COMPUTED_VALUE"""),45384.5625)</f>
        <v>45384.5625</v>
      </c>
      <c r="C231" s="190">
        <f>IFERROR(__xludf.DUMMYFUNCTION("""COMPUTED_VALUE"""),37.92)</f>
        <v>37.92</v>
      </c>
      <c r="D231" s="190">
        <f>IFERROR(__xludf.DUMMYFUNCTION("""COMPUTED_VALUE"""),38.3)</f>
        <v>38.3</v>
      </c>
      <c r="E231" s="190">
        <f>IFERROR(__xludf.DUMMYFUNCTION("""COMPUTED_VALUE"""),37.92)</f>
        <v>37.92</v>
      </c>
      <c r="F231" s="190">
        <f>IFERROR(__xludf.DUMMYFUNCTION("""COMPUTED_VALUE"""),38.3)</f>
        <v>38.3</v>
      </c>
      <c r="G231" s="191">
        <f>IFERROR(__xludf.DUMMYFUNCTION("""COMPUTED_VALUE"""),2511702.0)</f>
        <v>2511702</v>
      </c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>
        <f>IFERROR(__xludf.DUMMYFUNCTION("""COMPUTED_VALUE"""),45385.5625)</f>
        <v>45385.5625</v>
      </c>
      <c r="C232" s="190">
        <f>IFERROR(__xludf.DUMMYFUNCTION("""COMPUTED_VALUE"""),38.12)</f>
        <v>38.12</v>
      </c>
      <c r="D232" s="190">
        <f>IFERROR(__xludf.DUMMYFUNCTION("""COMPUTED_VALUE"""),38.15)</f>
        <v>38.15</v>
      </c>
      <c r="E232" s="190">
        <f>IFERROR(__xludf.DUMMYFUNCTION("""COMPUTED_VALUE"""),37.88)</f>
        <v>37.88</v>
      </c>
      <c r="F232" s="190">
        <f>IFERROR(__xludf.DUMMYFUNCTION("""COMPUTED_VALUE"""),37.99)</f>
        <v>37.99</v>
      </c>
      <c r="G232" s="191">
        <f>IFERROR(__xludf.DUMMYFUNCTION("""COMPUTED_VALUE"""),4719789.0)</f>
        <v>4719789</v>
      </c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>
        <f>IFERROR(__xludf.DUMMYFUNCTION("""COMPUTED_VALUE"""),45390.5625)</f>
        <v>45390.5625</v>
      </c>
      <c r="C233" s="190">
        <f>IFERROR(__xludf.DUMMYFUNCTION("""COMPUTED_VALUE"""),38.02)</f>
        <v>38.02</v>
      </c>
      <c r="D233" s="190">
        <f>IFERROR(__xludf.DUMMYFUNCTION("""COMPUTED_VALUE"""),38.31)</f>
        <v>38.31</v>
      </c>
      <c r="E233" s="190">
        <f>IFERROR(__xludf.DUMMYFUNCTION("""COMPUTED_VALUE"""),38.01)</f>
        <v>38.01</v>
      </c>
      <c r="F233" s="190">
        <f>IFERROR(__xludf.DUMMYFUNCTION("""COMPUTED_VALUE"""),38.22)</f>
        <v>38.22</v>
      </c>
      <c r="G233" s="191">
        <f>IFERROR(__xludf.DUMMYFUNCTION("""COMPUTED_VALUE"""),2898047.0)</f>
        <v>2898047</v>
      </c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>
        <f>IFERROR(__xludf.DUMMYFUNCTION("""COMPUTED_VALUE"""),45391.5625)</f>
        <v>45391.5625</v>
      </c>
      <c r="C234" s="190">
        <f>IFERROR(__xludf.DUMMYFUNCTION("""COMPUTED_VALUE"""),38.27)</f>
        <v>38.27</v>
      </c>
      <c r="D234" s="190">
        <f>IFERROR(__xludf.DUMMYFUNCTION("""COMPUTED_VALUE"""),39.01)</f>
        <v>39.01</v>
      </c>
      <c r="E234" s="190">
        <f>IFERROR(__xludf.DUMMYFUNCTION("""COMPUTED_VALUE"""),38.27)</f>
        <v>38.27</v>
      </c>
      <c r="F234" s="190">
        <f>IFERROR(__xludf.DUMMYFUNCTION("""COMPUTED_VALUE"""),38.96)</f>
        <v>38.96</v>
      </c>
      <c r="G234" s="191">
        <f>IFERROR(__xludf.DUMMYFUNCTION("""COMPUTED_VALUE"""),7152979.0)</f>
        <v>7152979</v>
      </c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>
        <f>IFERROR(__xludf.DUMMYFUNCTION("""COMPUTED_VALUE"""),45392.5625)</f>
        <v>45392.5625</v>
      </c>
      <c r="C235" s="190">
        <f>IFERROR(__xludf.DUMMYFUNCTION("""COMPUTED_VALUE"""),38.96)</f>
        <v>38.96</v>
      </c>
      <c r="D235" s="190">
        <f>IFERROR(__xludf.DUMMYFUNCTION("""COMPUTED_VALUE"""),39.05)</f>
        <v>39.05</v>
      </c>
      <c r="E235" s="190">
        <f>IFERROR(__xludf.DUMMYFUNCTION("""COMPUTED_VALUE"""),38.88)</f>
        <v>38.88</v>
      </c>
      <c r="F235" s="190">
        <f>IFERROR(__xludf.DUMMYFUNCTION("""COMPUTED_VALUE"""),38.9)</f>
        <v>38.9</v>
      </c>
      <c r="G235" s="191">
        <f>IFERROR(__xludf.DUMMYFUNCTION("""COMPUTED_VALUE"""),4944835.0)</f>
        <v>4944835</v>
      </c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>
        <f>IFERROR(__xludf.DUMMYFUNCTION("""COMPUTED_VALUE"""),45393.5625)</f>
        <v>45393.5625</v>
      </c>
      <c r="C236" s="190">
        <f>IFERROR(__xludf.DUMMYFUNCTION("""COMPUTED_VALUE"""),38.65)</f>
        <v>38.65</v>
      </c>
      <c r="D236" s="190">
        <f>IFERROR(__xludf.DUMMYFUNCTION("""COMPUTED_VALUE"""),38.87)</f>
        <v>38.87</v>
      </c>
      <c r="E236" s="190">
        <f>IFERROR(__xludf.DUMMYFUNCTION("""COMPUTED_VALUE"""),38.58)</f>
        <v>38.58</v>
      </c>
      <c r="F236" s="190">
        <f>IFERROR(__xludf.DUMMYFUNCTION("""COMPUTED_VALUE"""),38.86)</f>
        <v>38.86</v>
      </c>
      <c r="G236" s="191">
        <f>IFERROR(__xludf.DUMMYFUNCTION("""COMPUTED_VALUE"""),4249541.0)</f>
        <v>4249541</v>
      </c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>
        <f>IFERROR(__xludf.DUMMYFUNCTION("""COMPUTED_VALUE"""),45394.5625)</f>
        <v>45394.5625</v>
      </c>
      <c r="C237" s="190">
        <f>IFERROR(__xludf.DUMMYFUNCTION("""COMPUTED_VALUE"""),38.88)</f>
        <v>38.88</v>
      </c>
      <c r="D237" s="190">
        <f>IFERROR(__xludf.DUMMYFUNCTION("""COMPUTED_VALUE"""),38.96)</f>
        <v>38.96</v>
      </c>
      <c r="E237" s="190">
        <f>IFERROR(__xludf.DUMMYFUNCTION("""COMPUTED_VALUE"""),38.71)</f>
        <v>38.71</v>
      </c>
      <c r="F237" s="190">
        <f>IFERROR(__xludf.DUMMYFUNCTION("""COMPUTED_VALUE"""),38.82)</f>
        <v>38.82</v>
      </c>
      <c r="G237" s="191">
        <f>IFERROR(__xludf.DUMMYFUNCTION("""COMPUTED_VALUE"""),2138451.0)</f>
        <v>2138451</v>
      </c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>
        <f>IFERROR(__xludf.DUMMYFUNCTION("""COMPUTED_VALUE"""),45397.5625)</f>
        <v>45397.5625</v>
      </c>
      <c r="C238" s="190">
        <f>IFERROR(__xludf.DUMMYFUNCTION("""COMPUTED_VALUE"""),38.56)</f>
        <v>38.56</v>
      </c>
      <c r="D238" s="190">
        <f>IFERROR(__xludf.DUMMYFUNCTION("""COMPUTED_VALUE"""),38.56)</f>
        <v>38.56</v>
      </c>
      <c r="E238" s="190">
        <f>IFERROR(__xludf.DUMMYFUNCTION("""COMPUTED_VALUE"""),38.33)</f>
        <v>38.33</v>
      </c>
      <c r="F238" s="190">
        <f>IFERROR(__xludf.DUMMYFUNCTION("""COMPUTED_VALUE"""),38.47)</f>
        <v>38.47</v>
      </c>
      <c r="G238" s="191">
        <f>IFERROR(__xludf.DUMMYFUNCTION("""COMPUTED_VALUE"""),8672985.0)</f>
        <v>8672985</v>
      </c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>
        <f>IFERROR(__xludf.DUMMYFUNCTION("""COMPUTED_VALUE"""),45398.5625)</f>
        <v>45398.5625</v>
      </c>
      <c r="C239" s="190">
        <f>IFERROR(__xludf.DUMMYFUNCTION("""COMPUTED_VALUE"""),38.07)</f>
        <v>38.07</v>
      </c>
      <c r="D239" s="190">
        <f>IFERROR(__xludf.DUMMYFUNCTION("""COMPUTED_VALUE"""),38.15)</f>
        <v>38.15</v>
      </c>
      <c r="E239" s="190">
        <f>IFERROR(__xludf.DUMMYFUNCTION("""COMPUTED_VALUE"""),37.2)</f>
        <v>37.2</v>
      </c>
      <c r="F239" s="190">
        <f>IFERROR(__xludf.DUMMYFUNCTION("""COMPUTED_VALUE"""),37.29)</f>
        <v>37.29</v>
      </c>
      <c r="G239" s="191">
        <f>IFERROR(__xludf.DUMMYFUNCTION("""COMPUTED_VALUE"""),1.0066036E7)</f>
        <v>10066036</v>
      </c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>
        <f>IFERROR(__xludf.DUMMYFUNCTION("""COMPUTED_VALUE"""),45399.5625)</f>
        <v>45399.5625</v>
      </c>
      <c r="C240" s="190">
        <f>IFERROR(__xludf.DUMMYFUNCTION("""COMPUTED_VALUE"""),37.41)</f>
        <v>37.41</v>
      </c>
      <c r="D240" s="190">
        <f>IFERROR(__xludf.DUMMYFUNCTION("""COMPUTED_VALUE"""),37.86)</f>
        <v>37.86</v>
      </c>
      <c r="E240" s="190">
        <f>IFERROR(__xludf.DUMMYFUNCTION("""COMPUTED_VALUE"""),37.41)</f>
        <v>37.41</v>
      </c>
      <c r="F240" s="190">
        <f>IFERROR(__xludf.DUMMYFUNCTION("""COMPUTED_VALUE"""),37.77)</f>
        <v>37.77</v>
      </c>
      <c r="G240" s="191">
        <f>IFERROR(__xludf.DUMMYFUNCTION("""COMPUTED_VALUE"""),3811490.0)</f>
        <v>3811490</v>
      </c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>
        <f>IFERROR(__xludf.DUMMYFUNCTION("""COMPUTED_VALUE"""),45400.5625)</f>
        <v>45400.5625</v>
      </c>
      <c r="C241" s="190">
        <f>IFERROR(__xludf.DUMMYFUNCTION("""COMPUTED_VALUE"""),37.58)</f>
        <v>37.58</v>
      </c>
      <c r="D241" s="190">
        <f>IFERROR(__xludf.DUMMYFUNCTION("""COMPUTED_VALUE"""),38.06)</f>
        <v>38.06</v>
      </c>
      <c r="E241" s="190">
        <f>IFERROR(__xludf.DUMMYFUNCTION("""COMPUTED_VALUE"""),37.47)</f>
        <v>37.47</v>
      </c>
      <c r="F241" s="190">
        <f>IFERROR(__xludf.DUMMYFUNCTION("""COMPUTED_VALUE"""),38.06)</f>
        <v>38.06</v>
      </c>
      <c r="G241" s="191">
        <f>IFERROR(__xludf.DUMMYFUNCTION("""COMPUTED_VALUE"""),2562338.0)</f>
        <v>2562338</v>
      </c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>
        <f>IFERROR(__xludf.DUMMYFUNCTION("""COMPUTED_VALUE"""),45401.5625)</f>
        <v>45401.5625</v>
      </c>
      <c r="C242" s="190">
        <f>IFERROR(__xludf.DUMMYFUNCTION("""COMPUTED_VALUE"""),37.26)</f>
        <v>37.26</v>
      </c>
      <c r="D242" s="190">
        <f>IFERROR(__xludf.DUMMYFUNCTION("""COMPUTED_VALUE"""),37.26)</f>
        <v>37.26</v>
      </c>
      <c r="E242" s="190">
        <f>IFERROR(__xludf.DUMMYFUNCTION("""COMPUTED_VALUE"""),36.06)</f>
        <v>36.06</v>
      </c>
      <c r="F242" s="190">
        <f>IFERROR(__xludf.DUMMYFUNCTION("""COMPUTED_VALUE"""),36.44)</f>
        <v>36.44</v>
      </c>
      <c r="G242" s="191">
        <f>IFERROR(__xludf.DUMMYFUNCTION("""COMPUTED_VALUE"""),1.113802E7)</f>
        <v>11138020</v>
      </c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>
        <f>IFERROR(__xludf.DUMMYFUNCTION("""COMPUTED_VALUE"""),45404.5625)</f>
        <v>45404.5625</v>
      </c>
      <c r="C243" s="190">
        <f>IFERROR(__xludf.DUMMYFUNCTION("""COMPUTED_VALUE"""),36.38)</f>
        <v>36.38</v>
      </c>
      <c r="D243" s="190">
        <f>IFERROR(__xludf.DUMMYFUNCTION("""COMPUTED_VALUE"""),36.69)</f>
        <v>36.69</v>
      </c>
      <c r="E243" s="190">
        <f>IFERROR(__xludf.DUMMYFUNCTION("""COMPUTED_VALUE"""),36.25)</f>
        <v>36.25</v>
      </c>
      <c r="F243" s="190">
        <f>IFERROR(__xludf.DUMMYFUNCTION("""COMPUTED_VALUE"""),36.37)</f>
        <v>36.37</v>
      </c>
      <c r="G243" s="191">
        <f>IFERROR(__xludf.DUMMYFUNCTION("""COMPUTED_VALUE"""),4083617.0)</f>
        <v>4083617</v>
      </c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>
        <f>IFERROR(__xludf.DUMMYFUNCTION("""COMPUTED_VALUE"""),45405.5625)</f>
        <v>45405.5625</v>
      </c>
      <c r="C244" s="190">
        <f>IFERROR(__xludf.DUMMYFUNCTION("""COMPUTED_VALUE"""),36.8)</f>
        <v>36.8</v>
      </c>
      <c r="D244" s="190">
        <f>IFERROR(__xludf.DUMMYFUNCTION("""COMPUTED_VALUE"""),36.89)</f>
        <v>36.89</v>
      </c>
      <c r="E244" s="190">
        <f>IFERROR(__xludf.DUMMYFUNCTION("""COMPUTED_VALUE"""),36.53)</f>
        <v>36.53</v>
      </c>
      <c r="F244" s="190">
        <f>IFERROR(__xludf.DUMMYFUNCTION("""COMPUTED_VALUE"""),36.7)</f>
        <v>36.7</v>
      </c>
      <c r="G244" s="191">
        <f>IFERROR(__xludf.DUMMYFUNCTION("""COMPUTED_VALUE"""),2024748.0)</f>
        <v>2024748</v>
      </c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>
        <f>IFERROR(__xludf.DUMMYFUNCTION("""COMPUTED_VALUE"""),45406.5625)</f>
        <v>45406.5625</v>
      </c>
      <c r="C245" s="190">
        <f>IFERROR(__xludf.DUMMYFUNCTION("""COMPUTED_VALUE"""),37.08)</f>
        <v>37.08</v>
      </c>
      <c r="D245" s="190">
        <f>IFERROR(__xludf.DUMMYFUNCTION("""COMPUTED_VALUE"""),37.76)</f>
        <v>37.76</v>
      </c>
      <c r="E245" s="190">
        <f>IFERROR(__xludf.DUMMYFUNCTION("""COMPUTED_VALUE"""),37.07)</f>
        <v>37.07</v>
      </c>
      <c r="F245" s="190">
        <f>IFERROR(__xludf.DUMMYFUNCTION("""COMPUTED_VALUE"""),37.65)</f>
        <v>37.65</v>
      </c>
      <c r="G245" s="191">
        <f>IFERROR(__xludf.DUMMYFUNCTION("""COMPUTED_VALUE"""),5584043.0)</f>
        <v>5584043</v>
      </c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>
        <f>IFERROR(__xludf.DUMMYFUNCTION("""COMPUTED_VALUE"""),45407.5625)</f>
        <v>45407.5625</v>
      </c>
      <c r="C246" s="190">
        <f>IFERROR(__xludf.DUMMYFUNCTION("""COMPUTED_VALUE"""),37.23)</f>
        <v>37.23</v>
      </c>
      <c r="D246" s="190">
        <f>IFERROR(__xludf.DUMMYFUNCTION("""COMPUTED_VALUE"""),37.29)</f>
        <v>37.29</v>
      </c>
      <c r="E246" s="190">
        <f>IFERROR(__xludf.DUMMYFUNCTION("""COMPUTED_VALUE"""),36.98)</f>
        <v>36.98</v>
      </c>
      <c r="F246" s="190">
        <f>IFERROR(__xludf.DUMMYFUNCTION("""COMPUTED_VALUE"""),37.05)</f>
        <v>37.05</v>
      </c>
      <c r="G246" s="191">
        <f>IFERROR(__xludf.DUMMYFUNCTION("""COMPUTED_VALUE"""),2993611.0)</f>
        <v>2993611</v>
      </c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>
        <f>IFERROR(__xludf.DUMMYFUNCTION("""COMPUTED_VALUE"""),45408.5625)</f>
        <v>45408.5625</v>
      </c>
      <c r="C247" s="190">
        <f>IFERROR(__xludf.DUMMYFUNCTION("""COMPUTED_VALUE"""),37.46)</f>
        <v>37.46</v>
      </c>
      <c r="D247" s="190">
        <f>IFERROR(__xludf.DUMMYFUNCTION("""COMPUTED_VALUE"""),37.81)</f>
        <v>37.81</v>
      </c>
      <c r="E247" s="190">
        <f>IFERROR(__xludf.DUMMYFUNCTION("""COMPUTED_VALUE"""),37.46)</f>
        <v>37.46</v>
      </c>
      <c r="F247" s="190">
        <f>IFERROR(__xludf.DUMMYFUNCTION("""COMPUTED_VALUE"""),37.63)</f>
        <v>37.63</v>
      </c>
      <c r="G247" s="191">
        <f>IFERROR(__xludf.DUMMYFUNCTION("""COMPUTED_VALUE"""),3312018.0)</f>
        <v>3312018</v>
      </c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>
        <f>IFERROR(__xludf.DUMMYFUNCTION("""COMPUTED_VALUE"""),45411.5625)</f>
        <v>45411.5625</v>
      </c>
      <c r="C248" s="190">
        <f>IFERROR(__xludf.DUMMYFUNCTION("""COMPUTED_VALUE"""),37.75)</f>
        <v>37.75</v>
      </c>
      <c r="D248" s="190">
        <f>IFERROR(__xludf.DUMMYFUNCTION("""COMPUTED_VALUE"""),38.36)</f>
        <v>38.36</v>
      </c>
      <c r="E248" s="190">
        <f>IFERROR(__xludf.DUMMYFUNCTION("""COMPUTED_VALUE"""),37.75)</f>
        <v>37.75</v>
      </c>
      <c r="F248" s="190">
        <f>IFERROR(__xludf.DUMMYFUNCTION("""COMPUTED_VALUE"""),38.25)</f>
        <v>38.25</v>
      </c>
      <c r="G248" s="191">
        <f>IFERROR(__xludf.DUMMYFUNCTION("""COMPUTED_VALUE"""),2301728.0)</f>
        <v>2301728</v>
      </c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>
        <f>IFERROR(__xludf.DUMMYFUNCTION("""COMPUTED_VALUE"""),45412.5625)</f>
        <v>45412.5625</v>
      </c>
      <c r="C249" s="190">
        <f>IFERROR(__xludf.DUMMYFUNCTION("""COMPUTED_VALUE"""),38.28)</f>
        <v>38.28</v>
      </c>
      <c r="D249" s="190">
        <f>IFERROR(__xludf.DUMMYFUNCTION("""COMPUTED_VALUE"""),38.36)</f>
        <v>38.36</v>
      </c>
      <c r="E249" s="190">
        <f>IFERROR(__xludf.DUMMYFUNCTION("""COMPUTED_VALUE"""),38.19)</f>
        <v>38.19</v>
      </c>
      <c r="F249" s="190">
        <f>IFERROR(__xludf.DUMMYFUNCTION("""COMPUTED_VALUE"""),38.19)</f>
        <v>38.19</v>
      </c>
      <c r="G249" s="191">
        <f>IFERROR(__xludf.DUMMYFUNCTION("""COMPUTED_VALUE"""),1162419.0)</f>
        <v>1162419</v>
      </c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>
        <f>IFERROR(__xludf.DUMMYFUNCTION("""COMPUTED_VALUE"""),45414.5625)</f>
        <v>45414.5625</v>
      </c>
      <c r="C250" s="190">
        <f>IFERROR(__xludf.DUMMYFUNCTION("""COMPUTED_VALUE"""),38.04)</f>
        <v>38.04</v>
      </c>
      <c r="D250" s="190">
        <f>IFERROR(__xludf.DUMMYFUNCTION("""COMPUTED_VALUE"""),38.04)</f>
        <v>38.04</v>
      </c>
      <c r="E250" s="190">
        <f>IFERROR(__xludf.DUMMYFUNCTION("""COMPUTED_VALUE"""),37.66)</f>
        <v>37.66</v>
      </c>
      <c r="F250" s="190">
        <f>IFERROR(__xludf.DUMMYFUNCTION("""COMPUTED_VALUE"""),37.69)</f>
        <v>37.69</v>
      </c>
      <c r="G250" s="191">
        <f>IFERROR(__xludf.DUMMYFUNCTION("""COMPUTED_VALUE"""),1860077.0)</f>
        <v>1860077</v>
      </c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>
        <f>IFERROR(__xludf.DUMMYFUNCTION("""COMPUTED_VALUE"""),45415.5625)</f>
        <v>45415.5625</v>
      </c>
      <c r="C251" s="190">
        <f>IFERROR(__xludf.DUMMYFUNCTION("""COMPUTED_VALUE"""),38.09)</f>
        <v>38.09</v>
      </c>
      <c r="D251" s="190">
        <f>IFERROR(__xludf.DUMMYFUNCTION("""COMPUTED_VALUE"""),38.22)</f>
        <v>38.22</v>
      </c>
      <c r="E251" s="190">
        <f>IFERROR(__xludf.DUMMYFUNCTION("""COMPUTED_VALUE"""),37.74)</f>
        <v>37.74</v>
      </c>
      <c r="F251" s="190">
        <f>IFERROR(__xludf.DUMMYFUNCTION("""COMPUTED_VALUE"""),37.82)</f>
        <v>37.82</v>
      </c>
      <c r="G251" s="191">
        <f>IFERROR(__xludf.DUMMYFUNCTION("""COMPUTED_VALUE"""),1667223.0)</f>
        <v>1667223</v>
      </c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>
        <f>IFERROR(__xludf.DUMMYFUNCTION("""COMPUTED_VALUE"""),45418.5625)</f>
        <v>45418.5625</v>
      </c>
      <c r="C252" s="190">
        <f>IFERROR(__xludf.DUMMYFUNCTION("""COMPUTED_VALUE"""),38.34)</f>
        <v>38.34</v>
      </c>
      <c r="D252" s="190">
        <f>IFERROR(__xludf.DUMMYFUNCTION("""COMPUTED_VALUE"""),38.6)</f>
        <v>38.6</v>
      </c>
      <c r="E252" s="190">
        <f>IFERROR(__xludf.DUMMYFUNCTION("""COMPUTED_VALUE"""),38.3)</f>
        <v>38.3</v>
      </c>
      <c r="F252" s="190">
        <f>IFERROR(__xludf.DUMMYFUNCTION("""COMPUTED_VALUE"""),38.42)</f>
        <v>38.42</v>
      </c>
      <c r="G252" s="191">
        <f>IFERROR(__xludf.DUMMYFUNCTION("""COMPUTED_VALUE"""),2238431.0)</f>
        <v>2238431</v>
      </c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>
        <f>IFERROR(__xludf.DUMMYFUNCTION("""COMPUTED_VALUE"""),45419.5625)</f>
        <v>45419.5625</v>
      </c>
      <c r="C253" s="190">
        <f>IFERROR(__xludf.DUMMYFUNCTION("""COMPUTED_VALUE"""),38.6)</f>
        <v>38.6</v>
      </c>
      <c r="D253" s="190">
        <f>IFERROR(__xludf.DUMMYFUNCTION("""COMPUTED_VALUE"""),38.74)</f>
        <v>38.74</v>
      </c>
      <c r="E253" s="190">
        <f>IFERROR(__xludf.DUMMYFUNCTION("""COMPUTED_VALUE"""),38.41)</f>
        <v>38.41</v>
      </c>
      <c r="F253" s="190">
        <f>IFERROR(__xludf.DUMMYFUNCTION("""COMPUTED_VALUE"""),38.63)</f>
        <v>38.63</v>
      </c>
      <c r="G253" s="191">
        <f>IFERROR(__xludf.DUMMYFUNCTION("""COMPUTED_VALUE"""),1825804.0)</f>
        <v>1825804</v>
      </c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>
        <f>IFERROR(__xludf.DUMMYFUNCTION("""COMPUTED_VALUE"""),45420.5625)</f>
        <v>45420.5625</v>
      </c>
      <c r="C254" s="190">
        <f>IFERROR(__xludf.DUMMYFUNCTION("""COMPUTED_VALUE"""),38.58)</f>
        <v>38.58</v>
      </c>
      <c r="D254" s="190">
        <f>IFERROR(__xludf.DUMMYFUNCTION("""COMPUTED_VALUE"""),38.72)</f>
        <v>38.72</v>
      </c>
      <c r="E254" s="190">
        <f>IFERROR(__xludf.DUMMYFUNCTION("""COMPUTED_VALUE"""),38.46)</f>
        <v>38.46</v>
      </c>
      <c r="F254" s="190">
        <f>IFERROR(__xludf.DUMMYFUNCTION("""COMPUTED_VALUE"""),38.69)</f>
        <v>38.69</v>
      </c>
      <c r="G254" s="191">
        <f>IFERROR(__xludf.DUMMYFUNCTION("""COMPUTED_VALUE"""),996275.0)</f>
        <v>996275</v>
      </c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>
        <f>IFERROR(__xludf.DUMMYFUNCTION("""COMPUTED_VALUE"""),45421.5625)</f>
        <v>45421.5625</v>
      </c>
      <c r="C255" s="190">
        <f>IFERROR(__xludf.DUMMYFUNCTION("""COMPUTED_VALUE"""),38.69)</f>
        <v>38.69</v>
      </c>
      <c r="D255" s="190">
        <f>IFERROR(__xludf.DUMMYFUNCTION("""COMPUTED_VALUE"""),38.78)</f>
        <v>38.78</v>
      </c>
      <c r="E255" s="190">
        <f>IFERROR(__xludf.DUMMYFUNCTION("""COMPUTED_VALUE"""),38.57)</f>
        <v>38.57</v>
      </c>
      <c r="F255" s="190">
        <f>IFERROR(__xludf.DUMMYFUNCTION("""COMPUTED_VALUE"""),38.57)</f>
        <v>38.57</v>
      </c>
      <c r="G255" s="191">
        <f>IFERROR(__xludf.DUMMYFUNCTION("""COMPUTED_VALUE"""),2269644.0)</f>
        <v>2269644</v>
      </c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>
        <f>IFERROR(__xludf.DUMMYFUNCTION("""COMPUTED_VALUE"""),45422.5625)</f>
        <v>45422.5625</v>
      </c>
      <c r="C256" s="190">
        <f>IFERROR(__xludf.DUMMYFUNCTION("""COMPUTED_VALUE"""),38.63)</f>
        <v>38.63</v>
      </c>
      <c r="D256" s="190">
        <f>IFERROR(__xludf.DUMMYFUNCTION("""COMPUTED_VALUE"""),39.0)</f>
        <v>39</v>
      </c>
      <c r="E256" s="190">
        <f>IFERROR(__xludf.DUMMYFUNCTION("""COMPUTED_VALUE"""),38.63)</f>
        <v>38.63</v>
      </c>
      <c r="F256" s="190">
        <f>IFERROR(__xludf.DUMMYFUNCTION("""COMPUTED_VALUE"""),38.93)</f>
        <v>38.93</v>
      </c>
      <c r="G256" s="191">
        <f>IFERROR(__xludf.DUMMYFUNCTION("""COMPUTED_VALUE"""),1942833.0)</f>
        <v>1942833</v>
      </c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>
        <f>IFERROR(__xludf.DUMMYFUNCTION("""COMPUTED_VALUE"""),45425.5625)</f>
        <v>45425.5625</v>
      </c>
      <c r="C257" s="190">
        <f>IFERROR(__xludf.DUMMYFUNCTION("""COMPUTED_VALUE"""),39.2)</f>
        <v>39.2</v>
      </c>
      <c r="D257" s="190">
        <f>IFERROR(__xludf.DUMMYFUNCTION("""COMPUTED_VALUE"""),39.5)</f>
        <v>39.5</v>
      </c>
      <c r="E257" s="190">
        <f>IFERROR(__xludf.DUMMYFUNCTION("""COMPUTED_VALUE"""),39.13)</f>
        <v>39.13</v>
      </c>
      <c r="F257" s="190">
        <f>IFERROR(__xludf.DUMMYFUNCTION("""COMPUTED_VALUE"""),39.21)</f>
        <v>39.21</v>
      </c>
      <c r="G257" s="191">
        <f>IFERROR(__xludf.DUMMYFUNCTION("""COMPUTED_VALUE"""),2667948.0)</f>
        <v>2667948</v>
      </c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>
        <f>IFERROR(__xludf.DUMMYFUNCTION("""COMPUTED_VALUE"""),45426.5625)</f>
        <v>45426.5625</v>
      </c>
      <c r="C258" s="190">
        <f>IFERROR(__xludf.DUMMYFUNCTION("""COMPUTED_VALUE"""),39.21)</f>
        <v>39.21</v>
      </c>
      <c r="D258" s="190">
        <f>IFERROR(__xludf.DUMMYFUNCTION("""COMPUTED_VALUE"""),39.49)</f>
        <v>39.49</v>
      </c>
      <c r="E258" s="190">
        <f>IFERROR(__xludf.DUMMYFUNCTION("""COMPUTED_VALUE"""),39.15)</f>
        <v>39.15</v>
      </c>
      <c r="F258" s="190">
        <f>IFERROR(__xludf.DUMMYFUNCTION("""COMPUTED_VALUE"""),39.47)</f>
        <v>39.47</v>
      </c>
      <c r="G258" s="191">
        <f>IFERROR(__xludf.DUMMYFUNCTION("""COMPUTED_VALUE"""),1805621.0)</f>
        <v>1805621</v>
      </c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>
        <f>IFERROR(__xludf.DUMMYFUNCTION("""COMPUTED_VALUE"""),45427.5625)</f>
        <v>45427.5625</v>
      </c>
      <c r="C259" s="190">
        <f>IFERROR(__xludf.DUMMYFUNCTION("""COMPUTED_VALUE"""),39.64)</f>
        <v>39.64</v>
      </c>
      <c r="D259" s="190">
        <f>IFERROR(__xludf.DUMMYFUNCTION("""COMPUTED_VALUE"""),40.22)</f>
        <v>40.22</v>
      </c>
      <c r="E259" s="190">
        <f>IFERROR(__xludf.DUMMYFUNCTION("""COMPUTED_VALUE"""),39.61)</f>
        <v>39.61</v>
      </c>
      <c r="F259" s="190">
        <f>IFERROR(__xludf.DUMMYFUNCTION("""COMPUTED_VALUE"""),39.86)</f>
        <v>39.86</v>
      </c>
      <c r="G259" s="191">
        <f>IFERROR(__xludf.DUMMYFUNCTION("""COMPUTED_VALUE"""),8243118.0)</f>
        <v>8243118</v>
      </c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>
        <f>IFERROR(__xludf.DUMMYFUNCTION("""COMPUTED_VALUE"""),45428.5625)</f>
        <v>45428.5625</v>
      </c>
      <c r="C260" s="190">
        <f>IFERROR(__xludf.DUMMYFUNCTION("""COMPUTED_VALUE"""),40.23)</f>
        <v>40.23</v>
      </c>
      <c r="D260" s="190">
        <f>IFERROR(__xludf.DUMMYFUNCTION("""COMPUTED_VALUE"""),40.56)</f>
        <v>40.56</v>
      </c>
      <c r="E260" s="190">
        <f>IFERROR(__xludf.DUMMYFUNCTION("""COMPUTED_VALUE"""),40.08)</f>
        <v>40.08</v>
      </c>
      <c r="F260" s="190">
        <f>IFERROR(__xludf.DUMMYFUNCTION("""COMPUTED_VALUE"""),40.1)</f>
        <v>40.1</v>
      </c>
      <c r="G260" s="191">
        <f>IFERROR(__xludf.DUMMYFUNCTION("""COMPUTED_VALUE"""),4299514.0)</f>
        <v>4299514</v>
      </c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>
        <f>IFERROR(__xludf.DUMMYFUNCTION("""COMPUTED_VALUE"""),45429.5625)</f>
        <v>45429.5625</v>
      </c>
      <c r="C261" s="190">
        <f>IFERROR(__xludf.DUMMYFUNCTION("""COMPUTED_VALUE"""),40.11)</f>
        <v>40.11</v>
      </c>
      <c r="D261" s="190">
        <f>IFERROR(__xludf.DUMMYFUNCTION("""COMPUTED_VALUE"""),40.19)</f>
        <v>40.19</v>
      </c>
      <c r="E261" s="190">
        <f>IFERROR(__xludf.DUMMYFUNCTION("""COMPUTED_VALUE"""),39.96)</f>
        <v>39.96</v>
      </c>
      <c r="F261" s="190">
        <f>IFERROR(__xludf.DUMMYFUNCTION("""COMPUTED_VALUE"""),40.04)</f>
        <v>40.04</v>
      </c>
      <c r="G261" s="191">
        <f>IFERROR(__xludf.DUMMYFUNCTION("""COMPUTED_VALUE"""),2035739.0)</f>
        <v>2035739</v>
      </c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>
        <f>IFERROR(__xludf.DUMMYFUNCTION("""COMPUTED_VALUE"""),45432.5625)</f>
        <v>45432.5625</v>
      </c>
      <c r="C262" s="190">
        <f>IFERROR(__xludf.DUMMYFUNCTION("""COMPUTED_VALUE"""),40.04)</f>
        <v>40.04</v>
      </c>
      <c r="D262" s="190">
        <f>IFERROR(__xludf.DUMMYFUNCTION("""COMPUTED_VALUE"""),40.1)</f>
        <v>40.1</v>
      </c>
      <c r="E262" s="190">
        <f>IFERROR(__xludf.DUMMYFUNCTION("""COMPUTED_VALUE"""),39.66)</f>
        <v>39.66</v>
      </c>
      <c r="F262" s="190">
        <f>IFERROR(__xludf.DUMMYFUNCTION("""COMPUTED_VALUE"""),40.01)</f>
        <v>40.01</v>
      </c>
      <c r="G262" s="191">
        <f>IFERROR(__xludf.DUMMYFUNCTION("""COMPUTED_VALUE"""),3044749.0)</f>
        <v>3044749</v>
      </c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>
        <f>IFERROR(__xludf.DUMMYFUNCTION("""COMPUTED_VALUE"""),45433.5625)</f>
        <v>45433.5625</v>
      </c>
      <c r="C263" s="190">
        <f>IFERROR(__xludf.DUMMYFUNCTION("""COMPUTED_VALUE"""),40.04)</f>
        <v>40.04</v>
      </c>
      <c r="D263" s="190">
        <f>IFERROR(__xludf.DUMMYFUNCTION("""COMPUTED_VALUE"""),40.04)</f>
        <v>40.04</v>
      </c>
      <c r="E263" s="190">
        <f>IFERROR(__xludf.DUMMYFUNCTION("""COMPUTED_VALUE"""),39.75)</f>
        <v>39.75</v>
      </c>
      <c r="F263" s="190">
        <f>IFERROR(__xludf.DUMMYFUNCTION("""COMPUTED_VALUE"""),39.94)</f>
        <v>39.94</v>
      </c>
      <c r="G263" s="191">
        <f>IFERROR(__xludf.DUMMYFUNCTION("""COMPUTED_VALUE"""),1846044.0)</f>
        <v>1846044</v>
      </c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>
        <f>IFERROR(__xludf.DUMMYFUNCTION("""COMPUTED_VALUE"""),45434.5625)</f>
        <v>45434.5625</v>
      </c>
      <c r="C264" s="190">
        <f>IFERROR(__xludf.DUMMYFUNCTION("""COMPUTED_VALUE"""),40.05)</f>
        <v>40.05</v>
      </c>
      <c r="D264" s="190">
        <f>IFERROR(__xludf.DUMMYFUNCTION("""COMPUTED_VALUE"""),40.66)</f>
        <v>40.66</v>
      </c>
      <c r="E264" s="190">
        <f>IFERROR(__xludf.DUMMYFUNCTION("""COMPUTED_VALUE"""),40.03)</f>
        <v>40.03</v>
      </c>
      <c r="F264" s="190">
        <f>IFERROR(__xludf.DUMMYFUNCTION("""COMPUTED_VALUE"""),40.62)</f>
        <v>40.62</v>
      </c>
      <c r="G264" s="191">
        <f>IFERROR(__xludf.DUMMYFUNCTION("""COMPUTED_VALUE"""),1890138.0)</f>
        <v>1890138</v>
      </c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>
        <f>IFERROR(__xludf.DUMMYFUNCTION("""COMPUTED_VALUE"""),45435.5625)</f>
        <v>45435.5625</v>
      </c>
      <c r="C265" s="190">
        <f>IFERROR(__xludf.DUMMYFUNCTION("""COMPUTED_VALUE"""),40.68)</f>
        <v>40.68</v>
      </c>
      <c r="D265" s="190">
        <f>IFERROR(__xludf.DUMMYFUNCTION("""COMPUTED_VALUE"""),40.88)</f>
        <v>40.88</v>
      </c>
      <c r="E265" s="190">
        <f>IFERROR(__xludf.DUMMYFUNCTION("""COMPUTED_VALUE"""),40.6)</f>
        <v>40.6</v>
      </c>
      <c r="F265" s="190">
        <f>IFERROR(__xludf.DUMMYFUNCTION("""COMPUTED_VALUE"""),40.82)</f>
        <v>40.82</v>
      </c>
      <c r="G265" s="191">
        <f>IFERROR(__xludf.DUMMYFUNCTION("""COMPUTED_VALUE"""),1889994.0)</f>
        <v>1889994</v>
      </c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>
        <f>IFERROR(__xludf.DUMMYFUNCTION("""COMPUTED_VALUE"""),45436.5625)</f>
        <v>45436.5625</v>
      </c>
      <c r="C266" s="190">
        <f>IFERROR(__xludf.DUMMYFUNCTION("""COMPUTED_VALUE"""),40.62)</f>
        <v>40.62</v>
      </c>
      <c r="D266" s="190">
        <f>IFERROR(__xludf.DUMMYFUNCTION("""COMPUTED_VALUE"""),40.8)</f>
        <v>40.8</v>
      </c>
      <c r="E266" s="190">
        <f>IFERROR(__xludf.DUMMYFUNCTION("""COMPUTED_VALUE"""),40.3)</f>
        <v>40.3</v>
      </c>
      <c r="F266" s="190">
        <f>IFERROR(__xludf.DUMMYFUNCTION("""COMPUTED_VALUE"""),40.73)</f>
        <v>40.73</v>
      </c>
      <c r="G266" s="191">
        <f>IFERROR(__xludf.DUMMYFUNCTION("""COMPUTED_VALUE"""),2194513.0)</f>
        <v>2194513</v>
      </c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>
        <f>IFERROR(__xludf.DUMMYFUNCTION("""COMPUTED_VALUE"""),45439.5625)</f>
        <v>45439.5625</v>
      </c>
      <c r="C267" s="190">
        <f>IFERROR(__xludf.DUMMYFUNCTION("""COMPUTED_VALUE"""),40.86)</f>
        <v>40.86</v>
      </c>
      <c r="D267" s="190">
        <f>IFERROR(__xludf.DUMMYFUNCTION("""COMPUTED_VALUE"""),41.37)</f>
        <v>41.37</v>
      </c>
      <c r="E267" s="190">
        <f>IFERROR(__xludf.DUMMYFUNCTION("""COMPUTED_VALUE"""),40.86)</f>
        <v>40.86</v>
      </c>
      <c r="F267" s="190">
        <f>IFERROR(__xludf.DUMMYFUNCTION("""COMPUTED_VALUE"""),41.2)</f>
        <v>41.2</v>
      </c>
      <c r="G267" s="191">
        <f>IFERROR(__xludf.DUMMYFUNCTION("""COMPUTED_VALUE"""),2828388.0)</f>
        <v>2828388</v>
      </c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>
        <f>IFERROR(__xludf.DUMMYFUNCTION("""COMPUTED_VALUE"""),45440.5625)</f>
        <v>45440.5625</v>
      </c>
      <c r="C268" s="190">
        <f>IFERROR(__xludf.DUMMYFUNCTION("""COMPUTED_VALUE"""),41.33)</f>
        <v>41.33</v>
      </c>
      <c r="D268" s="190">
        <f>IFERROR(__xludf.DUMMYFUNCTION("""COMPUTED_VALUE"""),41.44)</f>
        <v>41.44</v>
      </c>
      <c r="E268" s="190">
        <f>IFERROR(__xludf.DUMMYFUNCTION("""COMPUTED_VALUE"""),41.2)</f>
        <v>41.2</v>
      </c>
      <c r="F268" s="190">
        <f>IFERROR(__xludf.DUMMYFUNCTION("""COMPUTED_VALUE"""),41.4)</f>
        <v>41.4</v>
      </c>
      <c r="G268" s="191">
        <f>IFERROR(__xludf.DUMMYFUNCTION("""COMPUTED_VALUE"""),1784218.0)</f>
        <v>1784218</v>
      </c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>
        <f>IFERROR(__xludf.DUMMYFUNCTION("""COMPUTED_VALUE"""),45441.5625)</f>
        <v>45441.5625</v>
      </c>
      <c r="C269" s="190">
        <f>IFERROR(__xludf.DUMMYFUNCTION("""COMPUTED_VALUE"""),41.33)</f>
        <v>41.33</v>
      </c>
      <c r="D269" s="190">
        <f>IFERROR(__xludf.DUMMYFUNCTION("""COMPUTED_VALUE"""),41.33)</f>
        <v>41.33</v>
      </c>
      <c r="E269" s="190">
        <f>IFERROR(__xludf.DUMMYFUNCTION("""COMPUTED_VALUE"""),40.9)</f>
        <v>40.9</v>
      </c>
      <c r="F269" s="190">
        <f>IFERROR(__xludf.DUMMYFUNCTION("""COMPUTED_VALUE"""),40.92)</f>
        <v>40.92</v>
      </c>
      <c r="G269" s="191">
        <f>IFERROR(__xludf.DUMMYFUNCTION("""COMPUTED_VALUE"""),2060292.0)</f>
        <v>2060292</v>
      </c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>
        <f>IFERROR(__xludf.DUMMYFUNCTION("""COMPUTED_VALUE"""),45442.5625)</f>
        <v>45442.5625</v>
      </c>
      <c r="C270" s="190">
        <f>IFERROR(__xludf.DUMMYFUNCTION("""COMPUTED_VALUE"""),40.18)</f>
        <v>40.18</v>
      </c>
      <c r="D270" s="190">
        <f>IFERROR(__xludf.DUMMYFUNCTION("""COMPUTED_VALUE"""),40.5)</f>
        <v>40.5</v>
      </c>
      <c r="E270" s="190">
        <f>IFERROR(__xludf.DUMMYFUNCTION("""COMPUTED_VALUE"""),40.16)</f>
        <v>40.16</v>
      </c>
      <c r="F270" s="190">
        <f>IFERROR(__xludf.DUMMYFUNCTION("""COMPUTED_VALUE"""),40.23)</f>
        <v>40.23</v>
      </c>
      <c r="G270" s="191">
        <f>IFERROR(__xludf.DUMMYFUNCTION("""COMPUTED_VALUE"""),2295032.0)</f>
        <v>2295032</v>
      </c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>
        <f>IFERROR(__xludf.DUMMYFUNCTION("""COMPUTED_VALUE"""),45443.5625)</f>
        <v>45443.5625</v>
      </c>
      <c r="C271" s="190">
        <f>IFERROR(__xludf.DUMMYFUNCTION("""COMPUTED_VALUE"""),40.23)</f>
        <v>40.23</v>
      </c>
      <c r="D271" s="190">
        <f>IFERROR(__xludf.DUMMYFUNCTION("""COMPUTED_VALUE"""),40.48)</f>
        <v>40.48</v>
      </c>
      <c r="E271" s="190">
        <f>IFERROR(__xludf.DUMMYFUNCTION("""COMPUTED_VALUE"""),40.0)</f>
        <v>40</v>
      </c>
      <c r="F271" s="190">
        <f>IFERROR(__xludf.DUMMYFUNCTION("""COMPUTED_VALUE"""),40.0)</f>
        <v>40</v>
      </c>
      <c r="G271" s="191">
        <f>IFERROR(__xludf.DUMMYFUNCTION("""COMPUTED_VALUE"""),2382217.0)</f>
        <v>2382217</v>
      </c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>
        <f>IFERROR(__xludf.DUMMYFUNCTION("""COMPUTED_VALUE"""),45446.5625)</f>
        <v>45446.5625</v>
      </c>
      <c r="C272" s="190">
        <f>IFERROR(__xludf.DUMMYFUNCTION("""COMPUTED_VALUE"""),40.55)</f>
        <v>40.55</v>
      </c>
      <c r="D272" s="190">
        <f>IFERROR(__xludf.DUMMYFUNCTION("""COMPUTED_VALUE"""),40.73)</f>
        <v>40.73</v>
      </c>
      <c r="E272" s="190">
        <f>IFERROR(__xludf.DUMMYFUNCTION("""COMPUTED_VALUE"""),40.19)</f>
        <v>40.19</v>
      </c>
      <c r="F272" s="190">
        <f>IFERROR(__xludf.DUMMYFUNCTION("""COMPUTED_VALUE"""),40.62)</f>
        <v>40.62</v>
      </c>
      <c r="G272" s="191">
        <f>IFERROR(__xludf.DUMMYFUNCTION("""COMPUTED_VALUE"""),2783297.0)</f>
        <v>2783297</v>
      </c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>
        <f>IFERROR(__xludf.DUMMYFUNCTION("""COMPUTED_VALUE"""),45447.5625)</f>
        <v>45447.5625</v>
      </c>
      <c r="C273" s="190">
        <f>IFERROR(__xludf.DUMMYFUNCTION("""COMPUTED_VALUE"""),40.5)</f>
        <v>40.5</v>
      </c>
      <c r="D273" s="190">
        <f>IFERROR(__xludf.DUMMYFUNCTION("""COMPUTED_VALUE"""),40.59)</f>
        <v>40.59</v>
      </c>
      <c r="E273" s="190">
        <f>IFERROR(__xludf.DUMMYFUNCTION("""COMPUTED_VALUE"""),40.0)</f>
        <v>40</v>
      </c>
      <c r="F273" s="190">
        <f>IFERROR(__xludf.DUMMYFUNCTION("""COMPUTED_VALUE"""),40.15)</f>
        <v>40.15</v>
      </c>
      <c r="G273" s="191">
        <f>IFERROR(__xludf.DUMMYFUNCTION("""COMPUTED_VALUE"""),5782492.0)</f>
        <v>5782492</v>
      </c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>
        <f>IFERROR(__xludf.DUMMYFUNCTION("""COMPUTED_VALUE"""),45448.5625)</f>
        <v>45448.5625</v>
      </c>
      <c r="C274" s="190">
        <f>IFERROR(__xludf.DUMMYFUNCTION("""COMPUTED_VALUE"""),40.15)</f>
        <v>40.15</v>
      </c>
      <c r="D274" s="190">
        <f>IFERROR(__xludf.DUMMYFUNCTION("""COMPUTED_VALUE"""),40.59)</f>
        <v>40.59</v>
      </c>
      <c r="E274" s="190">
        <f>IFERROR(__xludf.DUMMYFUNCTION("""COMPUTED_VALUE"""),39.98)</f>
        <v>39.98</v>
      </c>
      <c r="F274" s="190">
        <f>IFERROR(__xludf.DUMMYFUNCTION("""COMPUTED_VALUE"""),40.52)</f>
        <v>40.52</v>
      </c>
      <c r="G274" s="191">
        <f>IFERROR(__xludf.DUMMYFUNCTION("""COMPUTED_VALUE"""),6215335.0)</f>
        <v>6215335</v>
      </c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>
        <f>IFERROR(__xludf.DUMMYFUNCTION("""COMPUTED_VALUE"""),45449.5625)</f>
        <v>45449.5625</v>
      </c>
      <c r="C275" s="190">
        <f>IFERROR(__xludf.DUMMYFUNCTION("""COMPUTED_VALUE"""),41.52)</f>
        <v>41.52</v>
      </c>
      <c r="D275" s="190">
        <f>IFERROR(__xludf.DUMMYFUNCTION("""COMPUTED_VALUE"""),41.74)</f>
        <v>41.74</v>
      </c>
      <c r="E275" s="190">
        <f>IFERROR(__xludf.DUMMYFUNCTION("""COMPUTED_VALUE"""),41.35)</f>
        <v>41.35</v>
      </c>
      <c r="F275" s="190">
        <f>IFERROR(__xludf.DUMMYFUNCTION("""COMPUTED_VALUE"""),41.59)</f>
        <v>41.59</v>
      </c>
      <c r="G275" s="191">
        <f>IFERROR(__xludf.DUMMYFUNCTION("""COMPUTED_VALUE"""),7135766.0)</f>
        <v>7135766</v>
      </c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>
        <f>IFERROR(__xludf.DUMMYFUNCTION("""COMPUTED_VALUE"""),45450.5625)</f>
        <v>45450.5625</v>
      </c>
      <c r="C276" s="190">
        <f>IFERROR(__xludf.DUMMYFUNCTION("""COMPUTED_VALUE"""),41.22)</f>
        <v>41.22</v>
      </c>
      <c r="D276" s="190">
        <f>IFERROR(__xludf.DUMMYFUNCTION("""COMPUTED_VALUE"""),41.59)</f>
        <v>41.59</v>
      </c>
      <c r="E276" s="190">
        <f>IFERROR(__xludf.DUMMYFUNCTION("""COMPUTED_VALUE"""),41.22)</f>
        <v>41.22</v>
      </c>
      <c r="F276" s="190">
        <f>IFERROR(__xludf.DUMMYFUNCTION("""COMPUTED_VALUE"""),41.33)</f>
        <v>41.33</v>
      </c>
      <c r="G276" s="191">
        <f>IFERROR(__xludf.DUMMYFUNCTION("""COMPUTED_VALUE"""),1841068.0)</f>
        <v>1841068</v>
      </c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>
        <f>IFERROR(__xludf.DUMMYFUNCTION("""COMPUTED_VALUE"""),45454.5625)</f>
        <v>45454.5625</v>
      </c>
      <c r="C277" s="190">
        <f>IFERROR(__xludf.DUMMYFUNCTION("""COMPUTED_VALUE"""),41.34)</f>
        <v>41.34</v>
      </c>
      <c r="D277" s="190">
        <f>IFERROR(__xludf.DUMMYFUNCTION("""COMPUTED_VALUE"""),41.65)</f>
        <v>41.65</v>
      </c>
      <c r="E277" s="190">
        <f>IFERROR(__xludf.DUMMYFUNCTION("""COMPUTED_VALUE"""),41.34)</f>
        <v>41.34</v>
      </c>
      <c r="F277" s="190">
        <f>IFERROR(__xludf.DUMMYFUNCTION("""COMPUTED_VALUE"""),41.37)</f>
        <v>41.37</v>
      </c>
      <c r="G277" s="191">
        <f>IFERROR(__xludf.DUMMYFUNCTION("""COMPUTED_VALUE"""),2459682.0)</f>
        <v>2459682</v>
      </c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>
        <f>IFERROR(__xludf.DUMMYFUNCTION("""COMPUTED_VALUE"""),45455.5625)</f>
        <v>45455.5625</v>
      </c>
      <c r="C278" s="190">
        <f>IFERROR(__xludf.DUMMYFUNCTION("""COMPUTED_VALUE"""),41.37)</f>
        <v>41.37</v>
      </c>
      <c r="D278" s="190">
        <f>IFERROR(__xludf.DUMMYFUNCTION("""COMPUTED_VALUE"""),41.83)</f>
        <v>41.83</v>
      </c>
      <c r="E278" s="190">
        <f>IFERROR(__xludf.DUMMYFUNCTION("""COMPUTED_VALUE"""),41.37)</f>
        <v>41.37</v>
      </c>
      <c r="F278" s="190">
        <f>IFERROR(__xludf.DUMMYFUNCTION("""COMPUTED_VALUE"""),41.82)</f>
        <v>41.82</v>
      </c>
      <c r="G278" s="191">
        <f>IFERROR(__xludf.DUMMYFUNCTION("""COMPUTED_VALUE"""),7316043.0)</f>
        <v>7316043</v>
      </c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>
        <f>IFERROR(__xludf.DUMMYFUNCTION("""COMPUTED_VALUE"""),45456.5625)</f>
        <v>45456.5625</v>
      </c>
      <c r="C279" s="190">
        <f>IFERROR(__xludf.DUMMYFUNCTION("""COMPUTED_VALUE"""),42.99)</f>
        <v>42.99</v>
      </c>
      <c r="D279" s="190">
        <f>IFERROR(__xludf.DUMMYFUNCTION("""COMPUTED_VALUE"""),42.99)</f>
        <v>42.99</v>
      </c>
      <c r="E279" s="190">
        <f>IFERROR(__xludf.DUMMYFUNCTION("""COMPUTED_VALUE"""),42.2)</f>
        <v>42.2</v>
      </c>
      <c r="F279" s="190">
        <f>IFERROR(__xludf.DUMMYFUNCTION("""COMPUTED_VALUE"""),42.41)</f>
        <v>42.41</v>
      </c>
      <c r="G279" s="191">
        <f>IFERROR(__xludf.DUMMYFUNCTION("""COMPUTED_VALUE"""),3437731.0)</f>
        <v>3437731</v>
      </c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>
        <f>IFERROR(__xludf.DUMMYFUNCTION("""COMPUTED_VALUE"""),45457.5625)</f>
        <v>45457.5625</v>
      </c>
      <c r="C280" s="190">
        <f>IFERROR(__xludf.DUMMYFUNCTION("""COMPUTED_VALUE"""),42.41)</f>
        <v>42.41</v>
      </c>
      <c r="D280" s="190">
        <f>IFERROR(__xludf.DUMMYFUNCTION("""COMPUTED_VALUE"""),42.72)</f>
        <v>42.72</v>
      </c>
      <c r="E280" s="190">
        <f>IFERROR(__xludf.DUMMYFUNCTION("""COMPUTED_VALUE"""),42.23)</f>
        <v>42.23</v>
      </c>
      <c r="F280" s="190">
        <f>IFERROR(__xludf.DUMMYFUNCTION("""COMPUTED_VALUE"""),42.68)</f>
        <v>42.68</v>
      </c>
      <c r="G280" s="191">
        <f>IFERROR(__xludf.DUMMYFUNCTION("""COMPUTED_VALUE"""),2023812.0)</f>
        <v>2023812</v>
      </c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>
        <f>IFERROR(__xludf.DUMMYFUNCTION("""COMPUTED_VALUE"""),45460.5625)</f>
        <v>45460.5625</v>
      </c>
      <c r="C281" s="190">
        <f>IFERROR(__xludf.DUMMYFUNCTION("""COMPUTED_VALUE"""),42.65)</f>
        <v>42.65</v>
      </c>
      <c r="D281" s="190">
        <f>IFERROR(__xludf.DUMMYFUNCTION("""COMPUTED_VALUE"""),42.86)</f>
        <v>42.86</v>
      </c>
      <c r="E281" s="190">
        <f>IFERROR(__xludf.DUMMYFUNCTION("""COMPUTED_VALUE"""),42.55)</f>
        <v>42.55</v>
      </c>
      <c r="F281" s="190">
        <f>IFERROR(__xludf.DUMMYFUNCTION("""COMPUTED_VALUE"""),42.71)</f>
        <v>42.71</v>
      </c>
      <c r="G281" s="191">
        <f>IFERROR(__xludf.DUMMYFUNCTION("""COMPUTED_VALUE"""),3709180.0)</f>
        <v>3709180</v>
      </c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>
        <f>IFERROR(__xludf.DUMMYFUNCTION("""COMPUTED_VALUE"""),45461.5625)</f>
        <v>45461.5625</v>
      </c>
      <c r="C282" s="190">
        <f>IFERROR(__xludf.DUMMYFUNCTION("""COMPUTED_VALUE"""),43.3)</f>
        <v>43.3</v>
      </c>
      <c r="D282" s="190">
        <f>IFERROR(__xludf.DUMMYFUNCTION("""COMPUTED_VALUE"""),43.44)</f>
        <v>43.44</v>
      </c>
      <c r="E282" s="190">
        <f>IFERROR(__xludf.DUMMYFUNCTION("""COMPUTED_VALUE"""),43.1)</f>
        <v>43.1</v>
      </c>
      <c r="F282" s="190">
        <f>IFERROR(__xludf.DUMMYFUNCTION("""COMPUTED_VALUE"""),43.35)</f>
        <v>43.35</v>
      </c>
      <c r="G282" s="191">
        <f>IFERROR(__xludf.DUMMYFUNCTION("""COMPUTED_VALUE"""),2809420.0)</f>
        <v>2809420</v>
      </c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>
        <f>IFERROR(__xludf.DUMMYFUNCTION("""COMPUTED_VALUE"""),45462.5625)</f>
        <v>45462.5625</v>
      </c>
      <c r="C283" s="190">
        <f>IFERROR(__xludf.DUMMYFUNCTION("""COMPUTED_VALUE"""),43.93)</f>
        <v>43.93</v>
      </c>
      <c r="D283" s="190">
        <f>IFERROR(__xludf.DUMMYFUNCTION("""COMPUTED_VALUE"""),44.68)</f>
        <v>44.68</v>
      </c>
      <c r="E283" s="190">
        <f>IFERROR(__xludf.DUMMYFUNCTION("""COMPUTED_VALUE"""),43.92)</f>
        <v>43.92</v>
      </c>
      <c r="F283" s="190">
        <f>IFERROR(__xludf.DUMMYFUNCTION("""COMPUTED_VALUE"""),44.58)</f>
        <v>44.58</v>
      </c>
      <c r="G283" s="191">
        <f>IFERROR(__xludf.DUMMYFUNCTION("""COMPUTED_VALUE"""),5984373.0)</f>
        <v>5984373</v>
      </c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>
        <f>IFERROR(__xludf.DUMMYFUNCTION("""COMPUTED_VALUE"""),45463.5625)</f>
        <v>45463.5625</v>
      </c>
      <c r="C284" s="190">
        <f>IFERROR(__xludf.DUMMYFUNCTION("""COMPUTED_VALUE"""),44.58)</f>
        <v>44.58</v>
      </c>
      <c r="D284" s="190">
        <f>IFERROR(__xludf.DUMMYFUNCTION("""COMPUTED_VALUE"""),44.9)</f>
        <v>44.9</v>
      </c>
      <c r="E284" s="190">
        <f>IFERROR(__xludf.DUMMYFUNCTION("""COMPUTED_VALUE"""),44.44)</f>
        <v>44.44</v>
      </c>
      <c r="F284" s="190">
        <f>IFERROR(__xludf.DUMMYFUNCTION("""COMPUTED_VALUE"""),44.87)</f>
        <v>44.87</v>
      </c>
      <c r="G284" s="191">
        <f>IFERROR(__xludf.DUMMYFUNCTION("""COMPUTED_VALUE"""),3482509.0)</f>
        <v>3482509</v>
      </c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>
        <f>IFERROR(__xludf.DUMMYFUNCTION("""COMPUTED_VALUE"""),45464.5625)</f>
        <v>45464.5625</v>
      </c>
      <c r="C285" s="190">
        <f>IFERROR(__xludf.DUMMYFUNCTION("""COMPUTED_VALUE"""),44.3)</f>
        <v>44.3</v>
      </c>
      <c r="D285" s="190">
        <f>IFERROR(__xludf.DUMMYFUNCTION("""COMPUTED_VALUE"""),44.78)</f>
        <v>44.78</v>
      </c>
      <c r="E285" s="190">
        <f>IFERROR(__xludf.DUMMYFUNCTION("""COMPUTED_VALUE"""),44.3)</f>
        <v>44.3</v>
      </c>
      <c r="F285" s="190">
        <f>IFERROR(__xludf.DUMMYFUNCTION("""COMPUTED_VALUE"""),44.6)</f>
        <v>44.6</v>
      </c>
      <c r="G285" s="191">
        <f>IFERROR(__xludf.DUMMYFUNCTION("""COMPUTED_VALUE"""),3063226.0)</f>
        <v>3063226</v>
      </c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>
        <f>IFERROR(__xludf.DUMMYFUNCTION("""COMPUTED_VALUE"""),45467.5625)</f>
        <v>45467.5625</v>
      </c>
      <c r="C286" s="190">
        <f>IFERROR(__xludf.DUMMYFUNCTION("""COMPUTED_VALUE"""),44.03)</f>
        <v>44.03</v>
      </c>
      <c r="D286" s="190">
        <f>IFERROR(__xludf.DUMMYFUNCTION("""COMPUTED_VALUE"""),44.19)</f>
        <v>44.19</v>
      </c>
      <c r="E286" s="190">
        <f>IFERROR(__xludf.DUMMYFUNCTION("""COMPUTED_VALUE"""),43.61)</f>
        <v>43.61</v>
      </c>
      <c r="F286" s="190">
        <f>IFERROR(__xludf.DUMMYFUNCTION("""COMPUTED_VALUE"""),43.64)</f>
        <v>43.64</v>
      </c>
      <c r="G286" s="191">
        <f>IFERROR(__xludf.DUMMYFUNCTION("""COMPUTED_VALUE"""),4812007.0)</f>
        <v>4812007</v>
      </c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>
        <f>IFERROR(__xludf.DUMMYFUNCTION("""COMPUTED_VALUE"""),45468.5625)</f>
        <v>45468.5625</v>
      </c>
      <c r="C287" s="190">
        <f>IFERROR(__xludf.DUMMYFUNCTION("""COMPUTED_VALUE"""),43.41)</f>
        <v>43.41</v>
      </c>
      <c r="D287" s="190">
        <f>IFERROR(__xludf.DUMMYFUNCTION("""COMPUTED_VALUE"""),43.65)</f>
        <v>43.65</v>
      </c>
      <c r="E287" s="190">
        <f>IFERROR(__xludf.DUMMYFUNCTION("""COMPUTED_VALUE"""),43.0)</f>
        <v>43</v>
      </c>
      <c r="F287" s="190">
        <f>IFERROR(__xludf.DUMMYFUNCTION("""COMPUTED_VALUE"""),43.64)</f>
        <v>43.64</v>
      </c>
      <c r="G287" s="191">
        <f>IFERROR(__xludf.DUMMYFUNCTION("""COMPUTED_VALUE"""),3455660.0)</f>
        <v>3455660</v>
      </c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>
        <f>IFERROR(__xludf.DUMMYFUNCTION("""COMPUTED_VALUE"""),45469.5625)</f>
        <v>45469.5625</v>
      </c>
      <c r="C288" s="190">
        <f>IFERROR(__xludf.DUMMYFUNCTION("""COMPUTED_VALUE"""),43.72)</f>
        <v>43.72</v>
      </c>
      <c r="D288" s="190">
        <f>IFERROR(__xludf.DUMMYFUNCTION("""COMPUTED_VALUE"""),44.15)</f>
        <v>44.15</v>
      </c>
      <c r="E288" s="190">
        <f>IFERROR(__xludf.DUMMYFUNCTION("""COMPUTED_VALUE"""),43.72)</f>
        <v>43.72</v>
      </c>
      <c r="F288" s="190">
        <f>IFERROR(__xludf.DUMMYFUNCTION("""COMPUTED_VALUE"""),43.97)</f>
        <v>43.97</v>
      </c>
      <c r="G288" s="191">
        <f>IFERROR(__xludf.DUMMYFUNCTION("""COMPUTED_VALUE"""),3143054.0)</f>
        <v>3143054</v>
      </c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>
        <f>IFERROR(__xludf.DUMMYFUNCTION("""COMPUTED_VALUE"""),45470.5625)</f>
        <v>45470.5625</v>
      </c>
      <c r="C289" s="190">
        <f>IFERROR(__xludf.DUMMYFUNCTION("""COMPUTED_VALUE"""),43.64)</f>
        <v>43.64</v>
      </c>
      <c r="D289" s="190">
        <f>IFERROR(__xludf.DUMMYFUNCTION("""COMPUTED_VALUE"""),43.95)</f>
        <v>43.95</v>
      </c>
      <c r="E289" s="190">
        <f>IFERROR(__xludf.DUMMYFUNCTION("""COMPUTED_VALUE"""),43.53)</f>
        <v>43.53</v>
      </c>
      <c r="F289" s="190">
        <f>IFERROR(__xludf.DUMMYFUNCTION("""COMPUTED_VALUE"""),43.91)</f>
        <v>43.91</v>
      </c>
      <c r="G289" s="191">
        <f>IFERROR(__xludf.DUMMYFUNCTION("""COMPUTED_VALUE"""),2404251.0)</f>
        <v>2404251</v>
      </c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>
        <f>IFERROR(__xludf.DUMMYFUNCTION("""COMPUTED_VALUE"""),45471.5625)</f>
        <v>45471.5625</v>
      </c>
      <c r="C290" s="190">
        <f>IFERROR(__xludf.DUMMYFUNCTION("""COMPUTED_VALUE"""),43.92)</f>
        <v>43.92</v>
      </c>
      <c r="D290" s="190">
        <f>IFERROR(__xludf.DUMMYFUNCTION("""COMPUTED_VALUE"""),44.43)</f>
        <v>44.43</v>
      </c>
      <c r="E290" s="190">
        <f>IFERROR(__xludf.DUMMYFUNCTION("""COMPUTED_VALUE"""),43.87)</f>
        <v>43.87</v>
      </c>
      <c r="F290" s="190">
        <f>IFERROR(__xludf.DUMMYFUNCTION("""COMPUTED_VALUE"""),44.22)</f>
        <v>44.22</v>
      </c>
      <c r="G290" s="191">
        <f>IFERROR(__xludf.DUMMYFUNCTION("""COMPUTED_VALUE"""),1929392.0)</f>
        <v>1929392</v>
      </c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>
        <f>IFERROR(__xludf.DUMMYFUNCTION("""COMPUTED_VALUE"""),45474.5625)</f>
        <v>45474.5625</v>
      </c>
      <c r="C291" s="190">
        <f>IFERROR(__xludf.DUMMYFUNCTION("""COMPUTED_VALUE"""),44.22)</f>
        <v>44.22</v>
      </c>
      <c r="D291" s="190">
        <f>IFERROR(__xludf.DUMMYFUNCTION("""COMPUTED_VALUE"""),44.59)</f>
        <v>44.59</v>
      </c>
      <c r="E291" s="190">
        <f>IFERROR(__xludf.DUMMYFUNCTION("""COMPUTED_VALUE"""),44.22)</f>
        <v>44.22</v>
      </c>
      <c r="F291" s="190">
        <f>IFERROR(__xludf.DUMMYFUNCTION("""COMPUTED_VALUE"""),44.26)</f>
        <v>44.26</v>
      </c>
      <c r="G291" s="191">
        <f>IFERROR(__xludf.DUMMYFUNCTION("""COMPUTED_VALUE"""),3063958.0)</f>
        <v>3063958</v>
      </c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>
        <f>IFERROR(__xludf.DUMMYFUNCTION("""COMPUTED_VALUE"""),45475.5625)</f>
        <v>45475.5625</v>
      </c>
      <c r="C292" s="190">
        <f>IFERROR(__xludf.DUMMYFUNCTION("""COMPUTED_VALUE"""),44.13)</f>
        <v>44.13</v>
      </c>
      <c r="D292" s="190">
        <f>IFERROR(__xludf.DUMMYFUNCTION("""COMPUTED_VALUE"""),44.28)</f>
        <v>44.28</v>
      </c>
      <c r="E292" s="190">
        <f>IFERROR(__xludf.DUMMYFUNCTION("""COMPUTED_VALUE"""),43.76)</f>
        <v>43.76</v>
      </c>
      <c r="F292" s="190">
        <f>IFERROR(__xludf.DUMMYFUNCTION("""COMPUTED_VALUE"""),44.01)</f>
        <v>44.01</v>
      </c>
      <c r="G292" s="191">
        <f>IFERROR(__xludf.DUMMYFUNCTION("""COMPUTED_VALUE"""),3196338.0)</f>
        <v>3196338</v>
      </c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>
        <f>IFERROR(__xludf.DUMMYFUNCTION("""COMPUTED_VALUE"""),45476.5625)</f>
        <v>45476.5625</v>
      </c>
      <c r="C293" s="190">
        <f>IFERROR(__xludf.DUMMYFUNCTION("""COMPUTED_VALUE"""),44.56)</f>
        <v>44.56</v>
      </c>
      <c r="D293" s="190">
        <f>IFERROR(__xludf.DUMMYFUNCTION("""COMPUTED_VALUE"""),44.58)</f>
        <v>44.58</v>
      </c>
      <c r="E293" s="190">
        <f>IFERROR(__xludf.DUMMYFUNCTION("""COMPUTED_VALUE"""),44.2)</f>
        <v>44.2</v>
      </c>
      <c r="F293" s="190">
        <f>IFERROR(__xludf.DUMMYFUNCTION("""COMPUTED_VALUE"""),44.49)</f>
        <v>44.49</v>
      </c>
      <c r="G293" s="191">
        <f>IFERROR(__xludf.DUMMYFUNCTION("""COMPUTED_VALUE"""),2543163.0)</f>
        <v>2543163</v>
      </c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>
        <f>IFERROR(__xludf.DUMMYFUNCTION("""COMPUTED_VALUE"""),45477.5625)</f>
        <v>45477.5625</v>
      </c>
      <c r="C294" s="190">
        <f>IFERROR(__xludf.DUMMYFUNCTION("""COMPUTED_VALUE"""),45.06)</f>
        <v>45.06</v>
      </c>
      <c r="D294" s="190">
        <f>IFERROR(__xludf.DUMMYFUNCTION("""COMPUTED_VALUE"""),45.46)</f>
        <v>45.46</v>
      </c>
      <c r="E294" s="190">
        <f>IFERROR(__xludf.DUMMYFUNCTION("""COMPUTED_VALUE"""),45.06)</f>
        <v>45.06</v>
      </c>
      <c r="F294" s="190">
        <f>IFERROR(__xludf.DUMMYFUNCTION("""COMPUTED_VALUE"""),45.43)</f>
        <v>45.43</v>
      </c>
      <c r="G294" s="191">
        <f>IFERROR(__xludf.DUMMYFUNCTION("""COMPUTED_VALUE"""),5505969.0)</f>
        <v>5505969</v>
      </c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>
        <f>IFERROR(__xludf.DUMMYFUNCTION("""COMPUTED_VALUE"""),45478.5625)</f>
        <v>45478.5625</v>
      </c>
      <c r="C295" s="190">
        <f>IFERROR(__xludf.DUMMYFUNCTION("""COMPUTED_VALUE"""),45.44)</f>
        <v>45.44</v>
      </c>
      <c r="D295" s="190">
        <f>IFERROR(__xludf.DUMMYFUNCTION("""COMPUTED_VALUE"""),45.6)</f>
        <v>45.6</v>
      </c>
      <c r="E295" s="190">
        <f>IFERROR(__xludf.DUMMYFUNCTION("""COMPUTED_VALUE"""),45.31)</f>
        <v>45.31</v>
      </c>
      <c r="F295" s="190">
        <f>IFERROR(__xludf.DUMMYFUNCTION("""COMPUTED_VALUE"""),45.31)</f>
        <v>45.31</v>
      </c>
      <c r="G295" s="191">
        <f>IFERROR(__xludf.DUMMYFUNCTION("""COMPUTED_VALUE"""),2276685.0)</f>
        <v>2276685</v>
      </c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>
        <f>IFERROR(__xludf.DUMMYFUNCTION("""COMPUTED_VALUE"""),45481.5625)</f>
        <v>45481.5625</v>
      </c>
      <c r="C296" s="190">
        <f>IFERROR(__xludf.DUMMYFUNCTION("""COMPUTED_VALUE"""),45.34)</f>
        <v>45.34</v>
      </c>
      <c r="D296" s="190">
        <f>IFERROR(__xludf.DUMMYFUNCTION("""COMPUTED_VALUE"""),46.61)</f>
        <v>46.61</v>
      </c>
      <c r="E296" s="190">
        <f>IFERROR(__xludf.DUMMYFUNCTION("""COMPUTED_VALUE"""),45.32)</f>
        <v>45.32</v>
      </c>
      <c r="F296" s="190">
        <f>IFERROR(__xludf.DUMMYFUNCTION("""COMPUTED_VALUE"""),46.48)</f>
        <v>46.48</v>
      </c>
      <c r="G296" s="191">
        <f>IFERROR(__xludf.DUMMYFUNCTION("""COMPUTED_VALUE"""),7443757.0)</f>
        <v>7443757</v>
      </c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>
        <f>IFERROR(__xludf.DUMMYFUNCTION("""COMPUTED_VALUE"""),45482.5625)</f>
        <v>45482.5625</v>
      </c>
      <c r="C297" s="190">
        <f>IFERROR(__xludf.DUMMYFUNCTION("""COMPUTED_VALUE"""),46.47)</f>
        <v>46.47</v>
      </c>
      <c r="D297" s="190">
        <f>IFERROR(__xludf.DUMMYFUNCTION("""COMPUTED_VALUE"""),46.94)</f>
        <v>46.94</v>
      </c>
      <c r="E297" s="190">
        <f>IFERROR(__xludf.DUMMYFUNCTION("""COMPUTED_VALUE"""),46.01)</f>
        <v>46.01</v>
      </c>
      <c r="F297" s="190">
        <f>IFERROR(__xludf.DUMMYFUNCTION("""COMPUTED_VALUE"""),46.43)</f>
        <v>46.43</v>
      </c>
      <c r="G297" s="191">
        <f>IFERROR(__xludf.DUMMYFUNCTION("""COMPUTED_VALUE"""),6073647.0)</f>
        <v>6073647</v>
      </c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>
        <f>IFERROR(__xludf.DUMMYFUNCTION("""COMPUTED_VALUE"""),45483.5625)</f>
        <v>45483.5625</v>
      </c>
      <c r="C298" s="190">
        <f>IFERROR(__xludf.DUMMYFUNCTION("""COMPUTED_VALUE"""),46.35)</f>
        <v>46.35</v>
      </c>
      <c r="D298" s="190">
        <f>IFERROR(__xludf.DUMMYFUNCTION("""COMPUTED_VALUE"""),46.67)</f>
        <v>46.67</v>
      </c>
      <c r="E298" s="190">
        <f>IFERROR(__xludf.DUMMYFUNCTION("""COMPUTED_VALUE"""),45.99)</f>
        <v>45.99</v>
      </c>
      <c r="F298" s="190">
        <f>IFERROR(__xludf.DUMMYFUNCTION("""COMPUTED_VALUE"""),46.66)</f>
        <v>46.66</v>
      </c>
      <c r="G298" s="191">
        <f>IFERROR(__xludf.DUMMYFUNCTION("""COMPUTED_VALUE"""),3906665.0)</f>
        <v>3906665</v>
      </c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>
        <f>IFERROR(__xludf.DUMMYFUNCTION("""COMPUTED_VALUE"""),45484.5625)</f>
        <v>45484.5625</v>
      </c>
      <c r="C299" s="190">
        <f>IFERROR(__xludf.DUMMYFUNCTION("""COMPUTED_VALUE"""),47.31)</f>
        <v>47.31</v>
      </c>
      <c r="D299" s="190">
        <f>IFERROR(__xludf.DUMMYFUNCTION("""COMPUTED_VALUE"""),47.62)</f>
        <v>47.62</v>
      </c>
      <c r="E299" s="190">
        <f>IFERROR(__xludf.DUMMYFUNCTION("""COMPUTED_VALUE"""),47.02)</f>
        <v>47.02</v>
      </c>
      <c r="F299" s="190">
        <f>IFERROR(__xludf.DUMMYFUNCTION("""COMPUTED_VALUE"""),47.55)</f>
        <v>47.55</v>
      </c>
      <c r="G299" s="191">
        <f>IFERROR(__xludf.DUMMYFUNCTION("""COMPUTED_VALUE"""),4122783.0)</f>
        <v>4122783</v>
      </c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>
        <f>IFERROR(__xludf.DUMMYFUNCTION("""COMPUTED_VALUE"""),45485.5625)</f>
        <v>45485.5625</v>
      </c>
      <c r="C300" s="190">
        <f>IFERROR(__xludf.DUMMYFUNCTION("""COMPUTED_VALUE"""),46.73)</f>
        <v>46.73</v>
      </c>
      <c r="D300" s="190">
        <f>IFERROR(__xludf.DUMMYFUNCTION("""COMPUTED_VALUE"""),46.73)</f>
        <v>46.73</v>
      </c>
      <c r="E300" s="190">
        <f>IFERROR(__xludf.DUMMYFUNCTION("""COMPUTED_VALUE"""),46.21)</f>
        <v>46.21</v>
      </c>
      <c r="F300" s="190">
        <f>IFERROR(__xludf.DUMMYFUNCTION("""COMPUTED_VALUE"""),46.33)</f>
        <v>46.33</v>
      </c>
      <c r="G300" s="191">
        <f>IFERROR(__xludf.DUMMYFUNCTION("""COMPUTED_VALUE"""),6486853.0)</f>
        <v>6486853</v>
      </c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>
        <f>IFERROR(__xludf.DUMMYFUNCTION("""COMPUTED_VALUE"""),45488.5625)</f>
        <v>45488.5625</v>
      </c>
      <c r="C301" s="190">
        <f>IFERROR(__xludf.DUMMYFUNCTION("""COMPUTED_VALUE"""),46.7)</f>
        <v>46.7</v>
      </c>
      <c r="D301" s="190">
        <f>IFERROR(__xludf.DUMMYFUNCTION("""COMPUTED_VALUE"""),46.74)</f>
        <v>46.74</v>
      </c>
      <c r="E301" s="190">
        <f>IFERROR(__xludf.DUMMYFUNCTION("""COMPUTED_VALUE"""),46.23)</f>
        <v>46.23</v>
      </c>
      <c r="F301" s="190">
        <f>IFERROR(__xludf.DUMMYFUNCTION("""COMPUTED_VALUE"""),46.28)</f>
        <v>46.28</v>
      </c>
      <c r="G301" s="191">
        <f>IFERROR(__xludf.DUMMYFUNCTION("""COMPUTED_VALUE"""),3764341.0)</f>
        <v>3764341</v>
      </c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>
        <f>IFERROR(__xludf.DUMMYFUNCTION("""COMPUTED_VALUE"""),45489.5625)</f>
        <v>45489.5625</v>
      </c>
      <c r="C302" s="190">
        <f>IFERROR(__xludf.DUMMYFUNCTION("""COMPUTED_VALUE"""),46.05)</f>
        <v>46.05</v>
      </c>
      <c r="D302" s="190">
        <f>IFERROR(__xludf.DUMMYFUNCTION("""COMPUTED_VALUE"""),46.6)</f>
        <v>46.6</v>
      </c>
      <c r="E302" s="190">
        <f>IFERROR(__xludf.DUMMYFUNCTION("""COMPUTED_VALUE"""),45.96)</f>
        <v>45.96</v>
      </c>
      <c r="F302" s="190">
        <f>IFERROR(__xludf.DUMMYFUNCTION("""COMPUTED_VALUE"""),46.08)</f>
        <v>46.08</v>
      </c>
      <c r="G302" s="191">
        <f>IFERROR(__xludf.DUMMYFUNCTION("""COMPUTED_VALUE"""),5563703.0)</f>
        <v>5563703</v>
      </c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>
        <f>IFERROR(__xludf.DUMMYFUNCTION("""COMPUTED_VALUE"""),45490.5625)</f>
        <v>45490.5625</v>
      </c>
      <c r="C303" s="190">
        <f>IFERROR(__xludf.DUMMYFUNCTION("""COMPUTED_VALUE"""),46.0)</f>
        <v>46</v>
      </c>
      <c r="D303" s="190">
        <f>IFERROR(__xludf.DUMMYFUNCTION("""COMPUTED_VALUE"""),46.06)</f>
        <v>46.06</v>
      </c>
      <c r="E303" s="190">
        <f>IFERROR(__xludf.DUMMYFUNCTION("""COMPUTED_VALUE"""),45.46)</f>
        <v>45.46</v>
      </c>
      <c r="F303" s="190">
        <f>IFERROR(__xludf.DUMMYFUNCTION("""COMPUTED_VALUE"""),45.61)</f>
        <v>45.61</v>
      </c>
      <c r="G303" s="191">
        <f>IFERROR(__xludf.DUMMYFUNCTION("""COMPUTED_VALUE"""),6149205.0)</f>
        <v>6149205</v>
      </c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>
        <f>IFERROR(__xludf.DUMMYFUNCTION("""COMPUTED_VALUE"""),45491.5625)</f>
        <v>45491.5625</v>
      </c>
      <c r="C304" s="190">
        <f>IFERROR(__xludf.DUMMYFUNCTION("""COMPUTED_VALUE"""),44.54)</f>
        <v>44.54</v>
      </c>
      <c r="D304" s="190">
        <f>IFERROR(__xludf.DUMMYFUNCTION("""COMPUTED_VALUE"""),44.85)</f>
        <v>44.85</v>
      </c>
      <c r="E304" s="190">
        <f>IFERROR(__xludf.DUMMYFUNCTION("""COMPUTED_VALUE"""),44.23)</f>
        <v>44.23</v>
      </c>
      <c r="F304" s="190">
        <f>IFERROR(__xludf.DUMMYFUNCTION("""COMPUTED_VALUE"""),44.75)</f>
        <v>44.75</v>
      </c>
      <c r="G304" s="191">
        <f>IFERROR(__xludf.DUMMYFUNCTION("""COMPUTED_VALUE"""),5739810.0)</f>
        <v>5739810</v>
      </c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>
        <f>IFERROR(__xludf.DUMMYFUNCTION("""COMPUTED_VALUE"""),45492.5625)</f>
        <v>45492.5625</v>
      </c>
      <c r="C305" s="190">
        <f>IFERROR(__xludf.DUMMYFUNCTION("""COMPUTED_VALUE"""),44.43)</f>
        <v>44.43</v>
      </c>
      <c r="D305" s="190">
        <f>IFERROR(__xludf.DUMMYFUNCTION("""COMPUTED_VALUE"""),44.49)</f>
        <v>44.49</v>
      </c>
      <c r="E305" s="190">
        <f>IFERROR(__xludf.DUMMYFUNCTION("""COMPUTED_VALUE"""),43.82)</f>
        <v>43.82</v>
      </c>
      <c r="F305" s="190">
        <f>IFERROR(__xludf.DUMMYFUNCTION("""COMPUTED_VALUE"""),43.85)</f>
        <v>43.85</v>
      </c>
      <c r="G305" s="191">
        <f>IFERROR(__xludf.DUMMYFUNCTION("""COMPUTED_VALUE"""),5819368.0)</f>
        <v>5819368</v>
      </c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>
        <f>IFERROR(__xludf.DUMMYFUNCTION("""COMPUTED_VALUE"""),45495.5625)</f>
        <v>45495.5625</v>
      </c>
      <c r="C306" s="190">
        <f>IFERROR(__xludf.DUMMYFUNCTION("""COMPUTED_VALUE"""),43.77)</f>
        <v>43.77</v>
      </c>
      <c r="D306" s="190">
        <f>IFERROR(__xludf.DUMMYFUNCTION("""COMPUTED_VALUE"""),43.77)</f>
        <v>43.77</v>
      </c>
      <c r="E306" s="190">
        <f>IFERROR(__xludf.DUMMYFUNCTION("""COMPUTED_VALUE"""),42.42)</f>
        <v>42.42</v>
      </c>
      <c r="F306" s="190">
        <f>IFERROR(__xludf.DUMMYFUNCTION("""COMPUTED_VALUE"""),42.6)</f>
        <v>42.6</v>
      </c>
      <c r="G306" s="191">
        <f>IFERROR(__xludf.DUMMYFUNCTION("""COMPUTED_VALUE"""),7558756.0)</f>
        <v>7558756</v>
      </c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>
        <f>IFERROR(__xludf.DUMMYFUNCTION("""COMPUTED_VALUE"""),45496.5625)</f>
        <v>45496.5625</v>
      </c>
      <c r="C307" s="190">
        <f>IFERROR(__xludf.DUMMYFUNCTION("""COMPUTED_VALUE"""),43.11)</f>
        <v>43.11</v>
      </c>
      <c r="D307" s="190">
        <f>IFERROR(__xludf.DUMMYFUNCTION("""COMPUTED_VALUE"""),43.66)</f>
        <v>43.66</v>
      </c>
      <c r="E307" s="190">
        <f>IFERROR(__xludf.DUMMYFUNCTION("""COMPUTED_VALUE"""),43.11)</f>
        <v>43.11</v>
      </c>
      <c r="F307" s="190">
        <f>IFERROR(__xludf.DUMMYFUNCTION("""COMPUTED_VALUE"""),43.63)</f>
        <v>43.63</v>
      </c>
      <c r="G307" s="191">
        <f>IFERROR(__xludf.DUMMYFUNCTION("""COMPUTED_VALUE"""),2876653.0)</f>
        <v>2876653</v>
      </c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>
        <f>IFERROR(__xludf.DUMMYFUNCTION("""COMPUTED_VALUE"""),45499.5625)</f>
        <v>45499.5625</v>
      </c>
      <c r="C308" s="190">
        <f>IFERROR(__xludf.DUMMYFUNCTION("""COMPUTED_VALUE"""),42.15)</f>
        <v>42.15</v>
      </c>
      <c r="D308" s="190">
        <f>IFERROR(__xludf.DUMMYFUNCTION("""COMPUTED_VALUE"""),42.32)</f>
        <v>42.32</v>
      </c>
      <c r="E308" s="190">
        <f>IFERROR(__xludf.DUMMYFUNCTION("""COMPUTED_VALUE"""),41.8)</f>
        <v>41.8</v>
      </c>
      <c r="F308" s="190">
        <f>IFERROR(__xludf.DUMMYFUNCTION("""COMPUTED_VALUE"""),42.17)</f>
        <v>42.17</v>
      </c>
      <c r="G308" s="191">
        <f>IFERROR(__xludf.DUMMYFUNCTION("""COMPUTED_VALUE"""),6263425.0)</f>
        <v>6263425</v>
      </c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>
        <f>IFERROR(__xludf.DUMMYFUNCTION("""COMPUTED_VALUE"""),45502.5625)</f>
        <v>45502.5625</v>
      </c>
      <c r="C309" s="190">
        <f>IFERROR(__xludf.DUMMYFUNCTION("""COMPUTED_VALUE"""),42.77)</f>
        <v>42.77</v>
      </c>
      <c r="D309" s="190">
        <f>IFERROR(__xludf.DUMMYFUNCTION("""COMPUTED_VALUE"""),43.0)</f>
        <v>43</v>
      </c>
      <c r="E309" s="190">
        <f>IFERROR(__xludf.DUMMYFUNCTION("""COMPUTED_VALUE"""),42.47)</f>
        <v>42.47</v>
      </c>
      <c r="F309" s="190">
        <f>IFERROR(__xludf.DUMMYFUNCTION("""COMPUTED_VALUE"""),42.59)</f>
        <v>42.59</v>
      </c>
      <c r="G309" s="191">
        <f>IFERROR(__xludf.DUMMYFUNCTION("""COMPUTED_VALUE"""),2546784.0)</f>
        <v>2546784</v>
      </c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>
        <f>IFERROR(__xludf.DUMMYFUNCTION("""COMPUTED_VALUE"""),45503.5625)</f>
        <v>45503.5625</v>
      </c>
      <c r="C310" s="190">
        <f>IFERROR(__xludf.DUMMYFUNCTION("""COMPUTED_VALUE"""),42.38)</f>
        <v>42.38</v>
      </c>
      <c r="D310" s="190">
        <f>IFERROR(__xludf.DUMMYFUNCTION("""COMPUTED_VALUE"""),42.68)</f>
        <v>42.68</v>
      </c>
      <c r="E310" s="190">
        <f>IFERROR(__xludf.DUMMYFUNCTION("""COMPUTED_VALUE"""),41.85)</f>
        <v>41.85</v>
      </c>
      <c r="F310" s="190">
        <f>IFERROR(__xludf.DUMMYFUNCTION("""COMPUTED_VALUE"""),42.55)</f>
        <v>42.55</v>
      </c>
      <c r="G310" s="191">
        <f>IFERROR(__xludf.DUMMYFUNCTION("""COMPUTED_VALUE"""),3792578.0)</f>
        <v>3792578</v>
      </c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>
        <f>IFERROR(__xludf.DUMMYFUNCTION("""COMPUTED_VALUE"""),45504.5625)</f>
        <v>45504.5625</v>
      </c>
      <c r="C311" s="190">
        <f>IFERROR(__xludf.DUMMYFUNCTION("""COMPUTED_VALUE"""),42.25)</f>
        <v>42.25</v>
      </c>
      <c r="D311" s="190">
        <f>IFERROR(__xludf.DUMMYFUNCTION("""COMPUTED_VALUE"""),42.64)</f>
        <v>42.64</v>
      </c>
      <c r="E311" s="190">
        <f>IFERROR(__xludf.DUMMYFUNCTION("""COMPUTED_VALUE"""),42.05)</f>
        <v>42.05</v>
      </c>
      <c r="F311" s="190">
        <f>IFERROR(__xludf.DUMMYFUNCTION("""COMPUTED_VALUE"""),42.55)</f>
        <v>42.55</v>
      </c>
      <c r="G311" s="191">
        <f>IFERROR(__xludf.DUMMYFUNCTION("""COMPUTED_VALUE"""),2399000.0)</f>
        <v>2399000</v>
      </c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>
        <f>IFERROR(__xludf.DUMMYFUNCTION("""COMPUTED_VALUE"""),45505.5625)</f>
        <v>45505.5625</v>
      </c>
      <c r="C312" s="190">
        <f>IFERROR(__xludf.DUMMYFUNCTION("""COMPUTED_VALUE"""),43.49)</f>
        <v>43.49</v>
      </c>
      <c r="D312" s="190">
        <f>IFERROR(__xludf.DUMMYFUNCTION("""COMPUTED_VALUE"""),43.52)</f>
        <v>43.52</v>
      </c>
      <c r="E312" s="190">
        <f>IFERROR(__xludf.DUMMYFUNCTION("""COMPUTED_VALUE"""),43.0)</f>
        <v>43</v>
      </c>
      <c r="F312" s="190">
        <f>IFERROR(__xludf.DUMMYFUNCTION("""COMPUTED_VALUE"""),43.25)</f>
        <v>43.25</v>
      </c>
      <c r="G312" s="191">
        <f>IFERROR(__xludf.DUMMYFUNCTION("""COMPUTED_VALUE"""),2578868.0)</f>
        <v>2578868</v>
      </c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>
        <f>IFERROR(__xludf.DUMMYFUNCTION("""COMPUTED_VALUE"""),45506.5625)</f>
        <v>45506.5625</v>
      </c>
      <c r="C313" s="190">
        <f>IFERROR(__xludf.DUMMYFUNCTION("""COMPUTED_VALUE"""),42.3)</f>
        <v>42.3</v>
      </c>
      <c r="D313" s="190">
        <f>IFERROR(__xludf.DUMMYFUNCTION("""COMPUTED_VALUE"""),42.3)</f>
        <v>42.3</v>
      </c>
      <c r="E313" s="190">
        <f>IFERROR(__xludf.DUMMYFUNCTION("""COMPUTED_VALUE"""),41.31)</f>
        <v>41.31</v>
      </c>
      <c r="F313" s="190">
        <f>IFERROR(__xludf.DUMMYFUNCTION("""COMPUTED_VALUE"""),41.31)</f>
        <v>41.31</v>
      </c>
      <c r="G313" s="191">
        <f>IFERROR(__xludf.DUMMYFUNCTION("""COMPUTED_VALUE"""),7015487.0)</f>
        <v>7015487</v>
      </c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>
        <f>IFERROR(__xludf.DUMMYFUNCTION("""COMPUTED_VALUE"""),45509.5625)</f>
        <v>45509.5625</v>
      </c>
      <c r="C314" s="190">
        <f>IFERROR(__xludf.DUMMYFUNCTION("""COMPUTED_VALUE"""),39.3)</f>
        <v>39.3</v>
      </c>
      <c r="D314" s="190">
        <f>IFERROR(__xludf.DUMMYFUNCTION("""COMPUTED_VALUE"""),39.53)</f>
        <v>39.53</v>
      </c>
      <c r="E314" s="190">
        <f>IFERROR(__xludf.DUMMYFUNCTION("""COMPUTED_VALUE"""),37.58)</f>
        <v>37.58</v>
      </c>
      <c r="F314" s="190">
        <f>IFERROR(__xludf.DUMMYFUNCTION("""COMPUTED_VALUE"""),37.77)</f>
        <v>37.77</v>
      </c>
      <c r="G314" s="191">
        <f>IFERROR(__xludf.DUMMYFUNCTION("""COMPUTED_VALUE"""),1.5057271E7)</f>
        <v>15057271</v>
      </c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>
        <f>IFERROR(__xludf.DUMMYFUNCTION("""COMPUTED_VALUE"""),45510.5625)</f>
        <v>45510.5625</v>
      </c>
      <c r="C315" s="190">
        <f>IFERROR(__xludf.DUMMYFUNCTION("""COMPUTED_VALUE"""),39.2)</f>
        <v>39.2</v>
      </c>
      <c r="D315" s="190">
        <f>IFERROR(__xludf.DUMMYFUNCTION("""COMPUTED_VALUE"""),40.22)</f>
        <v>40.22</v>
      </c>
      <c r="E315" s="190">
        <f>IFERROR(__xludf.DUMMYFUNCTION("""COMPUTED_VALUE"""),38.09)</f>
        <v>38.09</v>
      </c>
      <c r="F315" s="190">
        <f>IFERROR(__xludf.DUMMYFUNCTION("""COMPUTED_VALUE"""),39.49)</f>
        <v>39.49</v>
      </c>
      <c r="G315" s="191">
        <f>IFERROR(__xludf.DUMMYFUNCTION("""COMPUTED_VALUE"""),8065805.0)</f>
        <v>8065805</v>
      </c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>
        <f>IFERROR(__xludf.DUMMYFUNCTION("""COMPUTED_VALUE"""),45511.5625)</f>
        <v>45511.5625</v>
      </c>
      <c r="C316" s="190">
        <f>IFERROR(__xludf.DUMMYFUNCTION("""COMPUTED_VALUE"""),39.92)</f>
        <v>39.92</v>
      </c>
      <c r="D316" s="190">
        <f>IFERROR(__xludf.DUMMYFUNCTION("""COMPUTED_VALUE"""),41.0)</f>
        <v>41</v>
      </c>
      <c r="E316" s="190">
        <f>IFERROR(__xludf.DUMMYFUNCTION("""COMPUTED_VALUE"""),39.92)</f>
        <v>39.92</v>
      </c>
      <c r="F316" s="190">
        <f>IFERROR(__xludf.DUMMYFUNCTION("""COMPUTED_VALUE"""),40.84)</f>
        <v>40.84</v>
      </c>
      <c r="G316" s="191">
        <f>IFERROR(__xludf.DUMMYFUNCTION("""COMPUTED_VALUE"""),4187408.0)</f>
        <v>4187408</v>
      </c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>
        <f>IFERROR(__xludf.DUMMYFUNCTION("""COMPUTED_VALUE"""),45512.5625)</f>
        <v>45512.5625</v>
      </c>
      <c r="C317" s="190">
        <f>IFERROR(__xludf.DUMMYFUNCTION("""COMPUTED_VALUE"""),40.24)</f>
        <v>40.24</v>
      </c>
      <c r="D317" s="190">
        <f>IFERROR(__xludf.DUMMYFUNCTION("""COMPUTED_VALUE"""),40.58)</f>
        <v>40.58</v>
      </c>
      <c r="E317" s="190">
        <f>IFERROR(__xludf.DUMMYFUNCTION("""COMPUTED_VALUE"""),39.82)</f>
        <v>39.82</v>
      </c>
      <c r="F317" s="190">
        <f>IFERROR(__xludf.DUMMYFUNCTION("""COMPUTED_VALUE"""),40.14)</f>
        <v>40.14</v>
      </c>
      <c r="G317" s="191">
        <f>IFERROR(__xludf.DUMMYFUNCTION("""COMPUTED_VALUE"""),3081942.0)</f>
        <v>3081942</v>
      </c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>
        <f>IFERROR(__xludf.DUMMYFUNCTION("""COMPUTED_VALUE"""),45513.5625)</f>
        <v>45513.5625</v>
      </c>
      <c r="C318" s="190">
        <f>IFERROR(__xludf.DUMMYFUNCTION("""COMPUTED_VALUE"""),41.04)</f>
        <v>41.04</v>
      </c>
      <c r="D318" s="190">
        <f>IFERROR(__xludf.DUMMYFUNCTION("""COMPUTED_VALUE"""),41.56)</f>
        <v>41.56</v>
      </c>
      <c r="E318" s="190">
        <f>IFERROR(__xludf.DUMMYFUNCTION("""COMPUTED_VALUE"""),40.98)</f>
        <v>40.98</v>
      </c>
      <c r="F318" s="190">
        <f>IFERROR(__xludf.DUMMYFUNCTION("""COMPUTED_VALUE"""),41.32)</f>
        <v>41.32</v>
      </c>
      <c r="G318" s="191">
        <f>IFERROR(__xludf.DUMMYFUNCTION("""COMPUTED_VALUE"""),4762176.0)</f>
        <v>4762176</v>
      </c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>
        <f>IFERROR(__xludf.DUMMYFUNCTION("""COMPUTED_VALUE"""),45516.5625)</f>
        <v>45516.5625</v>
      </c>
      <c r="C319" s="190">
        <f>IFERROR(__xludf.DUMMYFUNCTION("""COMPUTED_VALUE"""),41.66)</f>
        <v>41.66</v>
      </c>
      <c r="D319" s="190">
        <f>IFERROR(__xludf.DUMMYFUNCTION("""COMPUTED_VALUE"""),42.19)</f>
        <v>42.19</v>
      </c>
      <c r="E319" s="190">
        <f>IFERROR(__xludf.DUMMYFUNCTION("""COMPUTED_VALUE"""),41.66)</f>
        <v>41.66</v>
      </c>
      <c r="F319" s="190">
        <f>IFERROR(__xludf.DUMMYFUNCTION("""COMPUTED_VALUE"""),41.78)</f>
        <v>41.78</v>
      </c>
      <c r="G319" s="191">
        <f>IFERROR(__xludf.DUMMYFUNCTION("""COMPUTED_VALUE"""),3153022.0)</f>
        <v>3153022</v>
      </c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>
        <f>IFERROR(__xludf.DUMMYFUNCTION("""COMPUTED_VALUE"""),45517.5625)</f>
        <v>45517.5625</v>
      </c>
      <c r="C320" s="190">
        <f>IFERROR(__xludf.DUMMYFUNCTION("""COMPUTED_VALUE"""),42.11)</f>
        <v>42.11</v>
      </c>
      <c r="D320" s="190">
        <f>IFERROR(__xludf.DUMMYFUNCTION("""COMPUTED_VALUE"""),42.2)</f>
        <v>42.2</v>
      </c>
      <c r="E320" s="190">
        <f>IFERROR(__xludf.DUMMYFUNCTION("""COMPUTED_VALUE"""),41.81)</f>
        <v>41.81</v>
      </c>
      <c r="F320" s="190">
        <f>IFERROR(__xludf.DUMMYFUNCTION("""COMPUTED_VALUE"""),41.92)</f>
        <v>41.92</v>
      </c>
      <c r="G320" s="191">
        <f>IFERROR(__xludf.DUMMYFUNCTION("""COMPUTED_VALUE"""),1640740.0)</f>
        <v>1640740</v>
      </c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>
        <f>IFERROR(__xludf.DUMMYFUNCTION("""COMPUTED_VALUE"""),45518.5625)</f>
        <v>45518.5625</v>
      </c>
      <c r="C321" s="190">
        <f>IFERROR(__xludf.DUMMYFUNCTION("""COMPUTED_VALUE"""),42.28)</f>
        <v>42.28</v>
      </c>
      <c r="D321" s="190">
        <f>IFERROR(__xludf.DUMMYFUNCTION("""COMPUTED_VALUE"""),42.65)</f>
        <v>42.65</v>
      </c>
      <c r="E321" s="190">
        <f>IFERROR(__xludf.DUMMYFUNCTION("""COMPUTED_VALUE"""),42.28)</f>
        <v>42.28</v>
      </c>
      <c r="F321" s="190">
        <f>IFERROR(__xludf.DUMMYFUNCTION("""COMPUTED_VALUE"""),42.42)</f>
        <v>42.42</v>
      </c>
      <c r="G321" s="191">
        <f>IFERROR(__xludf.DUMMYFUNCTION("""COMPUTED_VALUE"""),2177808.0)</f>
        <v>2177808</v>
      </c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>
        <f>IFERROR(__xludf.DUMMYFUNCTION("""COMPUTED_VALUE"""),45519.5625)</f>
        <v>45519.5625</v>
      </c>
      <c r="C322" s="190">
        <f>IFERROR(__xludf.DUMMYFUNCTION("""COMPUTED_VALUE"""),42.42)</f>
        <v>42.42</v>
      </c>
      <c r="D322" s="190">
        <f>IFERROR(__xludf.DUMMYFUNCTION("""COMPUTED_VALUE"""),42.53)</f>
        <v>42.53</v>
      </c>
      <c r="E322" s="190">
        <f>IFERROR(__xludf.DUMMYFUNCTION("""COMPUTED_VALUE"""),42.16)</f>
        <v>42.16</v>
      </c>
      <c r="F322" s="190">
        <f>IFERROR(__xludf.DUMMYFUNCTION("""COMPUTED_VALUE"""),42.16)</f>
        <v>42.16</v>
      </c>
      <c r="G322" s="191">
        <f>IFERROR(__xludf.DUMMYFUNCTION("""COMPUTED_VALUE"""),1324686.0)</f>
        <v>1324686</v>
      </c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>
        <f>IFERROR(__xludf.DUMMYFUNCTION("""COMPUTED_VALUE"""),45520.5625)</f>
        <v>45520.5625</v>
      </c>
      <c r="C323" s="190">
        <f>IFERROR(__xludf.DUMMYFUNCTION("""COMPUTED_VALUE"""),42.95)</f>
        <v>42.95</v>
      </c>
      <c r="D323" s="190">
        <f>IFERROR(__xludf.DUMMYFUNCTION("""COMPUTED_VALUE"""),43.12)</f>
        <v>43.12</v>
      </c>
      <c r="E323" s="190">
        <f>IFERROR(__xludf.DUMMYFUNCTION("""COMPUTED_VALUE"""),42.84)</f>
        <v>42.84</v>
      </c>
      <c r="F323" s="190">
        <f>IFERROR(__xludf.DUMMYFUNCTION("""COMPUTED_VALUE"""),42.97)</f>
        <v>42.97</v>
      </c>
      <c r="G323" s="191">
        <f>IFERROR(__xludf.DUMMYFUNCTION("""COMPUTED_VALUE"""),4306128.0)</f>
        <v>4306128</v>
      </c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>
        <f>IFERROR(__xludf.DUMMYFUNCTION("""COMPUTED_VALUE"""),45523.5625)</f>
        <v>45523.5625</v>
      </c>
      <c r="C324" s="190">
        <f>IFERROR(__xludf.DUMMYFUNCTION("""COMPUTED_VALUE"""),42.97)</f>
        <v>42.97</v>
      </c>
      <c r="D324" s="190">
        <f>IFERROR(__xludf.DUMMYFUNCTION("""COMPUTED_VALUE"""),43.26)</f>
        <v>43.26</v>
      </c>
      <c r="E324" s="190">
        <f>IFERROR(__xludf.DUMMYFUNCTION("""COMPUTED_VALUE"""),42.95)</f>
        <v>42.95</v>
      </c>
      <c r="F324" s="190">
        <f>IFERROR(__xludf.DUMMYFUNCTION("""COMPUTED_VALUE"""),42.97)</f>
        <v>42.97</v>
      </c>
      <c r="G324" s="191">
        <f>IFERROR(__xludf.DUMMYFUNCTION("""COMPUTED_VALUE"""),1260710.0)</f>
        <v>1260710</v>
      </c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>
        <f>IFERROR(__xludf.DUMMYFUNCTION("""COMPUTED_VALUE"""),45524.5625)</f>
        <v>45524.5625</v>
      </c>
      <c r="C325" s="190">
        <f>IFERROR(__xludf.DUMMYFUNCTION("""COMPUTED_VALUE"""),43.19)</f>
        <v>43.19</v>
      </c>
      <c r="D325" s="190">
        <f>IFERROR(__xludf.DUMMYFUNCTION("""COMPUTED_VALUE"""),43.33)</f>
        <v>43.33</v>
      </c>
      <c r="E325" s="190">
        <f>IFERROR(__xludf.DUMMYFUNCTION("""COMPUTED_VALUE"""),43.04)</f>
        <v>43.04</v>
      </c>
      <c r="F325" s="190">
        <f>IFERROR(__xludf.DUMMYFUNCTION("""COMPUTED_VALUE"""),43.04)</f>
        <v>43.04</v>
      </c>
      <c r="G325" s="191">
        <f>IFERROR(__xludf.DUMMYFUNCTION("""COMPUTED_VALUE"""),1436401.0)</f>
        <v>1436401</v>
      </c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>
        <f>IFERROR(__xludf.DUMMYFUNCTION("""COMPUTED_VALUE"""),45525.5625)</f>
        <v>45525.5625</v>
      </c>
      <c r="C326" s="190">
        <f>IFERROR(__xludf.DUMMYFUNCTION("""COMPUTED_VALUE"""),42.87)</f>
        <v>42.87</v>
      </c>
      <c r="D326" s="190">
        <f>IFERROR(__xludf.DUMMYFUNCTION("""COMPUTED_VALUE"""),42.87)</f>
        <v>42.87</v>
      </c>
      <c r="E326" s="190">
        <f>IFERROR(__xludf.DUMMYFUNCTION("""COMPUTED_VALUE"""),42.62)</f>
        <v>42.62</v>
      </c>
      <c r="F326" s="190">
        <f>IFERROR(__xludf.DUMMYFUNCTION("""COMPUTED_VALUE"""),42.78)</f>
        <v>42.78</v>
      </c>
      <c r="G326" s="191">
        <f>IFERROR(__xludf.DUMMYFUNCTION("""COMPUTED_VALUE"""),1897502.0)</f>
        <v>1897502</v>
      </c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>
        <f>IFERROR(__xludf.DUMMYFUNCTION("""COMPUTED_VALUE"""),45526.5625)</f>
        <v>45526.5625</v>
      </c>
      <c r="C327" s="190">
        <f>IFERROR(__xludf.DUMMYFUNCTION("""COMPUTED_VALUE"""),42.78)</f>
        <v>42.78</v>
      </c>
      <c r="D327" s="190">
        <f>IFERROR(__xludf.DUMMYFUNCTION("""COMPUTED_VALUE"""),42.85)</f>
        <v>42.85</v>
      </c>
      <c r="E327" s="190">
        <f>IFERROR(__xludf.DUMMYFUNCTION("""COMPUTED_VALUE"""),42.41)</f>
        <v>42.41</v>
      </c>
      <c r="F327" s="190">
        <f>IFERROR(__xludf.DUMMYFUNCTION("""COMPUTED_VALUE"""),42.46)</f>
        <v>42.46</v>
      </c>
      <c r="G327" s="191">
        <f>IFERROR(__xludf.DUMMYFUNCTION("""COMPUTED_VALUE"""),865450.0)</f>
        <v>865450</v>
      </c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>
        <f>IFERROR(__xludf.DUMMYFUNCTION("""COMPUTED_VALUE"""),45527.5625)</f>
        <v>45527.5625</v>
      </c>
      <c r="C328" s="190">
        <f>IFERROR(__xludf.DUMMYFUNCTION("""COMPUTED_VALUE"""),42.25)</f>
        <v>42.25</v>
      </c>
      <c r="D328" s="190">
        <f>IFERROR(__xludf.DUMMYFUNCTION("""COMPUTED_VALUE"""),42.55)</f>
        <v>42.55</v>
      </c>
      <c r="E328" s="190">
        <f>IFERROR(__xludf.DUMMYFUNCTION("""COMPUTED_VALUE"""),42.13)</f>
        <v>42.13</v>
      </c>
      <c r="F328" s="190">
        <f>IFERROR(__xludf.DUMMYFUNCTION("""COMPUTED_VALUE"""),42.5)</f>
        <v>42.5</v>
      </c>
      <c r="G328" s="191">
        <f>IFERROR(__xludf.DUMMYFUNCTION("""COMPUTED_VALUE"""),1416432.0)</f>
        <v>1416432</v>
      </c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>
        <f>IFERROR(__xludf.DUMMYFUNCTION("""COMPUTED_VALUE"""),45530.5625)</f>
        <v>45530.5625</v>
      </c>
      <c r="C329" s="190">
        <f>IFERROR(__xludf.DUMMYFUNCTION("""COMPUTED_VALUE"""),42.66)</f>
        <v>42.66</v>
      </c>
      <c r="D329" s="190">
        <f>IFERROR(__xludf.DUMMYFUNCTION("""COMPUTED_VALUE"""),43.08)</f>
        <v>43.08</v>
      </c>
      <c r="E329" s="190">
        <f>IFERROR(__xludf.DUMMYFUNCTION("""COMPUTED_VALUE"""),42.5)</f>
        <v>42.5</v>
      </c>
      <c r="F329" s="190">
        <f>IFERROR(__xludf.DUMMYFUNCTION("""COMPUTED_VALUE"""),42.56)</f>
        <v>42.56</v>
      </c>
      <c r="G329" s="191">
        <f>IFERROR(__xludf.DUMMYFUNCTION("""COMPUTED_VALUE"""),3650875.0)</f>
        <v>3650875</v>
      </c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>
        <f>IFERROR(__xludf.DUMMYFUNCTION("""COMPUTED_VALUE"""),45531.5625)</f>
        <v>45531.5625</v>
      </c>
      <c r="C330" s="190">
        <f>IFERROR(__xludf.DUMMYFUNCTION("""COMPUTED_VALUE"""),42.45)</f>
        <v>42.45</v>
      </c>
      <c r="D330" s="190">
        <f>IFERROR(__xludf.DUMMYFUNCTION("""COMPUTED_VALUE"""),42.5)</f>
        <v>42.5</v>
      </c>
      <c r="E330" s="190">
        <f>IFERROR(__xludf.DUMMYFUNCTION("""COMPUTED_VALUE"""),42.22)</f>
        <v>42.22</v>
      </c>
      <c r="F330" s="190">
        <f>IFERROR(__xludf.DUMMYFUNCTION("""COMPUTED_VALUE"""),42.45)</f>
        <v>42.45</v>
      </c>
      <c r="G330" s="191">
        <f>IFERROR(__xludf.DUMMYFUNCTION("""COMPUTED_VALUE"""),993586.0)</f>
        <v>993586</v>
      </c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>
        <f>IFERROR(__xludf.DUMMYFUNCTION("""COMPUTED_VALUE"""),45532.5625)</f>
        <v>45532.5625</v>
      </c>
      <c r="C331" s="190">
        <f>IFERROR(__xludf.DUMMYFUNCTION("""COMPUTED_VALUE"""),42.45)</f>
        <v>42.45</v>
      </c>
      <c r="D331" s="190">
        <f>IFERROR(__xludf.DUMMYFUNCTION("""COMPUTED_VALUE"""),42.97)</f>
        <v>42.97</v>
      </c>
      <c r="E331" s="190">
        <f>IFERROR(__xludf.DUMMYFUNCTION("""COMPUTED_VALUE"""),42.27)</f>
        <v>42.27</v>
      </c>
      <c r="F331" s="190">
        <f>IFERROR(__xludf.DUMMYFUNCTION("""COMPUTED_VALUE"""),42.97)</f>
        <v>42.97</v>
      </c>
      <c r="G331" s="191">
        <f>IFERROR(__xludf.DUMMYFUNCTION("""COMPUTED_VALUE"""),1412940.0)</f>
        <v>1412940</v>
      </c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>
        <f>IFERROR(__xludf.DUMMYFUNCTION("""COMPUTED_VALUE"""),45533.5625)</f>
        <v>45533.5625</v>
      </c>
      <c r="C332" s="190">
        <f>IFERROR(__xludf.DUMMYFUNCTION("""COMPUTED_VALUE"""),42.3)</f>
        <v>42.3</v>
      </c>
      <c r="D332" s="190">
        <f>IFERROR(__xludf.DUMMYFUNCTION("""COMPUTED_VALUE"""),42.47)</f>
        <v>42.47</v>
      </c>
      <c r="E332" s="190">
        <f>IFERROR(__xludf.DUMMYFUNCTION("""COMPUTED_VALUE"""),42.05)</f>
        <v>42.05</v>
      </c>
      <c r="F332" s="190">
        <f>IFERROR(__xludf.DUMMYFUNCTION("""COMPUTED_VALUE"""),42.3)</f>
        <v>42.3</v>
      </c>
      <c r="G332" s="191">
        <f>IFERROR(__xludf.DUMMYFUNCTION("""COMPUTED_VALUE"""),7147055.0)</f>
        <v>7147055</v>
      </c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>
        <f>IFERROR(__xludf.DUMMYFUNCTION("""COMPUTED_VALUE"""),45534.5625)</f>
        <v>45534.5625</v>
      </c>
      <c r="C333" s="190">
        <f>IFERROR(__xludf.DUMMYFUNCTION("""COMPUTED_VALUE"""),42.31)</f>
        <v>42.31</v>
      </c>
      <c r="D333" s="190">
        <f>IFERROR(__xludf.DUMMYFUNCTION("""COMPUTED_VALUE"""),42.59)</f>
        <v>42.59</v>
      </c>
      <c r="E333" s="190">
        <f>IFERROR(__xludf.DUMMYFUNCTION("""COMPUTED_VALUE"""),42.31)</f>
        <v>42.31</v>
      </c>
      <c r="F333" s="190">
        <f>IFERROR(__xludf.DUMMYFUNCTION("""COMPUTED_VALUE"""),42.39)</f>
        <v>42.39</v>
      </c>
      <c r="G333" s="191">
        <f>IFERROR(__xludf.DUMMYFUNCTION("""COMPUTED_VALUE"""),2336884.0)</f>
        <v>2336884</v>
      </c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>
        <f>IFERROR(__xludf.DUMMYFUNCTION("""COMPUTED_VALUE"""),45537.5625)</f>
        <v>45537.5625</v>
      </c>
      <c r="C334" s="190">
        <f>IFERROR(__xludf.DUMMYFUNCTION("""COMPUTED_VALUE"""),42.52)</f>
        <v>42.52</v>
      </c>
      <c r="D334" s="190">
        <f>IFERROR(__xludf.DUMMYFUNCTION("""COMPUTED_VALUE"""),42.74)</f>
        <v>42.74</v>
      </c>
      <c r="E334" s="190">
        <f>IFERROR(__xludf.DUMMYFUNCTION("""COMPUTED_VALUE"""),42.35)</f>
        <v>42.35</v>
      </c>
      <c r="F334" s="190">
        <f>IFERROR(__xludf.DUMMYFUNCTION("""COMPUTED_VALUE"""),42.4)</f>
        <v>42.4</v>
      </c>
      <c r="G334" s="191">
        <f>IFERROR(__xludf.DUMMYFUNCTION("""COMPUTED_VALUE"""),1156473.0)</f>
        <v>1156473</v>
      </c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>
        <f>IFERROR(__xludf.DUMMYFUNCTION("""COMPUTED_VALUE"""),45538.5625)</f>
        <v>45538.5625</v>
      </c>
      <c r="C335" s="190">
        <f>IFERROR(__xludf.DUMMYFUNCTION("""COMPUTED_VALUE"""),42.58)</f>
        <v>42.58</v>
      </c>
      <c r="D335" s="190">
        <f>IFERROR(__xludf.DUMMYFUNCTION("""COMPUTED_VALUE"""),42.58)</f>
        <v>42.58</v>
      </c>
      <c r="E335" s="190">
        <f>IFERROR(__xludf.DUMMYFUNCTION("""COMPUTED_VALUE"""),42.2)</f>
        <v>42.2</v>
      </c>
      <c r="F335" s="190">
        <f>IFERROR(__xludf.DUMMYFUNCTION("""COMPUTED_VALUE"""),42.29)</f>
        <v>42.29</v>
      </c>
      <c r="G335" s="191">
        <f>IFERROR(__xludf.DUMMYFUNCTION("""COMPUTED_VALUE"""),1395401.0)</f>
        <v>1395401</v>
      </c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>
        <f>IFERROR(__xludf.DUMMYFUNCTION("""COMPUTED_VALUE"""),45539.5625)</f>
        <v>45539.5625</v>
      </c>
      <c r="C336" s="190">
        <f>IFERROR(__xludf.DUMMYFUNCTION("""COMPUTED_VALUE"""),40.99)</f>
        <v>40.99</v>
      </c>
      <c r="D336" s="190">
        <f>IFERROR(__xludf.DUMMYFUNCTION("""COMPUTED_VALUE"""),40.99)</f>
        <v>40.99</v>
      </c>
      <c r="E336" s="190">
        <f>IFERROR(__xludf.DUMMYFUNCTION("""COMPUTED_VALUE"""),40.0)</f>
        <v>40</v>
      </c>
      <c r="F336" s="190">
        <f>IFERROR(__xludf.DUMMYFUNCTION("""COMPUTED_VALUE"""),40.47)</f>
        <v>40.47</v>
      </c>
      <c r="G336" s="191">
        <f>IFERROR(__xludf.DUMMYFUNCTION("""COMPUTED_VALUE"""),7964161.0)</f>
        <v>7964161</v>
      </c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>
        <f>IFERROR(__xludf.DUMMYFUNCTION("""COMPUTED_VALUE"""),45540.5625)</f>
        <v>45540.5625</v>
      </c>
      <c r="C337" s="190">
        <f>IFERROR(__xludf.DUMMYFUNCTION("""COMPUTED_VALUE"""),41.05)</f>
        <v>41.05</v>
      </c>
      <c r="D337" s="190">
        <f>IFERROR(__xludf.DUMMYFUNCTION("""COMPUTED_VALUE"""),41.16)</f>
        <v>41.16</v>
      </c>
      <c r="E337" s="190">
        <f>IFERROR(__xludf.DUMMYFUNCTION("""COMPUTED_VALUE"""),40.48)</f>
        <v>40.48</v>
      </c>
      <c r="F337" s="190">
        <f>IFERROR(__xludf.DUMMYFUNCTION("""COMPUTED_VALUE"""),40.6)</f>
        <v>40.6</v>
      </c>
      <c r="G337" s="191">
        <f>IFERROR(__xludf.DUMMYFUNCTION("""COMPUTED_VALUE"""),1956127.0)</f>
        <v>1956127</v>
      </c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>
        <f>IFERROR(__xludf.DUMMYFUNCTION("""COMPUTED_VALUE"""),45541.5625)</f>
        <v>45541.5625</v>
      </c>
      <c r="C338" s="190">
        <f>IFERROR(__xludf.DUMMYFUNCTION("""COMPUTED_VALUE"""),40.62)</f>
        <v>40.62</v>
      </c>
      <c r="D338" s="190">
        <f>IFERROR(__xludf.DUMMYFUNCTION("""COMPUTED_VALUE"""),41.21)</f>
        <v>41.21</v>
      </c>
      <c r="E338" s="190">
        <f>IFERROR(__xludf.DUMMYFUNCTION("""COMPUTED_VALUE"""),40.45)</f>
        <v>40.45</v>
      </c>
      <c r="F338" s="190">
        <f>IFERROR(__xludf.DUMMYFUNCTION("""COMPUTED_VALUE"""),41.14)</f>
        <v>41.14</v>
      </c>
      <c r="G338" s="191">
        <f>IFERROR(__xludf.DUMMYFUNCTION("""COMPUTED_VALUE"""),2140218.0)</f>
        <v>2140218</v>
      </c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>
        <f>IFERROR(__xludf.DUMMYFUNCTION("""COMPUTED_VALUE"""),45544.5625)</f>
        <v>45544.5625</v>
      </c>
      <c r="C339" s="190">
        <f>IFERROR(__xludf.DUMMYFUNCTION("""COMPUTED_VALUE"""),40.3)</f>
        <v>40.3</v>
      </c>
      <c r="D339" s="190">
        <f>IFERROR(__xludf.DUMMYFUNCTION("""COMPUTED_VALUE"""),40.54)</f>
        <v>40.54</v>
      </c>
      <c r="E339" s="190">
        <f>IFERROR(__xludf.DUMMYFUNCTION("""COMPUTED_VALUE"""),40.09)</f>
        <v>40.09</v>
      </c>
      <c r="F339" s="190">
        <f>IFERROR(__xludf.DUMMYFUNCTION("""COMPUTED_VALUE"""),40.52)</f>
        <v>40.52</v>
      </c>
      <c r="G339" s="191">
        <f>IFERROR(__xludf.DUMMYFUNCTION("""COMPUTED_VALUE"""),2547872.0)</f>
        <v>2547872</v>
      </c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>
        <f>IFERROR(__xludf.DUMMYFUNCTION("""COMPUTED_VALUE"""),45545.5625)</f>
        <v>45545.5625</v>
      </c>
      <c r="C340" s="190">
        <f>IFERROR(__xludf.DUMMYFUNCTION("""COMPUTED_VALUE"""),40.62)</f>
        <v>40.62</v>
      </c>
      <c r="D340" s="190">
        <f>IFERROR(__xludf.DUMMYFUNCTION("""COMPUTED_VALUE"""),40.8)</f>
        <v>40.8</v>
      </c>
      <c r="E340" s="190">
        <f>IFERROR(__xludf.DUMMYFUNCTION("""COMPUTED_VALUE"""),40.32)</f>
        <v>40.32</v>
      </c>
      <c r="F340" s="190">
        <f>IFERROR(__xludf.DUMMYFUNCTION("""COMPUTED_VALUE"""),40.61)</f>
        <v>40.61</v>
      </c>
      <c r="G340" s="191">
        <f>IFERROR(__xludf.DUMMYFUNCTION("""COMPUTED_VALUE"""),1735397.0)</f>
        <v>1735397</v>
      </c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>
        <f>IFERROR(__xludf.DUMMYFUNCTION("""COMPUTED_VALUE"""),45546.5625)</f>
        <v>45546.5625</v>
      </c>
      <c r="C341" s="190">
        <f>IFERROR(__xludf.DUMMYFUNCTION("""COMPUTED_VALUE"""),40.52)</f>
        <v>40.52</v>
      </c>
      <c r="D341" s="190">
        <f>IFERROR(__xludf.DUMMYFUNCTION("""COMPUTED_VALUE"""),40.65)</f>
        <v>40.65</v>
      </c>
      <c r="E341" s="190">
        <f>IFERROR(__xludf.DUMMYFUNCTION("""COMPUTED_VALUE"""),40.43)</f>
        <v>40.43</v>
      </c>
      <c r="F341" s="190">
        <f>IFERROR(__xludf.DUMMYFUNCTION("""COMPUTED_VALUE"""),40.43)</f>
        <v>40.43</v>
      </c>
      <c r="G341" s="191">
        <f>IFERROR(__xludf.DUMMYFUNCTION("""COMPUTED_VALUE"""),1268421.0)</f>
        <v>1268421</v>
      </c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>
        <f>IFERROR(__xludf.DUMMYFUNCTION("""COMPUTED_VALUE"""),45547.5625)</f>
        <v>45547.5625</v>
      </c>
      <c r="C342" s="190">
        <f>IFERROR(__xludf.DUMMYFUNCTION("""COMPUTED_VALUE"""),41.52)</f>
        <v>41.52</v>
      </c>
      <c r="D342" s="190">
        <f>IFERROR(__xludf.DUMMYFUNCTION("""COMPUTED_VALUE"""),41.92)</f>
        <v>41.92</v>
      </c>
      <c r="E342" s="190">
        <f>IFERROR(__xludf.DUMMYFUNCTION("""COMPUTED_VALUE"""),41.38)</f>
        <v>41.38</v>
      </c>
      <c r="F342" s="190">
        <f>IFERROR(__xludf.DUMMYFUNCTION("""COMPUTED_VALUE"""),41.7)</f>
        <v>41.7</v>
      </c>
      <c r="G342" s="191">
        <f>IFERROR(__xludf.DUMMYFUNCTION("""COMPUTED_VALUE"""),1642544.0)</f>
        <v>1642544</v>
      </c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>
        <f>IFERROR(__xludf.DUMMYFUNCTION("""COMPUTED_VALUE"""),45548.5625)</f>
        <v>45548.5625</v>
      </c>
      <c r="C343" s="190">
        <f>IFERROR(__xludf.DUMMYFUNCTION("""COMPUTED_VALUE"""),41.97)</f>
        <v>41.97</v>
      </c>
      <c r="D343" s="190">
        <f>IFERROR(__xludf.DUMMYFUNCTION("""COMPUTED_VALUE"""),42.04)</f>
        <v>42.04</v>
      </c>
      <c r="E343" s="190">
        <f>IFERROR(__xludf.DUMMYFUNCTION("""COMPUTED_VALUE"""),41.7)</f>
        <v>41.7</v>
      </c>
      <c r="F343" s="190">
        <f>IFERROR(__xludf.DUMMYFUNCTION("""COMPUTED_VALUE"""),41.88)</f>
        <v>41.88</v>
      </c>
      <c r="G343" s="191">
        <f>IFERROR(__xludf.DUMMYFUNCTION("""COMPUTED_VALUE"""),1006307.0)</f>
        <v>1006307</v>
      </c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>
        <f>IFERROR(__xludf.DUMMYFUNCTION("""COMPUTED_VALUE"""),45551.5625)</f>
        <v>45551.5625</v>
      </c>
      <c r="C344" s="190">
        <f>IFERROR(__xludf.DUMMYFUNCTION("""COMPUTED_VALUE"""),41.92)</f>
        <v>41.92</v>
      </c>
      <c r="D344" s="190">
        <f>IFERROR(__xludf.DUMMYFUNCTION("""COMPUTED_VALUE"""),42.15)</f>
        <v>42.15</v>
      </c>
      <c r="E344" s="190">
        <f>IFERROR(__xludf.DUMMYFUNCTION("""COMPUTED_VALUE"""),41.87)</f>
        <v>41.87</v>
      </c>
      <c r="F344" s="190">
        <f>IFERROR(__xludf.DUMMYFUNCTION("""COMPUTED_VALUE"""),42.12)</f>
        <v>42.12</v>
      </c>
      <c r="G344" s="191">
        <f>IFERROR(__xludf.DUMMYFUNCTION("""COMPUTED_VALUE"""),1847473.0)</f>
        <v>1847473</v>
      </c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>
        <f>IFERROR(__xludf.DUMMYFUNCTION("""COMPUTED_VALUE"""),45553.5625)</f>
        <v>45553.5625</v>
      </c>
      <c r="C345" s="190">
        <f>IFERROR(__xludf.DUMMYFUNCTION("""COMPUTED_VALUE"""),42.08)</f>
        <v>42.08</v>
      </c>
      <c r="D345" s="190">
        <f>IFERROR(__xludf.DUMMYFUNCTION("""COMPUTED_VALUE"""),42.12)</f>
        <v>42.12</v>
      </c>
      <c r="E345" s="190">
        <f>IFERROR(__xludf.DUMMYFUNCTION("""COMPUTED_VALUE"""),41.62)</f>
        <v>41.62</v>
      </c>
      <c r="F345" s="190">
        <f>IFERROR(__xludf.DUMMYFUNCTION("""COMPUTED_VALUE"""),41.76)</f>
        <v>41.76</v>
      </c>
      <c r="G345" s="191">
        <f>IFERROR(__xludf.DUMMYFUNCTION("""COMPUTED_VALUE"""),1267861.0)</f>
        <v>1267861</v>
      </c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>
        <f>IFERROR(__xludf.DUMMYFUNCTION("""COMPUTED_VALUE"""),45554.5625)</f>
        <v>45554.5625</v>
      </c>
      <c r="C346" s="190">
        <f>IFERROR(__xludf.DUMMYFUNCTION("""COMPUTED_VALUE"""),41.77)</f>
        <v>41.77</v>
      </c>
      <c r="D346" s="190">
        <f>IFERROR(__xludf.DUMMYFUNCTION("""COMPUTED_VALUE"""),42.37)</f>
        <v>42.37</v>
      </c>
      <c r="E346" s="190">
        <f>IFERROR(__xludf.DUMMYFUNCTION("""COMPUTED_VALUE"""),41.68)</f>
        <v>41.68</v>
      </c>
      <c r="F346" s="190">
        <f>IFERROR(__xludf.DUMMYFUNCTION("""COMPUTED_VALUE"""),42.33)</f>
        <v>42.33</v>
      </c>
      <c r="G346" s="191">
        <f>IFERROR(__xludf.DUMMYFUNCTION("""COMPUTED_VALUE"""),1425424.0)</f>
        <v>1425424</v>
      </c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>
        <f>IFERROR(__xludf.DUMMYFUNCTION("""COMPUTED_VALUE"""),45555.5625)</f>
        <v>45555.5625</v>
      </c>
      <c r="C347" s="190">
        <f>IFERROR(__xludf.DUMMYFUNCTION("""COMPUTED_VALUE"""),42.96)</f>
        <v>42.96</v>
      </c>
      <c r="D347" s="190">
        <f>IFERROR(__xludf.DUMMYFUNCTION("""COMPUTED_VALUE"""),43.18)</f>
        <v>43.18</v>
      </c>
      <c r="E347" s="190">
        <f>IFERROR(__xludf.DUMMYFUNCTION("""COMPUTED_VALUE"""),42.82)</f>
        <v>42.82</v>
      </c>
      <c r="F347" s="190">
        <f>IFERROR(__xludf.DUMMYFUNCTION("""COMPUTED_VALUE"""),42.82)</f>
        <v>42.82</v>
      </c>
      <c r="G347" s="191">
        <f>IFERROR(__xludf.DUMMYFUNCTION("""COMPUTED_VALUE"""),1573092.0)</f>
        <v>1573092</v>
      </c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>
        <f>IFERROR(__xludf.DUMMYFUNCTION("""COMPUTED_VALUE"""),45558.5625)</f>
        <v>45558.5625</v>
      </c>
      <c r="C348" s="190">
        <f>IFERROR(__xludf.DUMMYFUNCTION("""COMPUTED_VALUE"""),43.0)</f>
        <v>43</v>
      </c>
      <c r="D348" s="190">
        <f>IFERROR(__xludf.DUMMYFUNCTION("""COMPUTED_VALUE"""),43.1)</f>
        <v>43.1</v>
      </c>
      <c r="E348" s="190">
        <f>IFERROR(__xludf.DUMMYFUNCTION("""COMPUTED_VALUE"""),42.91)</f>
        <v>42.91</v>
      </c>
      <c r="F348" s="190">
        <f>IFERROR(__xludf.DUMMYFUNCTION("""COMPUTED_VALUE"""),43.01)</f>
        <v>43.01</v>
      </c>
      <c r="G348" s="191">
        <f>IFERROR(__xludf.DUMMYFUNCTION("""COMPUTED_VALUE"""),1259763.0)</f>
        <v>1259763</v>
      </c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>
        <f>IFERROR(__xludf.DUMMYFUNCTION("""COMPUTED_VALUE"""),45559.5625)</f>
        <v>45559.5625</v>
      </c>
      <c r="C349" s="190">
        <f>IFERROR(__xludf.DUMMYFUNCTION("""COMPUTED_VALUE"""),43.1)</f>
        <v>43.1</v>
      </c>
      <c r="D349" s="190">
        <f>IFERROR(__xludf.DUMMYFUNCTION("""COMPUTED_VALUE"""),43.4)</f>
        <v>43.4</v>
      </c>
      <c r="E349" s="190">
        <f>IFERROR(__xludf.DUMMYFUNCTION("""COMPUTED_VALUE"""),42.82)</f>
        <v>42.82</v>
      </c>
      <c r="F349" s="190">
        <f>IFERROR(__xludf.DUMMYFUNCTION("""COMPUTED_VALUE"""),43.37)</f>
        <v>43.37</v>
      </c>
      <c r="G349" s="191">
        <f>IFERROR(__xludf.DUMMYFUNCTION("""COMPUTED_VALUE"""),2879174.0)</f>
        <v>2879174</v>
      </c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>
        <f>IFERROR(__xludf.DUMMYFUNCTION("""COMPUTED_VALUE"""),45560.5625)</f>
        <v>45560.5625</v>
      </c>
      <c r="C350" s="190">
        <f>IFERROR(__xludf.DUMMYFUNCTION("""COMPUTED_VALUE"""),43.98)</f>
        <v>43.98</v>
      </c>
      <c r="D350" s="190">
        <f>IFERROR(__xludf.DUMMYFUNCTION("""COMPUTED_VALUE"""),44.16)</f>
        <v>44.16</v>
      </c>
      <c r="E350" s="190">
        <f>IFERROR(__xludf.DUMMYFUNCTION("""COMPUTED_VALUE"""),43.98)</f>
        <v>43.98</v>
      </c>
      <c r="F350" s="190">
        <f>IFERROR(__xludf.DUMMYFUNCTION("""COMPUTED_VALUE"""),44.08)</f>
        <v>44.08</v>
      </c>
      <c r="G350" s="191">
        <f>IFERROR(__xludf.DUMMYFUNCTION("""COMPUTED_VALUE"""),2374353.0)</f>
        <v>2374353</v>
      </c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>
        <f>IFERROR(__xludf.DUMMYFUNCTION("""COMPUTED_VALUE"""),45561.5625)</f>
        <v>45561.5625</v>
      </c>
      <c r="C351" s="190">
        <f>IFERROR(__xludf.DUMMYFUNCTION("""COMPUTED_VALUE"""),44.31)</f>
        <v>44.31</v>
      </c>
      <c r="D351" s="190">
        <f>IFERROR(__xludf.DUMMYFUNCTION("""COMPUTED_VALUE"""),44.59)</f>
        <v>44.59</v>
      </c>
      <c r="E351" s="190">
        <f>IFERROR(__xludf.DUMMYFUNCTION("""COMPUTED_VALUE"""),44.24)</f>
        <v>44.24</v>
      </c>
      <c r="F351" s="190">
        <f>IFERROR(__xludf.DUMMYFUNCTION("""COMPUTED_VALUE"""),44.29)</f>
        <v>44.29</v>
      </c>
      <c r="G351" s="191">
        <f>IFERROR(__xludf.DUMMYFUNCTION("""COMPUTED_VALUE"""),5571816.0)</f>
        <v>5571816</v>
      </c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>
        <f>IFERROR(__xludf.DUMMYFUNCTION("""COMPUTED_VALUE"""),45562.5625)</f>
        <v>45562.5625</v>
      </c>
      <c r="C352" s="190">
        <f>IFERROR(__xludf.DUMMYFUNCTION("""COMPUTED_VALUE"""),44.6)</f>
        <v>44.6</v>
      </c>
      <c r="D352" s="190">
        <f>IFERROR(__xludf.DUMMYFUNCTION("""COMPUTED_VALUE"""),44.79)</f>
        <v>44.79</v>
      </c>
      <c r="E352" s="190">
        <f>IFERROR(__xludf.DUMMYFUNCTION("""COMPUTED_VALUE"""),44.17)</f>
        <v>44.17</v>
      </c>
      <c r="F352" s="190">
        <f>IFERROR(__xludf.DUMMYFUNCTION("""COMPUTED_VALUE"""),44.21)</f>
        <v>44.21</v>
      </c>
      <c r="G352" s="191">
        <f>IFERROR(__xludf.DUMMYFUNCTION("""COMPUTED_VALUE"""),1642267.0)</f>
        <v>1642267</v>
      </c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>
        <f>IFERROR(__xludf.DUMMYFUNCTION("""COMPUTED_VALUE"""),45565.5625)</f>
        <v>45565.5625</v>
      </c>
      <c r="C353" s="190">
        <f>IFERROR(__xludf.DUMMYFUNCTION("""COMPUTED_VALUE"""),43.8)</f>
        <v>43.8</v>
      </c>
      <c r="D353" s="190">
        <f>IFERROR(__xludf.DUMMYFUNCTION("""COMPUTED_VALUE"""),43.83)</f>
        <v>43.83</v>
      </c>
      <c r="E353" s="190">
        <f>IFERROR(__xludf.DUMMYFUNCTION("""COMPUTED_VALUE"""),43.04)</f>
        <v>43.04</v>
      </c>
      <c r="F353" s="190">
        <f>IFERROR(__xludf.DUMMYFUNCTION("""COMPUTED_VALUE"""),43.04)</f>
        <v>43.04</v>
      </c>
      <c r="G353" s="191">
        <f>IFERROR(__xludf.DUMMYFUNCTION("""COMPUTED_VALUE"""),3339807.0)</f>
        <v>3339807</v>
      </c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>
        <f>IFERROR(__xludf.DUMMYFUNCTION("""COMPUTED_VALUE"""),45566.5625)</f>
        <v>45566.5625</v>
      </c>
      <c r="C354" s="190">
        <f>IFERROR(__xludf.DUMMYFUNCTION("""COMPUTED_VALUE"""),43.05)</f>
        <v>43.05</v>
      </c>
      <c r="D354" s="190">
        <f>IFERROR(__xludf.DUMMYFUNCTION("""COMPUTED_VALUE"""),43.28)</f>
        <v>43.28</v>
      </c>
      <c r="E354" s="190">
        <f>IFERROR(__xludf.DUMMYFUNCTION("""COMPUTED_VALUE"""),43.03)</f>
        <v>43.03</v>
      </c>
      <c r="F354" s="190">
        <f>IFERROR(__xludf.DUMMYFUNCTION("""COMPUTED_VALUE"""),43.2)</f>
        <v>43.2</v>
      </c>
      <c r="G354" s="191">
        <f>IFERROR(__xludf.DUMMYFUNCTION("""COMPUTED_VALUE"""),1168665.0)</f>
        <v>1168665</v>
      </c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>
        <f>IFERROR(__xludf.DUMMYFUNCTION("""COMPUTED_VALUE"""),45569.5625)</f>
        <v>45569.5625</v>
      </c>
      <c r="C355" s="190">
        <f>IFERROR(__xludf.DUMMYFUNCTION("""COMPUTED_VALUE"""),43.2)</f>
        <v>43.2</v>
      </c>
      <c r="D355" s="190">
        <f>IFERROR(__xludf.DUMMYFUNCTION("""COMPUTED_VALUE"""),43.46)</f>
        <v>43.46</v>
      </c>
      <c r="E355" s="190">
        <f>IFERROR(__xludf.DUMMYFUNCTION("""COMPUTED_VALUE"""),42.98)</f>
        <v>42.98</v>
      </c>
      <c r="F355" s="190">
        <f>IFERROR(__xludf.DUMMYFUNCTION("""COMPUTED_VALUE"""),43.17)</f>
        <v>43.17</v>
      </c>
      <c r="G355" s="191">
        <f>IFERROR(__xludf.DUMMYFUNCTION("""COMPUTED_VALUE"""),1380548.0)</f>
        <v>1380548</v>
      </c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>
        <f>IFERROR(__xludf.DUMMYFUNCTION("""COMPUTED_VALUE"""),45572.5625)</f>
        <v>45572.5625</v>
      </c>
      <c r="C356" s="190">
        <f>IFERROR(__xludf.DUMMYFUNCTION("""COMPUTED_VALUE"""),43.52)</f>
        <v>43.52</v>
      </c>
      <c r="D356" s="190">
        <f>IFERROR(__xludf.DUMMYFUNCTION("""COMPUTED_VALUE"""),44.12)</f>
        <v>44.12</v>
      </c>
      <c r="E356" s="190">
        <f>IFERROR(__xludf.DUMMYFUNCTION("""COMPUTED_VALUE"""),43.5)</f>
        <v>43.5</v>
      </c>
      <c r="F356" s="190">
        <f>IFERROR(__xludf.DUMMYFUNCTION("""COMPUTED_VALUE"""),44.1)</f>
        <v>44.1</v>
      </c>
      <c r="G356" s="191">
        <f>IFERROR(__xludf.DUMMYFUNCTION("""COMPUTED_VALUE"""),3044594.0)</f>
        <v>3044594</v>
      </c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>
        <f>IFERROR(__xludf.DUMMYFUNCTION("""COMPUTED_VALUE"""),45573.5625)</f>
        <v>45573.5625</v>
      </c>
      <c r="C357" s="190">
        <f>IFERROR(__xludf.DUMMYFUNCTION("""COMPUTED_VALUE"""),43.98)</f>
        <v>43.98</v>
      </c>
      <c r="D357" s="190">
        <f>IFERROR(__xludf.DUMMYFUNCTION("""COMPUTED_VALUE"""),43.99)</f>
        <v>43.99</v>
      </c>
      <c r="E357" s="190">
        <f>IFERROR(__xludf.DUMMYFUNCTION("""COMPUTED_VALUE"""),43.58)</f>
        <v>43.58</v>
      </c>
      <c r="F357" s="190">
        <f>IFERROR(__xludf.DUMMYFUNCTION("""COMPUTED_VALUE"""),43.87)</f>
        <v>43.87</v>
      </c>
      <c r="G357" s="191">
        <f>IFERROR(__xludf.DUMMYFUNCTION("""COMPUTED_VALUE"""),2607301.0)</f>
        <v>2607301</v>
      </c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>
        <f>IFERROR(__xludf.DUMMYFUNCTION("""COMPUTED_VALUE"""),45574.5625)</f>
        <v>45574.5625</v>
      </c>
      <c r="C358" s="190">
        <f>IFERROR(__xludf.DUMMYFUNCTION("""COMPUTED_VALUE"""),44.2)</f>
        <v>44.2</v>
      </c>
      <c r="D358" s="190">
        <f>IFERROR(__xludf.DUMMYFUNCTION("""COMPUTED_VALUE"""),44.54)</f>
        <v>44.54</v>
      </c>
      <c r="E358" s="190">
        <f>IFERROR(__xludf.DUMMYFUNCTION("""COMPUTED_VALUE"""),44.2)</f>
        <v>44.2</v>
      </c>
      <c r="F358" s="190">
        <f>IFERROR(__xludf.DUMMYFUNCTION("""COMPUTED_VALUE"""),44.3)</f>
        <v>44.3</v>
      </c>
      <c r="G358" s="191">
        <f>IFERROR(__xludf.DUMMYFUNCTION("""COMPUTED_VALUE"""),2391864.0)</f>
        <v>2391864</v>
      </c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>
        <f>IFERROR(__xludf.DUMMYFUNCTION("""COMPUTED_VALUE"""),45576.5625)</f>
        <v>45576.5625</v>
      </c>
      <c r="C359" s="190">
        <f>IFERROR(__xludf.DUMMYFUNCTION("""COMPUTED_VALUE"""),44.43)</f>
        <v>44.43</v>
      </c>
      <c r="D359" s="190">
        <f>IFERROR(__xludf.DUMMYFUNCTION("""COMPUTED_VALUE"""),45.0)</f>
        <v>45</v>
      </c>
      <c r="E359" s="190">
        <f>IFERROR(__xludf.DUMMYFUNCTION("""COMPUTED_VALUE"""),44.43)</f>
        <v>44.43</v>
      </c>
      <c r="F359" s="190">
        <f>IFERROR(__xludf.DUMMYFUNCTION("""COMPUTED_VALUE"""),44.87)</f>
        <v>44.87</v>
      </c>
      <c r="G359" s="191">
        <f>IFERROR(__xludf.DUMMYFUNCTION("""COMPUTED_VALUE"""),2006737.0)</f>
        <v>2006737</v>
      </c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>
        <f>IFERROR(__xludf.DUMMYFUNCTION("""COMPUTED_VALUE"""),45579.5625)</f>
        <v>45579.5625</v>
      </c>
      <c r="C360" s="190">
        <f>IFERROR(__xludf.DUMMYFUNCTION("""COMPUTED_VALUE"""),44.94)</f>
        <v>44.94</v>
      </c>
      <c r="D360" s="190">
        <f>IFERROR(__xludf.DUMMYFUNCTION("""COMPUTED_VALUE"""),45.04)</f>
        <v>45.04</v>
      </c>
      <c r="E360" s="190">
        <f>IFERROR(__xludf.DUMMYFUNCTION("""COMPUTED_VALUE"""),44.64)</f>
        <v>44.64</v>
      </c>
      <c r="F360" s="190">
        <f>IFERROR(__xludf.DUMMYFUNCTION("""COMPUTED_VALUE"""),44.92)</f>
        <v>44.92</v>
      </c>
      <c r="G360" s="191">
        <f>IFERROR(__xludf.DUMMYFUNCTION("""COMPUTED_VALUE"""),2949512.0)</f>
        <v>2949512</v>
      </c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>
        <f>IFERROR(__xludf.DUMMYFUNCTION("""COMPUTED_VALUE"""),45580.5625)</f>
        <v>45580.5625</v>
      </c>
      <c r="C361" s="190">
        <f>IFERROR(__xludf.DUMMYFUNCTION("""COMPUTED_VALUE"""),45.15)</f>
        <v>45.15</v>
      </c>
      <c r="D361" s="190">
        <f>IFERROR(__xludf.DUMMYFUNCTION("""COMPUTED_VALUE"""),45.79)</f>
        <v>45.79</v>
      </c>
      <c r="E361" s="190">
        <f>IFERROR(__xludf.DUMMYFUNCTION("""COMPUTED_VALUE"""),45.15)</f>
        <v>45.15</v>
      </c>
      <c r="F361" s="190">
        <f>IFERROR(__xludf.DUMMYFUNCTION("""COMPUTED_VALUE"""),45.75)</f>
        <v>45.75</v>
      </c>
      <c r="G361" s="191">
        <f>IFERROR(__xludf.DUMMYFUNCTION("""COMPUTED_VALUE"""),2688698.0)</f>
        <v>2688698</v>
      </c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>
        <f>IFERROR(__xludf.DUMMYFUNCTION("""COMPUTED_VALUE"""),45581.5625)</f>
        <v>45581.5625</v>
      </c>
      <c r="C362" s="190">
        <f>IFERROR(__xludf.DUMMYFUNCTION("""COMPUTED_VALUE"""),45.07)</f>
        <v>45.07</v>
      </c>
      <c r="D362" s="190">
        <f>IFERROR(__xludf.DUMMYFUNCTION("""COMPUTED_VALUE"""),45.64)</f>
        <v>45.64</v>
      </c>
      <c r="E362" s="190">
        <f>IFERROR(__xludf.DUMMYFUNCTION("""COMPUTED_VALUE"""),44.8)</f>
        <v>44.8</v>
      </c>
      <c r="F362" s="190">
        <f>IFERROR(__xludf.DUMMYFUNCTION("""COMPUTED_VALUE"""),45.11)</f>
        <v>45.11</v>
      </c>
      <c r="G362" s="191">
        <f>IFERROR(__xludf.DUMMYFUNCTION("""COMPUTED_VALUE"""),3863014.0)</f>
        <v>3863014</v>
      </c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>
        <f>IFERROR(__xludf.DUMMYFUNCTION("""COMPUTED_VALUE"""),45582.5625)</f>
        <v>45582.5625</v>
      </c>
      <c r="C363" s="190">
        <f>IFERROR(__xludf.DUMMYFUNCTION("""COMPUTED_VALUE"""),45.18)</f>
        <v>45.18</v>
      </c>
      <c r="D363" s="190">
        <f>IFERROR(__xludf.DUMMYFUNCTION("""COMPUTED_VALUE"""),45.35)</f>
        <v>45.35</v>
      </c>
      <c r="E363" s="190">
        <f>IFERROR(__xludf.DUMMYFUNCTION("""COMPUTED_VALUE"""),44.92)</f>
        <v>44.92</v>
      </c>
      <c r="F363" s="190">
        <f>IFERROR(__xludf.DUMMYFUNCTION("""COMPUTED_VALUE"""),45.22)</f>
        <v>45.22</v>
      </c>
      <c r="G363" s="191">
        <f>IFERROR(__xludf.DUMMYFUNCTION("""COMPUTED_VALUE"""),1147236.0)</f>
        <v>1147236</v>
      </c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>
        <f>IFERROR(__xludf.DUMMYFUNCTION("""COMPUTED_VALUE"""),45583.5625)</f>
        <v>45583.5625</v>
      </c>
      <c r="C364" s="190">
        <f>IFERROR(__xludf.DUMMYFUNCTION("""COMPUTED_VALUE"""),46.91)</f>
        <v>46.91</v>
      </c>
      <c r="D364" s="190">
        <f>IFERROR(__xludf.DUMMYFUNCTION("""COMPUTED_VALUE"""),46.91)</f>
        <v>46.91</v>
      </c>
      <c r="E364" s="190">
        <f>IFERROR(__xludf.DUMMYFUNCTION("""COMPUTED_VALUE"""),46.09)</f>
        <v>46.09</v>
      </c>
      <c r="F364" s="190">
        <f>IFERROR(__xludf.DUMMYFUNCTION("""COMPUTED_VALUE"""),46.2)</f>
        <v>46.2</v>
      </c>
      <c r="G364" s="191">
        <f>IFERROR(__xludf.DUMMYFUNCTION("""COMPUTED_VALUE"""),4499418.0)</f>
        <v>4499418</v>
      </c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>
        <f>IFERROR(__xludf.DUMMYFUNCTION("""COMPUTED_VALUE"""),45586.5625)</f>
        <v>45586.5625</v>
      </c>
      <c r="C365" s="190">
        <f>IFERROR(__xludf.DUMMYFUNCTION("""COMPUTED_VALUE"""),46.41)</f>
        <v>46.41</v>
      </c>
      <c r="D365" s="190">
        <f>IFERROR(__xludf.DUMMYFUNCTION("""COMPUTED_VALUE"""),46.78)</f>
        <v>46.78</v>
      </c>
      <c r="E365" s="190">
        <f>IFERROR(__xludf.DUMMYFUNCTION("""COMPUTED_VALUE"""),46.2)</f>
        <v>46.2</v>
      </c>
      <c r="F365" s="190">
        <f>IFERROR(__xludf.DUMMYFUNCTION("""COMPUTED_VALUE"""),46.2)</f>
        <v>46.2</v>
      </c>
      <c r="G365" s="191">
        <f>IFERROR(__xludf.DUMMYFUNCTION("""COMPUTED_VALUE"""),2759551.0)</f>
        <v>2759551</v>
      </c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>
        <f>IFERROR(__xludf.DUMMYFUNCTION("""COMPUTED_VALUE"""),45587.5625)</f>
        <v>45587.5625</v>
      </c>
      <c r="C366" s="190">
        <f>IFERROR(__xludf.DUMMYFUNCTION("""COMPUTED_VALUE"""),46.1)</f>
        <v>46.1</v>
      </c>
      <c r="D366" s="190">
        <f>IFERROR(__xludf.DUMMYFUNCTION("""COMPUTED_VALUE"""),46.1)</f>
        <v>46.1</v>
      </c>
      <c r="E366" s="190">
        <f>IFERROR(__xludf.DUMMYFUNCTION("""COMPUTED_VALUE"""),45.67)</f>
        <v>45.67</v>
      </c>
      <c r="F366" s="190">
        <f>IFERROR(__xludf.DUMMYFUNCTION("""COMPUTED_VALUE"""),46.08)</f>
        <v>46.08</v>
      </c>
      <c r="G366" s="191">
        <f>IFERROR(__xludf.DUMMYFUNCTION("""COMPUTED_VALUE"""),2338937.0)</f>
        <v>2338937</v>
      </c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>
        <f>IFERROR(__xludf.DUMMYFUNCTION("""COMPUTED_VALUE"""),45588.5625)</f>
        <v>45588.5625</v>
      </c>
      <c r="C367" s="190">
        <f>IFERROR(__xludf.DUMMYFUNCTION("""COMPUTED_VALUE"""),46.08)</f>
        <v>46.08</v>
      </c>
      <c r="D367" s="190">
        <f>IFERROR(__xludf.DUMMYFUNCTION("""COMPUTED_VALUE"""),46.08)</f>
        <v>46.08</v>
      </c>
      <c r="E367" s="190">
        <f>IFERROR(__xludf.DUMMYFUNCTION("""COMPUTED_VALUE"""),45.75)</f>
        <v>45.75</v>
      </c>
      <c r="F367" s="190">
        <f>IFERROR(__xludf.DUMMYFUNCTION("""COMPUTED_VALUE"""),45.85)</f>
        <v>45.85</v>
      </c>
      <c r="G367" s="191">
        <f>IFERROR(__xludf.DUMMYFUNCTION("""COMPUTED_VALUE"""),1947025.0)</f>
        <v>1947025</v>
      </c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>
        <f>IFERROR(__xludf.DUMMYFUNCTION("""COMPUTED_VALUE"""),45589.5625)</f>
        <v>45589.5625</v>
      </c>
      <c r="C368" s="190">
        <f>IFERROR(__xludf.DUMMYFUNCTION("""COMPUTED_VALUE"""),45.81)</f>
        <v>45.81</v>
      </c>
      <c r="D368" s="190">
        <f>IFERROR(__xludf.DUMMYFUNCTION("""COMPUTED_VALUE"""),45.97)</f>
        <v>45.97</v>
      </c>
      <c r="E368" s="190">
        <f>IFERROR(__xludf.DUMMYFUNCTION("""COMPUTED_VALUE"""),45.52)</f>
        <v>45.52</v>
      </c>
      <c r="F368" s="190">
        <f>IFERROR(__xludf.DUMMYFUNCTION("""COMPUTED_VALUE"""),45.58)</f>
        <v>45.58</v>
      </c>
      <c r="G368" s="191">
        <f>IFERROR(__xludf.DUMMYFUNCTION("""COMPUTED_VALUE"""),2608937.0)</f>
        <v>2608937</v>
      </c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>
        <f>IFERROR(__xludf.DUMMYFUNCTION("""COMPUTED_VALUE"""),45590.5625)</f>
        <v>45590.5625</v>
      </c>
      <c r="C369" s="190">
        <f>IFERROR(__xludf.DUMMYFUNCTION("""COMPUTED_VALUE"""),45.58)</f>
        <v>45.58</v>
      </c>
      <c r="D369" s="190">
        <f>IFERROR(__xludf.DUMMYFUNCTION("""COMPUTED_VALUE"""),45.93)</f>
        <v>45.93</v>
      </c>
      <c r="E369" s="190">
        <f>IFERROR(__xludf.DUMMYFUNCTION("""COMPUTED_VALUE"""),45.58)</f>
        <v>45.58</v>
      </c>
      <c r="F369" s="190">
        <f>IFERROR(__xludf.DUMMYFUNCTION("""COMPUTED_VALUE"""),45.91)</f>
        <v>45.91</v>
      </c>
      <c r="G369" s="191">
        <f>IFERROR(__xludf.DUMMYFUNCTION("""COMPUTED_VALUE"""),1246862.0)</f>
        <v>1246862</v>
      </c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>
        <f>IFERROR(__xludf.DUMMYFUNCTION("""COMPUTED_VALUE"""),45593.5625)</f>
        <v>45593.5625</v>
      </c>
      <c r="C370" s="190">
        <f>IFERROR(__xludf.DUMMYFUNCTION("""COMPUTED_VALUE"""),46.09)</f>
        <v>46.09</v>
      </c>
      <c r="D370" s="190">
        <f>IFERROR(__xludf.DUMMYFUNCTION("""COMPUTED_VALUE"""),46.37)</f>
        <v>46.37</v>
      </c>
      <c r="E370" s="190">
        <f>IFERROR(__xludf.DUMMYFUNCTION("""COMPUTED_VALUE"""),45.62)</f>
        <v>45.62</v>
      </c>
      <c r="F370" s="190">
        <f>IFERROR(__xludf.DUMMYFUNCTION("""COMPUTED_VALUE"""),45.8)</f>
        <v>45.8</v>
      </c>
      <c r="G370" s="191">
        <f>IFERROR(__xludf.DUMMYFUNCTION("""COMPUTED_VALUE"""),3203464.0)</f>
        <v>3203464</v>
      </c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>
        <f>IFERROR(__xludf.DUMMYFUNCTION("""COMPUTED_VALUE"""),45594.5625)</f>
        <v>45594.5625</v>
      </c>
      <c r="C371" s="190">
        <f>IFERROR(__xludf.DUMMYFUNCTION("""COMPUTED_VALUE"""),45.3)</f>
        <v>45.3</v>
      </c>
      <c r="D371" s="190">
        <f>IFERROR(__xludf.DUMMYFUNCTION("""COMPUTED_VALUE"""),45.3)</f>
        <v>45.3</v>
      </c>
      <c r="E371" s="190">
        <f>IFERROR(__xludf.DUMMYFUNCTION("""COMPUTED_VALUE"""),44.59)</f>
        <v>44.59</v>
      </c>
      <c r="F371" s="190">
        <f>IFERROR(__xludf.DUMMYFUNCTION("""COMPUTED_VALUE"""),44.93)</f>
        <v>44.93</v>
      </c>
      <c r="G371" s="191">
        <f>IFERROR(__xludf.DUMMYFUNCTION("""COMPUTED_VALUE"""),4634254.0)</f>
        <v>4634254</v>
      </c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>
        <f>IFERROR(__xludf.DUMMYFUNCTION("""COMPUTED_VALUE"""),45595.5625)</f>
        <v>45595.5625</v>
      </c>
      <c r="C372" s="190">
        <f>IFERROR(__xludf.DUMMYFUNCTION("""COMPUTED_VALUE"""),45.06)</f>
        <v>45.06</v>
      </c>
      <c r="D372" s="190">
        <f>IFERROR(__xludf.DUMMYFUNCTION("""COMPUTED_VALUE"""),45.43)</f>
        <v>45.43</v>
      </c>
      <c r="E372" s="190">
        <f>IFERROR(__xludf.DUMMYFUNCTION("""COMPUTED_VALUE"""),44.85)</f>
        <v>44.85</v>
      </c>
      <c r="F372" s="190">
        <f>IFERROR(__xludf.DUMMYFUNCTION("""COMPUTED_VALUE"""),44.93)</f>
        <v>44.93</v>
      </c>
      <c r="G372" s="191">
        <f>IFERROR(__xludf.DUMMYFUNCTION("""COMPUTED_VALUE"""),1291820.0)</f>
        <v>1291820</v>
      </c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>
        <f>IFERROR(__xludf.DUMMYFUNCTION("""COMPUTED_VALUE"""),45597.5625)</f>
        <v>45597.5625</v>
      </c>
      <c r="C373" s="190">
        <f>IFERROR(__xludf.DUMMYFUNCTION("""COMPUTED_VALUE"""),43.86)</f>
        <v>43.86</v>
      </c>
      <c r="D373" s="190">
        <f>IFERROR(__xludf.DUMMYFUNCTION("""COMPUTED_VALUE"""),44.73)</f>
        <v>44.73</v>
      </c>
      <c r="E373" s="190">
        <f>IFERROR(__xludf.DUMMYFUNCTION("""COMPUTED_VALUE"""),43.58)</f>
        <v>43.58</v>
      </c>
      <c r="F373" s="190">
        <f>IFERROR(__xludf.DUMMYFUNCTION("""COMPUTED_VALUE"""),44.61)</f>
        <v>44.61</v>
      </c>
      <c r="G373" s="191">
        <f>IFERROR(__xludf.DUMMYFUNCTION("""COMPUTED_VALUE"""),5461608.0)</f>
        <v>5461608</v>
      </c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>
        <f>IFERROR(__xludf.DUMMYFUNCTION("""COMPUTED_VALUE"""),45600.5625)</f>
        <v>45600.5625</v>
      </c>
      <c r="C374" s="190">
        <f>IFERROR(__xludf.DUMMYFUNCTION("""COMPUTED_VALUE"""),44.76)</f>
        <v>44.76</v>
      </c>
      <c r="D374" s="190">
        <f>IFERROR(__xludf.DUMMYFUNCTION("""COMPUTED_VALUE"""),45.2)</f>
        <v>45.2</v>
      </c>
      <c r="E374" s="190">
        <f>IFERROR(__xludf.DUMMYFUNCTION("""COMPUTED_VALUE"""),44.65)</f>
        <v>44.65</v>
      </c>
      <c r="F374" s="190">
        <f>IFERROR(__xludf.DUMMYFUNCTION("""COMPUTED_VALUE"""),45.17)</f>
        <v>45.17</v>
      </c>
      <c r="G374" s="191">
        <f>IFERROR(__xludf.DUMMYFUNCTION("""COMPUTED_VALUE"""),2766734.0)</f>
        <v>2766734</v>
      </c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>
        <f>IFERROR(__xludf.DUMMYFUNCTION("""COMPUTED_VALUE"""),45601.5625)</f>
        <v>45601.5625</v>
      </c>
      <c r="C375" s="190">
        <f>IFERROR(__xludf.DUMMYFUNCTION("""COMPUTED_VALUE"""),44.85)</f>
        <v>44.85</v>
      </c>
      <c r="D375" s="190">
        <f>IFERROR(__xludf.DUMMYFUNCTION("""COMPUTED_VALUE"""),45.49)</f>
        <v>45.49</v>
      </c>
      <c r="E375" s="190">
        <f>IFERROR(__xludf.DUMMYFUNCTION("""COMPUTED_VALUE"""),44.8)</f>
        <v>44.8</v>
      </c>
      <c r="F375" s="190">
        <f>IFERROR(__xludf.DUMMYFUNCTION("""COMPUTED_VALUE"""),45.27)</f>
        <v>45.27</v>
      </c>
      <c r="G375" s="191">
        <f>IFERROR(__xludf.DUMMYFUNCTION("""COMPUTED_VALUE"""),2951121.0)</f>
        <v>2951121</v>
      </c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>
        <f>IFERROR(__xludf.DUMMYFUNCTION("""COMPUTED_VALUE"""),45602.5625)</f>
        <v>45602.5625</v>
      </c>
      <c r="C376" s="190">
        <f>IFERROR(__xludf.DUMMYFUNCTION("""COMPUTED_VALUE"""),45.29)</f>
        <v>45.29</v>
      </c>
      <c r="D376" s="190">
        <f>IFERROR(__xludf.DUMMYFUNCTION("""COMPUTED_VALUE"""),46.21)</f>
        <v>46.21</v>
      </c>
      <c r="E376" s="190">
        <f>IFERROR(__xludf.DUMMYFUNCTION("""COMPUTED_VALUE"""),45.24)</f>
        <v>45.24</v>
      </c>
      <c r="F376" s="190">
        <f>IFERROR(__xludf.DUMMYFUNCTION("""COMPUTED_VALUE"""),45.59)</f>
        <v>45.59</v>
      </c>
      <c r="G376" s="191">
        <f>IFERROR(__xludf.DUMMYFUNCTION("""COMPUTED_VALUE"""),3544378.0)</f>
        <v>3544378</v>
      </c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>
        <f>IFERROR(__xludf.DUMMYFUNCTION("""COMPUTED_VALUE"""),45603.5625)</f>
        <v>45603.5625</v>
      </c>
      <c r="C377" s="190">
        <f>IFERROR(__xludf.DUMMYFUNCTION("""COMPUTED_VALUE"""),45.54)</f>
        <v>45.54</v>
      </c>
      <c r="D377" s="190">
        <f>IFERROR(__xludf.DUMMYFUNCTION("""COMPUTED_VALUE"""),46.2)</f>
        <v>46.2</v>
      </c>
      <c r="E377" s="190">
        <f>IFERROR(__xludf.DUMMYFUNCTION("""COMPUTED_VALUE"""),45.51)</f>
        <v>45.51</v>
      </c>
      <c r="F377" s="190">
        <f>IFERROR(__xludf.DUMMYFUNCTION("""COMPUTED_VALUE"""),46.04)</f>
        <v>46.04</v>
      </c>
      <c r="G377" s="191">
        <f>IFERROR(__xludf.DUMMYFUNCTION("""COMPUTED_VALUE"""),2749707.0)</f>
        <v>2749707</v>
      </c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>
        <f>IFERROR(__xludf.DUMMYFUNCTION("""COMPUTED_VALUE"""),45604.5625)</f>
        <v>45604.5625</v>
      </c>
      <c r="C378" s="190">
        <f>IFERROR(__xludf.DUMMYFUNCTION("""COMPUTED_VALUE"""),46.39)</f>
        <v>46.39</v>
      </c>
      <c r="D378" s="190">
        <f>IFERROR(__xludf.DUMMYFUNCTION("""COMPUTED_VALUE"""),46.58)</f>
        <v>46.58</v>
      </c>
      <c r="E378" s="190">
        <f>IFERROR(__xludf.DUMMYFUNCTION("""COMPUTED_VALUE"""),46.33)</f>
        <v>46.33</v>
      </c>
      <c r="F378" s="190">
        <f>IFERROR(__xludf.DUMMYFUNCTION("""COMPUTED_VALUE"""),46.41)</f>
        <v>46.41</v>
      </c>
      <c r="G378" s="191">
        <f>IFERROR(__xludf.DUMMYFUNCTION("""COMPUTED_VALUE"""),2668341.0)</f>
        <v>2668341</v>
      </c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>
        <f>IFERROR(__xludf.DUMMYFUNCTION("""COMPUTED_VALUE"""),45607.5625)</f>
        <v>45607.5625</v>
      </c>
      <c r="C379" s="190">
        <f>IFERROR(__xludf.DUMMYFUNCTION("""COMPUTED_VALUE"""),46.41)</f>
        <v>46.41</v>
      </c>
      <c r="D379" s="190">
        <f>IFERROR(__xludf.DUMMYFUNCTION("""COMPUTED_VALUE"""),46.45)</f>
        <v>46.45</v>
      </c>
      <c r="E379" s="190">
        <f>IFERROR(__xludf.DUMMYFUNCTION("""COMPUTED_VALUE"""),45.92)</f>
        <v>45.92</v>
      </c>
      <c r="F379" s="190">
        <f>IFERROR(__xludf.DUMMYFUNCTION("""COMPUTED_VALUE"""),46.45)</f>
        <v>46.45</v>
      </c>
      <c r="G379" s="191">
        <f>IFERROR(__xludf.DUMMYFUNCTION("""COMPUTED_VALUE"""),2899392.0)</f>
        <v>2899392</v>
      </c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>
        <f>IFERROR(__xludf.DUMMYFUNCTION("""COMPUTED_VALUE"""),45608.5625)</f>
        <v>45608.5625</v>
      </c>
      <c r="C380" s="190">
        <f>IFERROR(__xludf.DUMMYFUNCTION("""COMPUTED_VALUE"""),45.8)</f>
        <v>45.8</v>
      </c>
      <c r="D380" s="190">
        <f>IFERROR(__xludf.DUMMYFUNCTION("""COMPUTED_VALUE"""),45.8)</f>
        <v>45.8</v>
      </c>
      <c r="E380" s="190">
        <f>IFERROR(__xludf.DUMMYFUNCTION("""COMPUTED_VALUE"""),45.34)</f>
        <v>45.34</v>
      </c>
      <c r="F380" s="190">
        <f>IFERROR(__xludf.DUMMYFUNCTION("""COMPUTED_VALUE"""),45.4)</f>
        <v>45.4</v>
      </c>
      <c r="G380" s="191">
        <f>IFERROR(__xludf.DUMMYFUNCTION("""COMPUTED_VALUE"""),4542055.0)</f>
        <v>4542055</v>
      </c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>
        <f>IFERROR(__xludf.DUMMYFUNCTION("""COMPUTED_VALUE"""),45609.5625)</f>
        <v>45609.5625</v>
      </c>
      <c r="C381" s="190">
        <f>IFERROR(__xludf.DUMMYFUNCTION("""COMPUTED_VALUE"""),45.23)</f>
        <v>45.23</v>
      </c>
      <c r="D381" s="190">
        <f>IFERROR(__xludf.DUMMYFUNCTION("""COMPUTED_VALUE"""),45.35)</f>
        <v>45.35</v>
      </c>
      <c r="E381" s="190">
        <f>IFERROR(__xludf.DUMMYFUNCTION("""COMPUTED_VALUE"""),45.01)</f>
        <v>45.01</v>
      </c>
      <c r="F381" s="190">
        <f>IFERROR(__xludf.DUMMYFUNCTION("""COMPUTED_VALUE"""),45.18)</f>
        <v>45.18</v>
      </c>
      <c r="G381" s="191">
        <f>IFERROR(__xludf.DUMMYFUNCTION("""COMPUTED_VALUE"""),3710790.0)</f>
        <v>3710790</v>
      </c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>
        <f>IFERROR(__xludf.DUMMYFUNCTION("""COMPUTED_VALUE"""),45610.5625)</f>
        <v>45610.5625</v>
      </c>
      <c r="C382" s="190">
        <f>IFERROR(__xludf.DUMMYFUNCTION("""COMPUTED_VALUE"""),44.97)</f>
        <v>44.97</v>
      </c>
      <c r="D382" s="190">
        <f>IFERROR(__xludf.DUMMYFUNCTION("""COMPUTED_VALUE"""),45.0)</f>
        <v>45</v>
      </c>
      <c r="E382" s="190">
        <f>IFERROR(__xludf.DUMMYFUNCTION("""COMPUTED_VALUE"""),44.53)</f>
        <v>44.53</v>
      </c>
      <c r="F382" s="190">
        <f>IFERROR(__xludf.DUMMYFUNCTION("""COMPUTED_VALUE"""),44.82)</f>
        <v>44.82</v>
      </c>
      <c r="G382" s="191">
        <f>IFERROR(__xludf.DUMMYFUNCTION("""COMPUTED_VALUE"""),4499003.0)</f>
        <v>4499003</v>
      </c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>
        <f>IFERROR(__xludf.DUMMYFUNCTION("""COMPUTED_VALUE"""),45611.5625)</f>
        <v>45611.5625</v>
      </c>
      <c r="C383" s="190">
        <f>IFERROR(__xludf.DUMMYFUNCTION("""COMPUTED_VALUE"""),44.82)</f>
        <v>44.82</v>
      </c>
      <c r="D383" s="190">
        <f>IFERROR(__xludf.DUMMYFUNCTION("""COMPUTED_VALUE"""),45.15)</f>
        <v>45.15</v>
      </c>
      <c r="E383" s="190">
        <f>IFERROR(__xludf.DUMMYFUNCTION("""COMPUTED_VALUE"""),44.74)</f>
        <v>44.74</v>
      </c>
      <c r="F383" s="190">
        <f>IFERROR(__xludf.DUMMYFUNCTION("""COMPUTED_VALUE"""),45.0)</f>
        <v>45</v>
      </c>
      <c r="G383" s="191">
        <f>IFERROR(__xludf.DUMMYFUNCTION("""COMPUTED_VALUE"""),2619554.0)</f>
        <v>2619554</v>
      </c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>
        <f>IFERROR(__xludf.DUMMYFUNCTION("""COMPUTED_VALUE"""),45614.5625)</f>
        <v>45614.5625</v>
      </c>
      <c r="C384" s="190">
        <f>IFERROR(__xludf.DUMMYFUNCTION("""COMPUTED_VALUE"""),44.52)</f>
        <v>44.52</v>
      </c>
      <c r="D384" s="190">
        <f>IFERROR(__xludf.DUMMYFUNCTION("""COMPUTED_VALUE"""),44.52)</f>
        <v>44.52</v>
      </c>
      <c r="E384" s="190">
        <f>IFERROR(__xludf.DUMMYFUNCTION("""COMPUTED_VALUE"""),43.84)</f>
        <v>43.84</v>
      </c>
      <c r="F384" s="190">
        <f>IFERROR(__xludf.DUMMYFUNCTION("""COMPUTED_VALUE"""),43.86)</f>
        <v>43.86</v>
      </c>
      <c r="G384" s="191">
        <f>IFERROR(__xludf.DUMMYFUNCTION("""COMPUTED_VALUE"""),3958210.0)</f>
        <v>3958210</v>
      </c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>
        <f>IFERROR(__xludf.DUMMYFUNCTION("""COMPUTED_VALUE"""),45615.5625)</f>
        <v>45615.5625</v>
      </c>
      <c r="C385" s="190">
        <f>IFERROR(__xludf.DUMMYFUNCTION("""COMPUTED_VALUE"""),43.93)</f>
        <v>43.93</v>
      </c>
      <c r="D385" s="190">
        <f>IFERROR(__xludf.DUMMYFUNCTION("""COMPUTED_VALUE"""),44.54)</f>
        <v>44.54</v>
      </c>
      <c r="E385" s="190">
        <f>IFERROR(__xludf.DUMMYFUNCTION("""COMPUTED_VALUE"""),43.9)</f>
        <v>43.9</v>
      </c>
      <c r="F385" s="190">
        <f>IFERROR(__xludf.DUMMYFUNCTION("""COMPUTED_VALUE"""),44.34)</f>
        <v>44.34</v>
      </c>
      <c r="G385" s="191">
        <f>IFERROR(__xludf.DUMMYFUNCTION("""COMPUTED_VALUE"""),1447710.0)</f>
        <v>1447710</v>
      </c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>
        <f>IFERROR(__xludf.DUMMYFUNCTION("""COMPUTED_VALUE"""),45616.5625)</f>
        <v>45616.5625</v>
      </c>
      <c r="C386" s="190">
        <f>IFERROR(__xludf.DUMMYFUNCTION("""COMPUTED_VALUE"""),44.5)</f>
        <v>44.5</v>
      </c>
      <c r="D386" s="190">
        <f>IFERROR(__xludf.DUMMYFUNCTION("""COMPUTED_VALUE"""),44.61)</f>
        <v>44.61</v>
      </c>
      <c r="E386" s="190">
        <f>IFERROR(__xludf.DUMMYFUNCTION("""COMPUTED_VALUE"""),43.97)</f>
        <v>43.97</v>
      </c>
      <c r="F386" s="190">
        <f>IFERROR(__xludf.DUMMYFUNCTION("""COMPUTED_VALUE"""),44.1)</f>
        <v>44.1</v>
      </c>
      <c r="G386" s="191">
        <f>IFERROR(__xludf.DUMMYFUNCTION("""COMPUTED_VALUE"""),3401238.0)</f>
        <v>3401238</v>
      </c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>
        <f>IFERROR(__xludf.DUMMYFUNCTION("""COMPUTED_VALUE"""),45617.5625)</f>
        <v>45617.5625</v>
      </c>
      <c r="C387" s="190">
        <f>IFERROR(__xludf.DUMMYFUNCTION("""COMPUTED_VALUE"""),43.98)</f>
        <v>43.98</v>
      </c>
      <c r="D387" s="190">
        <f>IFERROR(__xludf.DUMMYFUNCTION("""COMPUTED_VALUE"""),43.98)</f>
        <v>43.98</v>
      </c>
      <c r="E387" s="190">
        <f>IFERROR(__xludf.DUMMYFUNCTION("""COMPUTED_VALUE"""),43.53)</f>
        <v>43.53</v>
      </c>
      <c r="F387" s="190">
        <f>IFERROR(__xludf.DUMMYFUNCTION("""COMPUTED_VALUE"""),43.74)</f>
        <v>43.74</v>
      </c>
      <c r="G387" s="191">
        <f>IFERROR(__xludf.DUMMYFUNCTION("""COMPUTED_VALUE"""),3463731.0)</f>
        <v>3463731</v>
      </c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>
        <f>IFERROR(__xludf.DUMMYFUNCTION("""COMPUTED_VALUE"""),45618.5625)</f>
        <v>45618.5625</v>
      </c>
      <c r="C388" s="190">
        <f>IFERROR(__xludf.DUMMYFUNCTION("""COMPUTED_VALUE"""),44.1)</f>
        <v>44.1</v>
      </c>
      <c r="D388" s="190">
        <f>IFERROR(__xludf.DUMMYFUNCTION("""COMPUTED_VALUE"""),44.6)</f>
        <v>44.6</v>
      </c>
      <c r="E388" s="190">
        <f>IFERROR(__xludf.DUMMYFUNCTION("""COMPUTED_VALUE"""),44.1)</f>
        <v>44.1</v>
      </c>
      <c r="F388" s="190">
        <f>IFERROR(__xludf.DUMMYFUNCTION("""COMPUTED_VALUE"""),44.51)</f>
        <v>44.51</v>
      </c>
      <c r="G388" s="191">
        <f>IFERROR(__xludf.DUMMYFUNCTION("""COMPUTED_VALUE"""),1962742.0)</f>
        <v>1962742</v>
      </c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>
        <f>IFERROR(__xludf.DUMMYFUNCTION("""COMPUTED_VALUE"""),45621.5625)</f>
        <v>45621.5625</v>
      </c>
      <c r="C389" s="190">
        <f>IFERROR(__xludf.DUMMYFUNCTION("""COMPUTED_VALUE"""),44.9)</f>
        <v>44.9</v>
      </c>
      <c r="D389" s="190">
        <f>IFERROR(__xludf.DUMMYFUNCTION("""COMPUTED_VALUE"""),44.95)</f>
        <v>44.95</v>
      </c>
      <c r="E389" s="190">
        <f>IFERROR(__xludf.DUMMYFUNCTION("""COMPUTED_VALUE"""),44.36)</f>
        <v>44.36</v>
      </c>
      <c r="F389" s="190">
        <f>IFERROR(__xludf.DUMMYFUNCTION("""COMPUTED_VALUE"""),44.37)</f>
        <v>44.37</v>
      </c>
      <c r="G389" s="191">
        <f>IFERROR(__xludf.DUMMYFUNCTION("""COMPUTED_VALUE"""),2290162.0)</f>
        <v>2290162</v>
      </c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>
        <f>IFERROR(__xludf.DUMMYFUNCTION("""COMPUTED_VALUE"""),45622.5625)</f>
        <v>45622.5625</v>
      </c>
      <c r="C390" s="190">
        <f>IFERROR(__xludf.DUMMYFUNCTION("""COMPUTED_VALUE"""),44.0)</f>
        <v>44</v>
      </c>
      <c r="D390" s="190">
        <f>IFERROR(__xludf.DUMMYFUNCTION("""COMPUTED_VALUE"""),44.1)</f>
        <v>44.1</v>
      </c>
      <c r="E390" s="190">
        <f>IFERROR(__xludf.DUMMYFUNCTION("""COMPUTED_VALUE"""),43.65)</f>
        <v>43.65</v>
      </c>
      <c r="F390" s="190">
        <f>IFERROR(__xludf.DUMMYFUNCTION("""COMPUTED_VALUE"""),44.09)</f>
        <v>44.09</v>
      </c>
      <c r="G390" s="191">
        <f>IFERROR(__xludf.DUMMYFUNCTION("""COMPUTED_VALUE"""),4005520.0)</f>
        <v>4005520</v>
      </c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>
        <f>IFERROR(__xludf.DUMMYFUNCTION("""COMPUTED_VALUE"""),45623.5625)</f>
        <v>45623.5625</v>
      </c>
      <c r="C391" s="190">
        <f>IFERROR(__xludf.DUMMYFUNCTION("""COMPUTED_VALUE"""),43.75)</f>
        <v>43.75</v>
      </c>
      <c r="D391" s="190">
        <f>IFERROR(__xludf.DUMMYFUNCTION("""COMPUTED_VALUE"""),43.85)</f>
        <v>43.85</v>
      </c>
      <c r="E391" s="190">
        <f>IFERROR(__xludf.DUMMYFUNCTION("""COMPUTED_VALUE"""),43.23)</f>
        <v>43.23</v>
      </c>
      <c r="F391" s="190">
        <f>IFERROR(__xludf.DUMMYFUNCTION("""COMPUTED_VALUE"""),43.25)</f>
        <v>43.25</v>
      </c>
      <c r="G391" s="191">
        <f>IFERROR(__xludf.DUMMYFUNCTION("""COMPUTED_VALUE"""),3507990.0)</f>
        <v>3507990</v>
      </c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>
        <f>IFERROR(__xludf.DUMMYFUNCTION("""COMPUTED_VALUE"""),45624.5625)</f>
        <v>45624.5625</v>
      </c>
      <c r="C392" s="190">
        <f>IFERROR(__xludf.DUMMYFUNCTION("""COMPUTED_VALUE"""),43.25)</f>
        <v>43.25</v>
      </c>
      <c r="D392" s="190">
        <f>IFERROR(__xludf.DUMMYFUNCTION("""COMPUTED_VALUE"""),43.26)</f>
        <v>43.26</v>
      </c>
      <c r="E392" s="190">
        <f>IFERROR(__xludf.DUMMYFUNCTION("""COMPUTED_VALUE"""),42.88)</f>
        <v>42.88</v>
      </c>
      <c r="F392" s="190">
        <f>IFERROR(__xludf.DUMMYFUNCTION("""COMPUTED_VALUE"""),43.14)</f>
        <v>43.14</v>
      </c>
      <c r="G392" s="191">
        <f>IFERROR(__xludf.DUMMYFUNCTION("""COMPUTED_VALUE"""),3363308.0)</f>
        <v>3363308</v>
      </c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>
        <f>IFERROR(__xludf.DUMMYFUNCTION("""COMPUTED_VALUE"""),45625.5625)</f>
        <v>45625.5625</v>
      </c>
      <c r="C393" s="190">
        <f>IFERROR(__xludf.DUMMYFUNCTION("""COMPUTED_VALUE"""),43.0)</f>
        <v>43</v>
      </c>
      <c r="D393" s="190">
        <f>IFERROR(__xludf.DUMMYFUNCTION("""COMPUTED_VALUE"""),43.31)</f>
        <v>43.31</v>
      </c>
      <c r="E393" s="190">
        <f>IFERROR(__xludf.DUMMYFUNCTION("""COMPUTED_VALUE"""),42.59)</f>
        <v>42.59</v>
      </c>
      <c r="F393" s="190">
        <f>IFERROR(__xludf.DUMMYFUNCTION("""COMPUTED_VALUE"""),43.24)</f>
        <v>43.24</v>
      </c>
      <c r="G393" s="191">
        <f>IFERROR(__xludf.DUMMYFUNCTION("""COMPUTED_VALUE"""),1376386.0)</f>
        <v>1376386</v>
      </c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>
        <f>IFERROR(__xludf.DUMMYFUNCTION("""COMPUTED_VALUE"""),45628.5625)</f>
        <v>45628.5625</v>
      </c>
      <c r="C394" s="190">
        <f>IFERROR(__xludf.DUMMYFUNCTION("""COMPUTED_VALUE"""),43.51)</f>
        <v>43.51</v>
      </c>
      <c r="D394" s="190">
        <f>IFERROR(__xludf.DUMMYFUNCTION("""COMPUTED_VALUE"""),44.1)</f>
        <v>44.1</v>
      </c>
      <c r="E394" s="190">
        <f>IFERROR(__xludf.DUMMYFUNCTION("""COMPUTED_VALUE"""),43.51)</f>
        <v>43.51</v>
      </c>
      <c r="F394" s="190">
        <f>IFERROR(__xludf.DUMMYFUNCTION("""COMPUTED_VALUE"""),44.1)</f>
        <v>44.1</v>
      </c>
      <c r="G394" s="191">
        <f>IFERROR(__xludf.DUMMYFUNCTION("""COMPUTED_VALUE"""),1395776.0)</f>
        <v>1395776</v>
      </c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>
        <f>IFERROR(__xludf.DUMMYFUNCTION("""COMPUTED_VALUE"""),45629.5625)</f>
        <v>45629.5625</v>
      </c>
      <c r="C395" s="190">
        <f>IFERROR(__xludf.DUMMYFUNCTION("""COMPUTED_VALUE"""),44.7)</f>
        <v>44.7</v>
      </c>
      <c r="D395" s="190">
        <f>IFERROR(__xludf.DUMMYFUNCTION("""COMPUTED_VALUE"""),44.82)</f>
        <v>44.82</v>
      </c>
      <c r="E395" s="190">
        <f>IFERROR(__xludf.DUMMYFUNCTION("""COMPUTED_VALUE"""),44.52)</f>
        <v>44.52</v>
      </c>
      <c r="F395" s="190">
        <f>IFERROR(__xludf.DUMMYFUNCTION("""COMPUTED_VALUE"""),44.52)</f>
        <v>44.52</v>
      </c>
      <c r="G395" s="191">
        <f>IFERROR(__xludf.DUMMYFUNCTION("""COMPUTED_VALUE"""),1842781.0)</f>
        <v>1842781</v>
      </c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>
        <f>IFERROR(__xludf.DUMMYFUNCTION("""COMPUTED_VALUE"""),45630.5625)</f>
        <v>45630.5625</v>
      </c>
      <c r="C396" s="190">
        <f>IFERROR(__xludf.DUMMYFUNCTION("""COMPUTED_VALUE"""),44.72)</f>
        <v>44.72</v>
      </c>
      <c r="D396" s="190">
        <f>IFERROR(__xludf.DUMMYFUNCTION("""COMPUTED_VALUE"""),44.86)</f>
        <v>44.86</v>
      </c>
      <c r="E396" s="190">
        <f>IFERROR(__xludf.DUMMYFUNCTION("""COMPUTED_VALUE"""),44.57)</f>
        <v>44.57</v>
      </c>
      <c r="F396" s="190">
        <f>IFERROR(__xludf.DUMMYFUNCTION("""COMPUTED_VALUE"""),44.83)</f>
        <v>44.83</v>
      </c>
      <c r="G396" s="191">
        <f>IFERROR(__xludf.DUMMYFUNCTION("""COMPUTED_VALUE"""),1681768.0)</f>
        <v>1681768</v>
      </c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>
        <f>IFERROR(__xludf.DUMMYFUNCTION("""COMPUTED_VALUE"""),45631.5625)</f>
        <v>45631.5625</v>
      </c>
      <c r="C397" s="190">
        <f>IFERROR(__xludf.DUMMYFUNCTION("""COMPUTED_VALUE"""),44.99)</f>
        <v>44.99</v>
      </c>
      <c r="D397" s="190">
        <f>IFERROR(__xludf.DUMMYFUNCTION("""COMPUTED_VALUE"""),45.14)</f>
        <v>45.14</v>
      </c>
      <c r="E397" s="190">
        <f>IFERROR(__xludf.DUMMYFUNCTION("""COMPUTED_VALUE"""),44.9)</f>
        <v>44.9</v>
      </c>
      <c r="F397" s="190">
        <f>IFERROR(__xludf.DUMMYFUNCTION("""COMPUTED_VALUE"""),44.97)</f>
        <v>44.97</v>
      </c>
      <c r="G397" s="191">
        <f>IFERROR(__xludf.DUMMYFUNCTION("""COMPUTED_VALUE"""),2383124.0)</f>
        <v>2383124</v>
      </c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>
        <f>IFERROR(__xludf.DUMMYFUNCTION("""COMPUTED_VALUE"""),45632.5625)</f>
        <v>45632.5625</v>
      </c>
      <c r="C398" s="190">
        <f>IFERROR(__xludf.DUMMYFUNCTION("""COMPUTED_VALUE"""),45.0)</f>
        <v>45</v>
      </c>
      <c r="D398" s="190">
        <f>IFERROR(__xludf.DUMMYFUNCTION("""COMPUTED_VALUE"""),45.11)</f>
        <v>45.11</v>
      </c>
      <c r="E398" s="190">
        <f>IFERROR(__xludf.DUMMYFUNCTION("""COMPUTED_VALUE"""),44.8)</f>
        <v>44.8</v>
      </c>
      <c r="F398" s="190">
        <f>IFERROR(__xludf.DUMMYFUNCTION("""COMPUTED_VALUE"""),44.94)</f>
        <v>44.94</v>
      </c>
      <c r="G398" s="191">
        <f>IFERROR(__xludf.DUMMYFUNCTION("""COMPUTED_VALUE"""),2117495.0)</f>
        <v>2117495</v>
      </c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>
        <f>IFERROR(__xludf.DUMMYFUNCTION("""COMPUTED_VALUE"""),45635.5625)</f>
        <v>45635.5625</v>
      </c>
      <c r="C399" s="190">
        <f>IFERROR(__xludf.DUMMYFUNCTION("""COMPUTED_VALUE"""),44.94)</f>
        <v>44.94</v>
      </c>
      <c r="D399" s="190">
        <f>IFERROR(__xludf.DUMMYFUNCTION("""COMPUTED_VALUE"""),45.05)</f>
        <v>45.05</v>
      </c>
      <c r="E399" s="190">
        <f>IFERROR(__xludf.DUMMYFUNCTION("""COMPUTED_VALUE"""),44.91)</f>
        <v>44.91</v>
      </c>
      <c r="F399" s="190">
        <f>IFERROR(__xludf.DUMMYFUNCTION("""COMPUTED_VALUE"""),44.98)</f>
        <v>44.98</v>
      </c>
      <c r="G399" s="191">
        <f>IFERROR(__xludf.DUMMYFUNCTION("""COMPUTED_VALUE"""),1841247.0)</f>
        <v>1841247</v>
      </c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>
        <f>IFERROR(__xludf.DUMMYFUNCTION("""COMPUTED_VALUE"""),45636.5625)</f>
        <v>45636.5625</v>
      </c>
      <c r="C400" s="190">
        <f>IFERROR(__xludf.DUMMYFUNCTION("""COMPUTED_VALUE"""),44.98)</f>
        <v>44.98</v>
      </c>
      <c r="D400" s="190">
        <f>IFERROR(__xludf.DUMMYFUNCTION("""COMPUTED_VALUE"""),45.14)</f>
        <v>45.14</v>
      </c>
      <c r="E400" s="190">
        <f>IFERROR(__xludf.DUMMYFUNCTION("""COMPUTED_VALUE"""),44.69)</f>
        <v>44.69</v>
      </c>
      <c r="F400" s="190">
        <f>IFERROR(__xludf.DUMMYFUNCTION("""COMPUTED_VALUE"""),44.75)</f>
        <v>44.75</v>
      </c>
      <c r="G400" s="191">
        <f>IFERROR(__xludf.DUMMYFUNCTION("""COMPUTED_VALUE"""),1154403.0)</f>
        <v>1154403</v>
      </c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>
        <f>IFERROR(__xludf.DUMMYFUNCTION("""COMPUTED_VALUE"""),45637.5625)</f>
        <v>45637.5625</v>
      </c>
      <c r="C401" s="190">
        <f>IFERROR(__xludf.DUMMYFUNCTION("""COMPUTED_VALUE"""),44.5)</f>
        <v>44.5</v>
      </c>
      <c r="D401" s="190">
        <f>IFERROR(__xludf.DUMMYFUNCTION("""COMPUTED_VALUE"""),44.64)</f>
        <v>44.64</v>
      </c>
      <c r="E401" s="190">
        <f>IFERROR(__xludf.DUMMYFUNCTION("""COMPUTED_VALUE"""),44.31)</f>
        <v>44.31</v>
      </c>
      <c r="F401" s="190">
        <f>IFERROR(__xludf.DUMMYFUNCTION("""COMPUTED_VALUE"""),44.33)</f>
        <v>44.33</v>
      </c>
      <c r="G401" s="191">
        <f>IFERROR(__xludf.DUMMYFUNCTION("""COMPUTED_VALUE"""),2008055.0)</f>
        <v>2008055</v>
      </c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>
        <f>IFERROR(__xludf.DUMMYFUNCTION("""COMPUTED_VALUE"""),45638.5625)</f>
        <v>45638.5625</v>
      </c>
      <c r="C402" s="190">
        <f>IFERROR(__xludf.DUMMYFUNCTION("""COMPUTED_VALUE"""),44.7)</f>
        <v>44.7</v>
      </c>
      <c r="D402" s="190">
        <f>IFERROR(__xludf.DUMMYFUNCTION("""COMPUTED_VALUE"""),44.9)</f>
        <v>44.9</v>
      </c>
      <c r="E402" s="190">
        <f>IFERROR(__xludf.DUMMYFUNCTION("""COMPUTED_VALUE"""),44.5)</f>
        <v>44.5</v>
      </c>
      <c r="F402" s="190">
        <f>IFERROR(__xludf.DUMMYFUNCTION("""COMPUTED_VALUE"""),44.8)</f>
        <v>44.8</v>
      </c>
      <c r="G402" s="191">
        <f>IFERROR(__xludf.DUMMYFUNCTION("""COMPUTED_VALUE"""),1093981.0)</f>
        <v>1093981</v>
      </c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>
        <f>IFERROR(__xludf.DUMMYFUNCTION("""COMPUTED_VALUE"""),45639.5625)</f>
        <v>45639.5625</v>
      </c>
      <c r="C403" s="190">
        <f>IFERROR(__xludf.DUMMYFUNCTION("""COMPUTED_VALUE"""),44.8)</f>
        <v>44.8</v>
      </c>
      <c r="D403" s="190">
        <f>IFERROR(__xludf.DUMMYFUNCTION("""COMPUTED_VALUE"""),44.92)</f>
        <v>44.92</v>
      </c>
      <c r="E403" s="190">
        <f>IFERROR(__xludf.DUMMYFUNCTION("""COMPUTED_VALUE"""),44.57)</f>
        <v>44.57</v>
      </c>
      <c r="F403" s="190">
        <f>IFERROR(__xludf.DUMMYFUNCTION("""COMPUTED_VALUE"""),44.81)</f>
        <v>44.81</v>
      </c>
      <c r="G403" s="191">
        <f>IFERROR(__xludf.DUMMYFUNCTION("""COMPUTED_VALUE"""),1837000.0)</f>
        <v>1837000</v>
      </c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>
        <f>IFERROR(__xludf.DUMMYFUNCTION("""COMPUTED_VALUE"""),45642.5625)</f>
        <v>45642.5625</v>
      </c>
      <c r="C404" s="190">
        <f>IFERROR(__xludf.DUMMYFUNCTION("""COMPUTED_VALUE"""),45.12)</f>
        <v>45.12</v>
      </c>
      <c r="D404" s="190">
        <f>IFERROR(__xludf.DUMMYFUNCTION("""COMPUTED_VALUE"""),45.37)</f>
        <v>45.37</v>
      </c>
      <c r="E404" s="190">
        <f>IFERROR(__xludf.DUMMYFUNCTION("""COMPUTED_VALUE"""),44.92)</f>
        <v>44.92</v>
      </c>
      <c r="F404" s="190">
        <f>IFERROR(__xludf.DUMMYFUNCTION("""COMPUTED_VALUE"""),44.97)</f>
        <v>44.97</v>
      </c>
      <c r="G404" s="191">
        <f>IFERROR(__xludf.DUMMYFUNCTION("""COMPUTED_VALUE"""),2462661.0)</f>
        <v>2462661</v>
      </c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>
        <f>IFERROR(__xludf.DUMMYFUNCTION("""COMPUTED_VALUE"""),45643.5625)</f>
        <v>45643.5625</v>
      </c>
      <c r="C405" s="190">
        <f>IFERROR(__xludf.DUMMYFUNCTION("""COMPUTED_VALUE"""),45.12)</f>
        <v>45.12</v>
      </c>
      <c r="D405" s="190">
        <f>IFERROR(__xludf.DUMMYFUNCTION("""COMPUTED_VALUE"""),45.37)</f>
        <v>45.37</v>
      </c>
      <c r="E405" s="190">
        <f>IFERROR(__xludf.DUMMYFUNCTION("""COMPUTED_VALUE"""),45.03)</f>
        <v>45.03</v>
      </c>
      <c r="F405" s="190">
        <f>IFERROR(__xludf.DUMMYFUNCTION("""COMPUTED_VALUE"""),45.03)</f>
        <v>45.03</v>
      </c>
      <c r="G405" s="191">
        <f>IFERROR(__xludf.DUMMYFUNCTION("""COMPUTED_VALUE"""),1056925.0)</f>
        <v>1056925</v>
      </c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>
        <f>IFERROR(__xludf.DUMMYFUNCTION("""COMPUTED_VALUE"""),45644.5625)</f>
        <v>45644.5625</v>
      </c>
      <c r="C406" s="190">
        <f>IFERROR(__xludf.DUMMYFUNCTION("""COMPUTED_VALUE"""),45.03)</f>
        <v>45.03</v>
      </c>
      <c r="D406" s="190">
        <f>IFERROR(__xludf.DUMMYFUNCTION("""COMPUTED_VALUE"""),45.26)</f>
        <v>45.26</v>
      </c>
      <c r="E406" s="190">
        <f>IFERROR(__xludf.DUMMYFUNCTION("""COMPUTED_VALUE"""),44.83)</f>
        <v>44.83</v>
      </c>
      <c r="F406" s="190">
        <f>IFERROR(__xludf.DUMMYFUNCTION("""COMPUTED_VALUE"""),45.06)</f>
        <v>45.06</v>
      </c>
      <c r="G406" s="191">
        <f>IFERROR(__xludf.DUMMYFUNCTION("""COMPUTED_VALUE"""),1563942.0)</f>
        <v>1563942</v>
      </c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>
        <f>IFERROR(__xludf.DUMMYFUNCTION("""COMPUTED_VALUE"""),45645.5625)</f>
        <v>45645.5625</v>
      </c>
      <c r="C407" s="190">
        <f>IFERROR(__xludf.DUMMYFUNCTION("""COMPUTED_VALUE"""),44.5)</f>
        <v>44.5</v>
      </c>
      <c r="D407" s="190">
        <f>IFERROR(__xludf.DUMMYFUNCTION("""COMPUTED_VALUE"""),44.62)</f>
        <v>44.62</v>
      </c>
      <c r="E407" s="190">
        <f>IFERROR(__xludf.DUMMYFUNCTION("""COMPUTED_VALUE"""),44.33)</f>
        <v>44.33</v>
      </c>
      <c r="F407" s="190">
        <f>IFERROR(__xludf.DUMMYFUNCTION("""COMPUTED_VALUE"""),44.62)</f>
        <v>44.62</v>
      </c>
      <c r="G407" s="191">
        <f>IFERROR(__xludf.DUMMYFUNCTION("""COMPUTED_VALUE"""),3121433.0)</f>
        <v>3121433</v>
      </c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>
        <f>IFERROR(__xludf.DUMMYFUNCTION("""COMPUTED_VALUE"""),45646.5625)</f>
        <v>45646.5625</v>
      </c>
      <c r="C408" s="190">
        <f>IFERROR(__xludf.DUMMYFUNCTION("""COMPUTED_VALUE"""),44.38)</f>
        <v>44.38</v>
      </c>
      <c r="D408" s="190">
        <f>IFERROR(__xludf.DUMMYFUNCTION("""COMPUTED_VALUE"""),44.38)</f>
        <v>44.38</v>
      </c>
      <c r="E408" s="190">
        <f>IFERROR(__xludf.DUMMYFUNCTION("""COMPUTED_VALUE"""),44.05)</f>
        <v>44.05</v>
      </c>
      <c r="F408" s="190">
        <f>IFERROR(__xludf.DUMMYFUNCTION("""COMPUTED_VALUE"""),44.21)</f>
        <v>44.21</v>
      </c>
      <c r="G408" s="191">
        <f>IFERROR(__xludf.DUMMYFUNCTION("""COMPUTED_VALUE"""),1565192.0)</f>
        <v>1565192</v>
      </c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>
        <f>IFERROR(__xludf.DUMMYFUNCTION("""COMPUTED_VALUE"""),45649.5625)</f>
        <v>45649.5625</v>
      </c>
      <c r="C409" s="190">
        <f>IFERROR(__xludf.DUMMYFUNCTION("""COMPUTED_VALUE"""),44.86)</f>
        <v>44.86</v>
      </c>
      <c r="D409" s="190">
        <f>IFERROR(__xludf.DUMMYFUNCTION("""COMPUTED_VALUE"""),45.13)</f>
        <v>45.13</v>
      </c>
      <c r="E409" s="190">
        <f>IFERROR(__xludf.DUMMYFUNCTION("""COMPUTED_VALUE"""),44.62)</f>
        <v>44.62</v>
      </c>
      <c r="F409" s="190">
        <f>IFERROR(__xludf.DUMMYFUNCTION("""COMPUTED_VALUE"""),45.04)</f>
        <v>45.04</v>
      </c>
      <c r="G409" s="191">
        <f>IFERROR(__xludf.DUMMYFUNCTION("""COMPUTED_VALUE"""),2677086.0)</f>
        <v>2677086</v>
      </c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>
        <f>IFERROR(__xludf.DUMMYFUNCTION("""COMPUTED_VALUE"""),45650.5625)</f>
        <v>45650.5625</v>
      </c>
      <c r="C410" s="190">
        <f>IFERROR(__xludf.DUMMYFUNCTION("""COMPUTED_VALUE"""),45.35)</f>
        <v>45.35</v>
      </c>
      <c r="D410" s="190">
        <f>IFERROR(__xludf.DUMMYFUNCTION("""COMPUTED_VALUE"""),45.55)</f>
        <v>45.55</v>
      </c>
      <c r="E410" s="190">
        <f>IFERROR(__xludf.DUMMYFUNCTION("""COMPUTED_VALUE"""),45.15)</f>
        <v>45.15</v>
      </c>
      <c r="F410" s="190">
        <f>IFERROR(__xludf.DUMMYFUNCTION("""COMPUTED_VALUE"""),45.15)</f>
        <v>45.15</v>
      </c>
      <c r="G410" s="191">
        <f>IFERROR(__xludf.DUMMYFUNCTION("""COMPUTED_VALUE"""),1624169.0)</f>
        <v>1624169</v>
      </c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>
        <f>IFERROR(__xludf.DUMMYFUNCTION("""COMPUTED_VALUE"""),45651.5625)</f>
        <v>45651.5625</v>
      </c>
      <c r="C411" s="190">
        <f>IFERROR(__xludf.DUMMYFUNCTION("""COMPUTED_VALUE"""),45.21)</f>
        <v>45.21</v>
      </c>
      <c r="D411" s="190">
        <f>IFERROR(__xludf.DUMMYFUNCTION("""COMPUTED_VALUE"""),45.4)</f>
        <v>45.4</v>
      </c>
      <c r="E411" s="190">
        <f>IFERROR(__xludf.DUMMYFUNCTION("""COMPUTED_VALUE"""),45.17)</f>
        <v>45.17</v>
      </c>
      <c r="F411" s="190">
        <f>IFERROR(__xludf.DUMMYFUNCTION("""COMPUTED_VALUE"""),45.29)</f>
        <v>45.29</v>
      </c>
      <c r="G411" s="191">
        <f>IFERROR(__xludf.DUMMYFUNCTION("""COMPUTED_VALUE"""),1148300.0)</f>
        <v>1148300</v>
      </c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>
        <f>IFERROR(__xludf.DUMMYFUNCTION("""COMPUTED_VALUE"""),45652.5625)</f>
        <v>45652.5625</v>
      </c>
      <c r="C412" s="190">
        <f>IFERROR(__xludf.DUMMYFUNCTION("""COMPUTED_VALUE"""),45.3)</f>
        <v>45.3</v>
      </c>
      <c r="D412" s="190">
        <f>IFERROR(__xludf.DUMMYFUNCTION("""COMPUTED_VALUE"""),45.43)</f>
        <v>45.43</v>
      </c>
      <c r="E412" s="190">
        <f>IFERROR(__xludf.DUMMYFUNCTION("""COMPUTED_VALUE"""),45.3)</f>
        <v>45.3</v>
      </c>
      <c r="F412" s="190">
        <f>IFERROR(__xludf.DUMMYFUNCTION("""COMPUTED_VALUE"""),45.31)</f>
        <v>45.31</v>
      </c>
      <c r="G412" s="191">
        <f>IFERROR(__xludf.DUMMYFUNCTION("""COMPUTED_VALUE"""),1313374.0)</f>
        <v>1313374</v>
      </c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>
        <f>IFERROR(__xludf.DUMMYFUNCTION("""COMPUTED_VALUE"""),45653.5625)</f>
        <v>45653.5625</v>
      </c>
      <c r="C413" s="190">
        <f>IFERROR(__xludf.DUMMYFUNCTION("""COMPUTED_VALUE"""),45.27)</f>
        <v>45.27</v>
      </c>
      <c r="D413" s="190">
        <f>IFERROR(__xludf.DUMMYFUNCTION("""COMPUTED_VALUE"""),45.46)</f>
        <v>45.46</v>
      </c>
      <c r="E413" s="190">
        <f>IFERROR(__xludf.DUMMYFUNCTION("""COMPUTED_VALUE"""),45.19)</f>
        <v>45.19</v>
      </c>
      <c r="F413" s="190">
        <f>IFERROR(__xludf.DUMMYFUNCTION("""COMPUTED_VALUE"""),45.42)</f>
        <v>45.42</v>
      </c>
      <c r="G413" s="191">
        <f>IFERROR(__xludf.DUMMYFUNCTION("""COMPUTED_VALUE"""),1410404.0)</f>
        <v>1410404</v>
      </c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>
        <f>IFERROR(__xludf.DUMMYFUNCTION("""COMPUTED_VALUE"""),45656.5625)</f>
        <v>45656.5625</v>
      </c>
      <c r="C414" s="190">
        <f>IFERROR(__xludf.DUMMYFUNCTION("""COMPUTED_VALUE"""),45.4)</f>
        <v>45.4</v>
      </c>
      <c r="D414" s="190">
        <f>IFERROR(__xludf.DUMMYFUNCTION("""COMPUTED_VALUE"""),45.42)</f>
        <v>45.42</v>
      </c>
      <c r="E414" s="190">
        <f>IFERROR(__xludf.DUMMYFUNCTION("""COMPUTED_VALUE"""),45.2)</f>
        <v>45.2</v>
      </c>
      <c r="F414" s="190">
        <f>IFERROR(__xludf.DUMMYFUNCTION("""COMPUTED_VALUE"""),45.2)</f>
        <v>45.2</v>
      </c>
      <c r="G414" s="191">
        <f>IFERROR(__xludf.DUMMYFUNCTION("""COMPUTED_VALUE"""),1271517.0)</f>
        <v>1271517</v>
      </c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>
        <f>IFERROR(__xludf.DUMMYFUNCTION("""COMPUTED_VALUE"""),45657.5625)</f>
        <v>45657.5625</v>
      </c>
      <c r="C415" s="190">
        <f>IFERROR(__xludf.DUMMYFUNCTION("""COMPUTED_VALUE"""),45.0)</f>
        <v>45</v>
      </c>
      <c r="D415" s="190">
        <f>IFERROR(__xludf.DUMMYFUNCTION("""COMPUTED_VALUE"""),45.01)</f>
        <v>45.01</v>
      </c>
      <c r="E415" s="190">
        <f>IFERROR(__xludf.DUMMYFUNCTION("""COMPUTED_VALUE"""),44.78)</f>
        <v>44.78</v>
      </c>
      <c r="F415" s="190">
        <f>IFERROR(__xludf.DUMMYFUNCTION("""COMPUTED_VALUE"""),44.99)</f>
        <v>44.99</v>
      </c>
      <c r="G415" s="191">
        <f>IFERROR(__xludf.DUMMYFUNCTION("""COMPUTED_VALUE"""),2219160.0)</f>
        <v>2219160</v>
      </c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>
        <f>IFERROR(__xludf.DUMMYFUNCTION("""COMPUTED_VALUE"""),45659.5625)</f>
        <v>45659.5625</v>
      </c>
      <c r="C416" s="190">
        <f>IFERROR(__xludf.DUMMYFUNCTION("""COMPUTED_VALUE"""),44.91)</f>
        <v>44.91</v>
      </c>
      <c r="D416" s="190">
        <f>IFERROR(__xludf.DUMMYFUNCTION("""COMPUTED_VALUE"""),44.91)</f>
        <v>44.91</v>
      </c>
      <c r="E416" s="190">
        <f>IFERROR(__xludf.DUMMYFUNCTION("""COMPUTED_VALUE"""),44.3)</f>
        <v>44.3</v>
      </c>
      <c r="F416" s="190">
        <f>IFERROR(__xludf.DUMMYFUNCTION("""COMPUTED_VALUE"""),44.46)</f>
        <v>44.46</v>
      </c>
      <c r="G416" s="191">
        <f>IFERROR(__xludf.DUMMYFUNCTION("""COMPUTED_VALUE"""),2421240.0)</f>
        <v>2421240</v>
      </c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>
        <f>IFERROR(__xludf.DUMMYFUNCTION("""COMPUTED_VALUE"""),45660.5625)</f>
        <v>45660.5625</v>
      </c>
      <c r="C417" s="190">
        <f>IFERROR(__xludf.DUMMYFUNCTION("""COMPUTED_VALUE"""),44.9)</f>
        <v>44.9</v>
      </c>
      <c r="D417" s="190">
        <f>IFERROR(__xludf.DUMMYFUNCTION("""COMPUTED_VALUE"""),45.1)</f>
        <v>45.1</v>
      </c>
      <c r="E417" s="190">
        <f>IFERROR(__xludf.DUMMYFUNCTION("""COMPUTED_VALUE"""),44.72)</f>
        <v>44.72</v>
      </c>
      <c r="F417" s="190">
        <f>IFERROR(__xludf.DUMMYFUNCTION("""COMPUTED_VALUE"""),44.86)</f>
        <v>44.86</v>
      </c>
      <c r="G417" s="191">
        <f>IFERROR(__xludf.DUMMYFUNCTION("""COMPUTED_VALUE"""),1761155.0)</f>
        <v>1761155</v>
      </c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>
        <f>IFERROR(__xludf.DUMMYFUNCTION("""COMPUTED_VALUE"""),45663.5625)</f>
        <v>45663.5625</v>
      </c>
      <c r="C418" s="190">
        <f>IFERROR(__xludf.DUMMYFUNCTION("""COMPUTED_VALUE"""),45.53)</f>
        <v>45.53</v>
      </c>
      <c r="D418" s="190">
        <f>IFERROR(__xludf.DUMMYFUNCTION("""COMPUTED_VALUE"""),46.22)</f>
        <v>46.22</v>
      </c>
      <c r="E418" s="190">
        <f>IFERROR(__xludf.DUMMYFUNCTION("""COMPUTED_VALUE"""),45.45)</f>
        <v>45.45</v>
      </c>
      <c r="F418" s="190">
        <f>IFERROR(__xludf.DUMMYFUNCTION("""COMPUTED_VALUE"""),46.12)</f>
        <v>46.12</v>
      </c>
      <c r="G418" s="191">
        <f>IFERROR(__xludf.DUMMYFUNCTION("""COMPUTED_VALUE"""),4956124.0)</f>
        <v>4956124</v>
      </c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>
        <f>IFERROR(__xludf.DUMMYFUNCTION("""COMPUTED_VALUE"""),45664.5625)</f>
        <v>45664.5625</v>
      </c>
      <c r="C419" s="190">
        <f>IFERROR(__xludf.DUMMYFUNCTION("""COMPUTED_VALUE"""),46.95)</f>
        <v>46.95</v>
      </c>
      <c r="D419" s="190">
        <f>IFERROR(__xludf.DUMMYFUNCTION("""COMPUTED_VALUE"""),47.05)</f>
        <v>47.05</v>
      </c>
      <c r="E419" s="190">
        <f>IFERROR(__xludf.DUMMYFUNCTION("""COMPUTED_VALUE"""),46.53)</f>
        <v>46.53</v>
      </c>
      <c r="F419" s="190">
        <f>IFERROR(__xludf.DUMMYFUNCTION("""COMPUTED_VALUE"""),46.53)</f>
        <v>46.53</v>
      </c>
      <c r="G419" s="191">
        <f>IFERROR(__xludf.DUMMYFUNCTION("""COMPUTED_VALUE"""),4247334.0)</f>
        <v>4247334</v>
      </c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>
        <f>IFERROR(__xludf.DUMMYFUNCTION("""COMPUTED_VALUE"""),45665.5625)</f>
        <v>45665.5625</v>
      </c>
      <c r="C420" s="190">
        <f>IFERROR(__xludf.DUMMYFUNCTION("""COMPUTED_VALUE"""),46.14)</f>
        <v>46.14</v>
      </c>
      <c r="D420" s="190">
        <f>IFERROR(__xludf.DUMMYFUNCTION("""COMPUTED_VALUE"""),46.38)</f>
        <v>46.38</v>
      </c>
      <c r="E420" s="190">
        <f>IFERROR(__xludf.DUMMYFUNCTION("""COMPUTED_VALUE"""),45.89)</f>
        <v>45.89</v>
      </c>
      <c r="F420" s="190">
        <f>IFERROR(__xludf.DUMMYFUNCTION("""COMPUTED_VALUE"""),45.97)</f>
        <v>45.97</v>
      </c>
      <c r="G420" s="191">
        <f>IFERROR(__xludf.DUMMYFUNCTION("""COMPUTED_VALUE"""),1956892.0)</f>
        <v>1956892</v>
      </c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>
        <f>IFERROR(__xludf.DUMMYFUNCTION("""COMPUTED_VALUE"""),45666.5625)</f>
        <v>45666.5625</v>
      </c>
      <c r="C421" s="190">
        <f>IFERROR(__xludf.DUMMYFUNCTION("""COMPUTED_VALUE"""),45.84)</f>
        <v>45.84</v>
      </c>
      <c r="D421" s="190">
        <f>IFERROR(__xludf.DUMMYFUNCTION("""COMPUTED_VALUE"""),45.89)</f>
        <v>45.89</v>
      </c>
      <c r="E421" s="190">
        <f>IFERROR(__xludf.DUMMYFUNCTION("""COMPUTED_VALUE"""),45.41)</f>
        <v>45.41</v>
      </c>
      <c r="F421" s="190">
        <f>IFERROR(__xludf.DUMMYFUNCTION("""COMPUTED_VALUE"""),45.43)</f>
        <v>45.43</v>
      </c>
      <c r="G421" s="191">
        <f>IFERROR(__xludf.DUMMYFUNCTION("""COMPUTED_VALUE"""),1707059.0)</f>
        <v>1707059</v>
      </c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>
        <f>IFERROR(__xludf.DUMMYFUNCTION("""COMPUTED_VALUE"""),45667.5625)</f>
        <v>45667.5625</v>
      </c>
      <c r="C422" s="190">
        <f>IFERROR(__xludf.DUMMYFUNCTION("""COMPUTED_VALUE"""),45.26)</f>
        <v>45.26</v>
      </c>
      <c r="D422" s="190">
        <f>IFERROR(__xludf.DUMMYFUNCTION("""COMPUTED_VALUE"""),45.5)</f>
        <v>45.5</v>
      </c>
      <c r="E422" s="190">
        <f>IFERROR(__xludf.DUMMYFUNCTION("""COMPUTED_VALUE"""),45.22)</f>
        <v>45.22</v>
      </c>
      <c r="F422" s="190">
        <f>IFERROR(__xludf.DUMMYFUNCTION("""COMPUTED_VALUE"""),45.37)</f>
        <v>45.37</v>
      </c>
      <c r="G422" s="191">
        <f>IFERROR(__xludf.DUMMYFUNCTION("""COMPUTED_VALUE"""),1292621.0)</f>
        <v>1292621</v>
      </c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>
        <f>IFERROR(__xludf.DUMMYFUNCTION("""COMPUTED_VALUE"""),45670.5625)</f>
        <v>45670.5625</v>
      </c>
      <c r="C423" s="190">
        <f>IFERROR(__xludf.DUMMYFUNCTION("""COMPUTED_VALUE"""),45.35)</f>
        <v>45.35</v>
      </c>
      <c r="D423" s="190">
        <f>IFERROR(__xludf.DUMMYFUNCTION("""COMPUTED_VALUE"""),45.35)</f>
        <v>45.35</v>
      </c>
      <c r="E423" s="190">
        <f>IFERROR(__xludf.DUMMYFUNCTION("""COMPUTED_VALUE"""),44.35)</f>
        <v>44.35</v>
      </c>
      <c r="F423" s="190">
        <f>IFERROR(__xludf.DUMMYFUNCTION("""COMPUTED_VALUE"""),44.42)</f>
        <v>44.42</v>
      </c>
      <c r="G423" s="191">
        <f>IFERROR(__xludf.DUMMYFUNCTION("""COMPUTED_VALUE"""),3884639.0)</f>
        <v>3884639</v>
      </c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>
        <f>IFERROR(__xludf.DUMMYFUNCTION("""COMPUTED_VALUE"""),45671.5625)</f>
        <v>45671.5625</v>
      </c>
      <c r="C424" s="190">
        <f>IFERROR(__xludf.DUMMYFUNCTION("""COMPUTED_VALUE"""),44.45)</f>
        <v>44.45</v>
      </c>
      <c r="D424" s="190">
        <f>IFERROR(__xludf.DUMMYFUNCTION("""COMPUTED_VALUE"""),44.76)</f>
        <v>44.76</v>
      </c>
      <c r="E424" s="190">
        <f>IFERROR(__xludf.DUMMYFUNCTION("""COMPUTED_VALUE"""),44.43)</f>
        <v>44.43</v>
      </c>
      <c r="F424" s="190">
        <f>IFERROR(__xludf.DUMMYFUNCTION("""COMPUTED_VALUE"""),44.66)</f>
        <v>44.66</v>
      </c>
      <c r="G424" s="191">
        <f>IFERROR(__xludf.DUMMYFUNCTION("""COMPUTED_VALUE"""),1233721.0)</f>
        <v>1233721</v>
      </c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>
        <f>IFERROR(__xludf.DUMMYFUNCTION("""COMPUTED_VALUE"""),45672.5625)</f>
        <v>45672.5625</v>
      </c>
      <c r="C425" s="190">
        <f>IFERROR(__xludf.DUMMYFUNCTION("""COMPUTED_VALUE"""),44.62)</f>
        <v>44.62</v>
      </c>
      <c r="D425" s="190">
        <f>IFERROR(__xludf.DUMMYFUNCTION("""COMPUTED_VALUE"""),44.66)</f>
        <v>44.66</v>
      </c>
      <c r="E425" s="190">
        <f>IFERROR(__xludf.DUMMYFUNCTION("""COMPUTED_VALUE"""),44.27)</f>
        <v>44.27</v>
      </c>
      <c r="F425" s="190">
        <f>IFERROR(__xludf.DUMMYFUNCTION("""COMPUTED_VALUE"""),44.36)</f>
        <v>44.36</v>
      </c>
      <c r="G425" s="191">
        <f>IFERROR(__xludf.DUMMYFUNCTION("""COMPUTED_VALUE"""),2038844.0)</f>
        <v>2038844</v>
      </c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>
        <f>IFERROR(__xludf.DUMMYFUNCTION("""COMPUTED_VALUE"""),45673.5625)</f>
        <v>45673.5625</v>
      </c>
      <c r="C426" s="190">
        <f>IFERROR(__xludf.DUMMYFUNCTION("""COMPUTED_VALUE"""),45.0)</f>
        <v>45</v>
      </c>
      <c r="D426" s="190">
        <f>IFERROR(__xludf.DUMMYFUNCTION("""COMPUTED_VALUE"""),45.6)</f>
        <v>45.6</v>
      </c>
      <c r="E426" s="190">
        <f>IFERROR(__xludf.DUMMYFUNCTION("""COMPUTED_VALUE"""),45.0)</f>
        <v>45</v>
      </c>
      <c r="F426" s="190">
        <f>IFERROR(__xludf.DUMMYFUNCTION("""COMPUTED_VALUE"""),45.24)</f>
        <v>45.24</v>
      </c>
      <c r="G426" s="191">
        <f>IFERROR(__xludf.DUMMYFUNCTION("""COMPUTED_VALUE"""),2487894.0)</f>
        <v>2487894</v>
      </c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>
        <f>IFERROR(__xludf.DUMMYFUNCTION("""COMPUTED_VALUE"""),45674.5625)</f>
        <v>45674.5625</v>
      </c>
      <c r="C427" s="190">
        <f>IFERROR(__xludf.DUMMYFUNCTION("""COMPUTED_VALUE"""),45.5)</f>
        <v>45.5</v>
      </c>
      <c r="D427" s="190">
        <f>IFERROR(__xludf.DUMMYFUNCTION("""COMPUTED_VALUE"""),45.57)</f>
        <v>45.57</v>
      </c>
      <c r="E427" s="190">
        <f>IFERROR(__xludf.DUMMYFUNCTION("""COMPUTED_VALUE"""),45.05)</f>
        <v>45.05</v>
      </c>
      <c r="F427" s="190">
        <f>IFERROR(__xludf.DUMMYFUNCTION("""COMPUTED_VALUE"""),45.43)</f>
        <v>45.43</v>
      </c>
      <c r="G427" s="191">
        <f>IFERROR(__xludf.DUMMYFUNCTION("""COMPUTED_VALUE"""),1499578.0)</f>
        <v>1499578</v>
      </c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>
        <f>IFERROR(__xludf.DUMMYFUNCTION("""COMPUTED_VALUE"""),45677.5625)</f>
        <v>45677.5625</v>
      </c>
      <c r="C428" s="190">
        <f>IFERROR(__xludf.DUMMYFUNCTION("""COMPUTED_VALUE"""),45.56)</f>
        <v>45.56</v>
      </c>
      <c r="D428" s="190">
        <f>IFERROR(__xludf.DUMMYFUNCTION("""COMPUTED_VALUE"""),45.92)</f>
        <v>45.92</v>
      </c>
      <c r="E428" s="190">
        <f>IFERROR(__xludf.DUMMYFUNCTION("""COMPUTED_VALUE"""),45.56)</f>
        <v>45.56</v>
      </c>
      <c r="F428" s="190">
        <f>IFERROR(__xludf.DUMMYFUNCTION("""COMPUTED_VALUE"""),45.78)</f>
        <v>45.78</v>
      </c>
      <c r="G428" s="191">
        <f>IFERROR(__xludf.DUMMYFUNCTION("""COMPUTED_VALUE"""),2308136.0)</f>
        <v>2308136</v>
      </c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>
        <f>IFERROR(__xludf.DUMMYFUNCTION("""COMPUTED_VALUE"""),45678.5625)</f>
        <v>45678.5625</v>
      </c>
      <c r="C429" s="190">
        <f>IFERROR(__xludf.DUMMYFUNCTION("""COMPUTED_VALUE"""),45.78)</f>
        <v>45.78</v>
      </c>
      <c r="D429" s="190">
        <f>IFERROR(__xludf.DUMMYFUNCTION("""COMPUTED_VALUE"""),45.94)</f>
        <v>45.94</v>
      </c>
      <c r="E429" s="190">
        <f>IFERROR(__xludf.DUMMYFUNCTION("""COMPUTED_VALUE"""),45.48)</f>
        <v>45.48</v>
      </c>
      <c r="F429" s="190">
        <f>IFERROR(__xludf.DUMMYFUNCTION("""COMPUTED_VALUE"""),45.84)</f>
        <v>45.84</v>
      </c>
      <c r="G429" s="191">
        <f>IFERROR(__xludf.DUMMYFUNCTION("""COMPUTED_VALUE"""),1131777.0)</f>
        <v>1131777</v>
      </c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>
        <f>IFERROR(__xludf.DUMMYFUNCTION("""COMPUTED_VALUE"""),45679.5625)</f>
        <v>45679.5625</v>
      </c>
      <c r="C430" s="190">
        <f>IFERROR(__xludf.DUMMYFUNCTION("""COMPUTED_VALUE"""),46.16)</f>
        <v>46.16</v>
      </c>
      <c r="D430" s="190">
        <f>IFERROR(__xludf.DUMMYFUNCTION("""COMPUTED_VALUE"""),46.56)</f>
        <v>46.56</v>
      </c>
      <c r="E430" s="190">
        <f>IFERROR(__xludf.DUMMYFUNCTION("""COMPUTED_VALUE"""),46.16)</f>
        <v>46.16</v>
      </c>
      <c r="F430" s="190">
        <f>IFERROR(__xludf.DUMMYFUNCTION("""COMPUTED_VALUE"""),46.45)</f>
        <v>46.45</v>
      </c>
      <c r="G430" s="191">
        <f>IFERROR(__xludf.DUMMYFUNCTION("""COMPUTED_VALUE"""),2299186.0)</f>
        <v>2299186</v>
      </c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>
        <f>IFERROR(__xludf.DUMMYFUNCTION("""COMPUTED_VALUE"""),45691.5625)</f>
        <v>45691.5625</v>
      </c>
      <c r="C431" s="190">
        <f>IFERROR(__xludf.DUMMYFUNCTION("""COMPUTED_VALUE"""),44.74)</f>
        <v>44.74</v>
      </c>
      <c r="D431" s="190">
        <f>IFERROR(__xludf.DUMMYFUNCTION("""COMPUTED_VALUE"""),44.75)</f>
        <v>44.75</v>
      </c>
      <c r="E431" s="190">
        <f>IFERROR(__xludf.DUMMYFUNCTION("""COMPUTED_VALUE"""),44.16)</f>
        <v>44.16</v>
      </c>
      <c r="F431" s="190">
        <f>IFERROR(__xludf.DUMMYFUNCTION("""COMPUTED_VALUE"""),44.6)</f>
        <v>44.6</v>
      </c>
      <c r="G431" s="191">
        <f>IFERROR(__xludf.DUMMYFUNCTION("""COMPUTED_VALUE"""),8345166.0)</f>
        <v>8345166</v>
      </c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>
        <f>IFERROR(__xludf.DUMMYFUNCTION("""COMPUTED_VALUE"""),45692.5625)</f>
        <v>45692.5625</v>
      </c>
      <c r="C432" s="190">
        <f>IFERROR(__xludf.DUMMYFUNCTION("""COMPUTED_VALUE"""),44.99)</f>
        <v>44.99</v>
      </c>
      <c r="D432" s="190">
        <f>IFERROR(__xludf.DUMMYFUNCTION("""COMPUTED_VALUE"""),44.99)</f>
        <v>44.99</v>
      </c>
      <c r="E432" s="190">
        <f>IFERROR(__xludf.DUMMYFUNCTION("""COMPUTED_VALUE"""),44.67)</f>
        <v>44.67</v>
      </c>
      <c r="F432" s="190">
        <f>IFERROR(__xludf.DUMMYFUNCTION("""COMPUTED_VALUE"""),44.8)</f>
        <v>44.8</v>
      </c>
      <c r="G432" s="191">
        <f>IFERROR(__xludf.DUMMYFUNCTION("""COMPUTED_VALUE"""),1329211.0)</f>
        <v>1329211</v>
      </c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>
        <f>IFERROR(__xludf.DUMMYFUNCTION("""COMPUTED_VALUE"""),45693.5625)</f>
        <v>45693.5625</v>
      </c>
      <c r="C433" s="190">
        <f>IFERROR(__xludf.DUMMYFUNCTION("""COMPUTED_VALUE"""),45.21)</f>
        <v>45.21</v>
      </c>
      <c r="D433" s="190">
        <f>IFERROR(__xludf.DUMMYFUNCTION("""COMPUTED_VALUE"""),45.67)</f>
        <v>45.67</v>
      </c>
      <c r="E433" s="190">
        <f>IFERROR(__xludf.DUMMYFUNCTION("""COMPUTED_VALUE"""),45.21)</f>
        <v>45.21</v>
      </c>
      <c r="F433" s="190">
        <f>IFERROR(__xludf.DUMMYFUNCTION("""COMPUTED_VALUE"""),45.36)</f>
        <v>45.36</v>
      </c>
      <c r="G433" s="191">
        <f>IFERROR(__xludf.DUMMYFUNCTION("""COMPUTED_VALUE"""),1619446.0)</f>
        <v>1619446</v>
      </c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>
        <f>IFERROR(__xludf.DUMMYFUNCTION("""COMPUTED_VALUE"""),45694.5625)</f>
        <v>45694.5625</v>
      </c>
      <c r="C434" s="190">
        <f>IFERROR(__xludf.DUMMYFUNCTION("""COMPUTED_VALUE"""),45.62)</f>
        <v>45.62</v>
      </c>
      <c r="D434" s="190">
        <f>IFERROR(__xludf.DUMMYFUNCTION("""COMPUTED_VALUE"""),45.8)</f>
        <v>45.8</v>
      </c>
      <c r="E434" s="190">
        <f>IFERROR(__xludf.DUMMYFUNCTION("""COMPUTED_VALUE"""),45.55)</f>
        <v>45.55</v>
      </c>
      <c r="F434" s="190">
        <f>IFERROR(__xludf.DUMMYFUNCTION("""COMPUTED_VALUE"""),45.57)</f>
        <v>45.57</v>
      </c>
      <c r="G434" s="191">
        <f>IFERROR(__xludf.DUMMYFUNCTION("""COMPUTED_VALUE"""),1719122.0)</f>
        <v>1719122</v>
      </c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>
        <f>IFERROR(__xludf.DUMMYFUNCTION("""COMPUTED_VALUE"""),45695.5625)</f>
        <v>45695.5625</v>
      </c>
      <c r="C435" s="190">
        <f>IFERROR(__xludf.DUMMYFUNCTION("""COMPUTED_VALUE"""),45.57)</f>
        <v>45.57</v>
      </c>
      <c r="D435" s="190">
        <f>IFERROR(__xludf.DUMMYFUNCTION("""COMPUTED_VALUE"""),45.85)</f>
        <v>45.85</v>
      </c>
      <c r="E435" s="190">
        <f>IFERROR(__xludf.DUMMYFUNCTION("""COMPUTED_VALUE"""),45.56)</f>
        <v>45.56</v>
      </c>
      <c r="F435" s="190">
        <f>IFERROR(__xludf.DUMMYFUNCTION("""COMPUTED_VALUE"""),45.83)</f>
        <v>45.83</v>
      </c>
      <c r="G435" s="191">
        <f>IFERROR(__xludf.DUMMYFUNCTION("""COMPUTED_VALUE"""),1223676.0)</f>
        <v>1223676</v>
      </c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>
        <f>IFERROR(__xludf.DUMMYFUNCTION("""COMPUTED_VALUE"""),45698.5625)</f>
        <v>45698.5625</v>
      </c>
      <c r="C436" s="190">
        <f>IFERROR(__xludf.DUMMYFUNCTION("""COMPUTED_VALUE"""),45.63)</f>
        <v>45.63</v>
      </c>
      <c r="D436" s="190">
        <f>IFERROR(__xludf.DUMMYFUNCTION("""COMPUTED_VALUE"""),45.65)</f>
        <v>45.65</v>
      </c>
      <c r="E436" s="190">
        <f>IFERROR(__xludf.DUMMYFUNCTION("""COMPUTED_VALUE"""),45.29)</f>
        <v>45.29</v>
      </c>
      <c r="F436" s="190">
        <f>IFERROR(__xludf.DUMMYFUNCTION("""COMPUTED_VALUE"""),45.41)</f>
        <v>45.41</v>
      </c>
      <c r="G436" s="191">
        <f>IFERROR(__xludf.DUMMYFUNCTION("""COMPUTED_VALUE"""),1515085.0)</f>
        <v>1515085</v>
      </c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>
        <f>IFERROR(__xludf.DUMMYFUNCTION("""COMPUTED_VALUE"""),45699.5625)</f>
        <v>45699.5625</v>
      </c>
      <c r="C437" s="190">
        <f>IFERROR(__xludf.DUMMYFUNCTION("""COMPUTED_VALUE"""),45.75)</f>
        <v>45.75</v>
      </c>
      <c r="D437" s="190">
        <f>IFERROR(__xludf.DUMMYFUNCTION("""COMPUTED_VALUE"""),45.87)</f>
        <v>45.87</v>
      </c>
      <c r="E437" s="190">
        <f>IFERROR(__xludf.DUMMYFUNCTION("""COMPUTED_VALUE"""),45.5)</f>
        <v>45.5</v>
      </c>
      <c r="F437" s="190">
        <f>IFERROR(__xludf.DUMMYFUNCTION("""COMPUTED_VALUE"""),45.56)</f>
        <v>45.56</v>
      </c>
      <c r="G437" s="191">
        <f>IFERROR(__xludf.DUMMYFUNCTION("""COMPUTED_VALUE"""),756211.0)</f>
        <v>756211</v>
      </c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>
        <f>IFERROR(__xludf.DUMMYFUNCTION("""COMPUTED_VALUE"""),45700.5625)</f>
        <v>45700.5625</v>
      </c>
      <c r="C438" s="190">
        <f>IFERROR(__xludf.DUMMYFUNCTION("""COMPUTED_VALUE"""),45.78)</f>
        <v>45.78</v>
      </c>
      <c r="D438" s="190">
        <f>IFERROR(__xludf.DUMMYFUNCTION("""COMPUTED_VALUE"""),45.87)</f>
        <v>45.87</v>
      </c>
      <c r="E438" s="190">
        <f>IFERROR(__xludf.DUMMYFUNCTION("""COMPUTED_VALUE"""),45.5)</f>
        <v>45.5</v>
      </c>
      <c r="F438" s="190">
        <f>IFERROR(__xludf.DUMMYFUNCTION("""COMPUTED_VALUE"""),45.5)</f>
        <v>45.5</v>
      </c>
      <c r="G438" s="191">
        <f>IFERROR(__xludf.DUMMYFUNCTION("""COMPUTED_VALUE"""),901442.0)</f>
        <v>901442</v>
      </c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>
        <f>IFERROR(__xludf.DUMMYFUNCTION("""COMPUTED_VALUE"""),45701.5625)</f>
        <v>45701.5625</v>
      </c>
      <c r="C439" s="190">
        <f>IFERROR(__xludf.DUMMYFUNCTION("""COMPUTED_VALUE"""),45.68)</f>
        <v>45.68</v>
      </c>
      <c r="D439" s="190">
        <f>IFERROR(__xludf.DUMMYFUNCTION("""COMPUTED_VALUE"""),45.68)</f>
        <v>45.68</v>
      </c>
      <c r="E439" s="190">
        <f>IFERROR(__xludf.DUMMYFUNCTION("""COMPUTED_VALUE"""),45.17)</f>
        <v>45.17</v>
      </c>
      <c r="F439" s="190">
        <f>IFERROR(__xludf.DUMMYFUNCTION("""COMPUTED_VALUE"""),45.48)</f>
        <v>45.48</v>
      </c>
      <c r="G439" s="191">
        <f>IFERROR(__xludf.DUMMYFUNCTION("""COMPUTED_VALUE"""),2321787.0)</f>
        <v>2321787</v>
      </c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>
        <f>IFERROR(__xludf.DUMMYFUNCTION("""COMPUTED_VALUE"""),45702.5625)</f>
        <v>45702.5625</v>
      </c>
      <c r="C440" s="190">
        <f>IFERROR(__xludf.DUMMYFUNCTION("""COMPUTED_VALUE"""),45.1)</f>
        <v>45.1</v>
      </c>
      <c r="D440" s="190">
        <f>IFERROR(__xludf.DUMMYFUNCTION("""COMPUTED_VALUE"""),45.14)</f>
        <v>45.14</v>
      </c>
      <c r="E440" s="190">
        <f>IFERROR(__xludf.DUMMYFUNCTION("""COMPUTED_VALUE"""),44.87)</f>
        <v>44.87</v>
      </c>
      <c r="F440" s="190">
        <f>IFERROR(__xludf.DUMMYFUNCTION("""COMPUTED_VALUE"""),44.92)</f>
        <v>44.92</v>
      </c>
      <c r="G440" s="191">
        <f>IFERROR(__xludf.DUMMYFUNCTION("""COMPUTED_VALUE"""),1808118.0)</f>
        <v>1808118</v>
      </c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>
        <f>IFERROR(__xludf.DUMMYFUNCTION("""COMPUTED_VALUE"""),45705.5625)</f>
        <v>45705.5625</v>
      </c>
      <c r="C441" s="190">
        <f>IFERROR(__xludf.DUMMYFUNCTION("""COMPUTED_VALUE"""),45.06)</f>
        <v>45.06</v>
      </c>
      <c r="D441" s="190">
        <f>IFERROR(__xludf.DUMMYFUNCTION("""COMPUTED_VALUE"""),45.59)</f>
        <v>45.59</v>
      </c>
      <c r="E441" s="190">
        <f>IFERROR(__xludf.DUMMYFUNCTION("""COMPUTED_VALUE"""),45.06)</f>
        <v>45.06</v>
      </c>
      <c r="F441" s="190">
        <f>IFERROR(__xludf.DUMMYFUNCTION("""COMPUTED_VALUE"""),45.55)</f>
        <v>45.55</v>
      </c>
      <c r="G441" s="191">
        <f>IFERROR(__xludf.DUMMYFUNCTION("""COMPUTED_VALUE"""),2605809.0)</f>
        <v>2605809</v>
      </c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>
        <f>IFERROR(__xludf.DUMMYFUNCTION("""COMPUTED_VALUE"""),45706.5625)</f>
        <v>45706.5625</v>
      </c>
      <c r="C442" s="190">
        <f>IFERROR(__xludf.DUMMYFUNCTION("""COMPUTED_VALUE"""),45.61)</f>
        <v>45.61</v>
      </c>
      <c r="D442" s="190">
        <f>IFERROR(__xludf.DUMMYFUNCTION("""COMPUTED_VALUE"""),45.75)</f>
        <v>45.75</v>
      </c>
      <c r="E442" s="190">
        <f>IFERROR(__xludf.DUMMYFUNCTION("""COMPUTED_VALUE"""),45.49)</f>
        <v>45.49</v>
      </c>
      <c r="F442" s="190">
        <f>IFERROR(__xludf.DUMMYFUNCTION("""COMPUTED_VALUE"""),45.75)</f>
        <v>45.75</v>
      </c>
      <c r="G442" s="191">
        <f>IFERROR(__xludf.DUMMYFUNCTION("""COMPUTED_VALUE"""),1268205.0)</f>
        <v>1268205</v>
      </c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>
        <f>IFERROR(__xludf.DUMMYFUNCTION("""COMPUTED_VALUE"""),45707.5625)</f>
        <v>45707.5625</v>
      </c>
      <c r="C443" s="190">
        <f>IFERROR(__xludf.DUMMYFUNCTION("""COMPUTED_VALUE"""),45.75)</f>
        <v>45.75</v>
      </c>
      <c r="D443" s="190">
        <f>IFERROR(__xludf.DUMMYFUNCTION("""COMPUTED_VALUE"""),45.86)</f>
        <v>45.86</v>
      </c>
      <c r="E443" s="190">
        <f>IFERROR(__xludf.DUMMYFUNCTION("""COMPUTED_VALUE"""),45.64)</f>
        <v>45.64</v>
      </c>
      <c r="F443" s="190">
        <f>IFERROR(__xludf.DUMMYFUNCTION("""COMPUTED_VALUE"""),45.67)</f>
        <v>45.67</v>
      </c>
      <c r="G443" s="191">
        <f>IFERROR(__xludf.DUMMYFUNCTION("""COMPUTED_VALUE"""),849589.0)</f>
        <v>849589</v>
      </c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>
        <f>IFERROR(__xludf.DUMMYFUNCTION("""COMPUTED_VALUE"""),45708.5625)</f>
        <v>45708.5625</v>
      </c>
      <c r="C444" s="190">
        <f>IFERROR(__xludf.DUMMYFUNCTION("""COMPUTED_VALUE"""),45.56)</f>
        <v>45.56</v>
      </c>
      <c r="D444" s="190">
        <f>IFERROR(__xludf.DUMMYFUNCTION("""COMPUTED_VALUE"""),45.6)</f>
        <v>45.6</v>
      </c>
      <c r="E444" s="190">
        <f>IFERROR(__xludf.DUMMYFUNCTION("""COMPUTED_VALUE"""),45.24)</f>
        <v>45.24</v>
      </c>
      <c r="F444" s="190">
        <f>IFERROR(__xludf.DUMMYFUNCTION("""COMPUTED_VALUE"""),45.51)</f>
        <v>45.51</v>
      </c>
      <c r="G444" s="191">
        <f>IFERROR(__xludf.DUMMYFUNCTION("""COMPUTED_VALUE"""),1005227.0)</f>
        <v>1005227</v>
      </c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>
        <f>IFERROR(__xludf.DUMMYFUNCTION("""COMPUTED_VALUE"""),45709.5625)</f>
        <v>45709.5625</v>
      </c>
      <c r="C445" s="190">
        <f>IFERROR(__xludf.DUMMYFUNCTION("""COMPUTED_VALUE"""),45.5)</f>
        <v>45.5</v>
      </c>
      <c r="D445" s="190">
        <f>IFERROR(__xludf.DUMMYFUNCTION("""COMPUTED_VALUE"""),45.88)</f>
        <v>45.88</v>
      </c>
      <c r="E445" s="190">
        <f>IFERROR(__xludf.DUMMYFUNCTION("""COMPUTED_VALUE"""),45.38)</f>
        <v>45.38</v>
      </c>
      <c r="F445" s="190">
        <f>IFERROR(__xludf.DUMMYFUNCTION("""COMPUTED_VALUE"""),45.8)</f>
        <v>45.8</v>
      </c>
      <c r="G445" s="191">
        <f>IFERROR(__xludf.DUMMYFUNCTION("""COMPUTED_VALUE"""),1905091.0)</f>
        <v>1905091</v>
      </c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>
        <f>IFERROR(__xludf.DUMMYFUNCTION("""COMPUTED_VALUE"""),45712.5625)</f>
        <v>45712.5625</v>
      </c>
      <c r="C446" s="190">
        <f>IFERROR(__xludf.DUMMYFUNCTION("""COMPUTED_VALUE"""),45.46)</f>
        <v>45.46</v>
      </c>
      <c r="D446" s="190">
        <f>IFERROR(__xludf.DUMMYFUNCTION("""COMPUTED_VALUE"""),45.52)</f>
        <v>45.52</v>
      </c>
      <c r="E446" s="190">
        <f>IFERROR(__xludf.DUMMYFUNCTION("""COMPUTED_VALUE"""),45.31)</f>
        <v>45.31</v>
      </c>
      <c r="F446" s="190">
        <f>IFERROR(__xludf.DUMMYFUNCTION("""COMPUTED_VALUE"""),45.49)</f>
        <v>45.49</v>
      </c>
      <c r="G446" s="191">
        <f>IFERROR(__xludf.DUMMYFUNCTION("""COMPUTED_VALUE"""),2254102.0)</f>
        <v>2254102</v>
      </c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>
        <f>IFERROR(__xludf.DUMMYFUNCTION("""COMPUTED_VALUE"""),45713.5625)</f>
        <v>45713.5625</v>
      </c>
      <c r="C447" s="190">
        <f>IFERROR(__xludf.DUMMYFUNCTION("""COMPUTED_VALUE"""),44.97)</f>
        <v>44.97</v>
      </c>
      <c r="D447" s="190">
        <f>IFERROR(__xludf.DUMMYFUNCTION("""COMPUTED_VALUE"""),45.13)</f>
        <v>45.13</v>
      </c>
      <c r="E447" s="190">
        <f>IFERROR(__xludf.DUMMYFUNCTION("""COMPUTED_VALUE"""),44.71)</f>
        <v>44.71</v>
      </c>
      <c r="F447" s="190">
        <f>IFERROR(__xludf.DUMMYFUNCTION("""COMPUTED_VALUE"""),45.13)</f>
        <v>45.13</v>
      </c>
      <c r="G447" s="191">
        <f>IFERROR(__xludf.DUMMYFUNCTION("""COMPUTED_VALUE"""),2821569.0)</f>
        <v>2821569</v>
      </c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>
        <f>IFERROR(__xludf.DUMMYFUNCTION("""COMPUTED_VALUE"""),45714.5625)</f>
        <v>45714.5625</v>
      </c>
      <c r="C448" s="190">
        <f>IFERROR(__xludf.DUMMYFUNCTION("""COMPUTED_VALUE"""),44.76)</f>
        <v>44.76</v>
      </c>
      <c r="D448" s="190">
        <f>IFERROR(__xludf.DUMMYFUNCTION("""COMPUTED_VALUE"""),45.18)</f>
        <v>45.18</v>
      </c>
      <c r="E448" s="190">
        <f>IFERROR(__xludf.DUMMYFUNCTION("""COMPUTED_VALUE"""),44.68)</f>
        <v>44.68</v>
      </c>
      <c r="F448" s="190">
        <f>IFERROR(__xludf.DUMMYFUNCTION("""COMPUTED_VALUE"""),45.15)</f>
        <v>45.15</v>
      </c>
      <c r="G448" s="191">
        <f>IFERROR(__xludf.DUMMYFUNCTION("""COMPUTED_VALUE"""),2739210.0)</f>
        <v>2739210</v>
      </c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>
        <f>IFERROR(__xludf.DUMMYFUNCTION("""COMPUTED_VALUE"""),45715.5625)</f>
        <v>45715.5625</v>
      </c>
      <c r="C449" s="190">
        <f>IFERROR(__xludf.DUMMYFUNCTION("""COMPUTED_VALUE"""),45.17)</f>
        <v>45.17</v>
      </c>
      <c r="D449" s="190">
        <f>IFERROR(__xludf.DUMMYFUNCTION("""COMPUTED_VALUE"""),45.24)</f>
        <v>45.24</v>
      </c>
      <c r="E449" s="190">
        <f>IFERROR(__xludf.DUMMYFUNCTION("""COMPUTED_VALUE"""),44.65)</f>
        <v>44.65</v>
      </c>
      <c r="F449" s="190">
        <f>IFERROR(__xludf.DUMMYFUNCTION("""COMPUTED_VALUE"""),44.69)</f>
        <v>44.69</v>
      </c>
      <c r="G449" s="191">
        <f>IFERROR(__xludf.DUMMYFUNCTION("""COMPUTED_VALUE"""),3157961.0)</f>
        <v>3157961</v>
      </c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>
        <f>IFERROR(__xludf.DUMMYFUNCTION("""COMPUTED_VALUE"""),45719.5625)</f>
        <v>45719.5625</v>
      </c>
      <c r="C450" s="190">
        <f>IFERROR(__xludf.DUMMYFUNCTION("""COMPUTED_VALUE"""),44.0)</f>
        <v>44</v>
      </c>
      <c r="D450" s="190">
        <f>IFERROR(__xludf.DUMMYFUNCTION("""COMPUTED_VALUE"""),44.09)</f>
        <v>44.09</v>
      </c>
      <c r="E450" s="190">
        <f>IFERROR(__xludf.DUMMYFUNCTION("""COMPUTED_VALUE"""),43.45)</f>
        <v>43.45</v>
      </c>
      <c r="F450" s="190">
        <f>IFERROR(__xludf.DUMMYFUNCTION("""COMPUTED_VALUE"""),43.79)</f>
        <v>43.79</v>
      </c>
      <c r="G450" s="191">
        <f>IFERROR(__xludf.DUMMYFUNCTION("""COMPUTED_VALUE"""),5951925.0)</f>
        <v>5951925</v>
      </c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>
        <f>IFERROR(__xludf.DUMMYFUNCTION("""COMPUTED_VALUE"""),45720.5625)</f>
        <v>45720.5625</v>
      </c>
      <c r="C451" s="190">
        <f>IFERROR(__xludf.DUMMYFUNCTION("""COMPUTED_VALUE"""),43.1)</f>
        <v>43.1</v>
      </c>
      <c r="D451" s="190">
        <f>IFERROR(__xludf.DUMMYFUNCTION("""COMPUTED_VALUE"""),43.68)</f>
        <v>43.68</v>
      </c>
      <c r="E451" s="190">
        <f>IFERROR(__xludf.DUMMYFUNCTION("""COMPUTED_VALUE"""),43.05)</f>
        <v>43.05</v>
      </c>
      <c r="F451" s="190">
        <f>IFERROR(__xludf.DUMMYFUNCTION("""COMPUTED_VALUE"""),43.57)</f>
        <v>43.57</v>
      </c>
      <c r="G451" s="191">
        <f>IFERROR(__xludf.DUMMYFUNCTION("""COMPUTED_VALUE"""),2401265.0)</f>
        <v>2401265</v>
      </c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>
        <f>IFERROR(__xludf.DUMMYFUNCTION("""COMPUTED_VALUE"""),45721.5625)</f>
        <v>45721.5625</v>
      </c>
      <c r="C452" s="190">
        <f>IFERROR(__xludf.DUMMYFUNCTION("""COMPUTED_VALUE"""),44.01)</f>
        <v>44.01</v>
      </c>
      <c r="D452" s="190">
        <f>IFERROR(__xludf.DUMMYFUNCTION("""COMPUTED_VALUE"""),44.11)</f>
        <v>44.11</v>
      </c>
      <c r="E452" s="190">
        <f>IFERROR(__xludf.DUMMYFUNCTION("""COMPUTED_VALUE"""),43.83)</f>
        <v>43.83</v>
      </c>
      <c r="F452" s="190">
        <f>IFERROR(__xludf.DUMMYFUNCTION("""COMPUTED_VALUE"""),44.05)</f>
        <v>44.05</v>
      </c>
      <c r="G452" s="191">
        <f>IFERROR(__xludf.DUMMYFUNCTION("""COMPUTED_VALUE"""),2393414.0)</f>
        <v>2393414</v>
      </c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>
        <f>IFERROR(__xludf.DUMMYFUNCTION("""COMPUTED_VALUE"""),45722.5625)</f>
        <v>45722.5625</v>
      </c>
      <c r="C453" s="190">
        <f>IFERROR(__xludf.DUMMYFUNCTION("""COMPUTED_VALUE"""),44.05)</f>
        <v>44.05</v>
      </c>
      <c r="D453" s="190">
        <f>IFERROR(__xludf.DUMMYFUNCTION("""COMPUTED_VALUE"""),44.09)</f>
        <v>44.09</v>
      </c>
      <c r="E453" s="190">
        <f>IFERROR(__xludf.DUMMYFUNCTION("""COMPUTED_VALUE"""),43.71)</f>
        <v>43.71</v>
      </c>
      <c r="F453" s="190">
        <f>IFERROR(__xludf.DUMMYFUNCTION("""COMPUTED_VALUE"""),43.85)</f>
        <v>43.85</v>
      </c>
      <c r="G453" s="191">
        <f>IFERROR(__xludf.DUMMYFUNCTION("""COMPUTED_VALUE"""),1875504.0)</f>
        <v>1875504</v>
      </c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>
        <f>IFERROR(__xludf.DUMMYFUNCTION("""COMPUTED_VALUE"""),45723.5625)</f>
        <v>45723.5625</v>
      </c>
      <c r="C454" s="190">
        <f>IFERROR(__xludf.DUMMYFUNCTION("""COMPUTED_VALUE"""),43.59)</f>
        <v>43.59</v>
      </c>
      <c r="D454" s="190">
        <f>IFERROR(__xludf.DUMMYFUNCTION("""COMPUTED_VALUE"""),43.65)</f>
        <v>43.65</v>
      </c>
      <c r="E454" s="190">
        <f>IFERROR(__xludf.DUMMYFUNCTION("""COMPUTED_VALUE"""),43.33)</f>
        <v>43.33</v>
      </c>
      <c r="F454" s="190">
        <f>IFERROR(__xludf.DUMMYFUNCTION("""COMPUTED_VALUE"""),43.39)</f>
        <v>43.39</v>
      </c>
      <c r="G454" s="191">
        <f>IFERROR(__xludf.DUMMYFUNCTION("""COMPUTED_VALUE"""),1303811.0)</f>
        <v>1303811</v>
      </c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>
        <f>IFERROR(__xludf.DUMMYFUNCTION("""COMPUTED_VALUE"""),45726.5625)</f>
        <v>45726.5625</v>
      </c>
      <c r="C455" s="190">
        <f>IFERROR(__xludf.DUMMYFUNCTION("""COMPUTED_VALUE"""),43.35)</f>
        <v>43.35</v>
      </c>
      <c r="D455" s="190">
        <f>IFERROR(__xludf.DUMMYFUNCTION("""COMPUTED_VALUE"""),43.39)</f>
        <v>43.39</v>
      </c>
      <c r="E455" s="190">
        <f>IFERROR(__xludf.DUMMYFUNCTION("""COMPUTED_VALUE"""),43.01)</f>
        <v>43.01</v>
      </c>
      <c r="F455" s="190">
        <f>IFERROR(__xludf.DUMMYFUNCTION("""COMPUTED_VALUE"""),43.25)</f>
        <v>43.25</v>
      </c>
      <c r="G455" s="191">
        <f>IFERROR(__xludf.DUMMYFUNCTION("""COMPUTED_VALUE"""),1666507.0)</f>
        <v>1666507</v>
      </c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>
        <f>IFERROR(__xludf.DUMMYFUNCTION("""COMPUTED_VALUE"""),45727.5625)</f>
        <v>45727.5625</v>
      </c>
      <c r="C456" s="190">
        <f>IFERROR(__xludf.DUMMYFUNCTION("""COMPUTED_VALUE"""),42.49)</f>
        <v>42.49</v>
      </c>
      <c r="D456" s="190">
        <f>IFERROR(__xludf.DUMMYFUNCTION("""COMPUTED_VALUE"""),42.58)</f>
        <v>42.58</v>
      </c>
      <c r="E456" s="190">
        <f>IFERROR(__xludf.DUMMYFUNCTION("""COMPUTED_VALUE"""),41.87)</f>
        <v>41.87</v>
      </c>
      <c r="F456" s="190">
        <f>IFERROR(__xludf.DUMMYFUNCTION("""COMPUTED_VALUE"""),42.4)</f>
        <v>42.4</v>
      </c>
      <c r="G456" s="191">
        <f>IFERROR(__xludf.DUMMYFUNCTION("""COMPUTED_VALUE"""),6643735.0)</f>
        <v>6643735</v>
      </c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>
        <f>IFERROR(__xludf.DUMMYFUNCTION("""COMPUTED_VALUE"""),45728.5625)</f>
        <v>45728.5625</v>
      </c>
      <c r="C457" s="190">
        <f>IFERROR(__xludf.DUMMYFUNCTION("""COMPUTED_VALUE"""),42.43)</f>
        <v>42.43</v>
      </c>
      <c r="D457" s="190">
        <f>IFERROR(__xludf.DUMMYFUNCTION("""COMPUTED_VALUE"""),43.0)</f>
        <v>43</v>
      </c>
      <c r="E457" s="190">
        <f>IFERROR(__xludf.DUMMYFUNCTION("""COMPUTED_VALUE"""),42.43)</f>
        <v>42.43</v>
      </c>
      <c r="F457" s="190">
        <f>IFERROR(__xludf.DUMMYFUNCTION("""COMPUTED_VALUE"""),42.56)</f>
        <v>42.56</v>
      </c>
      <c r="G457" s="191">
        <f>IFERROR(__xludf.DUMMYFUNCTION("""COMPUTED_VALUE"""),1459790.0)</f>
        <v>1459790</v>
      </c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>
        <f>IFERROR(__xludf.DUMMYFUNCTION("""COMPUTED_VALUE"""),45729.5625)</f>
        <v>45729.5625</v>
      </c>
      <c r="C458" s="190">
        <f>IFERROR(__xludf.DUMMYFUNCTION("""COMPUTED_VALUE"""),43.25)</f>
        <v>43.25</v>
      </c>
      <c r="D458" s="190">
        <f>IFERROR(__xludf.DUMMYFUNCTION("""COMPUTED_VALUE"""),43.29)</f>
        <v>43.29</v>
      </c>
      <c r="E458" s="190">
        <f>IFERROR(__xludf.DUMMYFUNCTION("""COMPUTED_VALUE"""),42.28)</f>
        <v>42.28</v>
      </c>
      <c r="F458" s="190">
        <f>IFERROR(__xludf.DUMMYFUNCTION("""COMPUTED_VALUE"""),42.31)</f>
        <v>42.31</v>
      </c>
      <c r="G458" s="191">
        <f>IFERROR(__xludf.DUMMYFUNCTION("""COMPUTED_VALUE"""),1640407.0)</f>
        <v>1640407</v>
      </c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>
        <f>IFERROR(__xludf.DUMMYFUNCTION("""COMPUTED_VALUE"""),45730.5625)</f>
        <v>45730.5625</v>
      </c>
      <c r="C459" s="190">
        <f>IFERROR(__xludf.DUMMYFUNCTION("""COMPUTED_VALUE"""),42.18)</f>
        <v>42.18</v>
      </c>
      <c r="D459" s="190">
        <f>IFERROR(__xludf.DUMMYFUNCTION("""COMPUTED_VALUE"""),42.31)</f>
        <v>42.31</v>
      </c>
      <c r="E459" s="190">
        <f>IFERROR(__xludf.DUMMYFUNCTION("""COMPUTED_VALUE"""),42.0)</f>
        <v>42</v>
      </c>
      <c r="F459" s="190">
        <f>IFERROR(__xludf.DUMMYFUNCTION("""COMPUTED_VALUE"""),42.15)</f>
        <v>42.15</v>
      </c>
      <c r="G459" s="191">
        <f>IFERROR(__xludf.DUMMYFUNCTION("""COMPUTED_VALUE"""),1323564.0)</f>
        <v>1323564</v>
      </c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>
        <f>IFERROR(__xludf.DUMMYFUNCTION("""COMPUTED_VALUE"""),45733.5625)</f>
        <v>45733.5625</v>
      </c>
      <c r="C460" s="190">
        <f>IFERROR(__xludf.DUMMYFUNCTION("""COMPUTED_VALUE"""),42.56)</f>
        <v>42.56</v>
      </c>
      <c r="D460" s="190">
        <f>IFERROR(__xludf.DUMMYFUNCTION("""COMPUTED_VALUE"""),42.84)</f>
        <v>42.84</v>
      </c>
      <c r="E460" s="190">
        <f>IFERROR(__xludf.DUMMYFUNCTION("""COMPUTED_VALUE"""),42.41)</f>
        <v>42.41</v>
      </c>
      <c r="F460" s="190">
        <f>IFERROR(__xludf.DUMMYFUNCTION("""COMPUTED_VALUE"""),42.47)</f>
        <v>42.47</v>
      </c>
      <c r="G460" s="191">
        <f>IFERROR(__xludf.DUMMYFUNCTION("""COMPUTED_VALUE"""),2208287.0)</f>
        <v>2208287</v>
      </c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>
        <f>IFERROR(__xludf.DUMMYFUNCTION("""COMPUTED_VALUE"""),45734.5625)</f>
        <v>45734.5625</v>
      </c>
      <c r="C461" s="190">
        <f>IFERROR(__xludf.DUMMYFUNCTION("""COMPUTED_VALUE"""),42.79)</f>
        <v>42.79</v>
      </c>
      <c r="D461" s="190">
        <f>IFERROR(__xludf.DUMMYFUNCTION("""COMPUTED_VALUE"""),42.92)</f>
        <v>42.92</v>
      </c>
      <c r="E461" s="190">
        <f>IFERROR(__xludf.DUMMYFUNCTION("""COMPUTED_VALUE"""),42.55)</f>
        <v>42.55</v>
      </c>
      <c r="F461" s="190">
        <f>IFERROR(__xludf.DUMMYFUNCTION("""COMPUTED_VALUE"""),42.68)</f>
        <v>42.68</v>
      </c>
      <c r="G461" s="191">
        <f>IFERROR(__xludf.DUMMYFUNCTION("""COMPUTED_VALUE"""),1005545.0)</f>
        <v>1005545</v>
      </c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>
        <f>IFERROR(__xludf.DUMMYFUNCTION("""COMPUTED_VALUE"""),45735.5625)</f>
        <v>45735.5625</v>
      </c>
      <c r="C462" s="190">
        <f>IFERROR(__xludf.DUMMYFUNCTION("""COMPUTED_VALUE"""),42.68)</f>
        <v>42.68</v>
      </c>
      <c r="D462" s="190">
        <f>IFERROR(__xludf.DUMMYFUNCTION("""COMPUTED_VALUE"""),42.7)</f>
        <v>42.7</v>
      </c>
      <c r="E462" s="190">
        <f>IFERROR(__xludf.DUMMYFUNCTION("""COMPUTED_VALUE"""),42.14)</f>
        <v>42.14</v>
      </c>
      <c r="F462" s="190">
        <f>IFERROR(__xludf.DUMMYFUNCTION("""COMPUTED_VALUE"""),42.18)</f>
        <v>42.18</v>
      </c>
      <c r="G462" s="191">
        <f>IFERROR(__xludf.DUMMYFUNCTION("""COMPUTED_VALUE"""),1261691.0)</f>
        <v>1261691</v>
      </c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>
        <f>IFERROR(__xludf.DUMMYFUNCTION("""COMPUTED_VALUE"""),45736.5625)</f>
        <v>45736.5625</v>
      </c>
      <c r="C463" s="190">
        <f>IFERROR(__xludf.DUMMYFUNCTION("""COMPUTED_VALUE"""),42.63)</f>
        <v>42.63</v>
      </c>
      <c r="D463" s="190">
        <f>IFERROR(__xludf.DUMMYFUNCTION("""COMPUTED_VALUE"""),43.0)</f>
        <v>43</v>
      </c>
      <c r="E463" s="190">
        <f>IFERROR(__xludf.DUMMYFUNCTION("""COMPUTED_VALUE"""),42.63)</f>
        <v>42.63</v>
      </c>
      <c r="F463" s="190">
        <f>IFERROR(__xludf.DUMMYFUNCTION("""COMPUTED_VALUE"""),43.0)</f>
        <v>43</v>
      </c>
      <c r="G463" s="191">
        <f>IFERROR(__xludf.DUMMYFUNCTION("""COMPUTED_VALUE"""),851689.0)</f>
        <v>851689</v>
      </c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>
        <f>IFERROR(__xludf.DUMMYFUNCTION("""COMPUTED_VALUE"""),45737.5625)</f>
        <v>45737.5625</v>
      </c>
      <c r="C464" s="190">
        <f>IFERROR(__xludf.DUMMYFUNCTION("""COMPUTED_VALUE"""),42.99)</f>
        <v>42.99</v>
      </c>
      <c r="D464" s="190">
        <f>IFERROR(__xludf.DUMMYFUNCTION("""COMPUTED_VALUE"""),42.99)</f>
        <v>42.99</v>
      </c>
      <c r="E464" s="190">
        <f>IFERROR(__xludf.DUMMYFUNCTION("""COMPUTED_VALUE"""),42.64)</f>
        <v>42.64</v>
      </c>
      <c r="F464" s="190">
        <f>IFERROR(__xludf.DUMMYFUNCTION("""COMPUTED_VALUE"""),42.7)</f>
        <v>42.7</v>
      </c>
      <c r="G464" s="191">
        <f>IFERROR(__xludf.DUMMYFUNCTION("""COMPUTED_VALUE"""),504328.0)</f>
        <v>504328</v>
      </c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>
        <f>IFERROR(__xludf.DUMMYFUNCTION("""COMPUTED_VALUE"""),45740.5625)</f>
        <v>45740.5625</v>
      </c>
      <c r="C465" s="190">
        <f>IFERROR(__xludf.DUMMYFUNCTION("""COMPUTED_VALUE"""),42.99)</f>
        <v>42.99</v>
      </c>
      <c r="D465" s="190">
        <f>IFERROR(__xludf.DUMMYFUNCTION("""COMPUTED_VALUE"""),43.05)</f>
        <v>43.05</v>
      </c>
      <c r="E465" s="190">
        <f>IFERROR(__xludf.DUMMYFUNCTION("""COMPUTED_VALUE"""),42.59)</f>
        <v>42.59</v>
      </c>
      <c r="F465" s="190">
        <f>IFERROR(__xludf.DUMMYFUNCTION("""COMPUTED_VALUE"""),42.63)</f>
        <v>42.63</v>
      </c>
      <c r="G465" s="191">
        <f>IFERROR(__xludf.DUMMYFUNCTION("""COMPUTED_VALUE"""),809081.0)</f>
        <v>809081</v>
      </c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>
        <f>IFERROR(__xludf.DUMMYFUNCTION("""COMPUTED_VALUE"""),45741.5625)</f>
        <v>45741.5625</v>
      </c>
      <c r="C466" s="190">
        <f>IFERROR(__xludf.DUMMYFUNCTION("""COMPUTED_VALUE"""),42.99)</f>
        <v>42.99</v>
      </c>
      <c r="D466" s="190">
        <f>IFERROR(__xludf.DUMMYFUNCTION("""COMPUTED_VALUE"""),43.22)</f>
        <v>43.22</v>
      </c>
      <c r="E466" s="190">
        <f>IFERROR(__xludf.DUMMYFUNCTION("""COMPUTED_VALUE"""),42.89)</f>
        <v>42.89</v>
      </c>
      <c r="F466" s="190">
        <f>IFERROR(__xludf.DUMMYFUNCTION("""COMPUTED_VALUE"""),43.03)</f>
        <v>43.03</v>
      </c>
      <c r="G466" s="191">
        <f>IFERROR(__xludf.DUMMYFUNCTION("""COMPUTED_VALUE"""),1047313.0)</f>
        <v>1047313</v>
      </c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>
        <f>IFERROR(__xludf.DUMMYFUNCTION("""COMPUTED_VALUE"""),45742.5625)</f>
        <v>45742.5625</v>
      </c>
      <c r="C467" s="190">
        <f>IFERROR(__xludf.DUMMYFUNCTION("""COMPUTED_VALUE"""),43.12)</f>
        <v>43.12</v>
      </c>
      <c r="D467" s="190">
        <f>IFERROR(__xludf.DUMMYFUNCTION("""COMPUTED_VALUE"""),43.27)</f>
        <v>43.27</v>
      </c>
      <c r="E467" s="190">
        <f>IFERROR(__xludf.DUMMYFUNCTION("""COMPUTED_VALUE"""),42.92)</f>
        <v>42.92</v>
      </c>
      <c r="F467" s="190">
        <f>IFERROR(__xludf.DUMMYFUNCTION("""COMPUTED_VALUE"""),43.05)</f>
        <v>43.05</v>
      </c>
      <c r="G467" s="191">
        <f>IFERROR(__xludf.DUMMYFUNCTION("""COMPUTED_VALUE"""),1302584.0)</f>
        <v>1302584</v>
      </c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>
        <f>IFERROR(__xludf.DUMMYFUNCTION("""COMPUTED_VALUE"""),45743.5625)</f>
        <v>45743.5625</v>
      </c>
      <c r="C468" s="190">
        <f>IFERROR(__xludf.DUMMYFUNCTION("""COMPUTED_VALUE"""),42.37)</f>
        <v>42.37</v>
      </c>
      <c r="D468" s="190">
        <f>IFERROR(__xludf.DUMMYFUNCTION("""COMPUTED_VALUE"""),42.4)</f>
        <v>42.4</v>
      </c>
      <c r="E468" s="190">
        <f>IFERROR(__xludf.DUMMYFUNCTION("""COMPUTED_VALUE"""),42.21)</f>
        <v>42.21</v>
      </c>
      <c r="F468" s="190">
        <f>IFERROR(__xludf.DUMMYFUNCTION("""COMPUTED_VALUE"""),42.25)</f>
        <v>42.25</v>
      </c>
      <c r="G468" s="191">
        <f>IFERROR(__xludf.DUMMYFUNCTION("""COMPUTED_VALUE"""),1131175.0)</f>
        <v>1131175</v>
      </c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>
        <f>IFERROR(__xludf.DUMMYFUNCTION("""COMPUTED_VALUE"""),45744.5625)</f>
        <v>45744.5625</v>
      </c>
      <c r="C469" s="190">
        <f>IFERROR(__xludf.DUMMYFUNCTION("""COMPUTED_VALUE"""),41.89)</f>
        <v>41.89</v>
      </c>
      <c r="D469" s="190">
        <f>IFERROR(__xludf.DUMMYFUNCTION("""COMPUTED_VALUE"""),41.93)</f>
        <v>41.93</v>
      </c>
      <c r="E469" s="190">
        <f>IFERROR(__xludf.DUMMYFUNCTION("""COMPUTED_VALUE"""),41.57)</f>
        <v>41.57</v>
      </c>
      <c r="F469" s="190">
        <f>IFERROR(__xludf.DUMMYFUNCTION("""COMPUTED_VALUE"""),41.78)</f>
        <v>41.78</v>
      </c>
      <c r="G469" s="191">
        <f>IFERROR(__xludf.DUMMYFUNCTION("""COMPUTED_VALUE"""),2865526.0)</f>
        <v>2865526</v>
      </c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>
        <f>IFERROR(__xludf.DUMMYFUNCTION("""COMPUTED_VALUE"""),45747.5625)</f>
        <v>45747.5625</v>
      </c>
      <c r="C470" s="190">
        <f>IFERROR(__xludf.DUMMYFUNCTION("""COMPUTED_VALUE"""),40.59)</f>
        <v>40.59</v>
      </c>
      <c r="D470" s="190">
        <f>IFERROR(__xludf.DUMMYFUNCTION("""COMPUTED_VALUE"""),40.72)</f>
        <v>40.72</v>
      </c>
      <c r="E470" s="190">
        <f>IFERROR(__xludf.DUMMYFUNCTION("""COMPUTED_VALUE"""),40.29)</f>
        <v>40.29</v>
      </c>
      <c r="F470" s="190">
        <f>IFERROR(__xludf.DUMMYFUNCTION("""COMPUTED_VALUE"""),40.39)</f>
        <v>40.39</v>
      </c>
      <c r="G470" s="191">
        <f>IFERROR(__xludf.DUMMYFUNCTION("""COMPUTED_VALUE"""),4659112.0)</f>
        <v>4659112</v>
      </c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>
        <f>IFERROR(__xludf.DUMMYFUNCTION("""COMPUTED_VALUE"""),45748.5625)</f>
        <v>45748.5625</v>
      </c>
      <c r="C471" s="190">
        <f>IFERROR(__xludf.DUMMYFUNCTION("""COMPUTED_VALUE"""),40.54)</f>
        <v>40.54</v>
      </c>
      <c r="D471" s="190">
        <f>IFERROR(__xludf.DUMMYFUNCTION("""COMPUTED_VALUE"""),41.3)</f>
        <v>41.3</v>
      </c>
      <c r="E471" s="190">
        <f>IFERROR(__xludf.DUMMYFUNCTION("""COMPUTED_VALUE"""),40.54)</f>
        <v>40.54</v>
      </c>
      <c r="F471" s="190">
        <f>IFERROR(__xludf.DUMMYFUNCTION("""COMPUTED_VALUE"""),41.19)</f>
        <v>41.19</v>
      </c>
      <c r="G471" s="191">
        <f>IFERROR(__xludf.DUMMYFUNCTION("""COMPUTED_VALUE"""),1961319.0)</f>
        <v>1961319</v>
      </c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>
        <f>IFERROR(__xludf.DUMMYFUNCTION("""COMPUTED_VALUE"""),45749.5625)</f>
        <v>45749.5625</v>
      </c>
      <c r="C472" s="190">
        <f>IFERROR(__xludf.DUMMYFUNCTION("""COMPUTED_VALUE"""),41.19)</f>
        <v>41.19</v>
      </c>
      <c r="D472" s="190">
        <f>IFERROR(__xludf.DUMMYFUNCTION("""COMPUTED_VALUE"""),41.42)</f>
        <v>41.42</v>
      </c>
      <c r="E472" s="190">
        <f>IFERROR(__xludf.DUMMYFUNCTION("""COMPUTED_VALUE"""),41.12)</f>
        <v>41.12</v>
      </c>
      <c r="F472" s="190">
        <f>IFERROR(__xludf.DUMMYFUNCTION("""COMPUTED_VALUE"""),41.23)</f>
        <v>41.23</v>
      </c>
      <c r="G472" s="191">
        <f>IFERROR(__xludf.DUMMYFUNCTION("""COMPUTED_VALUE"""),871810.0)</f>
        <v>871810</v>
      </c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>
        <f>IFERROR(__xludf.DUMMYFUNCTION("""COMPUTED_VALUE"""),45754.5625)</f>
        <v>45754.5625</v>
      </c>
      <c r="C473" s="190">
        <f>IFERROR(__xludf.DUMMYFUNCTION("""COMPUTED_VALUE"""),37.11)</f>
        <v>37.11</v>
      </c>
      <c r="D473" s="190">
        <f>IFERROR(__xludf.DUMMYFUNCTION("""COMPUTED_VALUE"""),37.11)</f>
        <v>37.11</v>
      </c>
      <c r="E473" s="190">
        <f>IFERROR(__xludf.DUMMYFUNCTION("""COMPUTED_VALUE"""),37.11)</f>
        <v>37.11</v>
      </c>
      <c r="F473" s="190">
        <f>IFERROR(__xludf.DUMMYFUNCTION("""COMPUTED_VALUE"""),37.11)</f>
        <v>37.11</v>
      </c>
      <c r="G473" s="191">
        <f>IFERROR(__xludf.DUMMYFUNCTION("""COMPUTED_VALUE"""),3359457.0)</f>
        <v>3359457</v>
      </c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>
        <f>IFERROR(__xludf.DUMMYFUNCTION("""COMPUTED_VALUE"""),45755.5625)</f>
        <v>45755.5625</v>
      </c>
      <c r="C474" s="190">
        <f>IFERROR(__xludf.DUMMYFUNCTION("""COMPUTED_VALUE"""),34.87)</f>
        <v>34.87</v>
      </c>
      <c r="D474" s="190">
        <f>IFERROR(__xludf.DUMMYFUNCTION("""COMPUTED_VALUE"""),36.7)</f>
        <v>36.7</v>
      </c>
      <c r="E474" s="190">
        <f>IFERROR(__xludf.DUMMYFUNCTION("""COMPUTED_VALUE"""),34.58)</f>
        <v>34.58</v>
      </c>
      <c r="F474" s="190">
        <f>IFERROR(__xludf.DUMMYFUNCTION("""COMPUTED_VALUE"""),35.84)</f>
        <v>35.84</v>
      </c>
      <c r="G474" s="191">
        <f>IFERROR(__xludf.DUMMYFUNCTION("""COMPUTED_VALUE"""),1.1120211E7)</f>
        <v>11120211</v>
      </c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>
        <f>IFERROR(__xludf.DUMMYFUNCTION("""COMPUTED_VALUE"""),45756.5625)</f>
        <v>45756.5625</v>
      </c>
      <c r="C475" s="190">
        <f>IFERROR(__xludf.DUMMYFUNCTION("""COMPUTED_VALUE"""),35.68)</f>
        <v>35.68</v>
      </c>
      <c r="D475" s="190">
        <f>IFERROR(__xludf.DUMMYFUNCTION("""COMPUTED_VALUE"""),36.0)</f>
        <v>36</v>
      </c>
      <c r="E475" s="190">
        <f>IFERROR(__xludf.DUMMYFUNCTION("""COMPUTED_VALUE"""),33.82)</f>
        <v>33.82</v>
      </c>
      <c r="F475" s="190">
        <f>IFERROR(__xludf.DUMMYFUNCTION("""COMPUTED_VALUE"""),34.18)</f>
        <v>34.18</v>
      </c>
      <c r="G475" s="191">
        <f>IFERROR(__xludf.DUMMYFUNCTION("""COMPUTED_VALUE"""),8934343.0)</f>
        <v>8934343</v>
      </c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>
        <f>IFERROR(__xludf.DUMMYFUNCTION("""COMPUTED_VALUE"""),45757.5625)</f>
        <v>45757.5625</v>
      </c>
      <c r="C476" s="190">
        <f>IFERROR(__xludf.DUMMYFUNCTION("""COMPUTED_VALUE"""),37.59)</f>
        <v>37.59</v>
      </c>
      <c r="D476" s="190">
        <f>IFERROR(__xludf.DUMMYFUNCTION("""COMPUTED_VALUE"""),37.59)</f>
        <v>37.59</v>
      </c>
      <c r="E476" s="190">
        <f>IFERROR(__xludf.DUMMYFUNCTION("""COMPUTED_VALUE"""),37.59)</f>
        <v>37.59</v>
      </c>
      <c r="F476" s="190">
        <f>IFERROR(__xludf.DUMMYFUNCTION("""COMPUTED_VALUE"""),37.59)</f>
        <v>37.59</v>
      </c>
      <c r="G476" s="191">
        <f>IFERROR(__xludf.DUMMYFUNCTION("""COMPUTED_VALUE"""),839872.0)</f>
        <v>839872</v>
      </c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>
        <f>IFERROR(__xludf.DUMMYFUNCTION("""COMPUTED_VALUE"""),45758.5625)</f>
        <v>45758.5625</v>
      </c>
      <c r="C477" s="190">
        <f>IFERROR(__xludf.DUMMYFUNCTION("""COMPUTED_VALUE"""),36.88)</f>
        <v>36.88</v>
      </c>
      <c r="D477" s="190">
        <f>IFERROR(__xludf.DUMMYFUNCTION("""COMPUTED_VALUE"""),38.36)</f>
        <v>38.36</v>
      </c>
      <c r="E477" s="190">
        <f>IFERROR(__xludf.DUMMYFUNCTION("""COMPUTED_VALUE"""),36.35)</f>
        <v>36.35</v>
      </c>
      <c r="F477" s="190">
        <f>IFERROR(__xludf.DUMMYFUNCTION("""COMPUTED_VALUE"""),38.36)</f>
        <v>38.36</v>
      </c>
      <c r="G477" s="191">
        <f>IFERROR(__xludf.DUMMYFUNCTION("""COMPUTED_VALUE"""),4472391.0)</f>
        <v>4472391</v>
      </c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>
        <f>IFERROR(__xludf.DUMMYFUNCTION("""COMPUTED_VALUE"""),45761.5625)</f>
        <v>45761.5625</v>
      </c>
      <c r="C478" s="190">
        <f>IFERROR(__xludf.DUMMYFUNCTION("""COMPUTED_VALUE"""),39.12)</f>
        <v>39.12</v>
      </c>
      <c r="D478" s="190">
        <f>IFERROR(__xludf.DUMMYFUNCTION("""COMPUTED_VALUE"""),39.23)</f>
        <v>39.23</v>
      </c>
      <c r="E478" s="190">
        <f>IFERROR(__xludf.DUMMYFUNCTION("""COMPUTED_VALUE"""),38.15)</f>
        <v>38.15</v>
      </c>
      <c r="F478" s="190">
        <f>IFERROR(__xludf.DUMMYFUNCTION("""COMPUTED_VALUE"""),38.18)</f>
        <v>38.18</v>
      </c>
      <c r="G478" s="191">
        <f>IFERROR(__xludf.DUMMYFUNCTION("""COMPUTED_VALUE"""),2852796.0)</f>
        <v>2852796</v>
      </c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>
        <f>IFERROR(__xludf.DUMMYFUNCTION("""COMPUTED_VALUE"""),45762.5625)</f>
        <v>45762.5625</v>
      </c>
      <c r="C479" s="190">
        <f>IFERROR(__xludf.DUMMYFUNCTION("""COMPUTED_VALUE"""),38.34)</f>
        <v>38.34</v>
      </c>
      <c r="D479" s="190">
        <f>IFERROR(__xludf.DUMMYFUNCTION("""COMPUTED_VALUE"""),38.68)</f>
        <v>38.68</v>
      </c>
      <c r="E479" s="190">
        <f>IFERROR(__xludf.DUMMYFUNCTION("""COMPUTED_VALUE"""),38.16)</f>
        <v>38.16</v>
      </c>
      <c r="F479" s="190">
        <f>IFERROR(__xludf.DUMMYFUNCTION("""COMPUTED_VALUE"""),38.59)</f>
        <v>38.59</v>
      </c>
      <c r="G479" s="191">
        <f>IFERROR(__xludf.DUMMYFUNCTION("""COMPUTED_VALUE"""),1033943.0)</f>
        <v>1033943</v>
      </c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>
        <f>IFERROR(__xludf.DUMMYFUNCTION("""COMPUTED_VALUE"""),45763.5625)</f>
        <v>45763.5625</v>
      </c>
      <c r="C480" s="190">
        <f>IFERROR(__xludf.DUMMYFUNCTION("""COMPUTED_VALUE"""),38.32)</f>
        <v>38.32</v>
      </c>
      <c r="D480" s="190">
        <f>IFERROR(__xludf.DUMMYFUNCTION("""COMPUTED_VALUE"""),38.32)</f>
        <v>38.32</v>
      </c>
      <c r="E480" s="190">
        <f>IFERROR(__xludf.DUMMYFUNCTION("""COMPUTED_VALUE"""),37.81)</f>
        <v>37.81</v>
      </c>
      <c r="F480" s="190">
        <f>IFERROR(__xludf.DUMMYFUNCTION("""COMPUTED_VALUE"""),37.95)</f>
        <v>37.95</v>
      </c>
      <c r="G480" s="191">
        <f>IFERROR(__xludf.DUMMYFUNCTION("""COMPUTED_VALUE"""),2118557.0)</f>
        <v>2118557</v>
      </c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>
        <f>IFERROR(__xludf.DUMMYFUNCTION("""COMPUTED_VALUE"""),45764.5625)</f>
        <v>45764.5625</v>
      </c>
      <c r="C481" s="190">
        <f>IFERROR(__xludf.DUMMYFUNCTION("""COMPUTED_VALUE"""),37.74)</f>
        <v>37.74</v>
      </c>
      <c r="D481" s="190">
        <f>IFERROR(__xludf.DUMMYFUNCTION("""COMPUTED_VALUE"""),37.82)</f>
        <v>37.82</v>
      </c>
      <c r="E481" s="190">
        <f>IFERROR(__xludf.DUMMYFUNCTION("""COMPUTED_VALUE"""),37.35)</f>
        <v>37.35</v>
      </c>
      <c r="F481" s="190">
        <f>IFERROR(__xludf.DUMMYFUNCTION("""COMPUTED_VALUE"""),37.68)</f>
        <v>37.68</v>
      </c>
      <c r="G481" s="191">
        <f>IFERROR(__xludf.DUMMYFUNCTION("""COMPUTED_VALUE"""),998102.0)</f>
        <v>998102</v>
      </c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>
        <f>IFERROR(__xludf.DUMMYFUNCTION("""COMPUTED_VALUE"""),45765.5625)</f>
        <v>45765.5625</v>
      </c>
      <c r="C482" s="190">
        <f>IFERROR(__xludf.DUMMYFUNCTION("""COMPUTED_VALUE"""),37.73)</f>
        <v>37.73</v>
      </c>
      <c r="D482" s="190">
        <f>IFERROR(__xludf.DUMMYFUNCTION("""COMPUTED_VALUE"""),37.91)</f>
        <v>37.91</v>
      </c>
      <c r="E482" s="190">
        <f>IFERROR(__xludf.DUMMYFUNCTION("""COMPUTED_VALUE"""),37.64)</f>
        <v>37.64</v>
      </c>
      <c r="F482" s="190">
        <f>IFERROR(__xludf.DUMMYFUNCTION("""COMPUTED_VALUE"""),37.84)</f>
        <v>37.84</v>
      </c>
      <c r="G482" s="191">
        <f>IFERROR(__xludf.DUMMYFUNCTION("""COMPUTED_VALUE"""),1026223.0)</f>
        <v>1026223</v>
      </c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>
        <f>IFERROR(__xludf.DUMMYFUNCTION("""COMPUTED_VALUE"""),45768.5625)</f>
        <v>45768.5625</v>
      </c>
      <c r="C483" s="190">
        <f>IFERROR(__xludf.DUMMYFUNCTION("""COMPUTED_VALUE"""),37.68)</f>
        <v>37.68</v>
      </c>
      <c r="D483" s="190">
        <f>IFERROR(__xludf.DUMMYFUNCTION("""COMPUTED_VALUE"""),37.68)</f>
        <v>37.68</v>
      </c>
      <c r="E483" s="190">
        <f>IFERROR(__xludf.DUMMYFUNCTION("""COMPUTED_VALUE"""),37.18)</f>
        <v>37.18</v>
      </c>
      <c r="F483" s="190">
        <f>IFERROR(__xludf.DUMMYFUNCTION("""COMPUTED_VALUE"""),37.23)</f>
        <v>37.23</v>
      </c>
      <c r="G483" s="191">
        <f>IFERROR(__xludf.DUMMYFUNCTION("""COMPUTED_VALUE"""),1474588.0)</f>
        <v>1474588</v>
      </c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>
        <f>IFERROR(__xludf.DUMMYFUNCTION("""COMPUTED_VALUE"""),45769.5625)</f>
        <v>45769.5625</v>
      </c>
      <c r="C484" s="190">
        <f>IFERROR(__xludf.DUMMYFUNCTION("""COMPUTED_VALUE"""),36.86)</f>
        <v>36.86</v>
      </c>
      <c r="D484" s="190">
        <f>IFERROR(__xludf.DUMMYFUNCTION("""COMPUTED_VALUE"""),37.07)</f>
        <v>37.07</v>
      </c>
      <c r="E484" s="190">
        <f>IFERROR(__xludf.DUMMYFUNCTION("""COMPUTED_VALUE"""),36.62)</f>
        <v>36.62</v>
      </c>
      <c r="F484" s="190">
        <f>IFERROR(__xludf.DUMMYFUNCTION("""COMPUTED_VALUE"""),36.68)</f>
        <v>36.68</v>
      </c>
      <c r="G484" s="191">
        <f>IFERROR(__xludf.DUMMYFUNCTION("""COMPUTED_VALUE"""),1681142.0)</f>
        <v>1681142</v>
      </c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>
        <f>IFERROR(__xludf.DUMMYFUNCTION("""COMPUTED_VALUE"""),45770.5625)</f>
        <v>45770.5625</v>
      </c>
      <c r="C485" s="190">
        <f>IFERROR(__xludf.DUMMYFUNCTION("""COMPUTED_VALUE"""),37.66)</f>
        <v>37.66</v>
      </c>
      <c r="D485" s="190">
        <f>IFERROR(__xludf.DUMMYFUNCTION("""COMPUTED_VALUE"""),38.26)</f>
        <v>38.26</v>
      </c>
      <c r="E485" s="190">
        <f>IFERROR(__xludf.DUMMYFUNCTION("""COMPUTED_VALUE"""),37.64)</f>
        <v>37.64</v>
      </c>
      <c r="F485" s="190">
        <f>IFERROR(__xludf.DUMMYFUNCTION("""COMPUTED_VALUE"""),38.19)</f>
        <v>38.19</v>
      </c>
      <c r="G485" s="191">
        <f>IFERROR(__xludf.DUMMYFUNCTION("""COMPUTED_VALUE"""),1290875.0)</f>
        <v>1290875</v>
      </c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>
        <f>IFERROR(__xludf.DUMMYFUNCTION("""COMPUTED_VALUE"""),45771.5625)</f>
        <v>45771.5625</v>
      </c>
      <c r="C486" s="190">
        <f>IFERROR(__xludf.DUMMYFUNCTION("""COMPUTED_VALUE"""),38.32)</f>
        <v>38.32</v>
      </c>
      <c r="D486" s="190">
        <f>IFERROR(__xludf.DUMMYFUNCTION("""COMPUTED_VALUE"""),38.42)</f>
        <v>38.42</v>
      </c>
      <c r="E486" s="190">
        <f>IFERROR(__xludf.DUMMYFUNCTION("""COMPUTED_VALUE"""),37.82)</f>
        <v>37.82</v>
      </c>
      <c r="F486" s="190">
        <f>IFERROR(__xludf.DUMMYFUNCTION("""COMPUTED_VALUE"""),37.95)</f>
        <v>37.95</v>
      </c>
      <c r="G486" s="191">
        <f>IFERROR(__xludf.DUMMYFUNCTION("""COMPUTED_VALUE"""),838803.0)</f>
        <v>838803</v>
      </c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>
        <f>IFERROR(__xludf.DUMMYFUNCTION("""COMPUTED_VALUE"""),45772.5625)</f>
        <v>45772.5625</v>
      </c>
      <c r="C487" s="190">
        <f>IFERROR(__xludf.DUMMYFUNCTION("""COMPUTED_VALUE"""),38.9)</f>
        <v>38.9</v>
      </c>
      <c r="D487" s="190">
        <f>IFERROR(__xludf.DUMMYFUNCTION("""COMPUTED_VALUE"""),39.1)</f>
        <v>39.1</v>
      </c>
      <c r="E487" s="190">
        <f>IFERROR(__xludf.DUMMYFUNCTION("""COMPUTED_VALUE"""),38.72)</f>
        <v>38.72</v>
      </c>
      <c r="F487" s="190">
        <f>IFERROR(__xludf.DUMMYFUNCTION("""COMPUTED_VALUE"""),38.8)</f>
        <v>38.8</v>
      </c>
      <c r="G487" s="191">
        <f>IFERROR(__xludf.DUMMYFUNCTION("""COMPUTED_VALUE"""),1425216.0)</f>
        <v>1425216</v>
      </c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>
        <f>IFERROR(__xludf.DUMMYFUNCTION("""COMPUTED_VALUE"""),45775.5625)</f>
        <v>45775.5625</v>
      </c>
      <c r="C488" s="190">
        <f>IFERROR(__xludf.DUMMYFUNCTION("""COMPUTED_VALUE"""),39.0)</f>
        <v>39</v>
      </c>
      <c r="D488" s="190">
        <f>IFERROR(__xludf.DUMMYFUNCTION("""COMPUTED_VALUE"""),39.18)</f>
        <v>39.18</v>
      </c>
      <c r="E488" s="190">
        <f>IFERROR(__xludf.DUMMYFUNCTION("""COMPUTED_VALUE"""),38.99)</f>
        <v>38.99</v>
      </c>
      <c r="F488" s="190">
        <f>IFERROR(__xludf.DUMMYFUNCTION("""COMPUTED_VALUE"""),39.1)</f>
        <v>39.1</v>
      </c>
      <c r="G488" s="191">
        <f>IFERROR(__xludf.DUMMYFUNCTION("""COMPUTED_VALUE"""),1662626.0)</f>
        <v>1662626</v>
      </c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>
        <f>IFERROR(__xludf.DUMMYFUNCTION("""COMPUTED_VALUE"""),45776.5625)</f>
        <v>45776.5625</v>
      </c>
      <c r="C489" s="190">
        <f>IFERROR(__xludf.DUMMYFUNCTION("""COMPUTED_VALUE"""),39.09)</f>
        <v>39.09</v>
      </c>
      <c r="D489" s="190">
        <f>IFERROR(__xludf.DUMMYFUNCTION("""COMPUTED_VALUE"""),39.36)</f>
        <v>39.36</v>
      </c>
      <c r="E489" s="190">
        <f>IFERROR(__xludf.DUMMYFUNCTION("""COMPUTED_VALUE"""),38.97)</f>
        <v>38.97</v>
      </c>
      <c r="F489" s="190">
        <f>IFERROR(__xludf.DUMMYFUNCTION("""COMPUTED_VALUE"""),39.27)</f>
        <v>39.27</v>
      </c>
      <c r="G489" s="191">
        <f>IFERROR(__xludf.DUMMYFUNCTION("""COMPUTED_VALUE"""),2079725.0)</f>
        <v>2079725</v>
      </c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>
        <f>IFERROR(__xludf.DUMMYFUNCTION("""COMPUTED_VALUE"""),45777.5625)</f>
        <v>45777.5625</v>
      </c>
      <c r="C490" s="190">
        <f>IFERROR(__xludf.DUMMYFUNCTION("""COMPUTED_VALUE"""),39.27)</f>
        <v>39.27</v>
      </c>
      <c r="D490" s="190">
        <f>IFERROR(__xludf.DUMMYFUNCTION("""COMPUTED_VALUE"""),39.47)</f>
        <v>39.47</v>
      </c>
      <c r="E490" s="190">
        <f>IFERROR(__xludf.DUMMYFUNCTION("""COMPUTED_VALUE"""),39.18)</f>
        <v>39.18</v>
      </c>
      <c r="F490" s="190">
        <f>IFERROR(__xludf.DUMMYFUNCTION("""COMPUTED_VALUE"""),39.29)</f>
        <v>39.29</v>
      </c>
      <c r="G490" s="191">
        <f>IFERROR(__xludf.DUMMYFUNCTION("""COMPUTED_VALUE"""),878418.0)</f>
        <v>878418</v>
      </c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>
        <f>IFERROR(__xludf.DUMMYFUNCTION("""COMPUTED_VALUE"""),45779.5625)</f>
        <v>45779.5625</v>
      </c>
      <c r="C491" s="190">
        <f>IFERROR(__xludf.DUMMYFUNCTION("""COMPUTED_VALUE"""),40.05)</f>
        <v>40.05</v>
      </c>
      <c r="D491" s="190">
        <f>IFERROR(__xludf.DUMMYFUNCTION("""COMPUTED_VALUE"""),40.41)</f>
        <v>40.41</v>
      </c>
      <c r="E491" s="190">
        <f>IFERROR(__xludf.DUMMYFUNCTION("""COMPUTED_VALUE"""),40.05)</f>
        <v>40.05</v>
      </c>
      <c r="F491" s="190">
        <f>IFERROR(__xludf.DUMMYFUNCTION("""COMPUTED_VALUE"""),40.41)</f>
        <v>40.41</v>
      </c>
      <c r="G491" s="191">
        <f>IFERROR(__xludf.DUMMYFUNCTION("""COMPUTED_VALUE"""),1405525.0)</f>
        <v>1405525</v>
      </c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>
        <f>IFERROR(__xludf.DUMMYFUNCTION("""COMPUTED_VALUE"""),45782.5625)</f>
        <v>45782.5625</v>
      </c>
      <c r="C492" s="190">
        <f>IFERROR(__xludf.DUMMYFUNCTION("""COMPUTED_VALUE"""),40.74)</f>
        <v>40.74</v>
      </c>
      <c r="D492" s="190">
        <f>IFERROR(__xludf.DUMMYFUNCTION("""COMPUTED_VALUE"""),40.79)</f>
        <v>40.79</v>
      </c>
      <c r="E492" s="190">
        <f>IFERROR(__xludf.DUMMYFUNCTION("""COMPUTED_VALUE"""),39.6)</f>
        <v>39.6</v>
      </c>
      <c r="F492" s="190">
        <f>IFERROR(__xludf.DUMMYFUNCTION("""COMPUTED_VALUE"""),39.98)</f>
        <v>39.98</v>
      </c>
      <c r="G492" s="191">
        <f>IFERROR(__xludf.DUMMYFUNCTION("""COMPUTED_VALUE"""),2063383.0)</f>
        <v>2063383</v>
      </c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>
        <f>IFERROR(__xludf.DUMMYFUNCTION("""COMPUTED_VALUE"""),45783.5625)</f>
        <v>45783.5625</v>
      </c>
      <c r="C493" s="190">
        <f>IFERROR(__xludf.DUMMYFUNCTION("""COMPUTED_VALUE"""),39.55)</f>
        <v>39.55</v>
      </c>
      <c r="D493" s="190">
        <f>IFERROR(__xludf.DUMMYFUNCTION("""COMPUTED_VALUE"""),40.07)</f>
        <v>40.07</v>
      </c>
      <c r="E493" s="190">
        <f>IFERROR(__xludf.DUMMYFUNCTION("""COMPUTED_VALUE"""),39.45)</f>
        <v>39.45</v>
      </c>
      <c r="F493" s="190">
        <f>IFERROR(__xludf.DUMMYFUNCTION("""COMPUTED_VALUE"""),39.86)</f>
        <v>39.86</v>
      </c>
      <c r="G493" s="191">
        <f>IFERROR(__xludf.DUMMYFUNCTION("""COMPUTED_VALUE"""),2201601.0)</f>
        <v>2201601</v>
      </c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>
        <f>IFERROR(__xludf.DUMMYFUNCTION("""COMPUTED_VALUE"""),45784.5625)</f>
        <v>45784.5625</v>
      </c>
      <c r="C494" s="190">
        <f>IFERROR(__xludf.DUMMYFUNCTION("""COMPUTED_VALUE"""),40.0)</f>
        <v>40</v>
      </c>
      <c r="D494" s="190">
        <f>IFERROR(__xludf.DUMMYFUNCTION("""COMPUTED_VALUE"""),40.1)</f>
        <v>40.1</v>
      </c>
      <c r="E494" s="190">
        <f>IFERROR(__xludf.DUMMYFUNCTION("""COMPUTED_VALUE"""),39.57)</f>
        <v>39.57</v>
      </c>
      <c r="F494" s="190">
        <f>IFERROR(__xludf.DUMMYFUNCTION("""COMPUTED_VALUE"""),39.81)</f>
        <v>39.81</v>
      </c>
      <c r="G494" s="191">
        <f>IFERROR(__xludf.DUMMYFUNCTION("""COMPUTED_VALUE"""),1203053.0)</f>
        <v>1203053</v>
      </c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>
        <f>IFERROR(__xludf.DUMMYFUNCTION("""COMPUTED_VALUE"""),45785.5625)</f>
        <v>45785.5625</v>
      </c>
      <c r="C495" s="190">
        <f>IFERROR(__xludf.DUMMYFUNCTION("""COMPUTED_VALUE"""),40.17)</f>
        <v>40.17</v>
      </c>
      <c r="D495" s="190">
        <f>IFERROR(__xludf.DUMMYFUNCTION("""COMPUTED_VALUE"""),40.39)</f>
        <v>40.39</v>
      </c>
      <c r="E495" s="190">
        <f>IFERROR(__xludf.DUMMYFUNCTION("""COMPUTED_VALUE"""),40.0)</f>
        <v>40</v>
      </c>
      <c r="F495" s="190">
        <f>IFERROR(__xludf.DUMMYFUNCTION("""COMPUTED_VALUE"""),40.24)</f>
        <v>40.24</v>
      </c>
      <c r="G495" s="191">
        <f>IFERROR(__xludf.DUMMYFUNCTION("""COMPUTED_VALUE"""),746524.0)</f>
        <v>746524</v>
      </c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>
        <f>IFERROR(__xludf.DUMMYFUNCTION("""COMPUTED_VALUE"""),45786.5625)</f>
        <v>45786.5625</v>
      </c>
      <c r="C496" s="190">
        <f>IFERROR(__xludf.DUMMYFUNCTION("""COMPUTED_VALUE"""),40.28)</f>
        <v>40.28</v>
      </c>
      <c r="D496" s="190">
        <f>IFERROR(__xludf.DUMMYFUNCTION("""COMPUTED_VALUE"""),40.71)</f>
        <v>40.71</v>
      </c>
      <c r="E496" s="190">
        <f>IFERROR(__xludf.DUMMYFUNCTION("""COMPUTED_VALUE"""),40.25)</f>
        <v>40.25</v>
      </c>
      <c r="F496" s="190">
        <f>IFERROR(__xludf.DUMMYFUNCTION("""COMPUTED_VALUE"""),40.69)</f>
        <v>40.69</v>
      </c>
      <c r="G496" s="191">
        <f>IFERROR(__xludf.DUMMYFUNCTION("""COMPUTED_VALUE"""),1095806.0)</f>
        <v>1095806</v>
      </c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>
        <f>IFERROR(__xludf.DUMMYFUNCTION("""COMPUTED_VALUE"""),45789.5625)</f>
        <v>45789.5625</v>
      </c>
      <c r="C497" s="190">
        <f>IFERROR(__xludf.DUMMYFUNCTION("""COMPUTED_VALUE"""),40.98)</f>
        <v>40.98</v>
      </c>
      <c r="D497" s="190">
        <f>IFERROR(__xludf.DUMMYFUNCTION("""COMPUTED_VALUE"""),41.21)</f>
        <v>41.21</v>
      </c>
      <c r="E497" s="190">
        <f>IFERROR(__xludf.DUMMYFUNCTION("""COMPUTED_VALUE"""),40.98)</f>
        <v>40.98</v>
      </c>
      <c r="F497" s="190">
        <f>IFERROR(__xludf.DUMMYFUNCTION("""COMPUTED_VALUE"""),41.11)</f>
        <v>41.11</v>
      </c>
      <c r="G497" s="191">
        <f>IFERROR(__xludf.DUMMYFUNCTION("""COMPUTED_VALUE"""),1003379.0)</f>
        <v>1003379</v>
      </c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>
        <f>IFERROR(__xludf.DUMMYFUNCTION("""COMPUTED_VALUE"""),45790.5625)</f>
        <v>45790.5625</v>
      </c>
      <c r="C498" s="190">
        <f>IFERROR(__xludf.DUMMYFUNCTION("""COMPUTED_VALUE"""),42.05)</f>
        <v>42.05</v>
      </c>
      <c r="D498" s="190">
        <f>IFERROR(__xludf.DUMMYFUNCTION("""COMPUTED_VALUE"""),42.05)</f>
        <v>42.05</v>
      </c>
      <c r="E498" s="190">
        <f>IFERROR(__xludf.DUMMYFUNCTION("""COMPUTED_VALUE"""),41.59)</f>
        <v>41.59</v>
      </c>
      <c r="F498" s="190">
        <f>IFERROR(__xludf.DUMMYFUNCTION("""COMPUTED_VALUE"""),41.62)</f>
        <v>41.62</v>
      </c>
      <c r="G498" s="191">
        <f>IFERROR(__xludf.DUMMYFUNCTION("""COMPUTED_VALUE"""),2158550.0)</f>
        <v>2158550</v>
      </c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>
        <f>IFERROR(__xludf.DUMMYFUNCTION("""COMPUTED_VALUE"""),45791.5625)</f>
        <v>45791.5625</v>
      </c>
      <c r="C499" s="190">
        <f>IFERROR(__xludf.DUMMYFUNCTION("""COMPUTED_VALUE"""),42.15)</f>
        <v>42.15</v>
      </c>
      <c r="D499" s="190">
        <f>IFERROR(__xludf.DUMMYFUNCTION("""COMPUTED_VALUE"""),42.5)</f>
        <v>42.5</v>
      </c>
      <c r="E499" s="190">
        <f>IFERROR(__xludf.DUMMYFUNCTION("""COMPUTED_VALUE"""),42.14)</f>
        <v>42.14</v>
      </c>
      <c r="F499" s="190">
        <f>IFERROR(__xludf.DUMMYFUNCTION("""COMPUTED_VALUE"""),42.5)</f>
        <v>42.5</v>
      </c>
      <c r="G499" s="191">
        <f>IFERROR(__xludf.DUMMYFUNCTION("""COMPUTED_VALUE"""),3251518.0)</f>
        <v>3251518</v>
      </c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>
        <f>IFERROR(__xludf.DUMMYFUNCTION("""COMPUTED_VALUE"""),45792.5625)</f>
        <v>45792.5625</v>
      </c>
      <c r="C500" s="190">
        <f>IFERROR(__xludf.DUMMYFUNCTION("""COMPUTED_VALUE"""),42.53)</f>
        <v>42.53</v>
      </c>
      <c r="D500" s="190">
        <f>IFERROR(__xludf.DUMMYFUNCTION("""COMPUTED_VALUE"""),42.54)</f>
        <v>42.54</v>
      </c>
      <c r="E500" s="190">
        <f>IFERROR(__xludf.DUMMYFUNCTION("""COMPUTED_VALUE"""),42.33)</f>
        <v>42.33</v>
      </c>
      <c r="F500" s="190">
        <f>IFERROR(__xludf.DUMMYFUNCTION("""COMPUTED_VALUE"""),42.43)</f>
        <v>42.43</v>
      </c>
      <c r="G500" s="191">
        <f>IFERROR(__xludf.DUMMYFUNCTION("""COMPUTED_VALUE"""),943284.0)</f>
        <v>943284</v>
      </c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>
        <f>IFERROR(__xludf.DUMMYFUNCTION("""COMPUTED_VALUE"""),45793.5625)</f>
        <v>45793.5625</v>
      </c>
      <c r="C501" s="190">
        <f>IFERROR(__xludf.DUMMYFUNCTION("""COMPUTED_VALUE"""),42.37)</f>
        <v>42.37</v>
      </c>
      <c r="D501" s="190">
        <f>IFERROR(__xludf.DUMMYFUNCTION("""COMPUTED_VALUE"""),42.6)</f>
        <v>42.6</v>
      </c>
      <c r="E501" s="190">
        <f>IFERROR(__xludf.DUMMYFUNCTION("""COMPUTED_VALUE"""),42.28)</f>
        <v>42.28</v>
      </c>
      <c r="F501" s="190">
        <f>IFERROR(__xludf.DUMMYFUNCTION("""COMPUTED_VALUE"""),42.5)</f>
        <v>42.5</v>
      </c>
      <c r="G501" s="191">
        <f>IFERROR(__xludf.DUMMYFUNCTION("""COMPUTED_VALUE"""),1296137.0)</f>
        <v>1296137</v>
      </c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>
        <f>IFERROR(__xludf.DUMMYFUNCTION("""COMPUTED_VALUE"""),45796.5625)</f>
        <v>45796.5625</v>
      </c>
      <c r="C502" s="190">
        <f>IFERROR(__xludf.DUMMYFUNCTION("""COMPUTED_VALUE"""),42.31)</f>
        <v>42.31</v>
      </c>
      <c r="D502" s="190">
        <f>IFERROR(__xludf.DUMMYFUNCTION("""COMPUTED_VALUE"""),42.37)</f>
        <v>42.37</v>
      </c>
      <c r="E502" s="190">
        <f>IFERROR(__xludf.DUMMYFUNCTION("""COMPUTED_VALUE"""),41.89)</f>
        <v>41.89</v>
      </c>
      <c r="F502" s="190">
        <f>IFERROR(__xludf.DUMMYFUNCTION("""COMPUTED_VALUE"""),41.95)</f>
        <v>41.95</v>
      </c>
      <c r="G502" s="191">
        <f>IFERROR(__xludf.DUMMYFUNCTION("""COMPUTED_VALUE"""),895100.0)</f>
        <v>895100</v>
      </c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>
        <f>IFERROR(__xludf.DUMMYFUNCTION("""COMPUTED_VALUE"""),45797.5625)</f>
        <v>45797.5625</v>
      </c>
      <c r="C503" s="190">
        <f>IFERROR(__xludf.DUMMYFUNCTION("""COMPUTED_VALUE"""),42.28)</f>
        <v>42.28</v>
      </c>
      <c r="D503" s="190">
        <f>IFERROR(__xludf.DUMMYFUNCTION("""COMPUTED_VALUE"""),42.35)</f>
        <v>42.35</v>
      </c>
      <c r="E503" s="190">
        <f>IFERROR(__xludf.DUMMYFUNCTION("""COMPUTED_VALUE"""),41.9)</f>
        <v>41.9</v>
      </c>
      <c r="F503" s="190">
        <f>IFERROR(__xludf.DUMMYFUNCTION("""COMPUTED_VALUE"""),41.97)</f>
        <v>41.97</v>
      </c>
      <c r="G503" s="191">
        <f>IFERROR(__xludf.DUMMYFUNCTION("""COMPUTED_VALUE"""),819644.0)</f>
        <v>819644</v>
      </c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>
        <f>IFERROR(__xludf.DUMMYFUNCTION("""COMPUTED_VALUE"""),45798.5625)</f>
        <v>45798.5625</v>
      </c>
      <c r="C504" s="190">
        <f>IFERROR(__xludf.DUMMYFUNCTION("""COMPUTED_VALUE"""),42.1)</f>
        <v>42.1</v>
      </c>
      <c r="D504" s="190">
        <f>IFERROR(__xludf.DUMMYFUNCTION("""COMPUTED_VALUE"""),42.5)</f>
        <v>42.5</v>
      </c>
      <c r="E504" s="190">
        <f>IFERROR(__xludf.DUMMYFUNCTION("""COMPUTED_VALUE"""),42.1)</f>
        <v>42.1</v>
      </c>
      <c r="F504" s="190">
        <f>IFERROR(__xludf.DUMMYFUNCTION("""COMPUTED_VALUE"""),42.5)</f>
        <v>42.5</v>
      </c>
      <c r="G504" s="191">
        <f>IFERROR(__xludf.DUMMYFUNCTION("""COMPUTED_VALUE"""),1618395.0)</f>
        <v>1618395</v>
      </c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>
        <f>IFERROR(__xludf.DUMMYFUNCTION("""COMPUTED_VALUE"""),45799.5625)</f>
        <v>45799.5625</v>
      </c>
      <c r="C505" s="190">
        <f>IFERROR(__xludf.DUMMYFUNCTION("""COMPUTED_VALUE"""),42.1)</f>
        <v>42.1</v>
      </c>
      <c r="D505" s="190">
        <f>IFERROR(__xludf.DUMMYFUNCTION("""COMPUTED_VALUE"""),42.1)</f>
        <v>42.1</v>
      </c>
      <c r="E505" s="190">
        <f>IFERROR(__xludf.DUMMYFUNCTION("""COMPUTED_VALUE"""),41.85)</f>
        <v>41.85</v>
      </c>
      <c r="F505" s="190">
        <f>IFERROR(__xludf.DUMMYFUNCTION("""COMPUTED_VALUE"""),42.02)</f>
        <v>42.02</v>
      </c>
      <c r="G505" s="191">
        <f>IFERROR(__xludf.DUMMYFUNCTION("""COMPUTED_VALUE"""),922328.0)</f>
        <v>922328</v>
      </c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>
        <f>IFERROR(__xludf.DUMMYFUNCTION("""COMPUTED_VALUE"""),45800.5625)</f>
        <v>45800.5625</v>
      </c>
      <c r="C506" s="190">
        <f>IFERROR(__xludf.DUMMYFUNCTION("""COMPUTED_VALUE"""),42.31)</f>
        <v>42.31</v>
      </c>
      <c r="D506" s="190">
        <f>IFERROR(__xludf.DUMMYFUNCTION("""COMPUTED_VALUE"""),42.31)</f>
        <v>42.31</v>
      </c>
      <c r="E506" s="190">
        <f>IFERROR(__xludf.DUMMYFUNCTION("""COMPUTED_VALUE"""),41.8)</f>
        <v>41.8</v>
      </c>
      <c r="F506" s="190">
        <f>IFERROR(__xludf.DUMMYFUNCTION("""COMPUTED_VALUE"""),41.94)</f>
        <v>41.94</v>
      </c>
      <c r="G506" s="191">
        <f>IFERROR(__xludf.DUMMYFUNCTION("""COMPUTED_VALUE"""),846506.0)</f>
        <v>846506</v>
      </c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>
        <f>IFERROR(__xludf.DUMMYFUNCTION("""COMPUTED_VALUE"""),45803.5625)</f>
        <v>45803.5625</v>
      </c>
      <c r="C507" s="190">
        <f>IFERROR(__xludf.DUMMYFUNCTION("""COMPUTED_VALUE"""),41.94)</f>
        <v>41.94</v>
      </c>
      <c r="D507" s="190">
        <f>IFERROR(__xludf.DUMMYFUNCTION("""COMPUTED_VALUE"""),42.03)</f>
        <v>42.03</v>
      </c>
      <c r="E507" s="190">
        <f>IFERROR(__xludf.DUMMYFUNCTION("""COMPUTED_VALUE"""),41.77)</f>
        <v>41.77</v>
      </c>
      <c r="F507" s="190">
        <f>IFERROR(__xludf.DUMMYFUNCTION("""COMPUTED_VALUE"""),41.9)</f>
        <v>41.9</v>
      </c>
      <c r="G507" s="191">
        <f>IFERROR(__xludf.DUMMYFUNCTION("""COMPUTED_VALUE"""),1157401.0)</f>
        <v>1157401</v>
      </c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>
        <f>IFERROR(__xludf.DUMMYFUNCTION("""COMPUTED_VALUE"""),45804.5625)</f>
        <v>45804.5625</v>
      </c>
      <c r="C508" s="190">
        <f>IFERROR(__xludf.DUMMYFUNCTION("""COMPUTED_VALUE"""),41.81)</f>
        <v>41.81</v>
      </c>
      <c r="D508" s="190">
        <f>IFERROR(__xludf.DUMMYFUNCTION("""COMPUTED_VALUE"""),41.81)</f>
        <v>41.81</v>
      </c>
      <c r="E508" s="190">
        <f>IFERROR(__xludf.DUMMYFUNCTION("""COMPUTED_VALUE"""),41.35)</f>
        <v>41.35</v>
      </c>
      <c r="F508" s="190">
        <f>IFERROR(__xludf.DUMMYFUNCTION("""COMPUTED_VALUE"""),41.47)</f>
        <v>41.47</v>
      </c>
      <c r="G508" s="191">
        <f>IFERROR(__xludf.DUMMYFUNCTION("""COMPUTED_VALUE"""),827352.0)</f>
        <v>827352</v>
      </c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>
        <f>IFERROR(__xludf.DUMMYFUNCTION("""COMPUTED_VALUE"""),45805.5625)</f>
        <v>45805.5625</v>
      </c>
      <c r="C509" s="190">
        <f>IFERROR(__xludf.DUMMYFUNCTION("""COMPUTED_VALUE"""),41.9)</f>
        <v>41.9</v>
      </c>
      <c r="D509" s="190">
        <f>IFERROR(__xludf.DUMMYFUNCTION("""COMPUTED_VALUE"""),42.03)</f>
        <v>42.03</v>
      </c>
      <c r="E509" s="190">
        <f>IFERROR(__xludf.DUMMYFUNCTION("""COMPUTED_VALUE"""),41.43)</f>
        <v>41.43</v>
      </c>
      <c r="F509" s="190">
        <f>IFERROR(__xludf.DUMMYFUNCTION("""COMPUTED_VALUE"""),41.66)</f>
        <v>41.66</v>
      </c>
      <c r="G509" s="191">
        <f>IFERROR(__xludf.DUMMYFUNCTION("""COMPUTED_VALUE"""),673457.0)</f>
        <v>673457</v>
      </c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>
        <f>IFERROR(__xludf.DUMMYFUNCTION("""COMPUTED_VALUE"""),45806.5625)</f>
        <v>45806.5625</v>
      </c>
      <c r="C510" s="190">
        <f>IFERROR(__xludf.DUMMYFUNCTION("""COMPUTED_VALUE"""),41.9)</f>
        <v>41.9</v>
      </c>
      <c r="D510" s="190">
        <f>IFERROR(__xludf.DUMMYFUNCTION("""COMPUTED_VALUE"""),41.96)</f>
        <v>41.96</v>
      </c>
      <c r="E510" s="190">
        <f>IFERROR(__xludf.DUMMYFUNCTION("""COMPUTED_VALUE"""),41.6)</f>
        <v>41.6</v>
      </c>
      <c r="F510" s="190">
        <f>IFERROR(__xludf.DUMMYFUNCTION("""COMPUTED_VALUE"""),41.69)</f>
        <v>41.69</v>
      </c>
      <c r="G510" s="191">
        <f>IFERROR(__xludf.DUMMYFUNCTION("""COMPUTED_VALUE"""),1373669.0)</f>
        <v>1373669</v>
      </c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>
        <f>IFERROR(__xludf.DUMMYFUNCTION("""COMPUTED_VALUE"""),45810.5625)</f>
        <v>45810.5625</v>
      </c>
      <c r="C511" s="190">
        <f>IFERROR(__xludf.DUMMYFUNCTION("""COMPUTED_VALUE"""),41.16)</f>
        <v>41.16</v>
      </c>
      <c r="D511" s="190">
        <f>IFERROR(__xludf.DUMMYFUNCTION("""COMPUTED_VALUE"""),41.16)</f>
        <v>41.16</v>
      </c>
      <c r="E511" s="190">
        <f>IFERROR(__xludf.DUMMYFUNCTION("""COMPUTED_VALUE"""),40.68)</f>
        <v>40.68</v>
      </c>
      <c r="F511" s="190">
        <f>IFERROR(__xludf.DUMMYFUNCTION("""COMPUTED_VALUE"""),40.86)</f>
        <v>40.86</v>
      </c>
      <c r="G511" s="191">
        <f>IFERROR(__xludf.DUMMYFUNCTION("""COMPUTED_VALUE"""),1949110.0)</f>
        <v>1949110</v>
      </c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>
        <f>IFERROR(__xludf.DUMMYFUNCTION("""COMPUTED_VALUE"""),45811.5625)</f>
        <v>45811.5625</v>
      </c>
      <c r="C512" s="190">
        <f>IFERROR(__xludf.DUMMYFUNCTION("""COMPUTED_VALUE"""),41.31)</f>
        <v>41.31</v>
      </c>
      <c r="D512" s="190">
        <f>IFERROR(__xludf.DUMMYFUNCTION("""COMPUTED_VALUE"""),41.5)</f>
        <v>41.5</v>
      </c>
      <c r="E512" s="190">
        <f>IFERROR(__xludf.DUMMYFUNCTION("""COMPUTED_VALUE"""),41.03)</f>
        <v>41.03</v>
      </c>
      <c r="F512" s="190">
        <f>IFERROR(__xludf.DUMMYFUNCTION("""COMPUTED_VALUE"""),41.07)</f>
        <v>41.07</v>
      </c>
      <c r="G512" s="191">
        <f>IFERROR(__xludf.DUMMYFUNCTION("""COMPUTED_VALUE"""),1116384.0)</f>
        <v>1116384</v>
      </c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>
        <f>IFERROR(__xludf.DUMMYFUNCTION("""COMPUTED_VALUE"""),45812.5625)</f>
        <v>45812.5625</v>
      </c>
      <c r="C513" s="190">
        <f>IFERROR(__xludf.DUMMYFUNCTION("""COMPUTED_VALUE"""),41.7)</f>
        <v>41.7</v>
      </c>
      <c r="D513" s="190">
        <f>IFERROR(__xludf.DUMMYFUNCTION("""COMPUTED_VALUE"""),42.1)</f>
        <v>42.1</v>
      </c>
      <c r="E513" s="190">
        <f>IFERROR(__xludf.DUMMYFUNCTION("""COMPUTED_VALUE"""),41.64)</f>
        <v>41.64</v>
      </c>
      <c r="F513" s="190">
        <f>IFERROR(__xludf.DUMMYFUNCTION("""COMPUTED_VALUE"""),42.08)</f>
        <v>42.08</v>
      </c>
      <c r="G513" s="191">
        <f>IFERROR(__xludf.DUMMYFUNCTION("""COMPUTED_VALUE"""),1285741.0)</f>
        <v>1285741</v>
      </c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>
        <f>IFERROR(__xludf.DUMMYFUNCTION("""COMPUTED_VALUE"""),45813.5625)</f>
        <v>45813.5625</v>
      </c>
      <c r="C514" s="190">
        <f>IFERROR(__xludf.DUMMYFUNCTION("""COMPUTED_VALUE"""),42.24)</f>
        <v>42.24</v>
      </c>
      <c r="D514" s="190">
        <f>IFERROR(__xludf.DUMMYFUNCTION("""COMPUTED_VALUE"""),42.38)</f>
        <v>42.38</v>
      </c>
      <c r="E514" s="190">
        <f>IFERROR(__xludf.DUMMYFUNCTION("""COMPUTED_VALUE"""),42.11)</f>
        <v>42.11</v>
      </c>
      <c r="F514" s="190">
        <f>IFERROR(__xludf.DUMMYFUNCTION("""COMPUTED_VALUE"""),42.14)</f>
        <v>42.14</v>
      </c>
      <c r="G514" s="191">
        <f>IFERROR(__xludf.DUMMYFUNCTION("""COMPUTED_VALUE"""),1168594.0)</f>
        <v>1168594</v>
      </c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>
        <f>IFERROR(__xludf.DUMMYFUNCTION("""COMPUTED_VALUE"""),45814.5625)</f>
        <v>45814.5625</v>
      </c>
      <c r="C515" s="190">
        <f>IFERROR(__xludf.DUMMYFUNCTION("""COMPUTED_VALUE"""),42.08)</f>
        <v>42.08</v>
      </c>
      <c r="D515" s="190">
        <f>IFERROR(__xludf.DUMMYFUNCTION("""COMPUTED_VALUE"""),42.3)</f>
        <v>42.3</v>
      </c>
      <c r="E515" s="190">
        <f>IFERROR(__xludf.DUMMYFUNCTION("""COMPUTED_VALUE"""),42.08)</f>
        <v>42.08</v>
      </c>
      <c r="F515" s="190">
        <f>IFERROR(__xludf.DUMMYFUNCTION("""COMPUTED_VALUE"""),42.25)</f>
        <v>42.25</v>
      </c>
      <c r="G515" s="191">
        <f>IFERROR(__xludf.DUMMYFUNCTION("""COMPUTED_VALUE"""),1368093.0)</f>
        <v>1368093</v>
      </c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>
        <f>IFERROR(__xludf.DUMMYFUNCTION("""COMPUTED_VALUE"""),45817.5625)</f>
        <v>45817.5625</v>
      </c>
      <c r="C516" s="190">
        <f>IFERROR(__xludf.DUMMYFUNCTION("""COMPUTED_VALUE"""),42.57)</f>
        <v>42.57</v>
      </c>
      <c r="D516" s="190">
        <f>IFERROR(__xludf.DUMMYFUNCTION("""COMPUTED_VALUE"""),42.67)</f>
        <v>42.67</v>
      </c>
      <c r="E516" s="190">
        <f>IFERROR(__xludf.DUMMYFUNCTION("""COMPUTED_VALUE"""),42.46)</f>
        <v>42.46</v>
      </c>
      <c r="F516" s="190">
        <f>IFERROR(__xludf.DUMMYFUNCTION("""COMPUTED_VALUE"""),42.58)</f>
        <v>42.58</v>
      </c>
      <c r="G516" s="191">
        <f>IFERROR(__xludf.DUMMYFUNCTION("""COMPUTED_VALUE"""),1670968.0)</f>
        <v>1670968</v>
      </c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>
        <f>IFERROR(__xludf.DUMMYFUNCTION("""COMPUTED_VALUE"""),45818.5625)</f>
        <v>45818.5625</v>
      </c>
      <c r="C517" s="190">
        <f>IFERROR(__xludf.DUMMYFUNCTION("""COMPUTED_VALUE"""),42.95)</f>
        <v>42.95</v>
      </c>
      <c r="D517" s="190">
        <f>IFERROR(__xludf.DUMMYFUNCTION("""COMPUTED_VALUE"""),43.72)</f>
        <v>43.72</v>
      </c>
      <c r="E517" s="190">
        <f>IFERROR(__xludf.DUMMYFUNCTION("""COMPUTED_VALUE"""),42.95)</f>
        <v>42.95</v>
      </c>
      <c r="F517" s="190">
        <f>IFERROR(__xludf.DUMMYFUNCTION("""COMPUTED_VALUE"""),43.61)</f>
        <v>43.61</v>
      </c>
      <c r="G517" s="191">
        <f>IFERROR(__xludf.DUMMYFUNCTION("""COMPUTED_VALUE"""),3681021.0)</f>
        <v>3681021</v>
      </c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>
        <f>IFERROR(__xludf.DUMMYFUNCTION("""COMPUTED_VALUE"""),45819.5625)</f>
        <v>45819.5625</v>
      </c>
      <c r="C518" s="190">
        <f>IFERROR(__xludf.DUMMYFUNCTION("""COMPUTED_VALUE"""),44.05)</f>
        <v>44.05</v>
      </c>
      <c r="D518" s="190">
        <f>IFERROR(__xludf.DUMMYFUNCTION("""COMPUTED_VALUE"""),44.05)</f>
        <v>44.05</v>
      </c>
      <c r="E518" s="190">
        <f>IFERROR(__xludf.DUMMYFUNCTION("""COMPUTED_VALUE"""),43.75)</f>
        <v>43.75</v>
      </c>
      <c r="F518" s="190">
        <f>IFERROR(__xludf.DUMMYFUNCTION("""COMPUTED_VALUE"""),43.97)</f>
        <v>43.97</v>
      </c>
      <c r="G518" s="191">
        <f>IFERROR(__xludf.DUMMYFUNCTION("""COMPUTED_VALUE"""),2793545.0)</f>
        <v>2793545</v>
      </c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>
        <f>IFERROR(__xludf.DUMMYFUNCTION("""COMPUTED_VALUE"""),45820.5625)</f>
        <v>45820.5625</v>
      </c>
      <c r="C519" s="190">
        <f>IFERROR(__xludf.DUMMYFUNCTION("""COMPUTED_VALUE"""),43.9)</f>
        <v>43.9</v>
      </c>
      <c r="D519" s="190">
        <f>IFERROR(__xludf.DUMMYFUNCTION("""COMPUTED_VALUE"""),43.95)</f>
        <v>43.95</v>
      </c>
      <c r="E519" s="190">
        <f>IFERROR(__xludf.DUMMYFUNCTION("""COMPUTED_VALUE"""),43.71)</f>
        <v>43.71</v>
      </c>
      <c r="F519" s="190">
        <f>IFERROR(__xludf.DUMMYFUNCTION("""COMPUTED_VALUE"""),43.73)</f>
        <v>43.73</v>
      </c>
      <c r="G519" s="191">
        <f>IFERROR(__xludf.DUMMYFUNCTION("""COMPUTED_VALUE"""),1695340.0)</f>
        <v>1695340</v>
      </c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>
        <f>IFERROR(__xludf.DUMMYFUNCTION("""COMPUTED_VALUE"""),45821.5625)</f>
        <v>45821.5625</v>
      </c>
      <c r="C520" s="190">
        <f>IFERROR(__xludf.DUMMYFUNCTION("""COMPUTED_VALUE"""),43.47)</f>
        <v>43.47</v>
      </c>
      <c r="D520" s="190">
        <f>IFERROR(__xludf.DUMMYFUNCTION("""COMPUTED_VALUE"""),43.61)</f>
        <v>43.61</v>
      </c>
      <c r="E520" s="190">
        <f>IFERROR(__xludf.DUMMYFUNCTION("""COMPUTED_VALUE"""),43.1)</f>
        <v>43.1</v>
      </c>
      <c r="F520" s="190">
        <f>IFERROR(__xludf.DUMMYFUNCTION("""COMPUTED_VALUE"""),43.31)</f>
        <v>43.31</v>
      </c>
      <c r="G520" s="191">
        <f>IFERROR(__xludf.DUMMYFUNCTION("""COMPUTED_VALUE"""),1343553.0)</f>
        <v>1343553</v>
      </c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>
        <f>IFERROR(__xludf.DUMMYFUNCTION("""COMPUTED_VALUE"""),45824.5625)</f>
        <v>45824.5625</v>
      </c>
      <c r="C521" s="190">
        <f>IFERROR(__xludf.DUMMYFUNCTION("""COMPUTED_VALUE"""),43.28)</f>
        <v>43.28</v>
      </c>
      <c r="D521" s="190">
        <f>IFERROR(__xludf.DUMMYFUNCTION("""COMPUTED_VALUE"""),43.4)</f>
        <v>43.4</v>
      </c>
      <c r="E521" s="190">
        <f>IFERROR(__xludf.DUMMYFUNCTION("""COMPUTED_VALUE"""),43.1)</f>
        <v>43.1</v>
      </c>
      <c r="F521" s="190">
        <f>IFERROR(__xludf.DUMMYFUNCTION("""COMPUTED_VALUE"""),43.4)</f>
        <v>43.4</v>
      </c>
      <c r="G521" s="191">
        <f>IFERROR(__xludf.DUMMYFUNCTION("""COMPUTED_VALUE"""),1654781.0)</f>
        <v>1654781</v>
      </c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>
        <f>IFERROR(__xludf.DUMMYFUNCTION("""COMPUTED_VALUE"""),45825.5625)</f>
        <v>45825.5625</v>
      </c>
      <c r="C522" s="190">
        <f>IFERROR(__xludf.DUMMYFUNCTION("""COMPUTED_VALUE"""),43.82)</f>
        <v>43.82</v>
      </c>
      <c r="D522" s="190">
        <f>IFERROR(__xludf.DUMMYFUNCTION("""COMPUTED_VALUE"""),43.89)</f>
        <v>43.89</v>
      </c>
      <c r="E522" s="190">
        <f>IFERROR(__xludf.DUMMYFUNCTION("""COMPUTED_VALUE"""),43.52)</f>
        <v>43.52</v>
      </c>
      <c r="F522" s="190">
        <f>IFERROR(__xludf.DUMMYFUNCTION("""COMPUTED_VALUE"""),43.57)</f>
        <v>43.57</v>
      </c>
      <c r="G522" s="191">
        <f>IFERROR(__xludf.DUMMYFUNCTION("""COMPUTED_VALUE"""),1284237.0)</f>
        <v>1284237</v>
      </c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>
        <f>IFERROR(__xludf.DUMMYFUNCTION("""COMPUTED_VALUE"""),45826.5625)</f>
        <v>45826.5625</v>
      </c>
      <c r="C523" s="190">
        <f>IFERROR(__xludf.DUMMYFUNCTION("""COMPUTED_VALUE"""),43.42)</f>
        <v>43.42</v>
      </c>
      <c r="D523" s="190">
        <f>IFERROR(__xludf.DUMMYFUNCTION("""COMPUTED_VALUE"""),43.99)</f>
        <v>43.99</v>
      </c>
      <c r="E523" s="190">
        <f>IFERROR(__xludf.DUMMYFUNCTION("""COMPUTED_VALUE"""),43.38)</f>
        <v>43.38</v>
      </c>
      <c r="F523" s="190">
        <f>IFERROR(__xludf.DUMMYFUNCTION("""COMPUTED_VALUE"""),43.96)</f>
        <v>43.96</v>
      </c>
      <c r="G523" s="191">
        <f>IFERROR(__xludf.DUMMYFUNCTION("""COMPUTED_VALUE"""),2528281.0)</f>
        <v>2528281</v>
      </c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>
        <f>IFERROR(__xludf.DUMMYFUNCTION("""COMPUTED_VALUE"""),45827.5625)</f>
        <v>45827.5625</v>
      </c>
      <c r="C524" s="190">
        <f>IFERROR(__xludf.DUMMYFUNCTION("""COMPUTED_VALUE"""),43.95)</f>
        <v>43.95</v>
      </c>
      <c r="D524" s="190">
        <f>IFERROR(__xludf.DUMMYFUNCTION("""COMPUTED_VALUE"""),43.95)</f>
        <v>43.95</v>
      </c>
      <c r="E524" s="190">
        <f>IFERROR(__xludf.DUMMYFUNCTION("""COMPUTED_VALUE"""),43.4)</f>
        <v>43.4</v>
      </c>
      <c r="F524" s="190">
        <f>IFERROR(__xludf.DUMMYFUNCTION("""COMPUTED_VALUE"""),43.45)</f>
        <v>43.45</v>
      </c>
      <c r="G524" s="191">
        <f>IFERROR(__xludf.DUMMYFUNCTION("""COMPUTED_VALUE"""),749185.0)</f>
        <v>749185</v>
      </c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>
        <f>IFERROR(__xludf.DUMMYFUNCTION("""COMPUTED_VALUE"""),45828.5625)</f>
        <v>45828.5625</v>
      </c>
      <c r="C525" s="190">
        <f>IFERROR(__xludf.DUMMYFUNCTION("""COMPUTED_VALUE"""),43.46)</f>
        <v>43.46</v>
      </c>
      <c r="D525" s="190">
        <f>IFERROR(__xludf.DUMMYFUNCTION("""COMPUTED_VALUE"""),43.53)</f>
        <v>43.53</v>
      </c>
      <c r="E525" s="190">
        <f>IFERROR(__xludf.DUMMYFUNCTION("""COMPUTED_VALUE"""),43.15)</f>
        <v>43.15</v>
      </c>
      <c r="F525" s="190">
        <f>IFERROR(__xludf.DUMMYFUNCTION("""COMPUTED_VALUE"""),43.4)</f>
        <v>43.4</v>
      </c>
      <c r="G525" s="191">
        <f>IFERROR(__xludf.DUMMYFUNCTION("""COMPUTED_VALUE"""),844782.0)</f>
        <v>844782</v>
      </c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>
        <f>IFERROR(__xludf.DUMMYFUNCTION("""COMPUTED_VALUE"""),45831.5625)</f>
        <v>45831.5625</v>
      </c>
      <c r="C526" s="190">
        <f>IFERROR(__xludf.DUMMYFUNCTION("""COMPUTED_VALUE"""),42.84)</f>
        <v>42.84</v>
      </c>
      <c r="D526" s="190">
        <f>IFERROR(__xludf.DUMMYFUNCTION("""COMPUTED_VALUE"""),43.18)</f>
        <v>43.18</v>
      </c>
      <c r="E526" s="190">
        <f>IFERROR(__xludf.DUMMYFUNCTION("""COMPUTED_VALUE"""),42.71)</f>
        <v>42.71</v>
      </c>
      <c r="F526" s="190">
        <f>IFERROR(__xludf.DUMMYFUNCTION("""COMPUTED_VALUE"""),43.18)</f>
        <v>43.18</v>
      </c>
      <c r="G526" s="191">
        <f>IFERROR(__xludf.DUMMYFUNCTION("""COMPUTED_VALUE"""),1346584.0)</f>
        <v>1346584</v>
      </c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>
        <f>IFERROR(__xludf.DUMMYFUNCTION("""COMPUTED_VALUE"""),45832.5625)</f>
        <v>45832.5625</v>
      </c>
      <c r="C527" s="190">
        <f>IFERROR(__xludf.DUMMYFUNCTION("""COMPUTED_VALUE"""),43.68)</f>
        <v>43.68</v>
      </c>
      <c r="D527" s="190">
        <f>IFERROR(__xludf.DUMMYFUNCTION("""COMPUTED_VALUE"""),43.97)</f>
        <v>43.97</v>
      </c>
      <c r="E527" s="190">
        <f>IFERROR(__xludf.DUMMYFUNCTION("""COMPUTED_VALUE"""),43.68)</f>
        <v>43.68</v>
      </c>
      <c r="F527" s="190">
        <f>IFERROR(__xludf.DUMMYFUNCTION("""COMPUTED_VALUE"""),43.89)</f>
        <v>43.89</v>
      </c>
      <c r="G527" s="191">
        <f>IFERROR(__xludf.DUMMYFUNCTION("""COMPUTED_VALUE"""),1421263.0)</f>
        <v>1421263</v>
      </c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>
        <f>IFERROR(__xludf.DUMMYFUNCTION("""COMPUTED_VALUE"""),45833.5625)</f>
        <v>45833.5625</v>
      </c>
      <c r="C528" s="190">
        <f>IFERROR(__xludf.DUMMYFUNCTION("""COMPUTED_VALUE"""),44.28)</f>
        <v>44.28</v>
      </c>
      <c r="D528" s="190">
        <f>IFERROR(__xludf.DUMMYFUNCTION("""COMPUTED_VALUE"""),44.41)</f>
        <v>44.41</v>
      </c>
      <c r="E528" s="190">
        <f>IFERROR(__xludf.DUMMYFUNCTION("""COMPUTED_VALUE"""),44.14)</f>
        <v>44.14</v>
      </c>
      <c r="F528" s="190">
        <f>IFERROR(__xludf.DUMMYFUNCTION("""COMPUTED_VALUE"""),44.38)</f>
        <v>44.38</v>
      </c>
      <c r="G528" s="191">
        <f>IFERROR(__xludf.DUMMYFUNCTION("""COMPUTED_VALUE"""),3578302.0)</f>
        <v>3578302</v>
      </c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>
        <f>IFERROR(__xludf.DUMMYFUNCTION("""COMPUTED_VALUE"""),45834.5625)</f>
        <v>45834.5625</v>
      </c>
      <c r="C529" s="190">
        <f>IFERROR(__xludf.DUMMYFUNCTION("""COMPUTED_VALUE"""),44.45)</f>
        <v>44.45</v>
      </c>
      <c r="D529" s="190">
        <f>IFERROR(__xludf.DUMMYFUNCTION("""COMPUTED_VALUE"""),44.66)</f>
        <v>44.66</v>
      </c>
      <c r="E529" s="190">
        <f>IFERROR(__xludf.DUMMYFUNCTION("""COMPUTED_VALUE"""),44.39)</f>
        <v>44.39</v>
      </c>
      <c r="F529" s="190">
        <f>IFERROR(__xludf.DUMMYFUNCTION("""COMPUTED_VALUE"""),44.43)</f>
        <v>44.43</v>
      </c>
      <c r="G529" s="191">
        <f>IFERROR(__xludf.DUMMYFUNCTION("""COMPUTED_VALUE"""),4352410.0)</f>
        <v>4352410</v>
      </c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>
        <f>IFERROR(__xludf.DUMMYFUNCTION("""COMPUTED_VALUE"""),45835.5625)</f>
        <v>45835.5625</v>
      </c>
      <c r="C530" s="190">
        <f>IFERROR(__xludf.DUMMYFUNCTION("""COMPUTED_VALUE"""),44.48)</f>
        <v>44.48</v>
      </c>
      <c r="D530" s="190">
        <f>IFERROR(__xludf.DUMMYFUNCTION("""COMPUTED_VALUE"""),44.59)</f>
        <v>44.59</v>
      </c>
      <c r="E530" s="190">
        <f>IFERROR(__xludf.DUMMYFUNCTION("""COMPUTED_VALUE"""),44.27)</f>
        <v>44.27</v>
      </c>
      <c r="F530" s="190">
        <f>IFERROR(__xludf.DUMMYFUNCTION("""COMPUTED_VALUE"""),44.47)</f>
        <v>44.47</v>
      </c>
      <c r="G530" s="191">
        <f>IFERROR(__xludf.DUMMYFUNCTION("""COMPUTED_VALUE"""),2564076.0)</f>
        <v>2564076</v>
      </c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>
        <f>IFERROR(__xludf.DUMMYFUNCTION("""COMPUTED_VALUE"""),45838.5625)</f>
        <v>45838.5625</v>
      </c>
      <c r="C531" s="190">
        <f>IFERROR(__xludf.DUMMYFUNCTION("""COMPUTED_VALUE"""),44.53)</f>
        <v>44.53</v>
      </c>
      <c r="D531" s="190">
        <f>IFERROR(__xludf.DUMMYFUNCTION("""COMPUTED_VALUE"""),44.6)</f>
        <v>44.6</v>
      </c>
      <c r="E531" s="190">
        <f>IFERROR(__xludf.DUMMYFUNCTION("""COMPUTED_VALUE"""),44.43)</f>
        <v>44.43</v>
      </c>
      <c r="F531" s="190">
        <f>IFERROR(__xludf.DUMMYFUNCTION("""COMPUTED_VALUE"""),44.56)</f>
        <v>44.56</v>
      </c>
      <c r="G531" s="191">
        <f>IFERROR(__xludf.DUMMYFUNCTION("""COMPUTED_VALUE"""),1594503.0)</f>
        <v>1594503</v>
      </c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>
        <f>IFERROR(__xludf.DUMMYFUNCTION("""COMPUTED_VALUE"""),45839.5625)</f>
        <v>45839.5625</v>
      </c>
      <c r="C532" s="190">
        <f>IFERROR(__xludf.DUMMYFUNCTION("""COMPUTED_VALUE"""),44.7)</f>
        <v>44.7</v>
      </c>
      <c r="D532" s="190">
        <f>IFERROR(__xludf.DUMMYFUNCTION("""COMPUTED_VALUE"""),45.3)</f>
        <v>45.3</v>
      </c>
      <c r="E532" s="190">
        <f>IFERROR(__xludf.DUMMYFUNCTION("""COMPUTED_VALUE"""),44.7)</f>
        <v>44.7</v>
      </c>
      <c r="F532" s="190">
        <f>IFERROR(__xludf.DUMMYFUNCTION("""COMPUTED_VALUE"""),44.82)</f>
        <v>44.82</v>
      </c>
      <c r="G532" s="191">
        <f>IFERROR(__xludf.DUMMYFUNCTION("""COMPUTED_VALUE"""),3508726.0)</f>
        <v>3508726</v>
      </c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>
        <f>IFERROR(__xludf.DUMMYFUNCTION("""COMPUTED_VALUE"""),45840.5625)</f>
        <v>45840.5625</v>
      </c>
      <c r="C533" s="190">
        <f>IFERROR(__xludf.DUMMYFUNCTION("""COMPUTED_VALUE"""),44.65)</f>
        <v>44.65</v>
      </c>
      <c r="D533" s="190">
        <f>IFERROR(__xludf.DUMMYFUNCTION("""COMPUTED_VALUE"""),44.88)</f>
        <v>44.88</v>
      </c>
      <c r="E533" s="190">
        <f>IFERROR(__xludf.DUMMYFUNCTION("""COMPUTED_VALUE"""),44.56)</f>
        <v>44.56</v>
      </c>
      <c r="F533" s="190">
        <f>IFERROR(__xludf.DUMMYFUNCTION("""COMPUTED_VALUE"""),44.88)</f>
        <v>44.88</v>
      </c>
      <c r="G533" s="191">
        <f>IFERROR(__xludf.DUMMYFUNCTION("""COMPUTED_VALUE"""),799620.0)</f>
        <v>799620</v>
      </c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>
        <f>IFERROR(__xludf.DUMMYFUNCTION("""COMPUTED_VALUE"""),45841.5625)</f>
        <v>45841.5625</v>
      </c>
      <c r="C534" s="190">
        <f>IFERROR(__xludf.DUMMYFUNCTION("""COMPUTED_VALUE"""),45.37)</f>
        <v>45.37</v>
      </c>
      <c r="D534" s="190">
        <f>IFERROR(__xludf.DUMMYFUNCTION("""COMPUTED_VALUE"""),45.47)</f>
        <v>45.47</v>
      </c>
      <c r="E534" s="190">
        <f>IFERROR(__xludf.DUMMYFUNCTION("""COMPUTED_VALUE"""),45.32)</f>
        <v>45.32</v>
      </c>
      <c r="F534" s="190">
        <f>IFERROR(__xludf.DUMMYFUNCTION("""COMPUTED_VALUE"""),45.34)</f>
        <v>45.34</v>
      </c>
      <c r="G534" s="191">
        <f>IFERROR(__xludf.DUMMYFUNCTION("""COMPUTED_VALUE"""),3659984.0)</f>
        <v>3659984</v>
      </c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>
        <f>IFERROR(__xludf.DUMMYFUNCTION("""COMPUTED_VALUE"""),45842.5625)</f>
        <v>45842.5625</v>
      </c>
      <c r="C535" s="190">
        <f>IFERROR(__xludf.DUMMYFUNCTION("""COMPUTED_VALUE"""),45.41)</f>
        <v>45.41</v>
      </c>
      <c r="D535" s="190">
        <f>IFERROR(__xludf.DUMMYFUNCTION("""COMPUTED_VALUE"""),45.5)</f>
        <v>45.5</v>
      </c>
      <c r="E535" s="190">
        <f>IFERROR(__xludf.DUMMYFUNCTION("""COMPUTED_VALUE"""),44.97)</f>
        <v>44.97</v>
      </c>
      <c r="F535" s="190">
        <f>IFERROR(__xludf.DUMMYFUNCTION("""COMPUTED_VALUE"""),44.98)</f>
        <v>44.98</v>
      </c>
      <c r="G535" s="191">
        <f>IFERROR(__xludf.DUMMYFUNCTION("""COMPUTED_VALUE"""),1098174.0)</f>
        <v>1098174</v>
      </c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>
        <f>IFERROR(__xludf.DUMMYFUNCTION("""COMPUTED_VALUE"""),45845.5625)</f>
        <v>45845.5625</v>
      </c>
      <c r="C536" s="190">
        <f>IFERROR(__xludf.DUMMYFUNCTION("""COMPUTED_VALUE"""),44.94)</f>
        <v>44.94</v>
      </c>
      <c r="D536" s="190">
        <f>IFERROR(__xludf.DUMMYFUNCTION("""COMPUTED_VALUE"""),44.99)</f>
        <v>44.99</v>
      </c>
      <c r="E536" s="190">
        <f>IFERROR(__xludf.DUMMYFUNCTION("""COMPUTED_VALUE"""),44.64)</f>
        <v>44.64</v>
      </c>
      <c r="F536" s="190">
        <f>IFERROR(__xludf.DUMMYFUNCTION("""COMPUTED_VALUE"""),44.81)</f>
        <v>44.81</v>
      </c>
      <c r="G536" s="191">
        <f>IFERROR(__xludf.DUMMYFUNCTION("""COMPUTED_VALUE"""),2270368.0)</f>
        <v>2270368</v>
      </c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>
        <f>IFERROR(__xludf.DUMMYFUNCTION("""COMPUTED_VALUE"""),45846.5625)</f>
        <v>45846.5625</v>
      </c>
      <c r="C537" s="190">
        <f>IFERROR(__xludf.DUMMYFUNCTION("""COMPUTED_VALUE"""),44.69)</f>
        <v>44.69</v>
      </c>
      <c r="D537" s="190">
        <f>IFERROR(__xludf.DUMMYFUNCTION("""COMPUTED_VALUE"""),44.76)</f>
        <v>44.76</v>
      </c>
      <c r="E537" s="190">
        <f>IFERROR(__xludf.DUMMYFUNCTION("""COMPUTED_VALUE"""),44.48)</f>
        <v>44.48</v>
      </c>
      <c r="F537" s="190">
        <f>IFERROR(__xludf.DUMMYFUNCTION("""COMPUTED_VALUE"""),44.67)</f>
        <v>44.67</v>
      </c>
      <c r="G537" s="191">
        <f>IFERROR(__xludf.DUMMYFUNCTION("""COMPUTED_VALUE"""),2362199.0)</f>
        <v>2362199</v>
      </c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>
        <f>IFERROR(__xludf.DUMMYFUNCTION("""COMPUTED_VALUE"""),45847.5625)</f>
        <v>45847.5625</v>
      </c>
      <c r="C538" s="190">
        <f>IFERROR(__xludf.DUMMYFUNCTION("""COMPUTED_VALUE"""),44.53)</f>
        <v>44.53</v>
      </c>
      <c r="D538" s="190">
        <f>IFERROR(__xludf.DUMMYFUNCTION("""COMPUTED_VALUE"""),45.09)</f>
        <v>45.09</v>
      </c>
      <c r="E538" s="190">
        <f>IFERROR(__xludf.DUMMYFUNCTION("""COMPUTED_VALUE"""),44.53)</f>
        <v>44.53</v>
      </c>
      <c r="F538" s="190">
        <f>IFERROR(__xludf.DUMMYFUNCTION("""COMPUTED_VALUE"""),45.0)</f>
        <v>45</v>
      </c>
      <c r="G538" s="191">
        <f>IFERROR(__xludf.DUMMYFUNCTION("""COMPUTED_VALUE"""),1068661.0)</f>
        <v>1068661</v>
      </c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>
        <f>IFERROR(__xludf.DUMMYFUNCTION("""COMPUTED_VALUE"""),45848.5625)</f>
        <v>45848.5625</v>
      </c>
      <c r="C539" s="190">
        <f>IFERROR(__xludf.DUMMYFUNCTION("""COMPUTED_VALUE"""),45.1)</f>
        <v>45.1</v>
      </c>
      <c r="D539" s="190">
        <f>IFERROR(__xludf.DUMMYFUNCTION("""COMPUTED_VALUE"""),45.49)</f>
        <v>45.49</v>
      </c>
      <c r="E539" s="190">
        <f>IFERROR(__xludf.DUMMYFUNCTION("""COMPUTED_VALUE"""),45.1)</f>
        <v>45.1</v>
      </c>
      <c r="F539" s="190">
        <f>IFERROR(__xludf.DUMMYFUNCTION("""COMPUTED_VALUE"""),45.44)</f>
        <v>45.44</v>
      </c>
      <c r="G539" s="191">
        <f>IFERROR(__xludf.DUMMYFUNCTION("""COMPUTED_VALUE"""),2509236.0)</f>
        <v>2509236</v>
      </c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>
        <f>IFERROR(__xludf.DUMMYFUNCTION("""COMPUTED_VALUE"""),45849.5625)</f>
        <v>45849.5625</v>
      </c>
      <c r="C540" s="190">
        <f>IFERROR(__xludf.DUMMYFUNCTION("""COMPUTED_VALUE"""),45.44)</f>
        <v>45.44</v>
      </c>
      <c r="D540" s="190">
        <f>IFERROR(__xludf.DUMMYFUNCTION("""COMPUTED_VALUE"""),45.67)</f>
        <v>45.67</v>
      </c>
      <c r="E540" s="190">
        <f>IFERROR(__xludf.DUMMYFUNCTION("""COMPUTED_VALUE"""),45.34)</f>
        <v>45.34</v>
      </c>
      <c r="F540" s="190">
        <f>IFERROR(__xludf.DUMMYFUNCTION("""COMPUTED_VALUE"""),45.64)</f>
        <v>45.64</v>
      </c>
      <c r="G540" s="191">
        <f>IFERROR(__xludf.DUMMYFUNCTION("""COMPUTED_VALUE"""),1963311.0)</f>
        <v>1963311</v>
      </c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>
        <f>IFERROR(__xludf.DUMMYFUNCTION("""COMPUTED_VALUE"""),45852.5625)</f>
        <v>45852.5625</v>
      </c>
      <c r="C541" s="190">
        <f>IFERROR(__xludf.DUMMYFUNCTION("""COMPUTED_VALUE"""),45.58)</f>
        <v>45.58</v>
      </c>
      <c r="D541" s="190">
        <f>IFERROR(__xludf.DUMMYFUNCTION("""COMPUTED_VALUE"""),45.58)</f>
        <v>45.58</v>
      </c>
      <c r="E541" s="190">
        <f>IFERROR(__xludf.DUMMYFUNCTION("""COMPUTED_VALUE"""),45.3)</f>
        <v>45.3</v>
      </c>
      <c r="F541" s="190">
        <f>IFERROR(__xludf.DUMMYFUNCTION("""COMPUTED_VALUE"""),45.34)</f>
        <v>45.34</v>
      </c>
      <c r="G541" s="191">
        <f>IFERROR(__xludf.DUMMYFUNCTION("""COMPUTED_VALUE"""),2254327.0)</f>
        <v>2254327</v>
      </c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>
        <f>IFERROR(__xludf.DUMMYFUNCTION("""COMPUTED_VALUE"""),45853.5625)</f>
        <v>45853.5625</v>
      </c>
      <c r="C542" s="190">
        <f>IFERROR(__xludf.DUMMYFUNCTION("""COMPUTED_VALUE"""),45.4)</f>
        <v>45.4</v>
      </c>
      <c r="D542" s="190">
        <f>IFERROR(__xludf.DUMMYFUNCTION("""COMPUTED_VALUE"""),46.02)</f>
        <v>46.02</v>
      </c>
      <c r="E542" s="190">
        <f>IFERROR(__xludf.DUMMYFUNCTION("""COMPUTED_VALUE"""),45.36)</f>
        <v>45.36</v>
      </c>
      <c r="F542" s="190">
        <f>IFERROR(__xludf.DUMMYFUNCTION("""COMPUTED_VALUE"""),45.91)</f>
        <v>45.91</v>
      </c>
      <c r="G542" s="191">
        <f>IFERROR(__xludf.DUMMYFUNCTION("""COMPUTED_VALUE"""),3696589.0)</f>
        <v>3696589</v>
      </c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>
        <f>IFERROR(__xludf.DUMMYFUNCTION("""COMPUTED_VALUE"""),45854.5625)</f>
        <v>45854.5625</v>
      </c>
      <c r="C543" s="190">
        <f>IFERROR(__xludf.DUMMYFUNCTION("""COMPUTED_VALUE"""),45.49)</f>
        <v>45.49</v>
      </c>
      <c r="D543" s="190">
        <f>IFERROR(__xludf.DUMMYFUNCTION("""COMPUTED_VALUE"""),45.94)</f>
        <v>45.94</v>
      </c>
      <c r="E543" s="190">
        <f>IFERROR(__xludf.DUMMYFUNCTION("""COMPUTED_VALUE"""),45.49)</f>
        <v>45.49</v>
      </c>
      <c r="F543" s="190">
        <f>IFERROR(__xludf.DUMMYFUNCTION("""COMPUTED_VALUE"""),45.8)</f>
        <v>45.8</v>
      </c>
      <c r="G543" s="191">
        <f>IFERROR(__xludf.DUMMYFUNCTION("""COMPUTED_VALUE"""),3085595.0)</f>
        <v>3085595</v>
      </c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>
        <f>IFERROR(__xludf.DUMMYFUNCTION("""COMPUTED_VALUE"""),45855.5625)</f>
        <v>45855.5625</v>
      </c>
      <c r="C544" s="190">
        <f>IFERROR(__xludf.DUMMYFUNCTION("""COMPUTED_VALUE"""),45.9)</f>
        <v>45.9</v>
      </c>
      <c r="D544" s="190">
        <f>IFERROR(__xludf.DUMMYFUNCTION("""COMPUTED_VALUE"""),45.94)</f>
        <v>45.94</v>
      </c>
      <c r="E544" s="190">
        <f>IFERROR(__xludf.DUMMYFUNCTION("""COMPUTED_VALUE"""),45.55)</f>
        <v>45.55</v>
      </c>
      <c r="F544" s="190">
        <f>IFERROR(__xludf.DUMMYFUNCTION("""COMPUTED_VALUE"""),45.83)</f>
        <v>45.83</v>
      </c>
      <c r="G544" s="191">
        <f>IFERROR(__xludf.DUMMYFUNCTION("""COMPUTED_VALUE"""),2224379.0)</f>
        <v>2224379</v>
      </c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>
        <f>IFERROR(__xludf.DUMMYFUNCTION("""COMPUTED_VALUE"""),45856.5625)</f>
        <v>45856.5625</v>
      </c>
      <c r="C545" s="190">
        <f>IFERROR(__xludf.DUMMYFUNCTION("""COMPUTED_VALUE"""),46.55)</f>
        <v>46.55</v>
      </c>
      <c r="D545" s="190">
        <f>IFERROR(__xludf.DUMMYFUNCTION("""COMPUTED_VALUE"""),46.56)</f>
        <v>46.56</v>
      </c>
      <c r="E545" s="190">
        <f>IFERROR(__xludf.DUMMYFUNCTION("""COMPUTED_VALUE"""),46.24)</f>
        <v>46.24</v>
      </c>
      <c r="F545" s="190">
        <f>IFERROR(__xludf.DUMMYFUNCTION("""COMPUTED_VALUE"""),46.36)</f>
        <v>46.36</v>
      </c>
      <c r="G545" s="191">
        <f>IFERROR(__xludf.DUMMYFUNCTION("""COMPUTED_VALUE"""),1998869.0)</f>
        <v>1998869</v>
      </c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>
        <f>IFERROR(__xludf.DUMMYFUNCTION("""COMPUTED_VALUE"""),45859.5625)</f>
        <v>45859.5625</v>
      </c>
      <c r="C546" s="190">
        <f>IFERROR(__xludf.DUMMYFUNCTION("""COMPUTED_VALUE"""),46.3)</f>
        <v>46.3</v>
      </c>
      <c r="D546" s="190">
        <f>IFERROR(__xludf.DUMMYFUNCTION("""COMPUTED_VALUE"""),46.35)</f>
        <v>46.35</v>
      </c>
      <c r="E546" s="190">
        <f>IFERROR(__xludf.DUMMYFUNCTION("""COMPUTED_VALUE"""),46.12)</f>
        <v>46.12</v>
      </c>
      <c r="F546" s="190">
        <f>IFERROR(__xludf.DUMMYFUNCTION("""COMPUTED_VALUE"""),46.19)</f>
        <v>46.19</v>
      </c>
      <c r="G546" s="191">
        <f>IFERROR(__xludf.DUMMYFUNCTION("""COMPUTED_VALUE"""),1377050.0)</f>
        <v>1377050</v>
      </c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>
        <f>IFERROR(__xludf.DUMMYFUNCTION("""COMPUTED_VALUE"""),45860.5625)</f>
        <v>45860.5625</v>
      </c>
      <c r="C547" s="190">
        <f>IFERROR(__xludf.DUMMYFUNCTION("""COMPUTED_VALUE"""),46.25)</f>
        <v>46.25</v>
      </c>
      <c r="D547" s="190">
        <f>IFERROR(__xludf.DUMMYFUNCTION("""COMPUTED_VALUE"""),46.6)</f>
        <v>46.6</v>
      </c>
      <c r="E547" s="190">
        <f>IFERROR(__xludf.DUMMYFUNCTION("""COMPUTED_VALUE"""),45.85)</f>
        <v>45.85</v>
      </c>
      <c r="F547" s="190">
        <f>IFERROR(__xludf.DUMMYFUNCTION("""COMPUTED_VALUE"""),45.87)</f>
        <v>45.87</v>
      </c>
      <c r="G547" s="191">
        <f>IFERROR(__xludf.DUMMYFUNCTION("""COMPUTED_VALUE"""),1779929.0)</f>
        <v>1779929</v>
      </c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>
        <f>IFERROR(__xludf.DUMMYFUNCTION("""COMPUTED_VALUE"""),45861.5625)</f>
        <v>45861.5625</v>
      </c>
      <c r="C548" s="190">
        <f>IFERROR(__xludf.DUMMYFUNCTION("""COMPUTED_VALUE"""),46.01)</f>
        <v>46.01</v>
      </c>
      <c r="D548" s="190">
        <f>IFERROR(__xludf.DUMMYFUNCTION("""COMPUTED_VALUE"""),46.26)</f>
        <v>46.26</v>
      </c>
      <c r="E548" s="190">
        <f>IFERROR(__xludf.DUMMYFUNCTION("""COMPUTED_VALUE"""),46.01)</f>
        <v>46.01</v>
      </c>
      <c r="F548" s="190">
        <f>IFERROR(__xludf.DUMMYFUNCTION("""COMPUTED_VALUE"""),46.08)</f>
        <v>46.08</v>
      </c>
      <c r="G548" s="191">
        <f>IFERROR(__xludf.DUMMYFUNCTION("""COMPUTED_VALUE"""),1190957.0)</f>
        <v>1190957</v>
      </c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>
        <f>IFERROR(__xludf.DUMMYFUNCTION("""COMPUTED_VALUE"""),45862.5625)</f>
        <v>45862.5625</v>
      </c>
      <c r="C549" s="190">
        <f>IFERROR(__xludf.DUMMYFUNCTION("""COMPUTED_VALUE"""),46.3)</f>
        <v>46.3</v>
      </c>
      <c r="D549" s="190">
        <f>IFERROR(__xludf.DUMMYFUNCTION("""COMPUTED_VALUE"""),46.45)</f>
        <v>46.45</v>
      </c>
      <c r="E549" s="190">
        <f>IFERROR(__xludf.DUMMYFUNCTION("""COMPUTED_VALUE"""),46.26)</f>
        <v>46.26</v>
      </c>
      <c r="F549" s="190">
        <f>IFERROR(__xludf.DUMMYFUNCTION("""COMPUTED_VALUE"""),46.35)</f>
        <v>46.35</v>
      </c>
      <c r="G549" s="191">
        <f>IFERROR(__xludf.DUMMYFUNCTION("""COMPUTED_VALUE"""),870964.0)</f>
        <v>870964</v>
      </c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>
        <f>IFERROR(__xludf.DUMMYFUNCTION("""COMPUTED_VALUE"""),45863.5625)</f>
        <v>45863.5625</v>
      </c>
      <c r="C550" s="190">
        <f>IFERROR(__xludf.DUMMYFUNCTION("""COMPUTED_VALUE"""),46.39)</f>
        <v>46.39</v>
      </c>
      <c r="D550" s="190">
        <f>IFERROR(__xludf.DUMMYFUNCTION("""COMPUTED_VALUE"""),46.42)</f>
        <v>46.42</v>
      </c>
      <c r="E550" s="190">
        <f>IFERROR(__xludf.DUMMYFUNCTION("""COMPUTED_VALUE"""),46.2)</f>
        <v>46.2</v>
      </c>
      <c r="F550" s="190">
        <f>IFERROR(__xludf.DUMMYFUNCTION("""COMPUTED_VALUE"""),46.2)</f>
        <v>46.2</v>
      </c>
      <c r="G550" s="191">
        <f>IFERROR(__xludf.DUMMYFUNCTION("""COMPUTED_VALUE"""),711518.0)</f>
        <v>711518</v>
      </c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>
        <f>IFERROR(__xludf.DUMMYFUNCTION("""COMPUTED_VALUE"""),45866.5625)</f>
        <v>45866.5625</v>
      </c>
      <c r="C551" s="190">
        <f>IFERROR(__xludf.DUMMYFUNCTION("""COMPUTED_VALUE"""),46.46)</f>
        <v>46.46</v>
      </c>
      <c r="D551" s="190">
        <f>IFERROR(__xludf.DUMMYFUNCTION("""COMPUTED_VALUE"""),46.5)</f>
        <v>46.5</v>
      </c>
      <c r="E551" s="190">
        <f>IFERROR(__xludf.DUMMYFUNCTION("""COMPUTED_VALUE"""),46.25)</f>
        <v>46.25</v>
      </c>
      <c r="F551" s="190">
        <f>IFERROR(__xludf.DUMMYFUNCTION("""COMPUTED_VALUE"""),46.38)</f>
        <v>46.38</v>
      </c>
      <c r="G551" s="191">
        <f>IFERROR(__xludf.DUMMYFUNCTION("""COMPUTED_VALUE"""),1468878.0)</f>
        <v>1468878</v>
      </c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>
        <f>IFERROR(__xludf.DUMMYFUNCTION("""COMPUTED_VALUE"""),45867.5625)</f>
        <v>45867.5625</v>
      </c>
      <c r="C552" s="190">
        <f>IFERROR(__xludf.DUMMYFUNCTION("""COMPUTED_VALUE"""),46.21)</f>
        <v>46.21</v>
      </c>
      <c r="D552" s="190">
        <f>IFERROR(__xludf.DUMMYFUNCTION("""COMPUTED_VALUE"""),46.27)</f>
        <v>46.27</v>
      </c>
      <c r="E552" s="190">
        <f>IFERROR(__xludf.DUMMYFUNCTION("""COMPUTED_VALUE"""),45.73)</f>
        <v>45.73</v>
      </c>
      <c r="F552" s="190">
        <f>IFERROR(__xludf.DUMMYFUNCTION("""COMPUTED_VALUE"""),45.87)</f>
        <v>45.87</v>
      </c>
      <c r="G552" s="191">
        <f>IFERROR(__xludf.DUMMYFUNCTION("""COMPUTED_VALUE"""),1595334.0)</f>
        <v>1595334</v>
      </c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>
        <f>IFERROR(__xludf.DUMMYFUNCTION("""COMPUTED_VALUE"""),45868.5625)</f>
        <v>45868.5625</v>
      </c>
      <c r="C553" s="190">
        <f>IFERROR(__xludf.DUMMYFUNCTION("""COMPUTED_VALUE"""),46.24)</f>
        <v>46.24</v>
      </c>
      <c r="D553" s="190">
        <f>IFERROR(__xludf.DUMMYFUNCTION("""COMPUTED_VALUE"""),46.43)</f>
        <v>46.43</v>
      </c>
      <c r="E553" s="190">
        <f>IFERROR(__xludf.DUMMYFUNCTION("""COMPUTED_VALUE"""),46.14)</f>
        <v>46.14</v>
      </c>
      <c r="F553" s="190">
        <f>IFERROR(__xludf.DUMMYFUNCTION("""COMPUTED_VALUE"""),46.31)</f>
        <v>46.31</v>
      </c>
      <c r="G553" s="191">
        <f>IFERROR(__xludf.DUMMYFUNCTION("""COMPUTED_VALUE"""),2820727.0)</f>
        <v>2820727</v>
      </c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>
        <f>IFERROR(__xludf.DUMMYFUNCTION("""COMPUTED_VALUE"""),45869.5625)</f>
        <v>45869.5625</v>
      </c>
      <c r="C554" s="190">
        <f>IFERROR(__xludf.DUMMYFUNCTION("""COMPUTED_VALUE"""),46.46)</f>
        <v>46.46</v>
      </c>
      <c r="D554" s="190">
        <f>IFERROR(__xludf.DUMMYFUNCTION("""COMPUTED_VALUE"""),46.85)</f>
        <v>46.85</v>
      </c>
      <c r="E554" s="190">
        <f>IFERROR(__xludf.DUMMYFUNCTION("""COMPUTED_VALUE"""),46.46)</f>
        <v>46.46</v>
      </c>
      <c r="F554" s="190">
        <f>IFERROR(__xludf.DUMMYFUNCTION("""COMPUTED_VALUE"""),46.81)</f>
        <v>46.81</v>
      </c>
      <c r="G554" s="191">
        <f>IFERROR(__xludf.DUMMYFUNCTION("""COMPUTED_VALUE"""),2756498.0)</f>
        <v>2756498</v>
      </c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>
        <f>IFERROR(__xludf.DUMMYFUNCTION("""COMPUTED_VALUE"""),45870.5625)</f>
        <v>45870.5625</v>
      </c>
      <c r="C555" s="190">
        <f>IFERROR(__xludf.DUMMYFUNCTION("""COMPUTED_VALUE"""),46.16)</f>
        <v>46.16</v>
      </c>
      <c r="D555" s="190">
        <f>IFERROR(__xludf.DUMMYFUNCTION("""COMPUTED_VALUE"""),46.45)</f>
        <v>46.45</v>
      </c>
      <c r="E555" s="190">
        <f>IFERROR(__xludf.DUMMYFUNCTION("""COMPUTED_VALUE"""),46.15)</f>
        <v>46.15</v>
      </c>
      <c r="F555" s="190">
        <f>IFERROR(__xludf.DUMMYFUNCTION("""COMPUTED_VALUE"""),46.38)</f>
        <v>46.38</v>
      </c>
      <c r="G555" s="191">
        <f>IFERROR(__xludf.DUMMYFUNCTION("""COMPUTED_VALUE"""),1224704.0)</f>
        <v>1224704</v>
      </c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>
        <f>IFERROR(__xludf.DUMMYFUNCTION("""COMPUTED_VALUE"""),45873.5625)</f>
        <v>45873.5625</v>
      </c>
      <c r="C556" s="190">
        <f>IFERROR(__xludf.DUMMYFUNCTION("""COMPUTED_VALUE"""),46.0)</f>
        <v>46</v>
      </c>
      <c r="D556" s="190">
        <f>IFERROR(__xludf.DUMMYFUNCTION("""COMPUTED_VALUE"""),46.18)</f>
        <v>46.18</v>
      </c>
      <c r="E556" s="190">
        <f>IFERROR(__xludf.DUMMYFUNCTION("""COMPUTED_VALUE"""),45.8)</f>
        <v>45.8</v>
      </c>
      <c r="F556" s="190">
        <f>IFERROR(__xludf.DUMMYFUNCTION("""COMPUTED_VALUE"""),46.18)</f>
        <v>46.18</v>
      </c>
      <c r="G556" s="191">
        <f>IFERROR(__xludf.DUMMYFUNCTION("""COMPUTED_VALUE"""),1572492.0)</f>
        <v>1572492</v>
      </c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>
        <f>IFERROR(__xludf.DUMMYFUNCTION("""COMPUTED_VALUE"""),45874.5625)</f>
        <v>45874.5625</v>
      </c>
      <c r="C557" s="190">
        <f>IFERROR(__xludf.DUMMYFUNCTION("""COMPUTED_VALUE"""),46.63)</f>
        <v>46.63</v>
      </c>
      <c r="D557" s="190">
        <f>IFERROR(__xludf.DUMMYFUNCTION("""COMPUTED_VALUE"""),46.81)</f>
        <v>46.81</v>
      </c>
      <c r="E557" s="190">
        <f>IFERROR(__xludf.DUMMYFUNCTION("""COMPUTED_VALUE"""),46.55)</f>
        <v>46.55</v>
      </c>
      <c r="F557" s="190">
        <f>IFERROR(__xludf.DUMMYFUNCTION("""COMPUTED_VALUE"""),46.79)</f>
        <v>46.79</v>
      </c>
      <c r="G557" s="191">
        <f>IFERROR(__xludf.DUMMYFUNCTION("""COMPUTED_VALUE"""),1818306.0)</f>
        <v>1818306</v>
      </c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>
        <f>IFERROR(__xludf.DUMMYFUNCTION("""COMPUTED_VALUE"""),45875.5625)</f>
        <v>45875.5625</v>
      </c>
      <c r="C558" s="190">
        <f>IFERROR(__xludf.DUMMYFUNCTION("""COMPUTED_VALUE"""),46.5)</f>
        <v>46.5</v>
      </c>
      <c r="D558" s="190">
        <f>IFERROR(__xludf.DUMMYFUNCTION("""COMPUTED_VALUE"""),46.54)</f>
        <v>46.54</v>
      </c>
      <c r="E558" s="190">
        <f>IFERROR(__xludf.DUMMYFUNCTION("""COMPUTED_VALUE"""),46.38)</f>
        <v>46.38</v>
      </c>
      <c r="F558" s="190">
        <f>IFERROR(__xludf.DUMMYFUNCTION("""COMPUTED_VALUE"""),46.44)</f>
        <v>46.44</v>
      </c>
      <c r="G558" s="191">
        <f>IFERROR(__xludf.DUMMYFUNCTION("""COMPUTED_VALUE"""),1368773.0)</f>
        <v>1368773</v>
      </c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>
        <f>IFERROR(__xludf.DUMMYFUNCTION("""COMPUTED_VALUE"""),45876.5625)</f>
        <v>45876.5625</v>
      </c>
      <c r="C559" s="190">
        <f>IFERROR(__xludf.DUMMYFUNCTION("""COMPUTED_VALUE"""),47.34)</f>
        <v>47.34</v>
      </c>
      <c r="D559" s="190">
        <f>IFERROR(__xludf.DUMMYFUNCTION("""COMPUTED_VALUE"""),47.77)</f>
        <v>47.77</v>
      </c>
      <c r="E559" s="190">
        <f>IFERROR(__xludf.DUMMYFUNCTION("""COMPUTED_VALUE"""),47.32)</f>
        <v>47.32</v>
      </c>
      <c r="F559" s="190">
        <f>IFERROR(__xludf.DUMMYFUNCTION("""COMPUTED_VALUE"""),47.7)</f>
        <v>47.7</v>
      </c>
      <c r="G559" s="191">
        <f>IFERROR(__xludf.DUMMYFUNCTION("""COMPUTED_VALUE"""),3340910.0)</f>
        <v>3340910</v>
      </c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>
        <f>IFERROR(__xludf.DUMMYFUNCTION("""COMPUTED_VALUE"""),45877.5625)</f>
        <v>45877.5625</v>
      </c>
      <c r="C560" s="190">
        <f>IFERROR(__xludf.DUMMYFUNCTION("""COMPUTED_VALUE"""),47.75)</f>
        <v>47.75</v>
      </c>
      <c r="D560" s="190">
        <f>IFERROR(__xludf.DUMMYFUNCTION("""COMPUTED_VALUE"""),47.75)</f>
        <v>47.75</v>
      </c>
      <c r="E560" s="190">
        <f>IFERROR(__xludf.DUMMYFUNCTION("""COMPUTED_VALUE"""),47.61)</f>
        <v>47.61</v>
      </c>
      <c r="F560" s="190">
        <f>IFERROR(__xludf.DUMMYFUNCTION("""COMPUTED_VALUE"""),47.62)</f>
        <v>47.62</v>
      </c>
      <c r="G560" s="191">
        <f>IFERROR(__xludf.DUMMYFUNCTION("""COMPUTED_VALUE"""),803767.0)</f>
        <v>803767</v>
      </c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>
        <f>IFERROR(__xludf.DUMMYFUNCTION("""COMPUTED_VALUE"""),45880.5625)</f>
        <v>45880.5625</v>
      </c>
      <c r="C561" s="190">
        <f>IFERROR(__xludf.DUMMYFUNCTION("""COMPUTED_VALUE"""),47.55)</f>
        <v>47.55</v>
      </c>
      <c r="D561" s="190">
        <f>IFERROR(__xludf.DUMMYFUNCTION("""COMPUTED_VALUE"""),48.18)</f>
        <v>48.18</v>
      </c>
      <c r="E561" s="190">
        <f>IFERROR(__xludf.DUMMYFUNCTION("""COMPUTED_VALUE"""),47.42)</f>
        <v>47.42</v>
      </c>
      <c r="F561" s="190">
        <f>IFERROR(__xludf.DUMMYFUNCTION("""COMPUTED_VALUE"""),47.96)</f>
        <v>47.96</v>
      </c>
      <c r="G561" s="191">
        <f>IFERROR(__xludf.DUMMYFUNCTION("""COMPUTED_VALUE"""),1894786.0)</f>
        <v>1894786</v>
      </c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>
        <f>IFERROR(__xludf.DUMMYFUNCTION("""COMPUTED_VALUE"""),45881.5625)</f>
        <v>45881.5625</v>
      </c>
      <c r="C562" s="190">
        <f>IFERROR(__xludf.DUMMYFUNCTION("""COMPUTED_VALUE"""),47.96)</f>
        <v>47.96</v>
      </c>
      <c r="D562" s="190">
        <f>IFERROR(__xludf.DUMMYFUNCTION("""COMPUTED_VALUE"""),48.1)</f>
        <v>48.1</v>
      </c>
      <c r="E562" s="190">
        <f>IFERROR(__xludf.DUMMYFUNCTION("""COMPUTED_VALUE"""),47.77)</f>
        <v>47.77</v>
      </c>
      <c r="F562" s="190">
        <f>IFERROR(__xludf.DUMMYFUNCTION("""COMPUTED_VALUE"""),48.0)</f>
        <v>48</v>
      </c>
      <c r="G562" s="191">
        <f>IFERROR(__xludf.DUMMYFUNCTION("""COMPUTED_VALUE"""),1616497.0)</f>
        <v>1616497</v>
      </c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>
        <f>IFERROR(__xludf.DUMMYFUNCTION("""COMPUTED_VALUE"""),45882.5625)</f>
        <v>45882.5625</v>
      </c>
      <c r="C563" s="190">
        <f>IFERROR(__xludf.DUMMYFUNCTION("""COMPUTED_VALUE"""),48.18)</f>
        <v>48.18</v>
      </c>
      <c r="D563" s="190">
        <f>IFERROR(__xludf.DUMMYFUNCTION("""COMPUTED_VALUE"""),48.47)</f>
        <v>48.47</v>
      </c>
      <c r="E563" s="190">
        <f>IFERROR(__xludf.DUMMYFUNCTION("""COMPUTED_VALUE"""),48.1)</f>
        <v>48.1</v>
      </c>
      <c r="F563" s="190">
        <f>IFERROR(__xludf.DUMMYFUNCTION("""COMPUTED_VALUE"""),48.36)</f>
        <v>48.36</v>
      </c>
      <c r="G563" s="191">
        <f>IFERROR(__xludf.DUMMYFUNCTION("""COMPUTED_VALUE"""),2418809.0)</f>
        <v>2418809</v>
      </c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>
        <f>IFERROR(__xludf.DUMMYFUNCTION("""COMPUTED_VALUE"""),45883.5625)</f>
        <v>45883.5625</v>
      </c>
      <c r="C564" s="190">
        <f>IFERROR(__xludf.DUMMYFUNCTION("""COMPUTED_VALUE"""),48.26)</f>
        <v>48.26</v>
      </c>
      <c r="D564" s="190">
        <f>IFERROR(__xludf.DUMMYFUNCTION("""COMPUTED_VALUE"""),48.32)</f>
        <v>48.32</v>
      </c>
      <c r="E564" s="190">
        <f>IFERROR(__xludf.DUMMYFUNCTION("""COMPUTED_VALUE"""),48.08)</f>
        <v>48.08</v>
      </c>
      <c r="F564" s="190">
        <f>IFERROR(__xludf.DUMMYFUNCTION("""COMPUTED_VALUE"""),48.22)</f>
        <v>48.22</v>
      </c>
      <c r="G564" s="191">
        <f>IFERROR(__xludf.DUMMYFUNCTION("""COMPUTED_VALUE"""),1016285.0)</f>
        <v>1016285</v>
      </c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>
        <f>IFERROR(__xludf.DUMMYFUNCTION("""COMPUTED_VALUE"""),45884.5625)</f>
        <v>45884.5625</v>
      </c>
      <c r="C565" s="190">
        <f>IFERROR(__xludf.DUMMYFUNCTION("""COMPUTED_VALUE"""),48.23)</f>
        <v>48.23</v>
      </c>
      <c r="D565" s="190">
        <f>IFERROR(__xludf.DUMMYFUNCTION("""COMPUTED_VALUE"""),48.36)</f>
        <v>48.36</v>
      </c>
      <c r="E565" s="190">
        <f>IFERROR(__xludf.DUMMYFUNCTION("""COMPUTED_VALUE"""),48.03)</f>
        <v>48.03</v>
      </c>
      <c r="F565" s="190">
        <f>IFERROR(__xludf.DUMMYFUNCTION("""COMPUTED_VALUE"""),48.25)</f>
        <v>48.25</v>
      </c>
      <c r="G565" s="191">
        <f>IFERROR(__xludf.DUMMYFUNCTION("""COMPUTED_VALUE"""),1069765.0)</f>
        <v>1069765</v>
      </c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>
        <f>IFERROR(__xludf.DUMMYFUNCTION("""COMPUTED_VALUE"""),45887.5625)</f>
        <v>45887.5625</v>
      </c>
      <c r="C566" s="190">
        <f>IFERROR(__xludf.DUMMYFUNCTION("""COMPUTED_VALUE"""),48.0)</f>
        <v>48</v>
      </c>
      <c r="D566" s="190">
        <f>IFERROR(__xludf.DUMMYFUNCTION("""COMPUTED_VALUE"""),48.44)</f>
        <v>48.44</v>
      </c>
      <c r="E566" s="190">
        <f>IFERROR(__xludf.DUMMYFUNCTION("""COMPUTED_VALUE"""),48.0)</f>
        <v>48</v>
      </c>
      <c r="F566" s="190">
        <f>IFERROR(__xludf.DUMMYFUNCTION("""COMPUTED_VALUE"""),48.39)</f>
        <v>48.39</v>
      </c>
      <c r="G566" s="191">
        <f>IFERROR(__xludf.DUMMYFUNCTION("""COMPUTED_VALUE"""),1551948.0)</f>
        <v>1551948</v>
      </c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>
        <f>IFERROR(__xludf.DUMMYFUNCTION("""COMPUTED_VALUE"""),45888.5625)</f>
        <v>45888.5625</v>
      </c>
      <c r="C567" s="190">
        <f>IFERROR(__xludf.DUMMYFUNCTION("""COMPUTED_VALUE"""),48.36)</f>
        <v>48.36</v>
      </c>
      <c r="D567" s="190">
        <f>IFERROR(__xludf.DUMMYFUNCTION("""COMPUTED_VALUE"""),48.39)</f>
        <v>48.39</v>
      </c>
      <c r="E567" s="190">
        <f>IFERROR(__xludf.DUMMYFUNCTION("""COMPUTED_VALUE"""),48.2)</f>
        <v>48.2</v>
      </c>
      <c r="F567" s="190">
        <f>IFERROR(__xludf.DUMMYFUNCTION("""COMPUTED_VALUE"""),48.27)</f>
        <v>48.27</v>
      </c>
      <c r="G567" s="191">
        <f>IFERROR(__xludf.DUMMYFUNCTION("""COMPUTED_VALUE"""),1002025.0)</f>
        <v>1002025</v>
      </c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>
        <f>IFERROR(__xludf.DUMMYFUNCTION("""COMPUTED_VALUE"""),45889.5625)</f>
        <v>45889.5625</v>
      </c>
      <c r="C568" s="190">
        <f>IFERROR(__xludf.DUMMYFUNCTION("""COMPUTED_VALUE"""),47.79)</f>
        <v>47.79</v>
      </c>
      <c r="D568" s="190">
        <f>IFERROR(__xludf.DUMMYFUNCTION("""COMPUTED_VALUE"""),47.82)</f>
        <v>47.82</v>
      </c>
      <c r="E568" s="190">
        <f>IFERROR(__xludf.DUMMYFUNCTION("""COMPUTED_VALUE"""),46.92)</f>
        <v>46.92</v>
      </c>
      <c r="F568" s="190">
        <f>IFERROR(__xludf.DUMMYFUNCTION("""COMPUTED_VALUE"""),46.97)</f>
        <v>46.97</v>
      </c>
      <c r="G568" s="191">
        <f>IFERROR(__xludf.DUMMYFUNCTION("""COMPUTED_VALUE"""),2214357.0)</f>
        <v>2214357</v>
      </c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>
        <f>IFERROR(__xludf.DUMMYFUNCTION("""COMPUTED_VALUE"""),45890.5625)</f>
        <v>45890.5625</v>
      </c>
      <c r="C569" s="190">
        <f>IFERROR(__xludf.DUMMYFUNCTION("""COMPUTED_VALUE"""),47.13)</f>
        <v>47.13</v>
      </c>
      <c r="D569" s="190">
        <f>IFERROR(__xludf.DUMMYFUNCTION("""COMPUTED_VALUE"""),47.39)</f>
        <v>47.39</v>
      </c>
      <c r="E569" s="190">
        <f>IFERROR(__xludf.DUMMYFUNCTION("""COMPUTED_VALUE"""),47.13)</f>
        <v>47.13</v>
      </c>
      <c r="F569" s="190">
        <f>IFERROR(__xludf.DUMMYFUNCTION("""COMPUTED_VALUE"""),47.29)</f>
        <v>47.29</v>
      </c>
      <c r="G569" s="191">
        <f>IFERROR(__xludf.DUMMYFUNCTION("""COMPUTED_VALUE"""),876805.0)</f>
        <v>876805</v>
      </c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>
        <f>IFERROR(__xludf.DUMMYFUNCTION("""COMPUTED_VALUE"""),45891.5625)</f>
        <v>45891.5625</v>
      </c>
      <c r="C570" s="190">
        <f>IFERROR(__xludf.DUMMYFUNCTION("""COMPUTED_VALUE"""),47.43)</f>
        <v>47.43</v>
      </c>
      <c r="D570" s="190">
        <f>IFERROR(__xludf.DUMMYFUNCTION("""COMPUTED_VALUE"""),47.43)</f>
        <v>47.43</v>
      </c>
      <c r="E570" s="190">
        <f>IFERROR(__xludf.DUMMYFUNCTION("""COMPUTED_VALUE"""),47.07)</f>
        <v>47.07</v>
      </c>
      <c r="F570" s="190">
        <f>IFERROR(__xludf.DUMMYFUNCTION("""COMPUTED_VALUE"""),47.1)</f>
        <v>47.1</v>
      </c>
      <c r="G570" s="191">
        <f>IFERROR(__xludf.DUMMYFUNCTION("""COMPUTED_VALUE"""),639442.0)</f>
        <v>639442</v>
      </c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>
        <f>IFERROR(__xludf.DUMMYFUNCTION("""COMPUTED_VALUE"""),45894.5625)</f>
        <v>45894.5625</v>
      </c>
      <c r="C571" s="190">
        <f>IFERROR(__xludf.DUMMYFUNCTION("""COMPUTED_VALUE"""),47.9)</f>
        <v>47.9</v>
      </c>
      <c r="D571" s="190">
        <f>IFERROR(__xludf.DUMMYFUNCTION("""COMPUTED_VALUE"""),48.13)</f>
        <v>48.13</v>
      </c>
      <c r="E571" s="190">
        <f>IFERROR(__xludf.DUMMYFUNCTION("""COMPUTED_VALUE"""),47.72)</f>
        <v>47.72</v>
      </c>
      <c r="F571" s="190">
        <f>IFERROR(__xludf.DUMMYFUNCTION("""COMPUTED_VALUE"""),48.0)</f>
        <v>48</v>
      </c>
      <c r="G571" s="191">
        <f>IFERROR(__xludf.DUMMYFUNCTION("""COMPUTED_VALUE"""),1521084.0)</f>
        <v>1521084</v>
      </c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>
        <f>IFERROR(__xludf.DUMMYFUNCTION("""COMPUTED_VALUE"""),45895.5625)</f>
        <v>45895.5625</v>
      </c>
      <c r="C572" s="190">
        <f>IFERROR(__xludf.DUMMYFUNCTION("""COMPUTED_VALUE"""),47.88)</f>
        <v>47.88</v>
      </c>
      <c r="D572" s="190">
        <f>IFERROR(__xludf.DUMMYFUNCTION("""COMPUTED_VALUE"""),48.1)</f>
        <v>48.1</v>
      </c>
      <c r="E572" s="190">
        <f>IFERROR(__xludf.DUMMYFUNCTION("""COMPUTED_VALUE"""),47.68)</f>
        <v>47.68</v>
      </c>
      <c r="F572" s="190">
        <f>IFERROR(__xludf.DUMMYFUNCTION("""COMPUTED_VALUE"""),48.01)</f>
        <v>48.01</v>
      </c>
      <c r="G572" s="191">
        <f>IFERROR(__xludf.DUMMYFUNCTION("""COMPUTED_VALUE"""),1190924.0)</f>
        <v>1190924</v>
      </c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>
        <f>IFERROR(__xludf.DUMMYFUNCTION("""COMPUTED_VALUE"""),45896.5625)</f>
        <v>45896.5625</v>
      </c>
      <c r="C573" s="190">
        <f>IFERROR(__xludf.DUMMYFUNCTION("""COMPUTED_VALUE"""),48.23)</f>
        <v>48.23</v>
      </c>
      <c r="D573" s="190">
        <f>IFERROR(__xludf.DUMMYFUNCTION("""COMPUTED_VALUE"""),48.37)</f>
        <v>48.37</v>
      </c>
      <c r="E573" s="190">
        <f>IFERROR(__xludf.DUMMYFUNCTION("""COMPUTED_VALUE"""),48.2)</f>
        <v>48.2</v>
      </c>
      <c r="F573" s="190">
        <f>IFERROR(__xludf.DUMMYFUNCTION("""COMPUTED_VALUE"""),48.34)</f>
        <v>48.34</v>
      </c>
      <c r="G573" s="191">
        <f>IFERROR(__xludf.DUMMYFUNCTION("""COMPUTED_VALUE"""),997568.0)</f>
        <v>997568</v>
      </c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>
        <f>IFERROR(__xludf.DUMMYFUNCTION("""COMPUTED_VALUE"""),45897.5625)</f>
        <v>45897.5625</v>
      </c>
      <c r="C574" s="190">
        <f>IFERROR(__xludf.DUMMYFUNCTION("""COMPUTED_VALUE"""),48.26)</f>
        <v>48.26</v>
      </c>
      <c r="D574" s="190">
        <f>IFERROR(__xludf.DUMMYFUNCTION("""COMPUTED_VALUE"""),48.26)</f>
        <v>48.26</v>
      </c>
      <c r="E574" s="190">
        <f>IFERROR(__xludf.DUMMYFUNCTION("""COMPUTED_VALUE"""),47.88)</f>
        <v>47.88</v>
      </c>
      <c r="F574" s="190">
        <f>IFERROR(__xludf.DUMMYFUNCTION("""COMPUTED_VALUE"""),47.96)</f>
        <v>47.96</v>
      </c>
      <c r="G574" s="191">
        <f>IFERROR(__xludf.DUMMYFUNCTION("""COMPUTED_VALUE"""),1004958.0)</f>
        <v>1004958</v>
      </c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>
        <f>IFERROR(__xludf.DUMMYFUNCTION("""COMPUTED_VALUE"""),45898.5625)</f>
        <v>45898.5625</v>
      </c>
      <c r="C575" s="190">
        <f>IFERROR(__xludf.DUMMYFUNCTION("""COMPUTED_VALUE"""),48.1)</f>
        <v>48.1</v>
      </c>
      <c r="D575" s="190">
        <f>IFERROR(__xludf.DUMMYFUNCTION("""COMPUTED_VALUE"""),48.18)</f>
        <v>48.18</v>
      </c>
      <c r="E575" s="190">
        <f>IFERROR(__xludf.DUMMYFUNCTION("""COMPUTED_VALUE"""),47.79)</f>
        <v>47.79</v>
      </c>
      <c r="F575" s="190">
        <f>IFERROR(__xludf.DUMMYFUNCTION("""COMPUTED_VALUE"""),47.79)</f>
        <v>47.79</v>
      </c>
      <c r="G575" s="191">
        <f>IFERROR(__xludf.DUMMYFUNCTION("""COMPUTED_VALUE"""),773260.0)</f>
        <v>773260</v>
      </c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>
        <f>IFERROR(__xludf.DUMMYFUNCTION("""COMPUTED_VALUE"""),45901.5625)</f>
        <v>45901.5625</v>
      </c>
      <c r="C576" s="190">
        <f>IFERROR(__xludf.DUMMYFUNCTION("""COMPUTED_VALUE"""),47.54)</f>
        <v>47.54</v>
      </c>
      <c r="D576" s="190">
        <f>IFERROR(__xludf.DUMMYFUNCTION("""COMPUTED_VALUE"""),47.76)</f>
        <v>47.76</v>
      </c>
      <c r="E576" s="190">
        <f>IFERROR(__xludf.DUMMYFUNCTION("""COMPUTED_VALUE"""),47.07)</f>
        <v>47.07</v>
      </c>
      <c r="F576" s="190">
        <f>IFERROR(__xludf.DUMMYFUNCTION("""COMPUTED_VALUE"""),47.31)</f>
        <v>47.31</v>
      </c>
      <c r="G576" s="191">
        <f>IFERROR(__xludf.DUMMYFUNCTION("""COMPUTED_VALUE"""),1168331.0)</f>
        <v>1168331</v>
      </c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>
        <f>IFERROR(__xludf.DUMMYFUNCTION("""COMPUTED_VALUE"""),45902.5625)</f>
        <v>45902.5625</v>
      </c>
      <c r="C577" s="190">
        <f>IFERROR(__xludf.DUMMYFUNCTION("""COMPUTED_VALUE"""),47.67)</f>
        <v>47.67</v>
      </c>
      <c r="D577" s="190">
        <f>IFERROR(__xludf.DUMMYFUNCTION("""COMPUTED_VALUE"""),47.78)</f>
        <v>47.78</v>
      </c>
      <c r="E577" s="190">
        <f>IFERROR(__xludf.DUMMYFUNCTION("""COMPUTED_VALUE"""),47.23)</f>
        <v>47.23</v>
      </c>
      <c r="F577" s="190">
        <f>IFERROR(__xludf.DUMMYFUNCTION("""COMPUTED_VALUE"""),47.32)</f>
        <v>47.32</v>
      </c>
      <c r="G577" s="191">
        <f>IFERROR(__xludf.DUMMYFUNCTION("""COMPUTED_VALUE"""),1092042.0)</f>
        <v>1092042</v>
      </c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>
        <f>IFERROR(__xludf.DUMMYFUNCTION("""COMPUTED_VALUE"""),45903.5625)</f>
        <v>45903.5625</v>
      </c>
      <c r="C578" s="190">
        <f>IFERROR(__xludf.DUMMYFUNCTION("""COMPUTED_VALUE"""),47.32)</f>
        <v>47.32</v>
      </c>
      <c r="D578" s="190">
        <f>IFERROR(__xludf.DUMMYFUNCTION("""COMPUTED_VALUE"""),47.49)</f>
        <v>47.49</v>
      </c>
      <c r="E578" s="190">
        <f>IFERROR(__xludf.DUMMYFUNCTION("""COMPUTED_VALUE"""),47.21)</f>
        <v>47.21</v>
      </c>
      <c r="F578" s="190">
        <f>IFERROR(__xludf.DUMMYFUNCTION("""COMPUTED_VALUE"""),47.33)</f>
        <v>47.33</v>
      </c>
      <c r="G578" s="191">
        <f>IFERROR(__xludf.DUMMYFUNCTION("""COMPUTED_VALUE"""),1345904.0)</f>
        <v>1345904</v>
      </c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>
        <f>IFERROR(__xludf.DUMMYFUNCTION("""COMPUTED_VALUE"""),45904.5625)</f>
        <v>45904.5625</v>
      </c>
      <c r="C579" s="190">
        <f>IFERROR(__xludf.DUMMYFUNCTION("""COMPUTED_VALUE"""),47.82)</f>
        <v>47.82</v>
      </c>
      <c r="D579" s="190">
        <f>IFERROR(__xludf.DUMMYFUNCTION("""COMPUTED_VALUE"""),47.99)</f>
        <v>47.99</v>
      </c>
      <c r="E579" s="190">
        <f>IFERROR(__xludf.DUMMYFUNCTION("""COMPUTED_VALUE"""),47.62)</f>
        <v>47.62</v>
      </c>
      <c r="F579" s="190">
        <f>IFERROR(__xludf.DUMMYFUNCTION("""COMPUTED_VALUE"""),47.62)</f>
        <v>47.62</v>
      </c>
      <c r="G579" s="191">
        <f>IFERROR(__xludf.DUMMYFUNCTION("""COMPUTED_VALUE"""),660637.0)</f>
        <v>660637</v>
      </c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>
        <f>IFERROR(__xludf.DUMMYFUNCTION("""COMPUTED_VALUE"""),45905.5625)</f>
        <v>45905.5625</v>
      </c>
      <c r="C580" s="190">
        <f>IFERROR(__xludf.DUMMYFUNCTION("""COMPUTED_VALUE"""),48.01)</f>
        <v>48.01</v>
      </c>
      <c r="D580" s="190">
        <f>IFERROR(__xludf.DUMMYFUNCTION("""COMPUTED_VALUE"""),48.13)</f>
        <v>48.13</v>
      </c>
      <c r="E580" s="190">
        <f>IFERROR(__xludf.DUMMYFUNCTION("""COMPUTED_VALUE"""),47.94)</f>
        <v>47.94</v>
      </c>
      <c r="F580" s="190">
        <f>IFERROR(__xludf.DUMMYFUNCTION("""COMPUTED_VALUE"""),48.11)</f>
        <v>48.11</v>
      </c>
      <c r="G580" s="191">
        <f>IFERROR(__xludf.DUMMYFUNCTION("""COMPUTED_VALUE"""),958094.0)</f>
        <v>958094</v>
      </c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>
        <f>IFERROR(__xludf.DUMMYFUNCTION("""COMPUTED_VALUE"""),45908.5625)</f>
        <v>45908.5625</v>
      </c>
      <c r="C581" s="190">
        <f>IFERROR(__xludf.DUMMYFUNCTION("""COMPUTED_VALUE"""),48.65)</f>
        <v>48.65</v>
      </c>
      <c r="D581" s="190">
        <f>IFERROR(__xludf.DUMMYFUNCTION("""COMPUTED_VALUE"""),48.73)</f>
        <v>48.73</v>
      </c>
      <c r="E581" s="190">
        <f>IFERROR(__xludf.DUMMYFUNCTION("""COMPUTED_VALUE"""),48.47)</f>
        <v>48.47</v>
      </c>
      <c r="F581" s="190">
        <f>IFERROR(__xludf.DUMMYFUNCTION("""COMPUTED_VALUE"""),48.5)</f>
        <v>48.5</v>
      </c>
      <c r="G581" s="191">
        <f>IFERROR(__xludf.DUMMYFUNCTION("""COMPUTED_VALUE"""),1517480.0)</f>
        <v>1517480</v>
      </c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>
        <f>IFERROR(__xludf.DUMMYFUNCTION("""COMPUTED_VALUE"""),45909.5625)</f>
        <v>45909.5625</v>
      </c>
      <c r="C582" s="190">
        <f>IFERROR(__xludf.DUMMYFUNCTION("""COMPUTED_VALUE"""),48.71)</f>
        <v>48.71</v>
      </c>
      <c r="D582" s="190">
        <f>IFERROR(__xludf.DUMMYFUNCTION("""COMPUTED_VALUE"""),49.03)</f>
        <v>49.03</v>
      </c>
      <c r="E582" s="190">
        <f>IFERROR(__xludf.DUMMYFUNCTION("""COMPUTED_VALUE"""),48.71)</f>
        <v>48.71</v>
      </c>
      <c r="F582" s="190">
        <f>IFERROR(__xludf.DUMMYFUNCTION("""COMPUTED_VALUE"""),48.98)</f>
        <v>48.98</v>
      </c>
      <c r="G582" s="191">
        <f>IFERROR(__xludf.DUMMYFUNCTION("""COMPUTED_VALUE"""),2071684.0)</f>
        <v>2071684</v>
      </c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>
        <f>IFERROR(__xludf.DUMMYFUNCTION("""COMPUTED_VALUE"""),45910.5625)</f>
        <v>45910.5625</v>
      </c>
      <c r="C583" s="190">
        <f>IFERROR(__xludf.DUMMYFUNCTION("""COMPUTED_VALUE"""),49.59)</f>
        <v>49.59</v>
      </c>
      <c r="D583" s="190">
        <f>IFERROR(__xludf.DUMMYFUNCTION("""COMPUTED_VALUE"""),50.05)</f>
        <v>50.05</v>
      </c>
      <c r="E583" s="190">
        <f>IFERROR(__xludf.DUMMYFUNCTION("""COMPUTED_VALUE"""),49.58)</f>
        <v>49.58</v>
      </c>
      <c r="F583" s="190">
        <f>IFERROR(__xludf.DUMMYFUNCTION("""COMPUTED_VALUE"""),49.91)</f>
        <v>49.91</v>
      </c>
      <c r="G583" s="191">
        <f>IFERROR(__xludf.DUMMYFUNCTION("""COMPUTED_VALUE"""),3712621.0)</f>
        <v>3712621</v>
      </c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>
        <f>IFERROR(__xludf.DUMMYFUNCTION("""COMPUTED_VALUE"""),45911.5625)</f>
        <v>45911.5625</v>
      </c>
      <c r="C584" s="190">
        <f>IFERROR(__xludf.DUMMYFUNCTION("""COMPUTED_VALUE"""),50.5)</f>
        <v>50.5</v>
      </c>
      <c r="D584" s="190">
        <f>IFERROR(__xludf.DUMMYFUNCTION("""COMPUTED_VALUE"""),50.7)</f>
        <v>50.7</v>
      </c>
      <c r="E584" s="190">
        <f>IFERROR(__xludf.DUMMYFUNCTION("""COMPUTED_VALUE"""),50.2)</f>
        <v>50.2</v>
      </c>
      <c r="F584" s="190">
        <f>IFERROR(__xludf.DUMMYFUNCTION("""COMPUTED_VALUE"""),50.35)</f>
        <v>50.35</v>
      </c>
      <c r="G584" s="191">
        <f>IFERROR(__xludf.DUMMYFUNCTION("""COMPUTED_VALUE"""),2015954.0)</f>
        <v>2015954</v>
      </c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>
        <f>IFERROR(__xludf.DUMMYFUNCTION("""COMPUTED_VALUE"""),45912.5625)</f>
        <v>45912.5625</v>
      </c>
      <c r="C585" s="190">
        <f>IFERROR(__xludf.DUMMYFUNCTION("""COMPUTED_VALUE"""),50.6)</f>
        <v>50.6</v>
      </c>
      <c r="D585" s="190">
        <f>IFERROR(__xludf.DUMMYFUNCTION("""COMPUTED_VALUE"""),50.8)</f>
        <v>50.8</v>
      </c>
      <c r="E585" s="190">
        <f>IFERROR(__xludf.DUMMYFUNCTION("""COMPUTED_VALUE"""),50.6)</f>
        <v>50.6</v>
      </c>
      <c r="F585" s="190">
        <f>IFERROR(__xludf.DUMMYFUNCTION("""COMPUTED_VALUE"""),50.8)</f>
        <v>50.8</v>
      </c>
      <c r="G585" s="191">
        <f>IFERROR(__xludf.DUMMYFUNCTION("""COMPUTED_VALUE"""),1269113.0)</f>
        <v>1269113</v>
      </c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>
        <f>IFERROR(__xludf.DUMMYFUNCTION("""COMPUTED_VALUE"""),45915.5625)</f>
        <v>45915.5625</v>
      </c>
      <c r="C586" s="190">
        <f>IFERROR(__xludf.DUMMYFUNCTION("""COMPUTED_VALUE"""),50.9)</f>
        <v>50.9</v>
      </c>
      <c r="D586" s="190">
        <f>IFERROR(__xludf.DUMMYFUNCTION("""COMPUTED_VALUE"""),50.9)</f>
        <v>50.9</v>
      </c>
      <c r="E586" s="190">
        <f>IFERROR(__xludf.DUMMYFUNCTION("""COMPUTED_VALUE"""),50.6)</f>
        <v>50.6</v>
      </c>
      <c r="F586" s="190">
        <f>IFERROR(__xludf.DUMMYFUNCTION("""COMPUTED_VALUE"""),50.75)</f>
        <v>50.75</v>
      </c>
      <c r="G586" s="191">
        <f>IFERROR(__xludf.DUMMYFUNCTION("""COMPUTED_VALUE"""),887216.0)</f>
        <v>887216</v>
      </c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>
        <f>IFERROR(__xludf.DUMMYFUNCTION("""COMPUTED_VALUE"""),45916.5625)</f>
        <v>45916.5625</v>
      </c>
      <c r="C587" s="190">
        <f>IFERROR(__xludf.DUMMYFUNCTION("""COMPUTED_VALUE"""),50.95)</f>
        <v>50.95</v>
      </c>
      <c r="D587" s="190">
        <f>IFERROR(__xludf.DUMMYFUNCTION("""COMPUTED_VALUE"""),51.5)</f>
        <v>51.5</v>
      </c>
      <c r="E587" s="190">
        <f>IFERROR(__xludf.DUMMYFUNCTION("""COMPUTED_VALUE"""),50.95)</f>
        <v>50.95</v>
      </c>
      <c r="F587" s="190">
        <f>IFERROR(__xludf.DUMMYFUNCTION("""COMPUTED_VALUE"""),51.4)</f>
        <v>51.4</v>
      </c>
      <c r="G587" s="191">
        <f>IFERROR(__xludf.DUMMYFUNCTION("""COMPUTED_VALUE"""),1521828.0)</f>
        <v>1521828</v>
      </c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>
        <f>IFERROR(__xludf.DUMMYFUNCTION("""COMPUTED_VALUE"""),45917.5625)</f>
        <v>45917.5625</v>
      </c>
      <c r="C588" s="190">
        <f>IFERROR(__xludf.DUMMYFUNCTION("""COMPUTED_VALUE"""),51.1)</f>
        <v>51.1</v>
      </c>
      <c r="D588" s="190">
        <f>IFERROR(__xludf.DUMMYFUNCTION("""COMPUTED_VALUE"""),51.3)</f>
        <v>51.3</v>
      </c>
      <c r="E588" s="190">
        <f>IFERROR(__xludf.DUMMYFUNCTION("""COMPUTED_VALUE"""),51.05)</f>
        <v>51.05</v>
      </c>
      <c r="F588" s="190">
        <f>IFERROR(__xludf.DUMMYFUNCTION("""COMPUTED_VALUE"""),51.05)</f>
        <v>51.05</v>
      </c>
      <c r="G588" s="191">
        <f>IFERROR(__xludf.DUMMYFUNCTION("""COMPUTED_VALUE"""),1385906.0)</f>
        <v>1385906</v>
      </c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>
        <f>IFERROR(__xludf.DUMMYFUNCTION("""COMPUTED_VALUE"""),45918.5625)</f>
        <v>45918.5625</v>
      </c>
      <c r="C589" s="190">
        <f>IFERROR(__xludf.DUMMYFUNCTION("""COMPUTED_VALUE"""),51.25)</f>
        <v>51.25</v>
      </c>
      <c r="D589" s="190">
        <f>IFERROR(__xludf.DUMMYFUNCTION("""COMPUTED_VALUE"""),51.65)</f>
        <v>51.65</v>
      </c>
      <c r="E589" s="190">
        <f>IFERROR(__xludf.DUMMYFUNCTION("""COMPUTED_VALUE"""),51.05)</f>
        <v>51.05</v>
      </c>
      <c r="F589" s="190">
        <f>IFERROR(__xludf.DUMMYFUNCTION("""COMPUTED_VALUE"""),51.6)</f>
        <v>51.6</v>
      </c>
      <c r="G589" s="191">
        <f>IFERROR(__xludf.DUMMYFUNCTION("""COMPUTED_VALUE"""),2083240.0)</f>
        <v>2083240</v>
      </c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>
        <f>IFERROR(__xludf.DUMMYFUNCTION("""COMPUTED_VALUE"""),45919.5625)</f>
        <v>45919.5625</v>
      </c>
      <c r="C590" s="190">
        <f>IFERROR(__xludf.DUMMYFUNCTION("""COMPUTED_VALUE"""),51.7)</f>
        <v>51.7</v>
      </c>
      <c r="D590" s="190">
        <f>IFERROR(__xludf.DUMMYFUNCTION("""COMPUTED_VALUE"""),51.75)</f>
        <v>51.75</v>
      </c>
      <c r="E590" s="190">
        <f>IFERROR(__xludf.DUMMYFUNCTION("""COMPUTED_VALUE"""),51.35)</f>
        <v>51.35</v>
      </c>
      <c r="F590" s="190">
        <f>IFERROR(__xludf.DUMMYFUNCTION("""COMPUTED_VALUE"""),51.6)</f>
        <v>51.6</v>
      </c>
      <c r="G590" s="191">
        <f>IFERROR(__xludf.DUMMYFUNCTION("""COMPUTED_VALUE"""),1192789.0)</f>
        <v>1192789</v>
      </c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>
        <f>IFERROR(__xludf.DUMMYFUNCTION("""COMPUTED_VALUE"""),45922.5625)</f>
        <v>45922.5625</v>
      </c>
      <c r="C591" s="190">
        <f>IFERROR(__xludf.DUMMYFUNCTION("""COMPUTED_VALUE"""),51.55)</f>
        <v>51.55</v>
      </c>
      <c r="D591" s="190">
        <f>IFERROR(__xludf.DUMMYFUNCTION("""COMPUTED_VALUE"""),52.0)</f>
        <v>52</v>
      </c>
      <c r="E591" s="190">
        <f>IFERROR(__xludf.DUMMYFUNCTION("""COMPUTED_VALUE"""),51.4)</f>
        <v>51.4</v>
      </c>
      <c r="F591" s="190">
        <f>IFERROR(__xludf.DUMMYFUNCTION("""COMPUTED_VALUE"""),51.95)</f>
        <v>51.95</v>
      </c>
      <c r="G591" s="191">
        <f>IFERROR(__xludf.DUMMYFUNCTION("""COMPUTED_VALUE"""),792923.0)</f>
        <v>792923</v>
      </c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>
        <f>IFERROR(__xludf.DUMMYFUNCTION("""COMPUTED_VALUE"""),45923.5625)</f>
        <v>45923.5625</v>
      </c>
      <c r="C592" s="190">
        <f>IFERROR(__xludf.DUMMYFUNCTION("""COMPUTED_VALUE"""),52.4)</f>
        <v>52.4</v>
      </c>
      <c r="D592" s="190">
        <f>IFERROR(__xludf.DUMMYFUNCTION("""COMPUTED_VALUE"""),52.95)</f>
        <v>52.95</v>
      </c>
      <c r="E592" s="190">
        <f>IFERROR(__xludf.DUMMYFUNCTION("""COMPUTED_VALUE"""),52.35)</f>
        <v>52.35</v>
      </c>
      <c r="F592" s="190">
        <f>IFERROR(__xludf.DUMMYFUNCTION("""COMPUTED_VALUE"""),52.8)</f>
        <v>52.8</v>
      </c>
      <c r="G592" s="191">
        <f>IFERROR(__xludf.DUMMYFUNCTION("""COMPUTED_VALUE"""),2141576.0)</f>
        <v>2141576</v>
      </c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>
        <f>IFERROR(__xludf.DUMMYFUNCTION("""COMPUTED_VALUE"""),45924.5625)</f>
        <v>45924.5625</v>
      </c>
      <c r="C593" s="190">
        <f>IFERROR(__xludf.DUMMYFUNCTION("""COMPUTED_VALUE"""),53.0)</f>
        <v>53</v>
      </c>
      <c r="D593" s="190">
        <f>IFERROR(__xludf.DUMMYFUNCTION("""COMPUTED_VALUE"""),53.05)</f>
        <v>53.05</v>
      </c>
      <c r="E593" s="190">
        <f>IFERROR(__xludf.DUMMYFUNCTION("""COMPUTED_VALUE"""),52.55)</f>
        <v>52.55</v>
      </c>
      <c r="F593" s="190">
        <f>IFERROR(__xludf.DUMMYFUNCTION("""COMPUTED_VALUE"""),52.9)</f>
        <v>52.9</v>
      </c>
      <c r="G593" s="191">
        <f>IFERROR(__xludf.DUMMYFUNCTION("""COMPUTED_VALUE"""),2020418.0)</f>
        <v>2020418</v>
      </c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>
        <f>IFERROR(__xludf.DUMMYFUNCTION("""COMPUTED_VALUE"""),45925.5625)</f>
        <v>45925.5625</v>
      </c>
      <c r="C594" s="190">
        <f>IFERROR(__xludf.DUMMYFUNCTION("""COMPUTED_VALUE"""),52.65)</f>
        <v>52.65</v>
      </c>
      <c r="D594" s="190">
        <f>IFERROR(__xludf.DUMMYFUNCTION("""COMPUTED_VALUE"""),52.85)</f>
        <v>52.85</v>
      </c>
      <c r="E594" s="190">
        <f>IFERROR(__xludf.DUMMYFUNCTION("""COMPUTED_VALUE"""),52.5)</f>
        <v>52.5</v>
      </c>
      <c r="F594" s="190">
        <f>IFERROR(__xludf.DUMMYFUNCTION("""COMPUTED_VALUE"""),52.75)</f>
        <v>52.75</v>
      </c>
      <c r="G594" s="191">
        <f>IFERROR(__xludf.DUMMYFUNCTION("""COMPUTED_VALUE"""),1783311.0)</f>
        <v>1783311</v>
      </c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>
        <f>IFERROR(__xludf.DUMMYFUNCTION("""COMPUTED_VALUE"""),45926.5625)</f>
        <v>45926.5625</v>
      </c>
      <c r="C595" s="190">
        <f>IFERROR(__xludf.DUMMYFUNCTION("""COMPUTED_VALUE"""),52.35)</f>
        <v>52.35</v>
      </c>
      <c r="D595" s="190">
        <f>IFERROR(__xludf.DUMMYFUNCTION("""COMPUTED_VALUE"""),52.35)</f>
        <v>52.35</v>
      </c>
      <c r="E595" s="190">
        <f>IFERROR(__xludf.DUMMYFUNCTION("""COMPUTED_VALUE"""),51.5)</f>
        <v>51.5</v>
      </c>
      <c r="F595" s="190">
        <f>IFERROR(__xludf.DUMMYFUNCTION("""COMPUTED_VALUE"""),51.8)</f>
        <v>51.8</v>
      </c>
      <c r="G595" s="191">
        <f>IFERROR(__xludf.DUMMYFUNCTION("""COMPUTED_VALUE"""),1622474.0)</f>
        <v>1622474</v>
      </c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>
        <f>IFERROR(__xludf.DUMMYFUNCTION("""COMPUTED_VALUE"""),45930.5625)</f>
        <v>45930.5625</v>
      </c>
      <c r="C596" s="190">
        <f>IFERROR(__xludf.DUMMYFUNCTION("""COMPUTED_VALUE"""),52.2)</f>
        <v>52.2</v>
      </c>
      <c r="D596" s="190">
        <f>IFERROR(__xludf.DUMMYFUNCTION("""COMPUTED_VALUE"""),52.5)</f>
        <v>52.5</v>
      </c>
      <c r="E596" s="190">
        <f>IFERROR(__xludf.DUMMYFUNCTION("""COMPUTED_VALUE"""),52.2)</f>
        <v>52.2</v>
      </c>
      <c r="F596" s="190">
        <f>IFERROR(__xludf.DUMMYFUNCTION("""COMPUTED_VALUE"""),52.4)</f>
        <v>52.4</v>
      </c>
      <c r="G596" s="191">
        <f>IFERROR(__xludf.DUMMYFUNCTION("""COMPUTED_VALUE"""),2775642.0)</f>
        <v>2775642</v>
      </c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>
        <f>IFERROR(__xludf.DUMMYFUNCTION("""COMPUTED_VALUE"""),45931.5625)</f>
        <v>45931.5625</v>
      </c>
      <c r="C597" s="190">
        <f>IFERROR(__xludf.DUMMYFUNCTION("""COMPUTED_VALUE"""),52.45)</f>
        <v>52.45</v>
      </c>
      <c r="D597" s="190">
        <f>IFERROR(__xludf.DUMMYFUNCTION("""COMPUTED_VALUE"""),53.2)</f>
        <v>53.2</v>
      </c>
      <c r="E597" s="190">
        <f>IFERROR(__xludf.DUMMYFUNCTION("""COMPUTED_VALUE"""),52.45)</f>
        <v>52.45</v>
      </c>
      <c r="F597" s="190">
        <f>IFERROR(__xludf.DUMMYFUNCTION("""COMPUTED_VALUE"""),52.55)</f>
        <v>52.55</v>
      </c>
      <c r="G597" s="191">
        <f>IFERROR(__xludf.DUMMYFUNCTION("""COMPUTED_VALUE"""),3130415.0)</f>
        <v>3130415</v>
      </c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>
        <f>IFERROR(__xludf.DUMMYFUNCTION("""COMPUTED_VALUE"""),45932.5625)</f>
        <v>45932.5625</v>
      </c>
      <c r="C598" s="190">
        <f>IFERROR(__xludf.DUMMYFUNCTION("""COMPUTED_VALUE"""),53.35)</f>
        <v>53.35</v>
      </c>
      <c r="D598" s="190">
        <f>IFERROR(__xludf.DUMMYFUNCTION("""COMPUTED_VALUE"""),53.6)</f>
        <v>53.6</v>
      </c>
      <c r="E598" s="190">
        <f>IFERROR(__xludf.DUMMYFUNCTION("""COMPUTED_VALUE"""),53.25)</f>
        <v>53.25</v>
      </c>
      <c r="F598" s="190">
        <f>IFERROR(__xludf.DUMMYFUNCTION("""COMPUTED_VALUE"""),53.5)</f>
        <v>53.5</v>
      </c>
      <c r="G598" s="191">
        <f>IFERROR(__xludf.DUMMYFUNCTION("""COMPUTED_VALUE"""),3558910.0)</f>
        <v>3558910</v>
      </c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>
        <f>IFERROR(__xludf.DUMMYFUNCTION("""COMPUTED_VALUE"""),45933.5625)</f>
        <v>45933.5625</v>
      </c>
      <c r="C599" s="190">
        <f>IFERROR(__xludf.DUMMYFUNCTION("""COMPUTED_VALUE"""),53.45)</f>
        <v>53.45</v>
      </c>
      <c r="D599" s="190">
        <f>IFERROR(__xludf.DUMMYFUNCTION("""COMPUTED_VALUE"""),54.2)</f>
        <v>54.2</v>
      </c>
      <c r="E599" s="190">
        <f>IFERROR(__xludf.DUMMYFUNCTION("""COMPUTED_VALUE"""),53.45)</f>
        <v>53.45</v>
      </c>
      <c r="F599" s="190">
        <f>IFERROR(__xludf.DUMMYFUNCTION("""COMPUTED_VALUE"""),54.15)</f>
        <v>54.15</v>
      </c>
      <c r="G599" s="191">
        <f>IFERROR(__xludf.DUMMYFUNCTION("""COMPUTED_VALUE"""),2432921.0)</f>
        <v>2432921</v>
      </c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>
        <f>IFERROR(__xludf.DUMMYFUNCTION("""COMPUTED_VALUE"""),45937.5625)</f>
        <v>45937.5625</v>
      </c>
      <c r="C600" s="190">
        <f>IFERROR(__xludf.DUMMYFUNCTION("""COMPUTED_VALUE"""),54.85)</f>
        <v>54.85</v>
      </c>
      <c r="D600" s="190">
        <f>IFERROR(__xludf.DUMMYFUNCTION("""COMPUTED_VALUE"""),55.6)</f>
        <v>55.6</v>
      </c>
      <c r="E600" s="190">
        <f>IFERROR(__xludf.DUMMYFUNCTION("""COMPUTED_VALUE"""),54.85)</f>
        <v>54.85</v>
      </c>
      <c r="F600" s="190">
        <f>IFERROR(__xludf.DUMMYFUNCTION("""COMPUTED_VALUE"""),55.55)</f>
        <v>55.55</v>
      </c>
      <c r="G600" s="191">
        <f>IFERROR(__xludf.DUMMYFUNCTION("""COMPUTED_VALUE"""),3467827.0)</f>
        <v>3467827</v>
      </c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>
        <f>IFERROR(__xludf.DUMMYFUNCTION("""COMPUTED_VALUE"""),45938.5625)</f>
        <v>45938.5625</v>
      </c>
      <c r="C601" s="190">
        <f>IFERROR(__xludf.DUMMYFUNCTION("""COMPUTED_VALUE"""),54.8)</f>
        <v>54.8</v>
      </c>
      <c r="D601" s="190">
        <f>IFERROR(__xludf.DUMMYFUNCTION("""COMPUTED_VALUE"""),55.1)</f>
        <v>55.1</v>
      </c>
      <c r="E601" s="190">
        <f>IFERROR(__xludf.DUMMYFUNCTION("""COMPUTED_VALUE"""),54.65)</f>
        <v>54.65</v>
      </c>
      <c r="F601" s="190">
        <f>IFERROR(__xludf.DUMMYFUNCTION("""COMPUTED_VALUE"""),55.05)</f>
        <v>55.05</v>
      </c>
      <c r="G601" s="191">
        <f>IFERROR(__xludf.DUMMYFUNCTION("""COMPUTED_VALUE"""),879080.0)</f>
        <v>879080</v>
      </c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>
        <f>IFERROR(__xludf.DUMMYFUNCTION("""COMPUTED_VALUE"""),45939.5625)</f>
        <v>45939.5625</v>
      </c>
      <c r="C602" s="190">
        <f>IFERROR(__xludf.DUMMYFUNCTION("""COMPUTED_VALUE"""),55.55)</f>
        <v>55.55</v>
      </c>
      <c r="D602" s="190">
        <f>IFERROR(__xludf.DUMMYFUNCTION("""COMPUTED_VALUE"""),55.75)</f>
        <v>55.75</v>
      </c>
      <c r="E602" s="190">
        <f>IFERROR(__xludf.DUMMYFUNCTION("""COMPUTED_VALUE"""),55.4)</f>
        <v>55.4</v>
      </c>
      <c r="F602" s="190">
        <f>IFERROR(__xludf.DUMMYFUNCTION("""COMPUTED_VALUE"""),55.5)</f>
        <v>55.5</v>
      </c>
      <c r="G602" s="191">
        <f>IFERROR(__xludf.DUMMYFUNCTION("""COMPUTED_VALUE"""),1658680.0)</f>
        <v>1658680</v>
      </c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>
        <f>IFERROR(__xludf.DUMMYFUNCTION("""COMPUTED_VALUE"""),45943.5625)</f>
        <v>45943.5625</v>
      </c>
      <c r="C603" s="190">
        <f>IFERROR(__xludf.DUMMYFUNCTION("""COMPUTED_VALUE"""),54.15)</f>
        <v>54.15</v>
      </c>
      <c r="D603" s="190">
        <f>IFERROR(__xludf.DUMMYFUNCTION("""COMPUTED_VALUE"""),54.9)</f>
        <v>54.9</v>
      </c>
      <c r="E603" s="190">
        <f>IFERROR(__xludf.DUMMYFUNCTION("""COMPUTED_VALUE"""),54.0)</f>
        <v>54</v>
      </c>
      <c r="F603" s="190">
        <f>IFERROR(__xludf.DUMMYFUNCTION("""COMPUTED_VALUE"""),54.9)</f>
        <v>54.9</v>
      </c>
      <c r="G603" s="191">
        <f>IFERROR(__xludf.DUMMYFUNCTION("""COMPUTED_VALUE"""),1521607.0)</f>
        <v>1521607</v>
      </c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>
        <f>IFERROR(__xludf.DUMMYFUNCTION("""COMPUTED_VALUE"""),45944.5625)</f>
        <v>45944.5625</v>
      </c>
      <c r="C604" s="190">
        <f>IFERROR(__xludf.DUMMYFUNCTION("""COMPUTED_VALUE"""),55.7)</f>
        <v>55.7</v>
      </c>
      <c r="D604" s="190">
        <f>IFERROR(__xludf.DUMMYFUNCTION("""COMPUTED_VALUE"""),55.95)</f>
        <v>55.95</v>
      </c>
      <c r="E604" s="190">
        <f>IFERROR(__xludf.DUMMYFUNCTION("""COMPUTED_VALUE"""),54.65)</f>
        <v>54.65</v>
      </c>
      <c r="F604" s="190">
        <f>IFERROR(__xludf.DUMMYFUNCTION("""COMPUTED_VALUE"""),54.75)</f>
        <v>54.75</v>
      </c>
      <c r="G604" s="191">
        <f>IFERROR(__xludf.DUMMYFUNCTION("""COMPUTED_VALUE"""),1381970.0)</f>
        <v>1381970</v>
      </c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>
        <f>IFERROR(__xludf.DUMMYFUNCTION("""COMPUTED_VALUE"""),45945.5625)</f>
        <v>45945.5625</v>
      </c>
      <c r="C605" s="190">
        <f>IFERROR(__xludf.DUMMYFUNCTION("""COMPUTED_VALUE"""),54.85)</f>
        <v>54.85</v>
      </c>
      <c r="D605" s="190">
        <f>IFERROR(__xludf.DUMMYFUNCTION("""COMPUTED_VALUE"""),55.7)</f>
        <v>55.7</v>
      </c>
      <c r="E605" s="190">
        <f>IFERROR(__xludf.DUMMYFUNCTION("""COMPUTED_VALUE"""),54.75)</f>
        <v>54.75</v>
      </c>
      <c r="F605" s="190">
        <f>IFERROR(__xludf.DUMMYFUNCTION("""COMPUTED_VALUE"""),55.7)</f>
        <v>55.7</v>
      </c>
      <c r="G605" s="191">
        <f>IFERROR(__xludf.DUMMYFUNCTION("""COMPUTED_VALUE"""),1524711.0)</f>
        <v>1524711</v>
      </c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>
        <f>IFERROR(__xludf.DUMMYFUNCTION("""COMPUTED_VALUE"""),45946.5625)</f>
        <v>45946.5625</v>
      </c>
      <c r="C606" s="190">
        <f>IFERROR(__xludf.DUMMYFUNCTION("""COMPUTED_VALUE"""),56.05)</f>
        <v>56.05</v>
      </c>
      <c r="D606" s="190">
        <f>IFERROR(__xludf.DUMMYFUNCTION("""COMPUTED_VALUE"""),56.8)</f>
        <v>56.8</v>
      </c>
      <c r="E606" s="190">
        <f>IFERROR(__xludf.DUMMYFUNCTION("""COMPUTED_VALUE"""),56.0)</f>
        <v>56</v>
      </c>
      <c r="F606" s="190">
        <f>IFERROR(__xludf.DUMMYFUNCTION("""COMPUTED_VALUE"""),56.75)</f>
        <v>56.75</v>
      </c>
      <c r="G606" s="191">
        <f>IFERROR(__xludf.DUMMYFUNCTION("""COMPUTED_VALUE"""),2561838.0)</f>
        <v>2561838</v>
      </c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>
        <f>IFERROR(__xludf.DUMMYFUNCTION("""COMPUTED_VALUE"""),45947.5625)</f>
        <v>45947.5625</v>
      </c>
      <c r="C607" s="190">
        <f>IFERROR(__xludf.DUMMYFUNCTION("""COMPUTED_VALUE"""),56.1)</f>
        <v>56.1</v>
      </c>
      <c r="D607" s="190">
        <f>IFERROR(__xludf.DUMMYFUNCTION("""COMPUTED_VALUE"""),56.25)</f>
        <v>56.25</v>
      </c>
      <c r="E607" s="190">
        <f>IFERROR(__xludf.DUMMYFUNCTION("""COMPUTED_VALUE"""),55.9)</f>
        <v>55.9</v>
      </c>
      <c r="F607" s="190">
        <f>IFERROR(__xludf.DUMMYFUNCTION("""COMPUTED_VALUE"""),55.95)</f>
        <v>55.95</v>
      </c>
      <c r="G607" s="191">
        <f>IFERROR(__xludf.DUMMYFUNCTION("""COMPUTED_VALUE"""),1353568.0)</f>
        <v>1353568</v>
      </c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>
        <f>IFERROR(__xludf.DUMMYFUNCTION("""COMPUTED_VALUE"""),45950.5625)</f>
        <v>45950.5625</v>
      </c>
      <c r="C608" s="190">
        <f>IFERROR(__xludf.DUMMYFUNCTION("""COMPUTED_VALUE"""),56.2)</f>
        <v>56.2</v>
      </c>
      <c r="D608" s="190">
        <f>IFERROR(__xludf.DUMMYFUNCTION("""COMPUTED_VALUE"""),56.95)</f>
        <v>56.95</v>
      </c>
      <c r="E608" s="190">
        <f>IFERROR(__xludf.DUMMYFUNCTION("""COMPUTED_VALUE"""),56.1)</f>
        <v>56.1</v>
      </c>
      <c r="F608" s="190">
        <f>IFERROR(__xludf.DUMMYFUNCTION("""COMPUTED_VALUE"""),56.85)</f>
        <v>56.85</v>
      </c>
      <c r="G608" s="191">
        <f>IFERROR(__xludf.DUMMYFUNCTION("""COMPUTED_VALUE"""),1252975.0)</f>
        <v>1252975</v>
      </c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>
        <f>IFERROR(__xludf.DUMMYFUNCTION("""COMPUTED_VALUE"""),45951.5625)</f>
        <v>45951.5625</v>
      </c>
      <c r="C609" s="190">
        <f>IFERROR(__xludf.DUMMYFUNCTION("""COMPUTED_VALUE"""),56.95)</f>
        <v>56.95</v>
      </c>
      <c r="D609" s="190">
        <f>IFERROR(__xludf.DUMMYFUNCTION("""COMPUTED_VALUE"""),57.35)</f>
        <v>57.35</v>
      </c>
      <c r="E609" s="190">
        <f>IFERROR(__xludf.DUMMYFUNCTION("""COMPUTED_VALUE"""),56.9)</f>
        <v>56.9</v>
      </c>
      <c r="F609" s="190">
        <f>IFERROR(__xludf.DUMMYFUNCTION("""COMPUTED_VALUE"""),56.9)</f>
        <v>56.9</v>
      </c>
      <c r="G609" s="191">
        <f>IFERROR(__xludf.DUMMYFUNCTION("""COMPUTED_VALUE"""),1242366.0)</f>
        <v>1242366</v>
      </c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>
        <f>IFERROR(__xludf.DUMMYFUNCTION("""COMPUTED_VALUE"""),45952.5625)</f>
        <v>45952.5625</v>
      </c>
      <c r="C610" s="190">
        <f>IFERROR(__xludf.DUMMYFUNCTION("""COMPUTED_VALUE"""),56.5)</f>
        <v>56.5</v>
      </c>
      <c r="D610" s="190">
        <f>IFERROR(__xludf.DUMMYFUNCTION("""COMPUTED_VALUE"""),56.7)</f>
        <v>56.7</v>
      </c>
      <c r="E610" s="190">
        <f>IFERROR(__xludf.DUMMYFUNCTION("""COMPUTED_VALUE"""),56.25)</f>
        <v>56.25</v>
      </c>
      <c r="F610" s="190">
        <f>IFERROR(__xludf.DUMMYFUNCTION("""COMPUTED_VALUE"""),56.65)</f>
        <v>56.65</v>
      </c>
      <c r="G610" s="191">
        <f>IFERROR(__xludf.DUMMYFUNCTION("""COMPUTED_VALUE"""),661285.0)</f>
        <v>661285</v>
      </c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>
        <f>IFERROR(__xludf.DUMMYFUNCTION("""COMPUTED_VALUE"""),45953.5625)</f>
        <v>45953.5625</v>
      </c>
      <c r="C611" s="190">
        <f>IFERROR(__xludf.DUMMYFUNCTION("""COMPUTED_VALUE"""),56.0)</f>
        <v>56</v>
      </c>
      <c r="D611" s="190">
        <f>IFERROR(__xludf.DUMMYFUNCTION("""COMPUTED_VALUE"""),56.35)</f>
        <v>56.35</v>
      </c>
      <c r="E611" s="190">
        <f>IFERROR(__xludf.DUMMYFUNCTION("""COMPUTED_VALUE"""),55.8)</f>
        <v>55.8</v>
      </c>
      <c r="F611" s="190">
        <f>IFERROR(__xludf.DUMMYFUNCTION("""COMPUTED_VALUE"""),56.25)</f>
        <v>56.25</v>
      </c>
      <c r="G611" s="191">
        <f>IFERROR(__xludf.DUMMYFUNCTION("""COMPUTED_VALUE"""),1436905.0)</f>
        <v>1436905</v>
      </c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>
        <f>IFERROR(__xludf.DUMMYFUNCTION("""COMPUTED_VALUE"""),45957.5625)</f>
        <v>45957.5625</v>
      </c>
      <c r="C612" s="190">
        <f>IFERROR(__xludf.DUMMYFUNCTION("""COMPUTED_VALUE"""),57.45)</f>
        <v>57.45</v>
      </c>
      <c r="D612" s="190">
        <f>IFERROR(__xludf.DUMMYFUNCTION("""COMPUTED_VALUE"""),57.6)</f>
        <v>57.6</v>
      </c>
      <c r="E612" s="190">
        <f>IFERROR(__xludf.DUMMYFUNCTION("""COMPUTED_VALUE"""),57.35)</f>
        <v>57.35</v>
      </c>
      <c r="F612" s="190">
        <f>IFERROR(__xludf.DUMMYFUNCTION("""COMPUTED_VALUE"""),57.55)</f>
        <v>57.55</v>
      </c>
      <c r="G612" s="191">
        <f>IFERROR(__xludf.DUMMYFUNCTION("""COMPUTED_VALUE"""),1871699.0)</f>
        <v>1871699</v>
      </c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>
        <f>IFERROR(__xludf.DUMMYFUNCTION("""COMPUTED_VALUE"""),45958.5625)</f>
        <v>45958.5625</v>
      </c>
      <c r="C613" s="190">
        <f>IFERROR(__xludf.DUMMYFUNCTION("""COMPUTED_VALUE"""),57.4)</f>
        <v>57.4</v>
      </c>
      <c r="D613" s="190">
        <f>IFERROR(__xludf.DUMMYFUNCTION("""COMPUTED_VALUE"""),57.5)</f>
        <v>57.5</v>
      </c>
      <c r="E613" s="190">
        <f>IFERROR(__xludf.DUMMYFUNCTION("""COMPUTED_VALUE"""),57.05)</f>
        <v>57.05</v>
      </c>
      <c r="F613" s="190">
        <f>IFERROR(__xludf.DUMMYFUNCTION("""COMPUTED_VALUE"""),57.2)</f>
        <v>57.2</v>
      </c>
      <c r="G613" s="191">
        <f>IFERROR(__xludf.DUMMYFUNCTION("""COMPUTED_VALUE"""),841163.0)</f>
        <v>841163</v>
      </c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>
        <f>IFERROR(__xludf.DUMMYFUNCTION("""COMPUTED_VALUE"""),45959.5625)</f>
        <v>45959.5625</v>
      </c>
      <c r="C614" s="190">
        <f>IFERROR(__xludf.DUMMYFUNCTION("""COMPUTED_VALUE"""),57.6)</f>
        <v>57.6</v>
      </c>
      <c r="D614" s="190">
        <f>IFERROR(__xludf.DUMMYFUNCTION("""COMPUTED_VALUE"""),58.1)</f>
        <v>58.1</v>
      </c>
      <c r="E614" s="190">
        <f>IFERROR(__xludf.DUMMYFUNCTION("""COMPUTED_VALUE"""),57.6)</f>
        <v>57.6</v>
      </c>
      <c r="F614" s="190">
        <f>IFERROR(__xludf.DUMMYFUNCTION("""COMPUTED_VALUE"""),58.0)</f>
        <v>58</v>
      </c>
      <c r="G614" s="191">
        <f>IFERROR(__xludf.DUMMYFUNCTION("""COMPUTED_VALUE"""),1207040.0)</f>
        <v>1207040</v>
      </c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>
        <f>IFERROR(__xludf.DUMMYFUNCTION("""COMPUTED_VALUE"""),45960.5625)</f>
        <v>45960.5625</v>
      </c>
      <c r="C615" s="190">
        <f>IFERROR(__xludf.DUMMYFUNCTION("""COMPUTED_VALUE"""),58.1)</f>
        <v>58.1</v>
      </c>
      <c r="D615" s="190">
        <f>IFERROR(__xludf.DUMMYFUNCTION("""COMPUTED_VALUE"""),58.25)</f>
        <v>58.25</v>
      </c>
      <c r="E615" s="190">
        <f>IFERROR(__xludf.DUMMYFUNCTION("""COMPUTED_VALUE"""),57.6)</f>
        <v>57.6</v>
      </c>
      <c r="F615" s="190">
        <f>IFERROR(__xludf.DUMMYFUNCTION("""COMPUTED_VALUE"""),57.9)</f>
        <v>57.9</v>
      </c>
      <c r="G615" s="191">
        <f>IFERROR(__xludf.DUMMYFUNCTION("""COMPUTED_VALUE"""),1071109.0)</f>
        <v>1071109</v>
      </c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>
        <f>IFERROR(__xludf.DUMMYFUNCTION("""COMPUTED_VALUE"""),45961.5625)</f>
        <v>45961.5625</v>
      </c>
      <c r="C616" s="190">
        <f>IFERROR(__xludf.DUMMYFUNCTION("""COMPUTED_VALUE"""),58.0)</f>
        <v>58</v>
      </c>
      <c r="D616" s="190">
        <f>IFERROR(__xludf.DUMMYFUNCTION("""COMPUTED_VALUE"""),58.25)</f>
        <v>58.25</v>
      </c>
      <c r="E616" s="190">
        <f>IFERROR(__xludf.DUMMYFUNCTION("""COMPUTED_VALUE"""),57.95)</f>
        <v>57.95</v>
      </c>
      <c r="F616" s="190">
        <f>IFERROR(__xludf.DUMMYFUNCTION("""COMPUTED_VALUE"""),58.15)</f>
        <v>58.15</v>
      </c>
      <c r="G616" s="191">
        <f>IFERROR(__xludf.DUMMYFUNCTION("""COMPUTED_VALUE"""),806341.0)</f>
        <v>806341</v>
      </c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>
        <f>IFERROR(__xludf.DUMMYFUNCTION("""COMPUTED_VALUE"""),45964.5625)</f>
        <v>45964.5625</v>
      </c>
      <c r="C617" s="190">
        <f>IFERROR(__xludf.DUMMYFUNCTION("""COMPUTED_VALUE"""),57.95)</f>
        <v>57.95</v>
      </c>
      <c r="D617" s="190">
        <f>IFERROR(__xludf.DUMMYFUNCTION("""COMPUTED_VALUE"""),58.25)</f>
        <v>58.25</v>
      </c>
      <c r="E617" s="190">
        <f>IFERROR(__xludf.DUMMYFUNCTION("""COMPUTED_VALUE"""),57.55)</f>
        <v>57.55</v>
      </c>
      <c r="F617" s="190">
        <f>IFERROR(__xludf.DUMMYFUNCTION("""COMPUTED_VALUE"""),57.65)</f>
        <v>57.65</v>
      </c>
      <c r="G617" s="191">
        <f>IFERROR(__xludf.DUMMYFUNCTION("""COMPUTED_VALUE"""),1373551.0)</f>
        <v>1373551</v>
      </c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>
        <f>IFERROR(__xludf.DUMMYFUNCTION("""COMPUTED_VALUE"""),45965.5625)</f>
        <v>45965.5625</v>
      </c>
      <c r="C618" s="190">
        <f>IFERROR(__xludf.DUMMYFUNCTION("""COMPUTED_VALUE"""),58.05)</f>
        <v>58.05</v>
      </c>
      <c r="D618" s="190">
        <f>IFERROR(__xludf.DUMMYFUNCTION("""COMPUTED_VALUE"""),58.35)</f>
        <v>58.35</v>
      </c>
      <c r="E618" s="190">
        <f>IFERROR(__xludf.DUMMYFUNCTION("""COMPUTED_VALUE"""),57.5)</f>
        <v>57.5</v>
      </c>
      <c r="F618" s="190">
        <f>IFERROR(__xludf.DUMMYFUNCTION("""COMPUTED_VALUE"""),57.5)</f>
        <v>57.5</v>
      </c>
      <c r="G618" s="191">
        <f>IFERROR(__xludf.DUMMYFUNCTION("""COMPUTED_VALUE"""),2805294.0)</f>
        <v>2805294</v>
      </c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>
        <f>IFERROR(__xludf.DUMMYFUNCTION("""COMPUTED_VALUE"""),45966.5625)</f>
        <v>45966.5625</v>
      </c>
      <c r="C619" s="190">
        <f>IFERROR(__xludf.DUMMYFUNCTION("""COMPUTED_VALUE"""),56.55)</f>
        <v>56.55</v>
      </c>
      <c r="D619" s="190">
        <f>IFERROR(__xludf.DUMMYFUNCTION("""COMPUTED_VALUE"""),56.9)</f>
        <v>56.9</v>
      </c>
      <c r="E619" s="190">
        <f>IFERROR(__xludf.DUMMYFUNCTION("""COMPUTED_VALUE"""),56.15)</f>
        <v>56.15</v>
      </c>
      <c r="F619" s="190">
        <f>IFERROR(__xludf.DUMMYFUNCTION("""COMPUTED_VALUE"""),56.8)</f>
        <v>56.8</v>
      </c>
      <c r="G619" s="191">
        <f>IFERROR(__xludf.DUMMYFUNCTION("""COMPUTED_VALUE"""),1980201.0)</f>
        <v>1980201</v>
      </c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>
        <f>IFERROR(__xludf.DUMMYFUNCTION("""COMPUTED_VALUE"""),45967.5625)</f>
        <v>45967.5625</v>
      </c>
      <c r="C620" s="190">
        <f>IFERROR(__xludf.DUMMYFUNCTION("""COMPUTED_VALUE"""),57.05)</f>
        <v>57.05</v>
      </c>
      <c r="D620" s="190">
        <f>IFERROR(__xludf.DUMMYFUNCTION("""COMPUTED_VALUE"""),57.25)</f>
        <v>57.25</v>
      </c>
      <c r="E620" s="190">
        <f>IFERROR(__xludf.DUMMYFUNCTION("""COMPUTED_VALUE"""),56.9)</f>
        <v>56.9</v>
      </c>
      <c r="F620" s="190">
        <f>IFERROR(__xludf.DUMMYFUNCTION("""COMPUTED_VALUE"""),57.0)</f>
        <v>57</v>
      </c>
      <c r="G620" s="191">
        <f>IFERROR(__xludf.DUMMYFUNCTION("""COMPUTED_VALUE"""),1913104.0)</f>
        <v>1913104</v>
      </c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>
        <f>IFERROR(__xludf.DUMMYFUNCTION("""COMPUTED_VALUE"""),45968.5625)</f>
        <v>45968.5625</v>
      </c>
      <c r="C621" s="190">
        <f>IFERROR(__xludf.DUMMYFUNCTION("""COMPUTED_VALUE"""),56.4)</f>
        <v>56.4</v>
      </c>
      <c r="D621" s="190">
        <f>IFERROR(__xludf.DUMMYFUNCTION("""COMPUTED_VALUE"""),56.55)</f>
        <v>56.55</v>
      </c>
      <c r="E621" s="190">
        <f>IFERROR(__xludf.DUMMYFUNCTION("""COMPUTED_VALUE"""),56.2)</f>
        <v>56.2</v>
      </c>
      <c r="F621" s="190">
        <f>IFERROR(__xludf.DUMMYFUNCTION("""COMPUTED_VALUE"""),56.4)</f>
        <v>56.4</v>
      </c>
      <c r="G621" s="191">
        <f>IFERROR(__xludf.DUMMYFUNCTION("""COMPUTED_VALUE"""),671180.0)</f>
        <v>671180</v>
      </c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>
        <f>IFERROR(__xludf.DUMMYFUNCTION("""COMPUTED_VALUE"""),45971.5625)</f>
        <v>45971.5625</v>
      </c>
      <c r="C622" s="190">
        <f>IFERROR(__xludf.DUMMYFUNCTION("""COMPUTED_VALUE"""),56.75)</f>
        <v>56.75</v>
      </c>
      <c r="D622" s="190">
        <f>IFERROR(__xludf.DUMMYFUNCTION("""COMPUTED_VALUE"""),57.1)</f>
        <v>57.1</v>
      </c>
      <c r="E622" s="190">
        <f>IFERROR(__xludf.DUMMYFUNCTION("""COMPUTED_VALUE"""),56.5)</f>
        <v>56.5</v>
      </c>
      <c r="F622" s="190">
        <f>IFERROR(__xludf.DUMMYFUNCTION("""COMPUTED_VALUE"""),57.05)</f>
        <v>57.05</v>
      </c>
      <c r="G622" s="191">
        <f>IFERROR(__xludf.DUMMYFUNCTION("""COMPUTED_VALUE"""),699325.0)</f>
        <v>699325</v>
      </c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>
        <f>IFERROR(__xludf.DUMMYFUNCTION("""COMPUTED_VALUE"""),45972.5625)</f>
        <v>45972.5625</v>
      </c>
      <c r="C623" s="190">
        <f>IFERROR(__xludf.DUMMYFUNCTION("""COMPUTED_VALUE"""),57.3)</f>
        <v>57.3</v>
      </c>
      <c r="D623" s="190">
        <f>IFERROR(__xludf.DUMMYFUNCTION("""COMPUTED_VALUE"""),57.4)</f>
        <v>57.4</v>
      </c>
      <c r="E623" s="190">
        <f>IFERROR(__xludf.DUMMYFUNCTION("""COMPUTED_VALUE"""),56.65)</f>
        <v>56.65</v>
      </c>
      <c r="F623" s="190">
        <f>IFERROR(__xludf.DUMMYFUNCTION("""COMPUTED_VALUE"""),56.65)</f>
        <v>56.65</v>
      </c>
      <c r="G623" s="191">
        <f>IFERROR(__xludf.DUMMYFUNCTION("""COMPUTED_VALUE"""),814292.0)</f>
        <v>814292</v>
      </c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>
        <f>IFERROR(__xludf.DUMMYFUNCTION("""COMPUTED_VALUE"""),45973.5625)</f>
        <v>45973.5625</v>
      </c>
      <c r="C624" s="190">
        <f>IFERROR(__xludf.DUMMYFUNCTION("""COMPUTED_VALUE"""),56.75)</f>
        <v>56.75</v>
      </c>
      <c r="D624" s="190">
        <f>IFERROR(__xludf.DUMMYFUNCTION("""COMPUTED_VALUE"""),57.1)</f>
        <v>57.1</v>
      </c>
      <c r="E624" s="190">
        <f>IFERROR(__xludf.DUMMYFUNCTION("""COMPUTED_VALUE"""),56.6)</f>
        <v>56.6</v>
      </c>
      <c r="F624" s="190">
        <f>IFERROR(__xludf.DUMMYFUNCTION("""COMPUTED_VALUE"""),57.1)</f>
        <v>57.1</v>
      </c>
      <c r="G624" s="191">
        <f>IFERROR(__xludf.DUMMYFUNCTION("""COMPUTED_VALUE"""),426266.0)</f>
        <v>426266</v>
      </c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>
        <f>IFERROR(__xludf.DUMMYFUNCTION("""COMPUTED_VALUE"""),45974.5625)</f>
        <v>45974.5625</v>
      </c>
      <c r="C625" s="190">
        <f>IFERROR(__xludf.DUMMYFUNCTION("""COMPUTED_VALUE"""),56.65)</f>
        <v>56.65</v>
      </c>
      <c r="D625" s="190">
        <f>IFERROR(__xludf.DUMMYFUNCTION("""COMPUTED_VALUE"""),56.75)</f>
        <v>56.75</v>
      </c>
      <c r="E625" s="190">
        <f>IFERROR(__xludf.DUMMYFUNCTION("""COMPUTED_VALUE"""),56.45)</f>
        <v>56.45</v>
      </c>
      <c r="F625" s="190">
        <f>IFERROR(__xludf.DUMMYFUNCTION("""COMPUTED_VALUE"""),56.7)</f>
        <v>56.7</v>
      </c>
      <c r="G625" s="191">
        <f>IFERROR(__xludf.DUMMYFUNCTION("""COMPUTED_VALUE"""),1338557.0)</f>
        <v>1338557</v>
      </c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>
        <f>IFERROR(__xludf.DUMMYFUNCTION("""COMPUTED_VALUE"""),45975.5625)</f>
        <v>45975.5625</v>
      </c>
      <c r="C626" s="190">
        <f>IFERROR(__xludf.DUMMYFUNCTION("""COMPUTED_VALUE"""),55.6)</f>
        <v>55.6</v>
      </c>
      <c r="D626" s="190">
        <f>IFERROR(__xludf.DUMMYFUNCTION("""COMPUTED_VALUE"""),55.85)</f>
        <v>55.85</v>
      </c>
      <c r="E626" s="190">
        <f>IFERROR(__xludf.DUMMYFUNCTION("""COMPUTED_VALUE"""),55.35)</f>
        <v>55.35</v>
      </c>
      <c r="F626" s="190">
        <f>IFERROR(__xludf.DUMMYFUNCTION("""COMPUTED_VALUE"""),55.65)</f>
        <v>55.65</v>
      </c>
      <c r="G626" s="191">
        <f>IFERROR(__xludf.DUMMYFUNCTION("""COMPUTED_VALUE"""),1339807.0)</f>
        <v>1339807</v>
      </c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>
        <f>IFERROR(__xludf.DUMMYFUNCTION("""COMPUTED_VALUE"""),45978.5625)</f>
        <v>45978.5625</v>
      </c>
      <c r="C627" s="190">
        <f>IFERROR(__xludf.DUMMYFUNCTION("""COMPUTED_VALUE"""),55.85)</f>
        <v>55.85</v>
      </c>
      <c r="D627" s="190">
        <f>IFERROR(__xludf.DUMMYFUNCTION("""COMPUTED_VALUE"""),56.15)</f>
        <v>56.15</v>
      </c>
      <c r="E627" s="190">
        <f>IFERROR(__xludf.DUMMYFUNCTION("""COMPUTED_VALUE"""),55.7)</f>
        <v>55.7</v>
      </c>
      <c r="F627" s="190">
        <f>IFERROR(__xludf.DUMMYFUNCTION("""COMPUTED_VALUE"""),55.85)</f>
        <v>55.85</v>
      </c>
      <c r="G627" s="191">
        <f>IFERROR(__xludf.DUMMYFUNCTION("""COMPUTED_VALUE"""),1632358.0)</f>
        <v>1632358</v>
      </c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>
        <f>IFERROR(__xludf.DUMMYFUNCTION("""COMPUTED_VALUE"""),45979.5625)</f>
        <v>45979.5625</v>
      </c>
      <c r="C628" s="190">
        <f>IFERROR(__xludf.DUMMYFUNCTION("""COMPUTED_VALUE"""),53.9)</f>
        <v>53.9</v>
      </c>
      <c r="D628" s="190">
        <f>IFERROR(__xludf.DUMMYFUNCTION("""COMPUTED_VALUE"""),54.1)</f>
        <v>54.1</v>
      </c>
      <c r="E628" s="190">
        <f>IFERROR(__xludf.DUMMYFUNCTION("""COMPUTED_VALUE"""),53.25)</f>
        <v>53.25</v>
      </c>
      <c r="F628" s="190">
        <f>IFERROR(__xludf.DUMMYFUNCTION("""COMPUTED_VALUE"""),53.4)</f>
        <v>53.4</v>
      </c>
      <c r="G628" s="191">
        <f>IFERROR(__xludf.DUMMYFUNCTION("""COMPUTED_VALUE"""),2004961.0)</f>
        <v>2004961</v>
      </c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>
        <f>IFERROR(__xludf.DUMMYFUNCTION("""COMPUTED_VALUE"""),45980.5625)</f>
        <v>45980.5625</v>
      </c>
      <c r="C629" s="190">
        <f>IFERROR(__xludf.DUMMYFUNCTION("""COMPUTED_VALUE"""),53.15)</f>
        <v>53.15</v>
      </c>
      <c r="D629" s="190">
        <f>IFERROR(__xludf.DUMMYFUNCTION("""COMPUTED_VALUE"""),53.4)</f>
        <v>53.4</v>
      </c>
      <c r="E629" s="190">
        <f>IFERROR(__xludf.DUMMYFUNCTION("""COMPUTED_VALUE"""),52.8)</f>
        <v>52.8</v>
      </c>
      <c r="F629" s="190">
        <f>IFERROR(__xludf.DUMMYFUNCTION("""COMPUTED_VALUE"""),53.0)</f>
        <v>53</v>
      </c>
      <c r="G629" s="191">
        <f>IFERROR(__xludf.DUMMYFUNCTION("""COMPUTED_VALUE"""),1799696.0)</f>
        <v>1799696</v>
      </c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>
        <f>IFERROR(__xludf.DUMMYFUNCTION("""COMPUTED_VALUE"""),45981.5625)</f>
        <v>45981.5625</v>
      </c>
      <c r="C630" s="190">
        <f>IFERROR(__xludf.DUMMYFUNCTION("""COMPUTED_VALUE"""),54.25)</f>
        <v>54.25</v>
      </c>
      <c r="D630" s="190">
        <f>IFERROR(__xludf.DUMMYFUNCTION("""COMPUTED_VALUE"""),54.65)</f>
        <v>54.65</v>
      </c>
      <c r="E630" s="190">
        <f>IFERROR(__xludf.DUMMYFUNCTION("""COMPUTED_VALUE"""),54.1)</f>
        <v>54.1</v>
      </c>
      <c r="F630" s="190">
        <f>IFERROR(__xludf.DUMMYFUNCTION("""COMPUTED_VALUE"""),54.6)</f>
        <v>54.6</v>
      </c>
      <c r="G630" s="191">
        <f>IFERROR(__xludf.DUMMYFUNCTION("""COMPUTED_VALUE"""),1868788.0)</f>
        <v>1868788</v>
      </c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>
        <f>IFERROR(__xludf.DUMMYFUNCTION("""COMPUTED_VALUE"""),45982.5625)</f>
        <v>45982.5625</v>
      </c>
      <c r="C631" s="190">
        <f>IFERROR(__xludf.DUMMYFUNCTION("""COMPUTED_VALUE"""),52.85)</f>
        <v>52.85</v>
      </c>
      <c r="D631" s="190">
        <f>IFERROR(__xludf.DUMMYFUNCTION("""COMPUTED_VALUE"""),53.05)</f>
        <v>53.05</v>
      </c>
      <c r="E631" s="190">
        <f>IFERROR(__xludf.DUMMYFUNCTION("""COMPUTED_VALUE"""),52.55)</f>
        <v>52.55</v>
      </c>
      <c r="F631" s="190">
        <f>IFERROR(__xludf.DUMMYFUNCTION("""COMPUTED_VALUE"""),52.85)</f>
        <v>52.85</v>
      </c>
      <c r="G631" s="191">
        <f>IFERROR(__xludf.DUMMYFUNCTION("""COMPUTED_VALUE"""),1981006.0)</f>
        <v>1981006</v>
      </c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>
        <f>IFERROR(__xludf.DUMMYFUNCTION("""COMPUTED_VALUE"""),45985.5625)</f>
        <v>45985.5625</v>
      </c>
      <c r="C632" s="190">
        <f>IFERROR(__xludf.DUMMYFUNCTION("""COMPUTED_VALUE"""),53.05)</f>
        <v>53.05</v>
      </c>
      <c r="D632" s="190">
        <f>IFERROR(__xludf.DUMMYFUNCTION("""COMPUTED_VALUE"""),53.1)</f>
        <v>53.1</v>
      </c>
      <c r="E632" s="190">
        <f>IFERROR(__xludf.DUMMYFUNCTION("""COMPUTED_VALUE"""),52.65)</f>
        <v>52.65</v>
      </c>
      <c r="F632" s="190">
        <f>IFERROR(__xludf.DUMMYFUNCTION("""COMPUTED_VALUE"""),52.65)</f>
        <v>52.65</v>
      </c>
      <c r="G632" s="191">
        <f>IFERROR(__xludf.DUMMYFUNCTION("""COMPUTED_VALUE"""),1656000.0)</f>
        <v>1656000</v>
      </c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>
        <f>IFERROR(__xludf.DUMMYFUNCTION("""COMPUTED_VALUE"""),45986.5625)</f>
        <v>45986.5625</v>
      </c>
      <c r="C633" s="190">
        <f>IFERROR(__xludf.DUMMYFUNCTION("""COMPUTED_VALUE"""),53.6)</f>
        <v>53.6</v>
      </c>
      <c r="D633" s="190">
        <f>IFERROR(__xludf.DUMMYFUNCTION("""COMPUTED_VALUE"""),53.7)</f>
        <v>53.7</v>
      </c>
      <c r="E633" s="190">
        <f>IFERROR(__xludf.DUMMYFUNCTION("""COMPUTED_VALUE"""),53.1)</f>
        <v>53.1</v>
      </c>
      <c r="F633" s="190">
        <f>IFERROR(__xludf.DUMMYFUNCTION("""COMPUTED_VALUE"""),53.35)</f>
        <v>53.35</v>
      </c>
      <c r="G633" s="191">
        <f>IFERROR(__xludf.DUMMYFUNCTION("""COMPUTED_VALUE"""),1250497.0)</f>
        <v>1250497</v>
      </c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>
        <f>IFERROR(__xludf.DUMMYFUNCTION("""COMPUTED_VALUE"""),45987.5625)</f>
        <v>45987.5625</v>
      </c>
      <c r="C634" s="190">
        <f>IFERROR(__xludf.DUMMYFUNCTION("""COMPUTED_VALUE"""),53.9)</f>
        <v>53.9</v>
      </c>
      <c r="D634" s="190">
        <f>IFERROR(__xludf.DUMMYFUNCTION("""COMPUTED_VALUE"""),54.4)</f>
        <v>54.4</v>
      </c>
      <c r="E634" s="190">
        <f>IFERROR(__xludf.DUMMYFUNCTION("""COMPUTED_VALUE"""),53.9)</f>
        <v>53.9</v>
      </c>
      <c r="F634" s="190">
        <f>IFERROR(__xludf.DUMMYFUNCTION("""COMPUTED_VALUE"""),54.2)</f>
        <v>54.2</v>
      </c>
      <c r="G634" s="191">
        <f>IFERROR(__xludf.DUMMYFUNCTION("""COMPUTED_VALUE"""),1517942.0)</f>
        <v>1517942</v>
      </c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>
        <f>IFERROR(__xludf.DUMMYFUNCTION("""COMPUTED_VALUE"""),45988.5625)</f>
        <v>45988.5625</v>
      </c>
      <c r="C635" s="190">
        <f>IFERROR(__xludf.DUMMYFUNCTION("""COMPUTED_VALUE"""),54.7)</f>
        <v>54.7</v>
      </c>
      <c r="D635" s="190">
        <f>IFERROR(__xludf.DUMMYFUNCTION("""COMPUTED_VALUE"""),54.85)</f>
        <v>54.85</v>
      </c>
      <c r="E635" s="190">
        <f>IFERROR(__xludf.DUMMYFUNCTION("""COMPUTED_VALUE"""),54.4)</f>
        <v>54.4</v>
      </c>
      <c r="F635" s="190">
        <f>IFERROR(__xludf.DUMMYFUNCTION("""COMPUTED_VALUE"""),54.6)</f>
        <v>54.6</v>
      </c>
      <c r="G635" s="191">
        <f>IFERROR(__xludf.DUMMYFUNCTION("""COMPUTED_VALUE"""),783705.0)</f>
        <v>783705</v>
      </c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>
        <f>IFERROR(__xludf.DUMMYFUNCTION("""COMPUTED_VALUE"""),45989.5625)</f>
        <v>45989.5625</v>
      </c>
      <c r="C636" s="190">
        <f>IFERROR(__xludf.DUMMYFUNCTION("""COMPUTED_VALUE"""),54.6)</f>
        <v>54.6</v>
      </c>
      <c r="D636" s="190">
        <f>IFERROR(__xludf.DUMMYFUNCTION("""COMPUTED_VALUE"""),55.1)</f>
        <v>55.1</v>
      </c>
      <c r="E636" s="190">
        <f>IFERROR(__xludf.DUMMYFUNCTION("""COMPUTED_VALUE"""),54.6)</f>
        <v>54.6</v>
      </c>
      <c r="F636" s="190">
        <f>IFERROR(__xludf.DUMMYFUNCTION("""COMPUTED_VALUE"""),55.0)</f>
        <v>55</v>
      </c>
      <c r="G636" s="191">
        <f>IFERROR(__xludf.DUMMYFUNCTION("""COMPUTED_VALUE"""),515936.0)</f>
        <v>515936</v>
      </c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>
        <f>IFERROR(__xludf.DUMMYFUNCTION("""COMPUTED_VALUE"""),45992.5625)</f>
        <v>45992.5625</v>
      </c>
      <c r="C637" s="190">
        <f>IFERROR(__xludf.DUMMYFUNCTION("""COMPUTED_VALUE"""),54.65)</f>
        <v>54.65</v>
      </c>
      <c r="D637" s="190">
        <f>IFERROR(__xludf.DUMMYFUNCTION("""COMPUTED_VALUE"""),54.7)</f>
        <v>54.7</v>
      </c>
      <c r="E637" s="190">
        <f>IFERROR(__xludf.DUMMYFUNCTION("""COMPUTED_VALUE"""),54.25)</f>
        <v>54.25</v>
      </c>
      <c r="F637" s="190">
        <f>IFERROR(__xludf.DUMMYFUNCTION("""COMPUTED_VALUE"""),54.25)</f>
        <v>54.25</v>
      </c>
      <c r="G637" s="191">
        <f>IFERROR(__xludf.DUMMYFUNCTION("""COMPUTED_VALUE"""),734344.0)</f>
        <v>734344</v>
      </c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>
        <f>IFERROR(__xludf.DUMMYFUNCTION("""COMPUTED_VALUE"""),45993.5625)</f>
        <v>45993.5625</v>
      </c>
      <c r="C638" s="190">
        <f>IFERROR(__xludf.DUMMYFUNCTION("""COMPUTED_VALUE"""),54.7)</f>
        <v>54.7</v>
      </c>
      <c r="D638" s="190">
        <f>IFERROR(__xludf.DUMMYFUNCTION("""COMPUTED_VALUE"""),54.9)</f>
        <v>54.9</v>
      </c>
      <c r="E638" s="190">
        <f>IFERROR(__xludf.DUMMYFUNCTION("""COMPUTED_VALUE"""),54.4)</f>
        <v>54.4</v>
      </c>
      <c r="F638" s="190">
        <f>IFERROR(__xludf.DUMMYFUNCTION("""COMPUTED_VALUE"""),54.45)</f>
        <v>54.45</v>
      </c>
      <c r="G638" s="191">
        <f>IFERROR(__xludf.DUMMYFUNCTION("""COMPUTED_VALUE"""),781796.0)</f>
        <v>781796</v>
      </c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>
        <f>IFERROR(__xludf.DUMMYFUNCTION("""COMPUTED_VALUE"""),45994.5625)</f>
        <v>45994.5625</v>
      </c>
      <c r="C639" s="190">
        <f>IFERROR(__xludf.DUMMYFUNCTION("""COMPUTED_VALUE"""),55.05)</f>
        <v>55.05</v>
      </c>
      <c r="D639" s="190">
        <f>IFERROR(__xludf.DUMMYFUNCTION("""COMPUTED_VALUE"""),55.2)</f>
        <v>55.2</v>
      </c>
      <c r="E639" s="190">
        <f>IFERROR(__xludf.DUMMYFUNCTION("""COMPUTED_VALUE"""),54.85)</f>
        <v>54.85</v>
      </c>
      <c r="F639" s="190">
        <f>IFERROR(__xludf.DUMMYFUNCTION("""COMPUTED_VALUE"""),55.0)</f>
        <v>55</v>
      </c>
      <c r="G639" s="191">
        <f>IFERROR(__xludf.DUMMYFUNCTION("""COMPUTED_VALUE"""),712046.0)</f>
        <v>712046</v>
      </c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>
        <f>IFERROR(__xludf.DUMMYFUNCTION("""COMPUTED_VALUE"""),45995.5625)</f>
        <v>45995.5625</v>
      </c>
      <c r="C640" s="190">
        <f>IFERROR(__xludf.DUMMYFUNCTION("""COMPUTED_VALUE"""),55.05)</f>
        <v>55.05</v>
      </c>
      <c r="D640" s="190">
        <f>IFERROR(__xludf.DUMMYFUNCTION("""COMPUTED_VALUE"""),55.2)</f>
        <v>55.2</v>
      </c>
      <c r="E640" s="190">
        <f>IFERROR(__xludf.DUMMYFUNCTION("""COMPUTED_VALUE"""),54.85)</f>
        <v>54.85</v>
      </c>
      <c r="F640" s="190">
        <f>IFERROR(__xludf.DUMMYFUNCTION("""COMPUTED_VALUE"""),54.95)</f>
        <v>54.95</v>
      </c>
      <c r="G640" s="191">
        <f>IFERROR(__xludf.DUMMYFUNCTION("""COMPUTED_VALUE"""),572210.0)</f>
        <v>572210</v>
      </c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>
        <f>IFERROR(__xludf.DUMMYFUNCTION("""COMPUTED_VALUE"""),45996.5625)</f>
        <v>45996.5625</v>
      </c>
      <c r="C641" s="190">
        <f>IFERROR(__xludf.DUMMYFUNCTION("""COMPUTED_VALUE"""),55.05)</f>
        <v>55.05</v>
      </c>
      <c r="D641" s="190">
        <f>IFERROR(__xludf.DUMMYFUNCTION("""COMPUTED_VALUE"""),55.4)</f>
        <v>55.4</v>
      </c>
      <c r="E641" s="190">
        <f>IFERROR(__xludf.DUMMYFUNCTION("""COMPUTED_VALUE"""),55.05)</f>
        <v>55.05</v>
      </c>
      <c r="F641" s="190">
        <f>IFERROR(__xludf.DUMMYFUNCTION("""COMPUTED_VALUE"""),55.4)</f>
        <v>55.4</v>
      </c>
      <c r="G641" s="191">
        <f>IFERROR(__xludf.DUMMYFUNCTION("""COMPUTED_VALUE"""),919460.0)</f>
        <v>919460</v>
      </c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>
        <f>IFERROR(__xludf.DUMMYFUNCTION("""COMPUTED_VALUE"""),45999.5625)</f>
        <v>45999.5625</v>
      </c>
      <c r="C642" s="190">
        <f>IFERROR(__xludf.DUMMYFUNCTION("""COMPUTED_VALUE"""),55.65)</f>
        <v>55.65</v>
      </c>
      <c r="D642" s="190">
        <f>IFERROR(__xludf.DUMMYFUNCTION("""COMPUTED_VALUE"""),56.25)</f>
        <v>56.25</v>
      </c>
      <c r="E642" s="190">
        <f>IFERROR(__xludf.DUMMYFUNCTION("""COMPUTED_VALUE"""),55.6)</f>
        <v>55.6</v>
      </c>
      <c r="F642" s="190">
        <f>IFERROR(__xludf.DUMMYFUNCTION("""COMPUTED_VALUE"""),56.25)</f>
        <v>56.25</v>
      </c>
      <c r="G642" s="191">
        <f>IFERROR(__xludf.DUMMYFUNCTION("""COMPUTED_VALUE"""),1380065.0)</f>
        <v>1380065</v>
      </c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>
        <f>IFERROR(__xludf.DUMMYFUNCTION("""COMPUTED_VALUE"""),46000.5625)</f>
        <v>46000.5625</v>
      </c>
      <c r="C643" s="190">
        <f>IFERROR(__xludf.DUMMYFUNCTION("""COMPUTED_VALUE"""),56.3)</f>
        <v>56.3</v>
      </c>
      <c r="D643" s="190">
        <f>IFERROR(__xludf.DUMMYFUNCTION("""COMPUTED_VALUE"""),56.3)</f>
        <v>56.3</v>
      </c>
      <c r="E643" s="190">
        <f>IFERROR(__xludf.DUMMYFUNCTION("""COMPUTED_VALUE"""),56.0)</f>
        <v>56</v>
      </c>
      <c r="F643" s="190">
        <f>IFERROR(__xludf.DUMMYFUNCTION("""COMPUTED_VALUE"""),56.05)</f>
        <v>56.05</v>
      </c>
      <c r="G643" s="191">
        <f>IFERROR(__xludf.DUMMYFUNCTION("""COMPUTED_VALUE"""),725168.0)</f>
        <v>725168</v>
      </c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>
        <f>IFERROR(__xludf.DUMMYFUNCTION("""COMPUTED_VALUE"""),46001.5625)</f>
        <v>46001.5625</v>
      </c>
      <c r="C644" s="190">
        <f>IFERROR(__xludf.DUMMYFUNCTION("""COMPUTED_VALUE"""),56.25)</f>
        <v>56.25</v>
      </c>
      <c r="D644" s="190">
        <f>IFERROR(__xludf.DUMMYFUNCTION("""COMPUTED_VALUE"""),56.45)</f>
        <v>56.45</v>
      </c>
      <c r="E644" s="190">
        <f>IFERROR(__xludf.DUMMYFUNCTION("""COMPUTED_VALUE"""),56.0)</f>
        <v>56</v>
      </c>
      <c r="F644" s="190">
        <f>IFERROR(__xludf.DUMMYFUNCTION("""COMPUTED_VALUE"""),56.25)</f>
        <v>56.25</v>
      </c>
      <c r="G644" s="191">
        <f>IFERROR(__xludf.DUMMYFUNCTION("""COMPUTED_VALUE"""),1426597.0)</f>
        <v>1426597</v>
      </c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>
        <f>IFERROR(__xludf.DUMMYFUNCTION("""COMPUTED_VALUE"""),46002.5625)</f>
        <v>46002.5625</v>
      </c>
      <c r="C645" s="190">
        <f>IFERROR(__xludf.DUMMYFUNCTION("""COMPUTED_VALUE"""),56.65)</f>
        <v>56.65</v>
      </c>
      <c r="D645" s="190">
        <f>IFERROR(__xludf.DUMMYFUNCTION("""COMPUTED_VALUE"""),56.65)</f>
        <v>56.65</v>
      </c>
      <c r="E645" s="190">
        <f>IFERROR(__xludf.DUMMYFUNCTION("""COMPUTED_VALUE"""),55.6)</f>
        <v>55.6</v>
      </c>
      <c r="F645" s="190">
        <f>IFERROR(__xludf.DUMMYFUNCTION("""COMPUTED_VALUE"""),55.7)</f>
        <v>55.7</v>
      </c>
      <c r="G645" s="191">
        <f>IFERROR(__xludf.DUMMYFUNCTION("""COMPUTED_VALUE"""),2598194.0)</f>
        <v>2598194</v>
      </c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>
        <f>IFERROR(__xludf.DUMMYFUNCTION("""COMPUTED_VALUE"""),46003.5625)</f>
        <v>46003.5625</v>
      </c>
      <c r="C646" s="190">
        <f>IFERROR(__xludf.DUMMYFUNCTION("""COMPUTED_VALUE"""),55.95)</f>
        <v>55.95</v>
      </c>
      <c r="D646" s="190">
        <f>IFERROR(__xludf.DUMMYFUNCTION("""COMPUTED_VALUE"""),56.05)</f>
        <v>56.05</v>
      </c>
      <c r="E646" s="190">
        <f>IFERROR(__xludf.DUMMYFUNCTION("""COMPUTED_VALUE"""),55.5)</f>
        <v>55.5</v>
      </c>
      <c r="F646" s="190">
        <f>IFERROR(__xludf.DUMMYFUNCTION("""COMPUTED_VALUE"""),55.85)</f>
        <v>55.85</v>
      </c>
      <c r="G646" s="191">
        <f>IFERROR(__xludf.DUMMYFUNCTION("""COMPUTED_VALUE"""),3922778.0)</f>
        <v>3922778</v>
      </c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>
        <f>IFERROR(__xludf.DUMMYFUNCTION("""COMPUTED_VALUE"""),46006.5625)</f>
        <v>46006.5625</v>
      </c>
      <c r="C647" s="190">
        <f>IFERROR(__xludf.DUMMYFUNCTION("""COMPUTED_VALUE"""),54.95)</f>
        <v>54.95</v>
      </c>
      <c r="D647" s="190">
        <f>IFERROR(__xludf.DUMMYFUNCTION("""COMPUTED_VALUE"""),55.25)</f>
        <v>55.25</v>
      </c>
      <c r="E647" s="190">
        <f>IFERROR(__xludf.DUMMYFUNCTION("""COMPUTED_VALUE"""),54.8)</f>
        <v>54.8</v>
      </c>
      <c r="F647" s="190">
        <f>IFERROR(__xludf.DUMMYFUNCTION("""COMPUTED_VALUE"""),55.2)</f>
        <v>55.2</v>
      </c>
      <c r="G647" s="191">
        <f>IFERROR(__xludf.DUMMYFUNCTION("""COMPUTED_VALUE"""),2741868.0)</f>
        <v>2741868</v>
      </c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>
        <f>IFERROR(__xludf.DUMMYFUNCTION("""COMPUTED_VALUE"""),46007.5625)</f>
        <v>46007.5625</v>
      </c>
      <c r="C648" s="190">
        <f>IFERROR(__xludf.DUMMYFUNCTION("""COMPUTED_VALUE"""),54.7)</f>
        <v>54.7</v>
      </c>
      <c r="D648" s="190">
        <f>IFERROR(__xludf.DUMMYFUNCTION("""COMPUTED_VALUE"""),54.75)</f>
        <v>54.75</v>
      </c>
      <c r="E648" s="190">
        <f>IFERROR(__xludf.DUMMYFUNCTION("""COMPUTED_VALUE"""),54.3)</f>
        <v>54.3</v>
      </c>
      <c r="F648" s="190">
        <f>IFERROR(__xludf.DUMMYFUNCTION("""COMPUTED_VALUE"""),54.6)</f>
        <v>54.6</v>
      </c>
      <c r="G648" s="191">
        <f>IFERROR(__xludf.DUMMYFUNCTION("""COMPUTED_VALUE"""),2688639.0)</f>
        <v>2688639</v>
      </c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>
        <f>IFERROR(__xludf.DUMMYFUNCTION("""COMPUTED_VALUE"""),46008.5625)</f>
        <v>46008.5625</v>
      </c>
      <c r="C649" s="190">
        <f>IFERROR(__xludf.DUMMYFUNCTION("""COMPUTED_VALUE"""),54.75)</f>
        <v>54.75</v>
      </c>
      <c r="D649" s="190">
        <f>IFERROR(__xludf.DUMMYFUNCTION("""COMPUTED_VALUE"""),55.0)</f>
        <v>55</v>
      </c>
      <c r="E649" s="190">
        <f>IFERROR(__xludf.DUMMYFUNCTION("""COMPUTED_VALUE"""),54.5)</f>
        <v>54.5</v>
      </c>
      <c r="F649" s="190">
        <f>IFERROR(__xludf.DUMMYFUNCTION("""COMPUTED_VALUE"""),54.55)</f>
        <v>54.55</v>
      </c>
      <c r="G649" s="191">
        <f>IFERROR(__xludf.DUMMYFUNCTION("""COMPUTED_VALUE"""),788870.0)</f>
        <v>788870</v>
      </c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>
        <f>IFERROR(__xludf.DUMMYFUNCTION("""COMPUTED_VALUE"""),46009.5625)</f>
        <v>46009.5625</v>
      </c>
      <c r="C650" s="190">
        <f>IFERROR(__xludf.DUMMYFUNCTION("""COMPUTED_VALUE"""),54.4)</f>
        <v>54.4</v>
      </c>
      <c r="D650" s="190">
        <f>IFERROR(__xludf.DUMMYFUNCTION("""COMPUTED_VALUE"""),54.7)</f>
        <v>54.7</v>
      </c>
      <c r="E650" s="190">
        <f>IFERROR(__xludf.DUMMYFUNCTION("""COMPUTED_VALUE"""),54.25)</f>
        <v>54.25</v>
      </c>
      <c r="F650" s="190">
        <f>IFERROR(__xludf.DUMMYFUNCTION("""COMPUTED_VALUE"""),54.6)</f>
        <v>54.6</v>
      </c>
      <c r="G650" s="191">
        <f>IFERROR(__xludf.DUMMYFUNCTION("""COMPUTED_VALUE"""),1887813.0)</f>
        <v>1887813</v>
      </c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>
        <f>IFERROR(__xludf.DUMMYFUNCTION("""COMPUTED_VALUE"""),46010.5625)</f>
        <v>46010.5625</v>
      </c>
      <c r="C651" s="190">
        <f>IFERROR(__xludf.DUMMYFUNCTION("""COMPUTED_VALUE"""),55.0)</f>
        <v>55</v>
      </c>
      <c r="D651" s="190">
        <f>IFERROR(__xludf.DUMMYFUNCTION("""COMPUTED_VALUE"""),55.25)</f>
        <v>55.25</v>
      </c>
      <c r="E651" s="190">
        <f>IFERROR(__xludf.DUMMYFUNCTION("""COMPUTED_VALUE"""),54.9)</f>
        <v>54.9</v>
      </c>
      <c r="F651" s="190">
        <f>IFERROR(__xludf.DUMMYFUNCTION("""COMPUTED_VALUE"""),55.0)</f>
        <v>55</v>
      </c>
      <c r="G651" s="191">
        <f>IFERROR(__xludf.DUMMYFUNCTION("""COMPUTED_VALUE"""),435186.0)</f>
        <v>435186</v>
      </c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>
        <f>IFERROR(__xludf.DUMMYFUNCTION("""COMPUTED_VALUE"""),46013.5625)</f>
        <v>46013.5625</v>
      </c>
      <c r="C652" s="190">
        <f>IFERROR(__xludf.DUMMYFUNCTION("""COMPUTED_VALUE"""),55.65)</f>
        <v>55.65</v>
      </c>
      <c r="D652" s="190">
        <f>IFERROR(__xludf.DUMMYFUNCTION("""COMPUTED_VALUE"""),55.9)</f>
        <v>55.9</v>
      </c>
      <c r="E652" s="190">
        <f>IFERROR(__xludf.DUMMYFUNCTION("""COMPUTED_VALUE"""),55.5)</f>
        <v>55.5</v>
      </c>
      <c r="F652" s="190">
        <f>IFERROR(__xludf.DUMMYFUNCTION("""COMPUTED_VALUE"""),55.75)</f>
        <v>55.75</v>
      </c>
      <c r="G652" s="191">
        <f>IFERROR(__xludf.DUMMYFUNCTION("""COMPUTED_VALUE"""),1397012.0)</f>
        <v>1397012</v>
      </c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>
        <f>IFERROR(__xludf.DUMMYFUNCTION("""COMPUTED_VALUE"""),46014.5625)</f>
        <v>46014.5625</v>
      </c>
      <c r="C653" s="190">
        <f>IFERROR(__xludf.DUMMYFUNCTION("""COMPUTED_VALUE"""),56.0)</f>
        <v>56</v>
      </c>
      <c r="D653" s="190">
        <f>IFERROR(__xludf.DUMMYFUNCTION("""COMPUTED_VALUE"""),56.2)</f>
        <v>56.2</v>
      </c>
      <c r="E653" s="190">
        <f>IFERROR(__xludf.DUMMYFUNCTION("""COMPUTED_VALUE"""),55.9)</f>
        <v>55.9</v>
      </c>
      <c r="F653" s="190">
        <f>IFERROR(__xludf.DUMMYFUNCTION("""COMPUTED_VALUE"""),56.05)</f>
        <v>56.05</v>
      </c>
      <c r="G653" s="191">
        <f>IFERROR(__xludf.DUMMYFUNCTION("""COMPUTED_VALUE"""),714478.0)</f>
        <v>714478</v>
      </c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>
        <f>IFERROR(__xludf.DUMMYFUNCTION("""COMPUTED_VALUE"""),46015.5625)</f>
        <v>46015.5625</v>
      </c>
      <c r="C654" s="190">
        <f>IFERROR(__xludf.DUMMYFUNCTION("""COMPUTED_VALUE"""),56.35)</f>
        <v>56.35</v>
      </c>
      <c r="D654" s="190">
        <f>IFERROR(__xludf.DUMMYFUNCTION("""COMPUTED_VALUE"""),56.35)</f>
        <v>56.35</v>
      </c>
      <c r="E654" s="190">
        <f>IFERROR(__xludf.DUMMYFUNCTION("""COMPUTED_VALUE"""),56.1)</f>
        <v>56.1</v>
      </c>
      <c r="F654" s="190">
        <f>IFERROR(__xludf.DUMMYFUNCTION("""COMPUTED_VALUE"""),56.2)</f>
        <v>56.2</v>
      </c>
      <c r="G654" s="191">
        <f>IFERROR(__xludf.DUMMYFUNCTION("""COMPUTED_VALUE"""),572557.0)</f>
        <v>572557</v>
      </c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>
        <f>IFERROR(__xludf.DUMMYFUNCTION("""COMPUTED_VALUE"""),46017.5625)</f>
        <v>46017.5625</v>
      </c>
      <c r="C655" s="190">
        <f>IFERROR(__xludf.DUMMYFUNCTION("""COMPUTED_VALUE"""),56.5)</f>
        <v>56.5</v>
      </c>
      <c r="D655" s="190">
        <f>IFERROR(__xludf.DUMMYFUNCTION("""COMPUTED_VALUE"""),56.75)</f>
        <v>56.75</v>
      </c>
      <c r="E655" s="190">
        <f>IFERROR(__xludf.DUMMYFUNCTION("""COMPUTED_VALUE"""),56.3)</f>
        <v>56.3</v>
      </c>
      <c r="F655" s="190">
        <f>IFERROR(__xludf.DUMMYFUNCTION("""COMPUTED_VALUE"""),56.65)</f>
        <v>56.65</v>
      </c>
      <c r="G655" s="191">
        <f>IFERROR(__xludf.DUMMYFUNCTION("""COMPUTED_VALUE"""),1240162.0)</f>
        <v>1240162</v>
      </c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>
        <f>IFERROR(__xludf.DUMMYFUNCTION("""COMPUTED_VALUE"""),46020.5625)</f>
        <v>46020.5625</v>
      </c>
      <c r="C656" s="190">
        <f>IFERROR(__xludf.DUMMYFUNCTION("""COMPUTED_VALUE"""),56.7)</f>
        <v>56.7</v>
      </c>
      <c r="D656" s="190">
        <f>IFERROR(__xludf.DUMMYFUNCTION("""COMPUTED_VALUE"""),57.35)</f>
        <v>57.35</v>
      </c>
      <c r="E656" s="190">
        <f>IFERROR(__xludf.DUMMYFUNCTION("""COMPUTED_VALUE"""),56.7)</f>
        <v>56.7</v>
      </c>
      <c r="F656" s="190">
        <f>IFERROR(__xludf.DUMMYFUNCTION("""COMPUTED_VALUE"""),57.25)</f>
        <v>57.25</v>
      </c>
      <c r="G656" s="191">
        <f>IFERROR(__xludf.DUMMYFUNCTION("""COMPUTED_VALUE"""),1046564.0)</f>
        <v>1046564</v>
      </c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>
        <f>IFERROR(__xludf.DUMMYFUNCTION("""COMPUTED_VALUE"""),46021.5625)</f>
        <v>46021.5625</v>
      </c>
      <c r="C657" s="190">
        <f>IFERROR(__xludf.DUMMYFUNCTION("""COMPUTED_VALUE"""),57.1)</f>
        <v>57.1</v>
      </c>
      <c r="D657" s="190">
        <f>IFERROR(__xludf.DUMMYFUNCTION("""COMPUTED_VALUE"""),57.3)</f>
        <v>57.3</v>
      </c>
      <c r="E657" s="190">
        <f>IFERROR(__xludf.DUMMYFUNCTION("""COMPUTED_VALUE"""),56.85)</f>
        <v>56.85</v>
      </c>
      <c r="F657" s="190">
        <f>IFERROR(__xludf.DUMMYFUNCTION("""COMPUTED_VALUE"""),57.3)</f>
        <v>57.3</v>
      </c>
      <c r="G657" s="191">
        <f>IFERROR(__xludf.DUMMYFUNCTION("""COMPUTED_VALUE"""),937016.0)</f>
        <v>937016</v>
      </c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>
        <f>IFERROR(__xludf.DUMMYFUNCTION("""COMPUTED_VALUE"""),46022.5625)</f>
        <v>46022.5625</v>
      </c>
      <c r="C658" s="190">
        <f>IFERROR(__xludf.DUMMYFUNCTION("""COMPUTED_VALUE"""),56.95)</f>
        <v>56.95</v>
      </c>
      <c r="D658" s="190">
        <f>IFERROR(__xludf.DUMMYFUNCTION("""COMPUTED_VALUE"""),57.6)</f>
        <v>57.6</v>
      </c>
      <c r="E658" s="190">
        <f>IFERROR(__xludf.DUMMYFUNCTION("""COMPUTED_VALUE"""),56.9)</f>
        <v>56.9</v>
      </c>
      <c r="F658" s="190">
        <f>IFERROR(__xludf.DUMMYFUNCTION("""COMPUTED_VALUE"""),57.55)</f>
        <v>57.55</v>
      </c>
      <c r="G658" s="191">
        <f>IFERROR(__xludf.DUMMYFUNCTION("""COMPUTED_VALUE"""),2105058.0)</f>
        <v>2105058</v>
      </c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>
        <f>IFERROR(__xludf.DUMMYFUNCTION("""COMPUTED_VALUE"""),46024.5625)</f>
        <v>46024.5625</v>
      </c>
      <c r="C659" s="190">
        <f>IFERROR(__xludf.DUMMYFUNCTION("""COMPUTED_VALUE"""),57.8)</f>
        <v>57.8</v>
      </c>
      <c r="D659" s="190">
        <f>IFERROR(__xludf.DUMMYFUNCTION("""COMPUTED_VALUE"""),58.7)</f>
        <v>58.7</v>
      </c>
      <c r="E659" s="190">
        <f>IFERROR(__xludf.DUMMYFUNCTION("""COMPUTED_VALUE"""),57.7)</f>
        <v>57.7</v>
      </c>
      <c r="F659" s="190">
        <f>IFERROR(__xludf.DUMMYFUNCTION("""COMPUTED_VALUE"""),58.55)</f>
        <v>58.55</v>
      </c>
      <c r="G659" s="191">
        <f>IFERROR(__xludf.DUMMYFUNCTION("""COMPUTED_VALUE"""),1671410.0)</f>
        <v>1671410</v>
      </c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>
        <f>IFERROR(__xludf.DUMMYFUNCTION("""COMPUTED_VALUE"""),46027.5625)</f>
        <v>46027.5625</v>
      </c>
      <c r="C660" s="190">
        <f>IFERROR(__xludf.DUMMYFUNCTION("""COMPUTED_VALUE"""),59.6)</f>
        <v>59.6</v>
      </c>
      <c r="D660" s="190">
        <f>IFERROR(__xludf.DUMMYFUNCTION("""COMPUTED_VALUE"""),61.2)</f>
        <v>61.2</v>
      </c>
      <c r="E660" s="190">
        <f>IFERROR(__xludf.DUMMYFUNCTION("""COMPUTED_VALUE"""),59.6)</f>
        <v>59.6</v>
      </c>
      <c r="F660" s="190">
        <f>IFERROR(__xludf.DUMMYFUNCTION("""COMPUTED_VALUE"""),60.65)</f>
        <v>60.65</v>
      </c>
      <c r="G660" s="191">
        <f>IFERROR(__xludf.DUMMYFUNCTION("""COMPUTED_VALUE"""),3537777.0)</f>
        <v>3537777</v>
      </c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>
        <f>IFERROR(__xludf.DUMMYFUNCTION("""COMPUTED_VALUE"""),46028.5625)</f>
        <v>46028.5625</v>
      </c>
      <c r="C661" s="190">
        <f>IFERROR(__xludf.DUMMYFUNCTION("""COMPUTED_VALUE"""),60.55)</f>
        <v>60.55</v>
      </c>
      <c r="D661" s="190">
        <f>IFERROR(__xludf.DUMMYFUNCTION("""COMPUTED_VALUE"""),61.35)</f>
        <v>61.35</v>
      </c>
      <c r="E661" s="190">
        <f>IFERROR(__xludf.DUMMYFUNCTION("""COMPUTED_VALUE"""),60.3)</f>
        <v>60.3</v>
      </c>
      <c r="F661" s="190">
        <f>IFERROR(__xludf.DUMMYFUNCTION("""COMPUTED_VALUE"""),61.25)</f>
        <v>61.25</v>
      </c>
      <c r="G661" s="191">
        <f>IFERROR(__xludf.DUMMYFUNCTION("""COMPUTED_VALUE"""),1528804.0)</f>
        <v>1528804</v>
      </c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>
        <f>IFERROR(__xludf.DUMMYFUNCTION("""COMPUTED_VALUE"""),46029.5625)</f>
        <v>46029.5625</v>
      </c>
      <c r="C662" s="190">
        <f>IFERROR(__xludf.DUMMYFUNCTION("""COMPUTED_VALUE"""),61.2)</f>
        <v>61.2</v>
      </c>
      <c r="D662" s="190">
        <f>IFERROR(__xludf.DUMMYFUNCTION("""COMPUTED_VALUE"""),61.2)</f>
        <v>61.2</v>
      </c>
      <c r="E662" s="190">
        <f>IFERROR(__xludf.DUMMYFUNCTION("""COMPUTED_VALUE"""),60.75)</f>
        <v>60.75</v>
      </c>
      <c r="F662" s="190">
        <f>IFERROR(__xludf.DUMMYFUNCTION("""COMPUTED_VALUE"""),60.8)</f>
        <v>60.8</v>
      </c>
      <c r="G662" s="191">
        <f>IFERROR(__xludf.DUMMYFUNCTION("""COMPUTED_VALUE"""),1042155.0)</f>
        <v>1042155</v>
      </c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>
        <f>IFERROR(__xludf.DUMMYFUNCTION("""COMPUTED_VALUE"""),46030.5625)</f>
        <v>46030.5625</v>
      </c>
      <c r="C663" s="190">
        <f>IFERROR(__xludf.DUMMYFUNCTION("""COMPUTED_VALUE"""),60.7)</f>
        <v>60.7</v>
      </c>
      <c r="D663" s="190">
        <f>IFERROR(__xludf.DUMMYFUNCTION("""COMPUTED_VALUE"""),61.2)</f>
        <v>61.2</v>
      </c>
      <c r="E663" s="190">
        <f>IFERROR(__xludf.DUMMYFUNCTION("""COMPUTED_VALUE"""),60.45)</f>
        <v>60.45</v>
      </c>
      <c r="F663" s="190">
        <f>IFERROR(__xludf.DUMMYFUNCTION("""COMPUTED_VALUE"""),61.1)</f>
        <v>61.1</v>
      </c>
      <c r="G663" s="191">
        <f>IFERROR(__xludf.DUMMYFUNCTION("""COMPUTED_VALUE"""),1057501.0)</f>
        <v>1057501</v>
      </c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>
        <f>IFERROR(__xludf.DUMMYFUNCTION("""COMPUTED_VALUE"""),46031.5625)</f>
        <v>46031.5625</v>
      </c>
      <c r="C664" s="190">
        <f>IFERROR(__xludf.DUMMYFUNCTION("""COMPUTED_VALUE"""),60.8)</f>
        <v>60.8</v>
      </c>
      <c r="D664" s="190">
        <f>IFERROR(__xludf.DUMMYFUNCTION("""COMPUTED_VALUE"""),61.25)</f>
        <v>61.25</v>
      </c>
      <c r="E664" s="190">
        <f>IFERROR(__xludf.DUMMYFUNCTION("""COMPUTED_VALUE"""),60.1)</f>
        <v>60.1</v>
      </c>
      <c r="F664" s="190">
        <f>IFERROR(__xludf.DUMMYFUNCTION("""COMPUTED_VALUE"""),60.9)</f>
        <v>60.9</v>
      </c>
      <c r="G664" s="191">
        <f>IFERROR(__xludf.DUMMYFUNCTION("""COMPUTED_VALUE"""),2356367.0)</f>
        <v>2356367</v>
      </c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>
        <f>IFERROR(__xludf.DUMMYFUNCTION("""COMPUTED_VALUE"""),46034.5625)</f>
        <v>46034.5625</v>
      </c>
      <c r="C665" s="190">
        <f>IFERROR(__xludf.DUMMYFUNCTION("""COMPUTED_VALUE"""),61.35)</f>
        <v>61.35</v>
      </c>
      <c r="D665" s="190">
        <f>IFERROR(__xludf.DUMMYFUNCTION("""COMPUTED_VALUE"""),61.45)</f>
        <v>61.45</v>
      </c>
      <c r="E665" s="190">
        <f>IFERROR(__xludf.DUMMYFUNCTION("""COMPUTED_VALUE"""),61.1)</f>
        <v>61.1</v>
      </c>
      <c r="F665" s="190">
        <f>IFERROR(__xludf.DUMMYFUNCTION("""COMPUTED_VALUE"""),61.25)</f>
        <v>61.25</v>
      </c>
      <c r="G665" s="191">
        <f>IFERROR(__xludf.DUMMYFUNCTION("""COMPUTED_VALUE"""),1633755.0)</f>
        <v>1633755</v>
      </c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>
        <f>IFERROR(__xludf.DUMMYFUNCTION("""COMPUTED_VALUE"""),46035.5625)</f>
        <v>46035.5625</v>
      </c>
      <c r="C666" s="190">
        <f>IFERROR(__xludf.DUMMYFUNCTION("""COMPUTED_VALUE"""),61.8)</f>
        <v>61.8</v>
      </c>
      <c r="D666" s="190">
        <f>IFERROR(__xludf.DUMMYFUNCTION("""COMPUTED_VALUE"""),62.0)</f>
        <v>62</v>
      </c>
      <c r="E666" s="190">
        <f>IFERROR(__xludf.DUMMYFUNCTION("""COMPUTED_VALUE"""),61.3)</f>
        <v>61.3</v>
      </c>
      <c r="F666" s="190">
        <f>IFERROR(__xludf.DUMMYFUNCTION("""COMPUTED_VALUE"""),61.55)</f>
        <v>61.55</v>
      </c>
      <c r="G666" s="191">
        <f>IFERROR(__xludf.DUMMYFUNCTION("""COMPUTED_VALUE"""),1861826.0)</f>
        <v>1861826</v>
      </c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>
        <f>IFERROR(__xludf.DUMMYFUNCTION("""COMPUTED_VALUE"""),46036.5625)</f>
        <v>46036.5625</v>
      </c>
      <c r="C667" s="190">
        <f>IFERROR(__xludf.DUMMYFUNCTION("""COMPUTED_VALUE"""),61.75)</f>
        <v>61.75</v>
      </c>
      <c r="D667" s="190">
        <f>IFERROR(__xludf.DUMMYFUNCTION("""COMPUTED_VALUE"""),62.05)</f>
        <v>62.05</v>
      </c>
      <c r="E667" s="190">
        <f>IFERROR(__xludf.DUMMYFUNCTION("""COMPUTED_VALUE"""),61.6)</f>
        <v>61.6</v>
      </c>
      <c r="F667" s="190">
        <f>IFERROR(__xludf.DUMMYFUNCTION("""COMPUTED_VALUE"""),61.6)</f>
        <v>61.6</v>
      </c>
      <c r="G667" s="191">
        <f>IFERROR(__xludf.DUMMYFUNCTION("""COMPUTED_VALUE"""),1675893.0)</f>
        <v>1675893</v>
      </c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>
        <f>IFERROR(__xludf.DUMMYFUNCTION("""COMPUTED_VALUE"""),46037.5625)</f>
        <v>46037.5625</v>
      </c>
      <c r="C668" s="190">
        <f>IFERROR(__xludf.DUMMYFUNCTION("""COMPUTED_VALUE"""),61.55)</f>
        <v>61.55</v>
      </c>
      <c r="D668" s="190">
        <f>IFERROR(__xludf.DUMMYFUNCTION("""COMPUTED_VALUE"""),61.6)</f>
        <v>61.6</v>
      </c>
      <c r="E668" s="190">
        <f>IFERROR(__xludf.DUMMYFUNCTION("""COMPUTED_VALUE"""),61.05)</f>
        <v>61.05</v>
      </c>
      <c r="F668" s="190">
        <f>IFERROR(__xludf.DUMMYFUNCTION("""COMPUTED_VALUE"""),61.6)</f>
        <v>61.6</v>
      </c>
      <c r="G668" s="191">
        <f>IFERROR(__xludf.DUMMYFUNCTION("""COMPUTED_VALUE"""),1042489.0)</f>
        <v>1042489</v>
      </c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>
        <f>IFERROR(__xludf.DUMMYFUNCTION("""COMPUTED_VALUE"""),46038.5625)</f>
        <v>46038.5625</v>
      </c>
      <c r="C669" s="190">
        <f>IFERROR(__xludf.DUMMYFUNCTION("""COMPUTED_VALUE"""),62.3)</f>
        <v>62.3</v>
      </c>
      <c r="D669" s="190">
        <f>IFERROR(__xludf.DUMMYFUNCTION("""COMPUTED_VALUE"""),62.85)</f>
        <v>62.85</v>
      </c>
      <c r="E669" s="190">
        <f>IFERROR(__xludf.DUMMYFUNCTION("""COMPUTED_VALUE"""),62.0)</f>
        <v>62</v>
      </c>
      <c r="F669" s="190">
        <f>IFERROR(__xludf.DUMMYFUNCTION("""COMPUTED_VALUE"""),62.8)</f>
        <v>62.8</v>
      </c>
      <c r="G669" s="191">
        <f>IFERROR(__xludf.DUMMYFUNCTION("""COMPUTED_VALUE"""),1993602.0)</f>
        <v>1993602</v>
      </c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>
        <f>IFERROR(__xludf.DUMMYFUNCTION("""COMPUTED_VALUE"""),46041.5625)</f>
        <v>46041.5625</v>
      </c>
      <c r="C670" s="190">
        <f>IFERROR(__xludf.DUMMYFUNCTION("""COMPUTED_VALUE"""),62.5)</f>
        <v>62.5</v>
      </c>
      <c r="D670" s="190">
        <f>IFERROR(__xludf.DUMMYFUNCTION("""COMPUTED_VALUE"""),63.35)</f>
        <v>63.35</v>
      </c>
      <c r="E670" s="190">
        <f>IFERROR(__xludf.DUMMYFUNCTION("""COMPUTED_VALUE"""),62.15)</f>
        <v>62.15</v>
      </c>
      <c r="F670" s="190">
        <f>IFERROR(__xludf.DUMMYFUNCTION("""COMPUTED_VALUE"""),63.05)</f>
        <v>63.05</v>
      </c>
      <c r="G670" s="191">
        <f>IFERROR(__xludf.DUMMYFUNCTION("""COMPUTED_VALUE"""),2194777.0)</f>
        <v>2194777</v>
      </c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>
        <f>IFERROR(__xludf.DUMMYFUNCTION("""COMPUTED_VALUE"""),46042.5625)</f>
        <v>46042.5625</v>
      </c>
      <c r="C671" s="190">
        <f>IFERROR(__xludf.DUMMYFUNCTION("""COMPUTED_VALUE"""),62.8)</f>
        <v>62.8</v>
      </c>
      <c r="D671" s="190">
        <f>IFERROR(__xludf.DUMMYFUNCTION("""COMPUTED_VALUE"""),63.2)</f>
        <v>63.2</v>
      </c>
      <c r="E671" s="190">
        <f>IFERROR(__xludf.DUMMYFUNCTION("""COMPUTED_VALUE"""),62.6)</f>
        <v>62.6</v>
      </c>
      <c r="F671" s="190">
        <f>IFERROR(__xludf.DUMMYFUNCTION("""COMPUTED_VALUE"""),63.15)</f>
        <v>63.15</v>
      </c>
      <c r="G671" s="191">
        <f>IFERROR(__xludf.DUMMYFUNCTION("""COMPUTED_VALUE"""),1109905.0)</f>
        <v>1109905</v>
      </c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>
        <f>IFERROR(__xludf.DUMMYFUNCTION("""COMPUTED_VALUE"""),46043.5625)</f>
        <v>46043.5625</v>
      </c>
      <c r="C672" s="190">
        <f>IFERROR(__xludf.DUMMYFUNCTION("""COMPUTED_VALUE"""),62.45)</f>
        <v>62.45</v>
      </c>
      <c r="D672" s="190">
        <f>IFERROR(__xludf.DUMMYFUNCTION("""COMPUTED_VALUE"""),63.15)</f>
        <v>63.15</v>
      </c>
      <c r="E672" s="190">
        <f>IFERROR(__xludf.DUMMYFUNCTION("""COMPUTED_VALUE"""),62.45)</f>
        <v>62.45</v>
      </c>
      <c r="F672" s="190">
        <f>IFERROR(__xludf.DUMMYFUNCTION("""COMPUTED_VALUE"""),62.65)</f>
        <v>62.65</v>
      </c>
      <c r="G672" s="191">
        <f>IFERROR(__xludf.DUMMYFUNCTION("""COMPUTED_VALUE"""),1160869.0)</f>
        <v>1160869</v>
      </c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>
        <f>IFERROR(__xludf.DUMMYFUNCTION("""COMPUTED_VALUE"""),46044.5625)</f>
        <v>46044.5625</v>
      </c>
      <c r="C673" s="190">
        <f>IFERROR(__xludf.DUMMYFUNCTION("""COMPUTED_VALUE"""),63.25)</f>
        <v>63.25</v>
      </c>
      <c r="D673" s="190">
        <f>IFERROR(__xludf.DUMMYFUNCTION("""COMPUTED_VALUE"""),63.65)</f>
        <v>63.65</v>
      </c>
      <c r="E673" s="190">
        <f>IFERROR(__xludf.DUMMYFUNCTION("""COMPUTED_VALUE"""),63.2)</f>
        <v>63.2</v>
      </c>
      <c r="F673" s="190">
        <f>IFERROR(__xludf.DUMMYFUNCTION("""COMPUTED_VALUE"""),63.3)</f>
        <v>63.3</v>
      </c>
      <c r="G673" s="191">
        <f>IFERROR(__xludf.DUMMYFUNCTION("""COMPUTED_VALUE"""),846630.0)</f>
        <v>846630</v>
      </c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>
        <f>IFERROR(__xludf.DUMMYFUNCTION("""COMPUTED_VALUE"""),46045.5625)</f>
        <v>46045.5625</v>
      </c>
      <c r="C674" s="190">
        <f>IFERROR(__xludf.DUMMYFUNCTION("""COMPUTED_VALUE"""),63.8)</f>
        <v>63.8</v>
      </c>
      <c r="D674" s="190">
        <f>IFERROR(__xludf.DUMMYFUNCTION("""COMPUTED_VALUE"""),63.85)</f>
        <v>63.85</v>
      </c>
      <c r="E674" s="190">
        <f>IFERROR(__xludf.DUMMYFUNCTION("""COMPUTED_VALUE"""),63.35)</f>
        <v>63.35</v>
      </c>
      <c r="F674" s="190">
        <f>IFERROR(__xludf.DUMMYFUNCTION("""COMPUTED_VALUE"""),63.75)</f>
        <v>63.75</v>
      </c>
      <c r="G674" s="191">
        <f>IFERROR(__xludf.DUMMYFUNCTION("""COMPUTED_VALUE"""),484018.0)</f>
        <v>484018</v>
      </c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>
        <f>IFERROR(__xludf.DUMMYFUNCTION("""COMPUTED_VALUE"""),46048.5625)</f>
        <v>46048.5625</v>
      </c>
      <c r="C675" s="190">
        <f>IFERROR(__xludf.DUMMYFUNCTION("""COMPUTED_VALUE"""),63.75)</f>
        <v>63.75</v>
      </c>
      <c r="D675" s="190">
        <f>IFERROR(__xludf.DUMMYFUNCTION("""COMPUTED_VALUE"""),64.05)</f>
        <v>64.05</v>
      </c>
      <c r="E675" s="190">
        <f>IFERROR(__xludf.DUMMYFUNCTION("""COMPUTED_VALUE"""),63.65)</f>
        <v>63.65</v>
      </c>
      <c r="F675" s="190">
        <f>IFERROR(__xludf.DUMMYFUNCTION("""COMPUTED_VALUE"""),63.8)</f>
        <v>63.8</v>
      </c>
      <c r="G675" s="191">
        <f>IFERROR(__xludf.DUMMYFUNCTION("""COMPUTED_VALUE"""),1272972.0)</f>
        <v>1272972</v>
      </c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>
        <f>IFERROR(__xludf.DUMMYFUNCTION("""COMPUTED_VALUE"""),46049.5625)</f>
        <v>46049.5625</v>
      </c>
      <c r="C676" s="190">
        <f>IFERROR(__xludf.DUMMYFUNCTION("""COMPUTED_VALUE"""),63.8)</f>
        <v>63.8</v>
      </c>
      <c r="D676" s="190">
        <f>IFERROR(__xludf.DUMMYFUNCTION("""COMPUTED_VALUE"""),64.5)</f>
        <v>64.5</v>
      </c>
      <c r="E676" s="190">
        <f>IFERROR(__xludf.DUMMYFUNCTION("""COMPUTED_VALUE"""),63.8)</f>
        <v>63.8</v>
      </c>
      <c r="F676" s="190">
        <f>IFERROR(__xludf.DUMMYFUNCTION("""COMPUTED_VALUE"""),64.35)</f>
        <v>64.35</v>
      </c>
      <c r="G676" s="191">
        <f>IFERROR(__xludf.DUMMYFUNCTION("""COMPUTED_VALUE"""),563442.0)</f>
        <v>563442</v>
      </c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>
        <f>IFERROR(__xludf.DUMMYFUNCTION("""COMPUTED_VALUE"""),46050.5625)</f>
        <v>46050.5625</v>
      </c>
      <c r="C677" s="190">
        <f>IFERROR(__xludf.DUMMYFUNCTION("""COMPUTED_VALUE"""),64.7)</f>
        <v>64.7</v>
      </c>
      <c r="D677" s="190">
        <f>IFERROR(__xludf.DUMMYFUNCTION("""COMPUTED_VALUE"""),65.3)</f>
        <v>65.3</v>
      </c>
      <c r="E677" s="190">
        <f>IFERROR(__xludf.DUMMYFUNCTION("""COMPUTED_VALUE"""),64.7)</f>
        <v>64.7</v>
      </c>
      <c r="F677" s="190">
        <f>IFERROR(__xludf.DUMMYFUNCTION("""COMPUTED_VALUE"""),65.15)</f>
        <v>65.15</v>
      </c>
      <c r="G677" s="191">
        <f>IFERROR(__xludf.DUMMYFUNCTION("""COMPUTED_VALUE"""),1703391.0)</f>
        <v>1703391</v>
      </c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>
        <f>IFERROR(__xludf.DUMMYFUNCTION("""COMPUTED_VALUE"""),46051.5625)</f>
        <v>46051.5625</v>
      </c>
      <c r="C678" s="190">
        <f>IFERROR(__xludf.DUMMYFUNCTION("""COMPUTED_VALUE"""),65.4)</f>
        <v>65.4</v>
      </c>
      <c r="D678" s="190">
        <f>IFERROR(__xludf.DUMMYFUNCTION("""COMPUTED_VALUE"""),65.55)</f>
        <v>65.55</v>
      </c>
      <c r="E678" s="190">
        <f>IFERROR(__xludf.DUMMYFUNCTION("""COMPUTED_VALUE"""),64.75)</f>
        <v>64.75</v>
      </c>
      <c r="F678" s="190">
        <f>IFERROR(__xludf.DUMMYFUNCTION("""COMPUTED_VALUE"""),64.95)</f>
        <v>64.95</v>
      </c>
      <c r="G678" s="191">
        <f>IFERROR(__xludf.DUMMYFUNCTION("""COMPUTED_VALUE"""),1817449.0)</f>
        <v>1817449</v>
      </c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>
        <f>IFERROR(__xludf.DUMMYFUNCTION("""COMPUTED_VALUE"""),46052.5625)</f>
        <v>46052.5625</v>
      </c>
      <c r="C679" s="190">
        <f>IFERROR(__xludf.DUMMYFUNCTION("""COMPUTED_VALUE"""),64.3)</f>
        <v>64.3</v>
      </c>
      <c r="D679" s="190">
        <f>IFERROR(__xludf.DUMMYFUNCTION("""COMPUTED_VALUE"""),64.35)</f>
        <v>64.35</v>
      </c>
      <c r="E679" s="190">
        <f>IFERROR(__xludf.DUMMYFUNCTION("""COMPUTED_VALUE"""),63.85)</f>
        <v>63.85</v>
      </c>
      <c r="F679" s="190">
        <f>IFERROR(__xludf.DUMMYFUNCTION("""COMPUTED_VALUE"""),64.05)</f>
        <v>64.05</v>
      </c>
      <c r="G679" s="191">
        <f>IFERROR(__xludf.DUMMYFUNCTION("""COMPUTED_VALUE"""),1001554.0)</f>
        <v>1001554</v>
      </c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>
        <f>IFERROR(__xludf.DUMMYFUNCTION("""COMPUTED_VALUE"""),46055.5625)</f>
        <v>46055.5625</v>
      </c>
      <c r="C680" s="190">
        <f>IFERROR(__xludf.DUMMYFUNCTION("""COMPUTED_VALUE"""),63.5)</f>
        <v>63.5</v>
      </c>
      <c r="D680" s="190">
        <f>IFERROR(__xludf.DUMMYFUNCTION("""COMPUTED_VALUE"""),63.5)</f>
        <v>63.5</v>
      </c>
      <c r="E680" s="190">
        <f>IFERROR(__xludf.DUMMYFUNCTION("""COMPUTED_VALUE"""),62.5)</f>
        <v>62.5</v>
      </c>
      <c r="F680" s="190">
        <f>IFERROR(__xludf.DUMMYFUNCTION("""COMPUTED_VALUE"""),63.05)</f>
        <v>63.05</v>
      </c>
      <c r="G680" s="191">
        <f>IFERROR(__xludf.DUMMYFUNCTION("""COMPUTED_VALUE"""),2180534.0)</f>
        <v>2180534</v>
      </c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>
        <f>IFERROR(__xludf.DUMMYFUNCTION("""COMPUTED_VALUE"""),46056.5625)</f>
        <v>46056.5625</v>
      </c>
      <c r="C681" s="190">
        <f>IFERROR(__xludf.DUMMYFUNCTION("""COMPUTED_VALUE"""),64.2)</f>
        <v>64.2</v>
      </c>
      <c r="D681" s="190">
        <f>IFERROR(__xludf.DUMMYFUNCTION("""COMPUTED_VALUE"""),64.4)</f>
        <v>64.4</v>
      </c>
      <c r="E681" s="190">
        <f>IFERROR(__xludf.DUMMYFUNCTION("""COMPUTED_VALUE"""),63.85)</f>
        <v>63.85</v>
      </c>
      <c r="F681" s="190">
        <f>IFERROR(__xludf.DUMMYFUNCTION("""COMPUTED_VALUE"""),64.35)</f>
        <v>64.35</v>
      </c>
      <c r="G681" s="191">
        <f>IFERROR(__xludf.DUMMYFUNCTION("""COMPUTED_VALUE"""),2001853.0)</f>
        <v>2001853</v>
      </c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>
        <f>IFERROR(__xludf.DUMMYFUNCTION("""COMPUTED_VALUE"""),46057.5625)</f>
        <v>46057.5625</v>
      </c>
      <c r="C682" s="190">
        <f>IFERROR(__xludf.DUMMYFUNCTION("""COMPUTED_VALUE"""),63.8)</f>
        <v>63.8</v>
      </c>
      <c r="D682" s="190">
        <f>IFERROR(__xludf.DUMMYFUNCTION("""COMPUTED_VALUE"""),64.5)</f>
        <v>64.5</v>
      </c>
      <c r="E682" s="190">
        <f>IFERROR(__xludf.DUMMYFUNCTION("""COMPUTED_VALUE"""),63.8)</f>
        <v>63.8</v>
      </c>
      <c r="F682" s="190">
        <f>IFERROR(__xludf.DUMMYFUNCTION("""COMPUTED_VALUE"""),64.3)</f>
        <v>64.3</v>
      </c>
      <c r="G682" s="191">
        <f>IFERROR(__xludf.DUMMYFUNCTION("""COMPUTED_VALUE"""),1194684.0)</f>
        <v>1194684</v>
      </c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>
        <f>IFERROR(__xludf.DUMMYFUNCTION("""COMPUTED_VALUE"""),46058.5625)</f>
        <v>46058.5625</v>
      </c>
      <c r="C683" s="190">
        <f>IFERROR(__xludf.DUMMYFUNCTION("""COMPUTED_VALUE"""),63.45)</f>
        <v>63.45</v>
      </c>
      <c r="D683" s="190">
        <f>IFERROR(__xludf.DUMMYFUNCTION("""COMPUTED_VALUE"""),63.85)</f>
        <v>63.85</v>
      </c>
      <c r="E683" s="190">
        <f>IFERROR(__xludf.DUMMYFUNCTION("""COMPUTED_VALUE"""),63.35)</f>
        <v>63.35</v>
      </c>
      <c r="F683" s="190">
        <f>IFERROR(__xludf.DUMMYFUNCTION("""COMPUTED_VALUE"""),63.55)</f>
        <v>63.55</v>
      </c>
      <c r="G683" s="191">
        <f>IFERROR(__xludf.DUMMYFUNCTION("""COMPUTED_VALUE"""),1128309.0)</f>
        <v>1128309</v>
      </c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>
        <f>IFERROR(__xludf.DUMMYFUNCTION("""COMPUTED_VALUE"""),46059.5625)</f>
        <v>46059.5625</v>
      </c>
      <c r="C684" s="190">
        <f>IFERROR(__xludf.DUMMYFUNCTION("""COMPUTED_VALUE"""),63.0)</f>
        <v>63</v>
      </c>
      <c r="D684" s="190">
        <f>IFERROR(__xludf.DUMMYFUNCTION("""COMPUTED_VALUE"""),63.8)</f>
        <v>63.8</v>
      </c>
      <c r="E684" s="190">
        <f>IFERROR(__xludf.DUMMYFUNCTION("""COMPUTED_VALUE"""),62.5)</f>
        <v>62.5</v>
      </c>
      <c r="F684" s="190">
        <f>IFERROR(__xludf.DUMMYFUNCTION("""COMPUTED_VALUE"""),63.65)</f>
        <v>63.65</v>
      </c>
      <c r="G684" s="191">
        <f>IFERROR(__xludf.DUMMYFUNCTION("""COMPUTED_VALUE"""),1796023.0)</f>
        <v>1796023</v>
      </c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>
        <f>IFERROR(__xludf.DUMMYFUNCTION("""COMPUTED_VALUE"""),46062.5625)</f>
        <v>46062.5625</v>
      </c>
      <c r="C685" s="190">
        <f>IFERROR(__xludf.DUMMYFUNCTION("""COMPUTED_VALUE"""),65.25)</f>
        <v>65.25</v>
      </c>
      <c r="D685" s="190">
        <f>IFERROR(__xludf.DUMMYFUNCTION("""COMPUTED_VALUE"""),65.5)</f>
        <v>65.5</v>
      </c>
      <c r="E685" s="190">
        <f>IFERROR(__xludf.DUMMYFUNCTION("""COMPUTED_VALUE"""),65.1)</f>
        <v>65.1</v>
      </c>
      <c r="F685" s="190">
        <f>IFERROR(__xludf.DUMMYFUNCTION("""COMPUTED_VALUE"""),65.25)</f>
        <v>65.25</v>
      </c>
      <c r="G685" s="191">
        <f>IFERROR(__xludf.DUMMYFUNCTION("""COMPUTED_VALUE"""),1137126.0)</f>
        <v>1137126</v>
      </c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>
        <f>IFERROR(__xludf.DUMMYFUNCTION("""COMPUTED_VALUE"""),46063.5625)</f>
        <v>46063.5625</v>
      </c>
      <c r="C686" s="190">
        <f>IFERROR(__xludf.DUMMYFUNCTION("""COMPUTED_VALUE"""),65.85)</f>
        <v>65.85</v>
      </c>
      <c r="D686" s="190">
        <f>IFERROR(__xludf.DUMMYFUNCTION("""COMPUTED_VALUE"""),66.5)</f>
        <v>66.5</v>
      </c>
      <c r="E686" s="190">
        <f>IFERROR(__xludf.DUMMYFUNCTION("""COMPUTED_VALUE"""),65.8)</f>
        <v>65.8</v>
      </c>
      <c r="F686" s="190">
        <f>IFERROR(__xludf.DUMMYFUNCTION("""COMPUTED_VALUE"""),66.45)</f>
        <v>66.45</v>
      </c>
      <c r="G686" s="191">
        <f>IFERROR(__xludf.DUMMYFUNCTION("""COMPUTED_VALUE"""),1092096.0)</f>
        <v>1092096</v>
      </c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>
        <f>IFERROR(__xludf.DUMMYFUNCTION("""COMPUTED_VALUE"""),46064.5625)</f>
        <v>46064.5625</v>
      </c>
      <c r="C687" s="190">
        <f>IFERROR(__xludf.DUMMYFUNCTION("""COMPUTED_VALUE"""),66.9)</f>
        <v>66.9</v>
      </c>
      <c r="D687" s="190">
        <f>IFERROR(__xludf.DUMMYFUNCTION("""COMPUTED_VALUE"""),68.0)</f>
        <v>68</v>
      </c>
      <c r="E687" s="190">
        <f>IFERROR(__xludf.DUMMYFUNCTION("""COMPUTED_VALUE"""),66.9)</f>
        <v>66.9</v>
      </c>
      <c r="F687" s="190">
        <f>IFERROR(__xludf.DUMMYFUNCTION("""COMPUTED_VALUE"""),67.8)</f>
        <v>67.8</v>
      </c>
      <c r="G687" s="191">
        <f>IFERROR(__xludf.DUMMYFUNCTION("""COMPUTED_VALUE"""),1846247.0)</f>
        <v>1846247</v>
      </c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>
        <f>IFERROR(__xludf.DUMMYFUNCTION("""COMPUTED_VALUE"""),46076.5625)</f>
        <v>46076.5625</v>
      </c>
      <c r="C688" s="190">
        <f>IFERROR(__xludf.DUMMYFUNCTION("""COMPUTED_VALUE"""),68.2)</f>
        <v>68.2</v>
      </c>
      <c r="D688" s="190">
        <f>IFERROR(__xludf.DUMMYFUNCTION("""COMPUTED_VALUE"""),68.95)</f>
        <v>68.95</v>
      </c>
      <c r="E688" s="190">
        <f>IFERROR(__xludf.DUMMYFUNCTION("""COMPUTED_VALUE"""),68.0)</f>
        <v>68</v>
      </c>
      <c r="F688" s="190">
        <f>IFERROR(__xludf.DUMMYFUNCTION("""COMPUTED_VALUE"""),68.05)</f>
        <v>68.05</v>
      </c>
      <c r="G688" s="191">
        <f>IFERROR(__xludf.DUMMYFUNCTION("""COMPUTED_VALUE"""),3535738.0)</f>
        <v>3535738</v>
      </c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>
        <f>IFERROR(__xludf.DUMMYFUNCTION("""COMPUTED_VALUE"""),46077.5625)</f>
        <v>46077.5625</v>
      </c>
      <c r="C689" s="190">
        <f>IFERROR(__xludf.DUMMYFUNCTION("""COMPUTED_VALUE"""),68.25)</f>
        <v>68.25</v>
      </c>
      <c r="D689" s="190">
        <f>IFERROR(__xludf.DUMMYFUNCTION("""COMPUTED_VALUE"""),69.95)</f>
        <v>69.95</v>
      </c>
      <c r="E689" s="190">
        <f>IFERROR(__xludf.DUMMYFUNCTION("""COMPUTED_VALUE"""),68.25)</f>
        <v>68.25</v>
      </c>
      <c r="F689" s="190">
        <f>IFERROR(__xludf.DUMMYFUNCTION("""COMPUTED_VALUE"""),69.6)</f>
        <v>69.6</v>
      </c>
      <c r="G689" s="191">
        <f>IFERROR(__xludf.DUMMYFUNCTION("""COMPUTED_VALUE"""),4563567.0)</f>
        <v>4563567</v>
      </c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>
        <f>IFERROR(__xludf.DUMMYFUNCTION("""COMPUTED_VALUE"""),46078.5625)</f>
        <v>46078.5625</v>
      </c>
      <c r="C690" s="190">
        <f>IFERROR(__xludf.DUMMYFUNCTION("""COMPUTED_VALUE"""),70.45)</f>
        <v>70.45</v>
      </c>
      <c r="D690" s="190">
        <f>IFERROR(__xludf.DUMMYFUNCTION("""COMPUTED_VALUE"""),71.75)</f>
        <v>71.75</v>
      </c>
      <c r="E690" s="190">
        <f>IFERROR(__xludf.DUMMYFUNCTION("""COMPUTED_VALUE"""),70.45)</f>
        <v>70.45</v>
      </c>
      <c r="F690" s="190">
        <f>IFERROR(__xludf.DUMMYFUNCTION("""COMPUTED_VALUE"""),70.95)</f>
        <v>70.95</v>
      </c>
      <c r="G690" s="191">
        <f>IFERROR(__xludf.DUMMYFUNCTION("""COMPUTED_VALUE"""),2000106.0)</f>
        <v>2000106</v>
      </c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>
        <f>IFERROR(__xludf.DUMMYFUNCTION("""COMPUTED_VALUE"""),46079.5625)</f>
        <v>46079.5625</v>
      </c>
      <c r="C691" s="190">
        <f>IFERROR(__xludf.DUMMYFUNCTION("""COMPUTED_VALUE"""),70.95)</f>
        <v>70.95</v>
      </c>
      <c r="D691" s="190">
        <f>IFERROR(__xludf.DUMMYFUNCTION("""COMPUTED_VALUE"""),71.55)</f>
        <v>71.55</v>
      </c>
      <c r="E691" s="190">
        <f>IFERROR(__xludf.DUMMYFUNCTION("""COMPUTED_VALUE"""),70.8)</f>
        <v>70.8</v>
      </c>
      <c r="F691" s="190">
        <f>IFERROR(__xludf.DUMMYFUNCTION("""COMPUTED_VALUE"""),71.15)</f>
        <v>71.15</v>
      </c>
      <c r="G691" s="191">
        <f>IFERROR(__xludf.DUMMYFUNCTION("""COMPUTED_VALUE"""),2265190.0)</f>
        <v>2265190</v>
      </c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>
        <f>IFERROR(__xludf.DUMMYFUNCTION("""COMPUTED_VALUE"""),46083.5625)</f>
        <v>46083.5625</v>
      </c>
      <c r="C692" s="190">
        <f>IFERROR(__xludf.DUMMYFUNCTION("""COMPUTED_VALUE"""),69.6)</f>
        <v>69.6</v>
      </c>
      <c r="D692" s="190">
        <f>IFERROR(__xludf.DUMMYFUNCTION("""COMPUTED_VALUE"""),70.9)</f>
        <v>70.9</v>
      </c>
      <c r="E692" s="190">
        <f>IFERROR(__xludf.DUMMYFUNCTION("""COMPUTED_VALUE"""),69.55)</f>
        <v>69.55</v>
      </c>
      <c r="F692" s="190">
        <f>IFERROR(__xludf.DUMMYFUNCTION("""COMPUTED_VALUE"""),70.55)</f>
        <v>70.55</v>
      </c>
      <c r="G692" s="191">
        <f>IFERROR(__xludf.DUMMYFUNCTION("""COMPUTED_VALUE"""),1521976.0)</f>
        <v>1521976</v>
      </c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>
        <f>IFERROR(__xludf.DUMMYFUNCTION("""COMPUTED_VALUE"""),46084.5625)</f>
        <v>46084.5625</v>
      </c>
      <c r="C693" s="190">
        <f>IFERROR(__xludf.DUMMYFUNCTION("""COMPUTED_VALUE"""),70.4)</f>
        <v>70.4</v>
      </c>
      <c r="D693" s="190">
        <f>IFERROR(__xludf.DUMMYFUNCTION("""COMPUTED_VALUE"""),70.45)</f>
        <v>70.45</v>
      </c>
      <c r="E693" s="190">
        <f>IFERROR(__xludf.DUMMYFUNCTION("""COMPUTED_VALUE"""),69.05)</f>
        <v>69.05</v>
      </c>
      <c r="F693" s="190">
        <f>IFERROR(__xludf.DUMMYFUNCTION("""COMPUTED_VALUE"""),69.1)</f>
        <v>69.1</v>
      </c>
      <c r="G693" s="191">
        <f>IFERROR(__xludf.DUMMYFUNCTION("""COMPUTED_VALUE"""),2257960.0)</f>
        <v>2257960</v>
      </c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>
        <f>IFERROR(__xludf.DUMMYFUNCTION("""COMPUTED_VALUE"""),46085.5625)</f>
        <v>46085.5625</v>
      </c>
      <c r="C694" s="190">
        <f>IFERROR(__xludf.DUMMYFUNCTION("""COMPUTED_VALUE"""),67.65)</f>
        <v>67.65</v>
      </c>
      <c r="D694" s="190">
        <f>IFERROR(__xludf.DUMMYFUNCTION("""COMPUTED_VALUE"""),67.65)</f>
        <v>67.65</v>
      </c>
      <c r="E694" s="190">
        <f>IFERROR(__xludf.DUMMYFUNCTION("""COMPUTED_VALUE"""),66.25)</f>
        <v>66.25</v>
      </c>
      <c r="F694" s="190">
        <f>IFERROR(__xludf.DUMMYFUNCTION("""COMPUTED_VALUE"""),66.3)</f>
        <v>66.3</v>
      </c>
      <c r="G694" s="191">
        <f>IFERROR(__xludf.DUMMYFUNCTION("""COMPUTED_VALUE"""),3860856.0)</f>
        <v>3860856</v>
      </c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>
        <f>IFERROR(__xludf.DUMMYFUNCTION("""COMPUTED_VALUE"""),46086.5625)</f>
        <v>46086.5625</v>
      </c>
      <c r="C695" s="190">
        <f>IFERROR(__xludf.DUMMYFUNCTION("""COMPUTED_VALUE"""),68.25)</f>
        <v>68.25</v>
      </c>
      <c r="D695" s="190">
        <f>IFERROR(__xludf.DUMMYFUNCTION("""COMPUTED_VALUE"""),69.25)</f>
        <v>69.25</v>
      </c>
      <c r="E695" s="190">
        <f>IFERROR(__xludf.DUMMYFUNCTION("""COMPUTED_VALUE"""),67.45)</f>
        <v>67.45</v>
      </c>
      <c r="F695" s="190">
        <f>IFERROR(__xludf.DUMMYFUNCTION("""COMPUTED_VALUE"""),67.85)</f>
        <v>67.85</v>
      </c>
      <c r="G695" s="191">
        <f>IFERROR(__xludf.DUMMYFUNCTION("""COMPUTED_VALUE"""),2086032.0)</f>
        <v>2086032</v>
      </c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>
        <f>IFERROR(__xludf.DUMMYFUNCTION("""COMPUTED_VALUE"""),46087.5625)</f>
        <v>46087.5625</v>
      </c>
      <c r="C696" s="190">
        <f>IFERROR(__xludf.DUMMYFUNCTION("""COMPUTED_VALUE"""),67.5)</f>
        <v>67.5</v>
      </c>
      <c r="D696" s="190">
        <f>IFERROR(__xludf.DUMMYFUNCTION("""COMPUTED_VALUE"""),67.85)</f>
        <v>67.85</v>
      </c>
      <c r="E696" s="190">
        <f>IFERROR(__xludf.DUMMYFUNCTION("""COMPUTED_VALUE"""),67.05)</f>
        <v>67.05</v>
      </c>
      <c r="F696" s="190">
        <f>IFERROR(__xludf.DUMMYFUNCTION("""COMPUTED_VALUE"""),67.55)</f>
        <v>67.55</v>
      </c>
      <c r="G696" s="191">
        <f>IFERROR(__xludf.DUMMYFUNCTION("""COMPUTED_VALUE"""),2109428.0)</f>
        <v>2109428</v>
      </c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>
        <f>IFERROR(__xludf.DUMMYFUNCTION("""COMPUTED_VALUE"""),46090.5625)</f>
        <v>46090.5625</v>
      </c>
      <c r="C697" s="190">
        <f>IFERROR(__xludf.DUMMYFUNCTION("""COMPUTED_VALUE"""),64.05)</f>
        <v>64.05</v>
      </c>
      <c r="D697" s="190">
        <f>IFERROR(__xludf.DUMMYFUNCTION("""COMPUTED_VALUE"""),64.65)</f>
        <v>64.65</v>
      </c>
      <c r="E697" s="190">
        <f>IFERROR(__xludf.DUMMYFUNCTION("""COMPUTED_VALUE"""),63.5)</f>
        <v>63.5</v>
      </c>
      <c r="F697" s="190">
        <f>IFERROR(__xludf.DUMMYFUNCTION("""COMPUTED_VALUE"""),64.5)</f>
        <v>64.5</v>
      </c>
      <c r="G697" s="191">
        <f>IFERROR(__xludf.DUMMYFUNCTION("""COMPUTED_VALUE"""),3837925.0)</f>
        <v>3837925</v>
      </c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>
        <f>IFERROR(__xludf.DUMMYFUNCTION("""COMPUTED_VALUE"""),46091.5625)</f>
        <v>46091.5625</v>
      </c>
      <c r="C698" s="190">
        <f>IFERROR(__xludf.DUMMYFUNCTION("""COMPUTED_VALUE"""),66.65)</f>
        <v>66.65</v>
      </c>
      <c r="D698" s="190">
        <f>IFERROR(__xludf.DUMMYFUNCTION("""COMPUTED_VALUE"""),67.0)</f>
        <v>67</v>
      </c>
      <c r="E698" s="190">
        <f>IFERROR(__xludf.DUMMYFUNCTION("""COMPUTED_VALUE"""),65.35)</f>
        <v>65.35</v>
      </c>
      <c r="F698" s="190">
        <f>IFERROR(__xludf.DUMMYFUNCTION("""COMPUTED_VALUE"""),66.15)</f>
        <v>66.15</v>
      </c>
      <c r="G698" s="191">
        <f>IFERROR(__xludf.DUMMYFUNCTION("""COMPUTED_VALUE"""),2017751.0)</f>
        <v>2017751</v>
      </c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>
        <f>IFERROR(__xludf.DUMMYFUNCTION("""COMPUTED_VALUE"""),46092.5625)</f>
        <v>46092.5625</v>
      </c>
      <c r="C699" s="190">
        <f>IFERROR(__xludf.DUMMYFUNCTION("""COMPUTED_VALUE"""),66.95)</f>
        <v>66.95</v>
      </c>
      <c r="D699" s="190">
        <f>IFERROR(__xludf.DUMMYFUNCTION("""COMPUTED_VALUE"""),68.75)</f>
        <v>68.75</v>
      </c>
      <c r="E699" s="190">
        <f>IFERROR(__xludf.DUMMYFUNCTION("""COMPUTED_VALUE"""),66.95)</f>
        <v>66.95</v>
      </c>
      <c r="F699" s="190">
        <f>IFERROR(__xludf.DUMMYFUNCTION("""COMPUTED_VALUE"""),68.7)</f>
        <v>68.7</v>
      </c>
      <c r="G699" s="191">
        <f>IFERROR(__xludf.DUMMYFUNCTION("""COMPUTED_VALUE"""),1395819.0)</f>
        <v>1395819</v>
      </c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>
        <f>IFERROR(__xludf.DUMMYFUNCTION("""COMPUTED_VALUE"""),46093.5625)</f>
        <v>46093.5625</v>
      </c>
      <c r="C700" s="190">
        <f>IFERROR(__xludf.DUMMYFUNCTION("""COMPUTED_VALUE"""),68.25)</f>
        <v>68.25</v>
      </c>
      <c r="D700" s="190">
        <f>IFERROR(__xludf.DUMMYFUNCTION("""COMPUTED_VALUE"""),68.25)</f>
        <v>68.25</v>
      </c>
      <c r="E700" s="190">
        <f>IFERROR(__xludf.DUMMYFUNCTION("""COMPUTED_VALUE"""),67.1)</f>
        <v>67.1</v>
      </c>
      <c r="F700" s="190">
        <f>IFERROR(__xludf.DUMMYFUNCTION("""COMPUTED_VALUE"""),67.45)</f>
        <v>67.45</v>
      </c>
      <c r="G700" s="191">
        <f>IFERROR(__xludf.DUMMYFUNCTION("""COMPUTED_VALUE"""),1026361.0)</f>
        <v>1026361</v>
      </c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>
        <f>IFERROR(__xludf.DUMMYFUNCTION("""COMPUTED_VALUE"""),46094.5625)</f>
        <v>46094.5625</v>
      </c>
      <c r="C701" s="190">
        <f>IFERROR(__xludf.DUMMYFUNCTION("""COMPUTED_VALUE"""),66.5)</f>
        <v>66.5</v>
      </c>
      <c r="D701" s="190">
        <f>IFERROR(__xludf.DUMMYFUNCTION("""COMPUTED_VALUE"""),67.35)</f>
        <v>67.35</v>
      </c>
      <c r="E701" s="190">
        <f>IFERROR(__xludf.DUMMYFUNCTION("""COMPUTED_VALUE"""),66.25)</f>
        <v>66.25</v>
      </c>
      <c r="F701" s="190">
        <f>IFERROR(__xludf.DUMMYFUNCTION("""COMPUTED_VALUE"""),66.9)</f>
        <v>66.9</v>
      </c>
      <c r="G701" s="191">
        <f>IFERROR(__xludf.DUMMYFUNCTION("""COMPUTED_VALUE"""),2540615.0)</f>
        <v>2540615</v>
      </c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>
        <f>IFERROR(__xludf.DUMMYFUNCTION("""COMPUTED_VALUE"""),46097.5625)</f>
        <v>46097.5625</v>
      </c>
      <c r="C702" s="190">
        <f>IFERROR(__xludf.DUMMYFUNCTION("""COMPUTED_VALUE"""),67.25)</f>
        <v>67.25</v>
      </c>
      <c r="D702" s="190">
        <f>IFERROR(__xludf.DUMMYFUNCTION("""COMPUTED_VALUE"""),67.5)</f>
        <v>67.5</v>
      </c>
      <c r="E702" s="190">
        <f>IFERROR(__xludf.DUMMYFUNCTION("""COMPUTED_VALUE"""),66.35)</f>
        <v>66.35</v>
      </c>
      <c r="F702" s="190">
        <f>IFERROR(__xludf.DUMMYFUNCTION("""COMPUTED_VALUE"""),66.7)</f>
        <v>66.7</v>
      </c>
      <c r="G702" s="191">
        <f>IFERROR(__xludf.DUMMYFUNCTION("""COMPUTED_VALUE"""),3017244.0)</f>
        <v>3017244</v>
      </c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>
        <f>IFERROR(__xludf.DUMMYFUNCTION("""COMPUTED_VALUE"""),46098.5625)</f>
        <v>46098.5625</v>
      </c>
      <c r="C703" s="190">
        <f>IFERROR(__xludf.DUMMYFUNCTION("""COMPUTED_VALUE"""),67.2)</f>
        <v>67.2</v>
      </c>
      <c r="D703" s="190">
        <f>IFERROR(__xludf.DUMMYFUNCTION("""COMPUTED_VALUE"""),67.8)</f>
        <v>67.8</v>
      </c>
      <c r="E703" s="190">
        <f>IFERROR(__xludf.DUMMYFUNCTION("""COMPUTED_VALUE"""),67.2)</f>
        <v>67.2</v>
      </c>
      <c r="F703" s="190">
        <f>IFERROR(__xludf.DUMMYFUNCTION("""COMPUTED_VALUE"""),67.35)</f>
        <v>67.35</v>
      </c>
      <c r="G703" s="191">
        <f>IFERROR(__xludf.DUMMYFUNCTION("""COMPUTED_VALUE"""),1170962.0)</f>
        <v>1170962</v>
      </c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>
        <f>IFERROR(__xludf.DUMMYFUNCTION("""COMPUTED_VALUE"""),46099.5625)</f>
        <v>46099.5625</v>
      </c>
      <c r="C704" s="190">
        <f>IFERROR(__xludf.DUMMYFUNCTION("""COMPUTED_VALUE"""),68.5)</f>
        <v>68.5</v>
      </c>
      <c r="D704" s="190">
        <f>IFERROR(__xludf.DUMMYFUNCTION("""COMPUTED_VALUE"""),68.75)</f>
        <v>68.75</v>
      </c>
      <c r="E704" s="190">
        <f>IFERROR(__xludf.DUMMYFUNCTION("""COMPUTED_VALUE"""),68.1)</f>
        <v>68.1</v>
      </c>
      <c r="F704" s="190">
        <f>IFERROR(__xludf.DUMMYFUNCTION("""COMPUTED_VALUE"""),68.5)</f>
        <v>68.5</v>
      </c>
      <c r="G704" s="191">
        <f>IFERROR(__xludf.DUMMYFUNCTION("""COMPUTED_VALUE"""),735341.0)</f>
        <v>735341</v>
      </c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>
        <f>IFERROR(__xludf.DUMMYFUNCTION("""COMPUTED_VALUE"""),46100.5625)</f>
        <v>46100.5625</v>
      </c>
      <c r="C705" s="190">
        <f>IFERROR(__xludf.DUMMYFUNCTION("""COMPUTED_VALUE"""),67.6)</f>
        <v>67.6</v>
      </c>
      <c r="D705" s="190">
        <f>IFERROR(__xludf.DUMMYFUNCTION("""COMPUTED_VALUE"""),67.6)</f>
        <v>67.6</v>
      </c>
      <c r="E705" s="190">
        <f>IFERROR(__xludf.DUMMYFUNCTION("""COMPUTED_VALUE"""),66.8)</f>
        <v>66.8</v>
      </c>
      <c r="F705" s="190">
        <f>IFERROR(__xludf.DUMMYFUNCTION("""COMPUTED_VALUE"""),66.9)</f>
        <v>66.9</v>
      </c>
      <c r="G705" s="191">
        <f>IFERROR(__xludf.DUMMYFUNCTION("""COMPUTED_VALUE"""),1559619.0)</f>
        <v>1559619</v>
      </c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>
        <f>IFERROR(__xludf.DUMMYFUNCTION("""COMPUTED_VALUE"""),46101.5625)</f>
        <v>46101.5625</v>
      </c>
      <c r="C706" s="190">
        <f>IFERROR(__xludf.DUMMYFUNCTION("""COMPUTED_VALUE"""),66.9)</f>
        <v>66.9</v>
      </c>
      <c r="D706" s="190">
        <f>IFERROR(__xludf.DUMMYFUNCTION("""COMPUTED_VALUE"""),67.25)</f>
        <v>67.25</v>
      </c>
      <c r="E706" s="190">
        <f>IFERROR(__xludf.DUMMYFUNCTION("""COMPUTED_VALUE"""),66.45)</f>
        <v>66.45</v>
      </c>
      <c r="F706" s="190">
        <f>IFERROR(__xludf.DUMMYFUNCTION("""COMPUTED_VALUE"""),66.75)</f>
        <v>66.75</v>
      </c>
      <c r="G706" s="191">
        <f>IFERROR(__xludf.DUMMYFUNCTION("""COMPUTED_VALUE"""),845268.0)</f>
        <v>845268</v>
      </c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>
        <f>IFERROR(__xludf.DUMMYFUNCTION("""COMPUTED_VALUE"""),46104.5625)</f>
        <v>46104.5625</v>
      </c>
      <c r="C707" s="190">
        <f>IFERROR(__xludf.DUMMYFUNCTION("""COMPUTED_VALUE"""),65.4)</f>
        <v>65.4</v>
      </c>
      <c r="D707" s="190">
        <f>IFERROR(__xludf.DUMMYFUNCTION("""COMPUTED_VALUE"""),65.4)</f>
        <v>65.4</v>
      </c>
      <c r="E707" s="190">
        <f>IFERROR(__xludf.DUMMYFUNCTION("""COMPUTED_VALUE"""),64.5)</f>
        <v>64.5</v>
      </c>
      <c r="F707" s="190">
        <f>IFERROR(__xludf.DUMMYFUNCTION("""COMPUTED_VALUE"""),65.15)</f>
        <v>65.15</v>
      </c>
      <c r="G707" s="191">
        <f>IFERROR(__xludf.DUMMYFUNCTION("""COMPUTED_VALUE"""),2137539.0)</f>
        <v>2137539</v>
      </c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>
        <f>IFERROR(__xludf.DUMMYFUNCTION("""COMPUTED_VALUE"""),46105.5625)</f>
        <v>46105.5625</v>
      </c>
      <c r="C708" s="190">
        <f>IFERROR(__xludf.DUMMYFUNCTION("""COMPUTED_VALUE"""),66.2)</f>
        <v>66.2</v>
      </c>
      <c r="D708" s="190">
        <f>IFERROR(__xludf.DUMMYFUNCTION("""COMPUTED_VALUE"""),66.3)</f>
        <v>66.3</v>
      </c>
      <c r="E708" s="190">
        <f>IFERROR(__xludf.DUMMYFUNCTION("""COMPUTED_VALUE"""),64.95)</f>
        <v>64.95</v>
      </c>
      <c r="F708" s="190">
        <f>IFERROR(__xludf.DUMMYFUNCTION("""COMPUTED_VALUE"""),65.5)</f>
        <v>65.5</v>
      </c>
      <c r="G708" s="191">
        <f>IFERROR(__xludf.DUMMYFUNCTION("""COMPUTED_VALUE"""),847579.0)</f>
        <v>847579</v>
      </c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>
        <f>IFERROR(__xludf.DUMMYFUNCTION("""COMPUTED_VALUE"""),46106.5625)</f>
        <v>46106.5625</v>
      </c>
      <c r="C709" s="190">
        <f>IFERROR(__xludf.DUMMYFUNCTION("""COMPUTED_VALUE"""),66.75)</f>
        <v>66.75</v>
      </c>
      <c r="D709" s="190">
        <f>IFERROR(__xludf.DUMMYFUNCTION("""COMPUTED_VALUE"""),67.45)</f>
        <v>67.45</v>
      </c>
      <c r="E709" s="190">
        <f>IFERROR(__xludf.DUMMYFUNCTION("""COMPUTED_VALUE"""),66.75)</f>
        <v>66.75</v>
      </c>
      <c r="F709" s="190">
        <f>IFERROR(__xludf.DUMMYFUNCTION("""COMPUTED_VALUE"""),67.05)</f>
        <v>67.05</v>
      </c>
      <c r="G709" s="191">
        <f>IFERROR(__xludf.DUMMYFUNCTION("""COMPUTED_VALUE"""),695440.0)</f>
        <v>695440</v>
      </c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>
        <f>IFERROR(__xludf.DUMMYFUNCTION("""COMPUTED_VALUE"""),46107.5625)</f>
        <v>46107.5625</v>
      </c>
      <c r="C710" s="190">
        <f>IFERROR(__xludf.DUMMYFUNCTION("""COMPUTED_VALUE"""),67.1)</f>
        <v>67.1</v>
      </c>
      <c r="D710" s="190">
        <f>IFERROR(__xludf.DUMMYFUNCTION("""COMPUTED_VALUE"""),67.6)</f>
        <v>67.6</v>
      </c>
      <c r="E710" s="190">
        <f>IFERROR(__xludf.DUMMYFUNCTION("""COMPUTED_VALUE"""),66.6)</f>
        <v>66.6</v>
      </c>
      <c r="F710" s="190">
        <f>IFERROR(__xludf.DUMMYFUNCTION("""COMPUTED_VALUE"""),66.7)</f>
        <v>66.7</v>
      </c>
      <c r="G710" s="191">
        <f>IFERROR(__xludf.DUMMYFUNCTION("""COMPUTED_VALUE"""),886712.0)</f>
        <v>886712</v>
      </c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>
        <f>IFERROR(__xludf.DUMMYFUNCTION("""COMPUTED_VALUE"""),46108.5625)</f>
        <v>46108.5625</v>
      </c>
      <c r="C711" s="190">
        <f>IFERROR(__xludf.DUMMYFUNCTION("""COMPUTED_VALUE"""),65.45)</f>
        <v>65.45</v>
      </c>
      <c r="D711" s="190">
        <f>IFERROR(__xludf.DUMMYFUNCTION("""COMPUTED_VALUE"""),66.2)</f>
        <v>66.2</v>
      </c>
      <c r="E711" s="190">
        <f>IFERROR(__xludf.DUMMYFUNCTION("""COMPUTED_VALUE"""),65.0)</f>
        <v>65</v>
      </c>
      <c r="F711" s="190">
        <f>IFERROR(__xludf.DUMMYFUNCTION("""COMPUTED_VALUE"""),66.1)</f>
        <v>66.1</v>
      </c>
      <c r="G711" s="191">
        <f>IFERROR(__xludf.DUMMYFUNCTION("""COMPUTED_VALUE"""),759772.0)</f>
        <v>759772</v>
      </c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>
        <f>IFERROR(__xludf.DUMMYFUNCTION("""COMPUTED_VALUE"""),46111.5625)</f>
        <v>46111.5625</v>
      </c>
      <c r="C712" s="190">
        <f>IFERROR(__xludf.DUMMYFUNCTION("""COMPUTED_VALUE"""),64.55)</f>
        <v>64.55</v>
      </c>
      <c r="D712" s="190">
        <f>IFERROR(__xludf.DUMMYFUNCTION("""COMPUTED_VALUE"""),65.2)</f>
        <v>65.2</v>
      </c>
      <c r="E712" s="190">
        <f>IFERROR(__xludf.DUMMYFUNCTION("""COMPUTED_VALUE"""),64.4)</f>
        <v>64.4</v>
      </c>
      <c r="F712" s="190">
        <f>IFERROR(__xludf.DUMMYFUNCTION("""COMPUTED_VALUE"""),65.0)</f>
        <v>65</v>
      </c>
      <c r="G712" s="191">
        <f>IFERROR(__xludf.DUMMYFUNCTION("""COMPUTED_VALUE"""),1469805.0)</f>
        <v>1469805</v>
      </c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>
        <f>IFERROR(__xludf.DUMMYFUNCTION("""COMPUTED_VALUE"""),46112.5625)</f>
        <v>46112.5625</v>
      </c>
      <c r="C713" s="190">
        <f>IFERROR(__xludf.DUMMYFUNCTION("""COMPUTED_VALUE"""),64.3)</f>
        <v>64.3</v>
      </c>
      <c r="D713" s="190">
        <f>IFERROR(__xludf.DUMMYFUNCTION("""COMPUTED_VALUE"""),64.8)</f>
        <v>64.8</v>
      </c>
      <c r="E713" s="190">
        <f>IFERROR(__xludf.DUMMYFUNCTION("""COMPUTED_VALUE"""),63.7)</f>
        <v>63.7</v>
      </c>
      <c r="F713" s="190">
        <f>IFERROR(__xludf.DUMMYFUNCTION("""COMPUTED_VALUE"""),63.85)</f>
        <v>63.85</v>
      </c>
      <c r="G713" s="191">
        <f>IFERROR(__xludf.DUMMYFUNCTION("""COMPUTED_VALUE"""),1473242.0)</f>
        <v>1473242</v>
      </c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>
        <f>IFERROR(__xludf.DUMMYFUNCTION("""COMPUTED_VALUE"""),46113.5625)</f>
        <v>46113.5625</v>
      </c>
      <c r="C714" s="190">
        <f>IFERROR(__xludf.DUMMYFUNCTION("""COMPUTED_VALUE"""),66.0)</f>
        <v>66</v>
      </c>
      <c r="D714" s="190">
        <f>IFERROR(__xludf.DUMMYFUNCTION("""COMPUTED_VALUE"""),66.6)</f>
        <v>66.6</v>
      </c>
      <c r="E714" s="190">
        <f>IFERROR(__xludf.DUMMYFUNCTION("""COMPUTED_VALUE"""),65.95)</f>
        <v>65.95</v>
      </c>
      <c r="F714" s="190">
        <f>IFERROR(__xludf.DUMMYFUNCTION("""COMPUTED_VALUE"""),66.55)</f>
        <v>66.55</v>
      </c>
      <c r="G714" s="191">
        <f>IFERROR(__xludf.DUMMYFUNCTION("""COMPUTED_VALUE"""),2104337.0)</f>
        <v>2104337</v>
      </c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>
        <f>IFERROR(__xludf.DUMMYFUNCTION("""COMPUTED_VALUE"""),46114.5625)</f>
        <v>46114.5625</v>
      </c>
      <c r="C715" s="190">
        <f>IFERROR(__xludf.DUMMYFUNCTION("""COMPUTED_VALUE"""),66.75)</f>
        <v>66.75</v>
      </c>
      <c r="D715" s="190">
        <f>IFERROR(__xludf.DUMMYFUNCTION("""COMPUTED_VALUE"""),66.9)</f>
        <v>66.9</v>
      </c>
      <c r="E715" s="190">
        <f>IFERROR(__xludf.DUMMYFUNCTION("""COMPUTED_VALUE"""),65.1)</f>
        <v>65.1</v>
      </c>
      <c r="F715" s="190">
        <f>IFERROR(__xludf.DUMMYFUNCTION("""COMPUTED_VALUE"""),65.25)</f>
        <v>65.25</v>
      </c>
      <c r="G715" s="191">
        <f>IFERROR(__xludf.DUMMYFUNCTION("""COMPUTED_VALUE"""),1262500.0)</f>
        <v>1262500</v>
      </c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>
        <f>IFERROR(__xludf.DUMMYFUNCTION("""COMPUTED_VALUE"""),46119.5625)</f>
        <v>46119.5625</v>
      </c>
      <c r="C716" s="190">
        <f>IFERROR(__xludf.DUMMYFUNCTION("""COMPUTED_VALUE"""),66.2)</f>
        <v>66.2</v>
      </c>
      <c r="D716" s="190">
        <f>IFERROR(__xludf.DUMMYFUNCTION("""COMPUTED_VALUE"""),66.75)</f>
        <v>66.75</v>
      </c>
      <c r="E716" s="190">
        <f>IFERROR(__xludf.DUMMYFUNCTION("""COMPUTED_VALUE"""),66.05)</f>
        <v>66.05</v>
      </c>
      <c r="F716" s="190">
        <f>IFERROR(__xludf.DUMMYFUNCTION("""COMPUTED_VALUE"""),66.55)</f>
        <v>66.55</v>
      </c>
      <c r="G716" s="191">
        <f>IFERROR(__xludf.DUMMYFUNCTION("""COMPUTED_VALUE"""),1071478.0)</f>
        <v>1071478</v>
      </c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>
        <f>IFERROR(__xludf.DUMMYFUNCTION("""COMPUTED_VALUE"""),46120.5625)</f>
        <v>46120.5625</v>
      </c>
      <c r="C717" s="190">
        <f>IFERROR(__xludf.DUMMYFUNCTION("""COMPUTED_VALUE"""),68.55)</f>
        <v>68.55</v>
      </c>
      <c r="D717" s="190">
        <f>IFERROR(__xludf.DUMMYFUNCTION("""COMPUTED_VALUE"""),70.0)</f>
        <v>70</v>
      </c>
      <c r="E717" s="190">
        <f>IFERROR(__xludf.DUMMYFUNCTION("""COMPUTED_VALUE"""),68.55)</f>
        <v>68.55</v>
      </c>
      <c r="F717" s="190">
        <f>IFERROR(__xludf.DUMMYFUNCTION("""COMPUTED_VALUE"""),69.85)</f>
        <v>69.85</v>
      </c>
      <c r="G717" s="191">
        <f>IFERROR(__xludf.DUMMYFUNCTION("""COMPUTED_VALUE"""),2591309.0)</f>
        <v>2591309</v>
      </c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>
        <f>IFERROR(__xludf.DUMMYFUNCTION("""COMPUTED_VALUE"""),46121.5625)</f>
        <v>46121.5625</v>
      </c>
      <c r="C718" s="190">
        <f>IFERROR(__xludf.DUMMYFUNCTION("""COMPUTED_VALUE"""),69.8)</f>
        <v>69.8</v>
      </c>
      <c r="D718" s="190">
        <f>IFERROR(__xludf.DUMMYFUNCTION("""COMPUTED_VALUE"""),69.9)</f>
        <v>69.9</v>
      </c>
      <c r="E718" s="190">
        <f>IFERROR(__xludf.DUMMYFUNCTION("""COMPUTED_VALUE"""),69.3)</f>
        <v>69.3</v>
      </c>
      <c r="F718" s="190">
        <f>IFERROR(__xludf.DUMMYFUNCTION("""COMPUTED_VALUE"""),69.9)</f>
        <v>69.9</v>
      </c>
      <c r="G718" s="191">
        <f>IFERROR(__xludf.DUMMYFUNCTION("""COMPUTED_VALUE"""),1455445.0)</f>
        <v>1455445</v>
      </c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>
        <f>IFERROR(__xludf.DUMMYFUNCTION("""COMPUTED_VALUE"""),46122.5625)</f>
        <v>46122.5625</v>
      </c>
      <c r="C719" s="190">
        <f>IFERROR(__xludf.DUMMYFUNCTION("""COMPUTED_VALUE"""),70.5)</f>
        <v>70.5</v>
      </c>
      <c r="D719" s="190">
        <f>IFERROR(__xludf.DUMMYFUNCTION("""COMPUTED_VALUE"""),71.1)</f>
        <v>71.1</v>
      </c>
      <c r="E719" s="190">
        <f>IFERROR(__xludf.DUMMYFUNCTION("""COMPUTED_VALUE"""),70.45)</f>
        <v>70.45</v>
      </c>
      <c r="F719" s="190">
        <f>IFERROR(__xludf.DUMMYFUNCTION("""COMPUTED_VALUE"""),71.1)</f>
        <v>71.1</v>
      </c>
      <c r="G719" s="191">
        <f>IFERROR(__xludf.DUMMYFUNCTION("""COMPUTED_VALUE"""),2305937.0)</f>
        <v>2305937</v>
      </c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>
        <f>IFERROR(__xludf.DUMMYFUNCTION("""COMPUTED_VALUE"""),46125.5625)</f>
        <v>46125.5625</v>
      </c>
      <c r="C720" s="190">
        <f>IFERROR(__xludf.DUMMYFUNCTION("""COMPUTED_VALUE"""),70.85)</f>
        <v>70.85</v>
      </c>
      <c r="D720" s="190">
        <f>IFERROR(__xludf.DUMMYFUNCTION("""COMPUTED_VALUE"""),71.15)</f>
        <v>71.15</v>
      </c>
      <c r="E720" s="190">
        <f>IFERROR(__xludf.DUMMYFUNCTION("""COMPUTED_VALUE"""),70.75)</f>
        <v>70.75</v>
      </c>
      <c r="F720" s="190">
        <f>IFERROR(__xludf.DUMMYFUNCTION("""COMPUTED_VALUE"""),70.95)</f>
        <v>70.95</v>
      </c>
      <c r="G720" s="191">
        <f>IFERROR(__xludf.DUMMYFUNCTION("""COMPUTED_VALUE"""),1431677.0)</f>
        <v>1431677</v>
      </c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>
        <f>IFERROR(__xludf.DUMMYFUNCTION("""COMPUTED_VALUE"""),46126.5625)</f>
        <v>46126.5625</v>
      </c>
      <c r="C721" s="190">
        <f>IFERROR(__xludf.DUMMYFUNCTION("""COMPUTED_VALUE"""),72.0)</f>
        <v>72</v>
      </c>
      <c r="D721" s="190">
        <f>IFERROR(__xludf.DUMMYFUNCTION("""COMPUTED_VALUE"""),72.95)</f>
        <v>72.95</v>
      </c>
      <c r="E721" s="190">
        <f>IFERROR(__xludf.DUMMYFUNCTION("""COMPUTED_VALUE"""),71.95)</f>
        <v>71.95</v>
      </c>
      <c r="F721" s="190">
        <f>IFERROR(__xludf.DUMMYFUNCTION("""COMPUTED_VALUE"""),72.65)</f>
        <v>72.65</v>
      </c>
      <c r="G721" s="191">
        <f>IFERROR(__xludf.DUMMYFUNCTION("""COMPUTED_VALUE"""),1556923.0)</f>
        <v>1556923</v>
      </c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>
        <f>IFERROR(__xludf.DUMMYFUNCTION("""COMPUTED_VALUE"""),46127.5625)</f>
        <v>46127.5625</v>
      </c>
      <c r="C722" s="190">
        <f>IFERROR(__xludf.DUMMYFUNCTION("""COMPUTED_VALUE"""),73.35)</f>
        <v>73.35</v>
      </c>
      <c r="D722" s="190">
        <f>IFERROR(__xludf.DUMMYFUNCTION("""COMPUTED_VALUE"""),74.5)</f>
        <v>74.5</v>
      </c>
      <c r="E722" s="190">
        <f>IFERROR(__xludf.DUMMYFUNCTION("""COMPUTED_VALUE"""),73.35)</f>
        <v>73.35</v>
      </c>
      <c r="F722" s="190">
        <f>IFERROR(__xludf.DUMMYFUNCTION("""COMPUTED_VALUE"""),73.7)</f>
        <v>73.7</v>
      </c>
      <c r="G722" s="191">
        <f>IFERROR(__xludf.DUMMYFUNCTION("""COMPUTED_VALUE"""),3293307.0)</f>
        <v>3293307</v>
      </c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>
        <f>IFERROR(__xludf.DUMMYFUNCTION("""COMPUTED_VALUE"""),46128.5625)</f>
        <v>46128.5625</v>
      </c>
      <c r="C723" s="190">
        <f>IFERROR(__xludf.DUMMYFUNCTION("""COMPUTED_VALUE"""),74.4)</f>
        <v>74.4</v>
      </c>
      <c r="D723" s="190">
        <f>IFERROR(__xludf.DUMMYFUNCTION("""COMPUTED_VALUE"""),74.55)</f>
        <v>74.55</v>
      </c>
      <c r="E723" s="190">
        <f>IFERROR(__xludf.DUMMYFUNCTION("""COMPUTED_VALUE"""),73.7)</f>
        <v>73.7</v>
      </c>
      <c r="F723" s="190">
        <f>IFERROR(__xludf.DUMMYFUNCTION("""COMPUTED_VALUE"""),74.4)</f>
        <v>74.4</v>
      </c>
      <c r="G723" s="191">
        <f>IFERROR(__xludf.DUMMYFUNCTION("""COMPUTED_VALUE"""),2435197.0)</f>
        <v>2435197</v>
      </c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>
        <f>IFERROR(__xludf.DUMMYFUNCTION("""COMPUTED_VALUE"""),46129.5625)</f>
        <v>46129.5625</v>
      </c>
      <c r="C724" s="190">
        <f>IFERROR(__xludf.DUMMYFUNCTION("""COMPUTED_VALUE"""),73.8)</f>
        <v>73.8</v>
      </c>
      <c r="D724" s="190">
        <f>IFERROR(__xludf.DUMMYFUNCTION("""COMPUTED_VALUE"""),74.0)</f>
        <v>74</v>
      </c>
      <c r="E724" s="190">
        <f>IFERROR(__xludf.DUMMYFUNCTION("""COMPUTED_VALUE"""),73.65)</f>
        <v>73.65</v>
      </c>
      <c r="F724" s="190">
        <f>IFERROR(__xludf.DUMMYFUNCTION("""COMPUTED_VALUE"""),73.8)</f>
        <v>73.8</v>
      </c>
      <c r="G724" s="191">
        <f>IFERROR(__xludf.DUMMYFUNCTION("""COMPUTED_VALUE"""),913177.0)</f>
        <v>913177</v>
      </c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>
        <f>IFERROR(__xludf.DUMMYFUNCTION("""COMPUTED_VALUE"""),46132.5625)</f>
        <v>46132.5625</v>
      </c>
      <c r="C725" s="190">
        <f>IFERROR(__xludf.DUMMYFUNCTION("""COMPUTED_VALUE"""),74.15)</f>
        <v>74.15</v>
      </c>
      <c r="D725" s="190">
        <f>IFERROR(__xludf.DUMMYFUNCTION("""COMPUTED_VALUE"""),74.9)</f>
        <v>74.9</v>
      </c>
      <c r="E725" s="190">
        <f>IFERROR(__xludf.DUMMYFUNCTION("""COMPUTED_VALUE"""),74.15)</f>
        <v>74.15</v>
      </c>
      <c r="F725" s="190">
        <f>IFERROR(__xludf.DUMMYFUNCTION("""COMPUTED_VALUE"""),74.35)</f>
        <v>74.35</v>
      </c>
      <c r="G725" s="191">
        <f>IFERROR(__xludf.DUMMYFUNCTION("""COMPUTED_VALUE"""),907971.0)</f>
        <v>907971</v>
      </c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>
        <f>IFERROR(__xludf.DUMMYFUNCTION("""COMPUTED_VALUE"""),46133.5625)</f>
        <v>46133.5625</v>
      </c>
      <c r="C726" s="190">
        <f>IFERROR(__xludf.DUMMYFUNCTION("""COMPUTED_VALUE"""),74.8)</f>
        <v>74.8</v>
      </c>
      <c r="D726" s="190">
        <f>IFERROR(__xludf.DUMMYFUNCTION("""COMPUTED_VALUE"""),75.6)</f>
        <v>75.6</v>
      </c>
      <c r="E726" s="190">
        <f>IFERROR(__xludf.DUMMYFUNCTION("""COMPUTED_VALUE"""),74.8)</f>
        <v>74.8</v>
      </c>
      <c r="F726" s="190">
        <f>IFERROR(__xludf.DUMMYFUNCTION("""COMPUTED_VALUE"""),75.2)</f>
        <v>75.2</v>
      </c>
      <c r="G726" s="191">
        <f>IFERROR(__xludf.DUMMYFUNCTION("""COMPUTED_VALUE"""),1483949.0)</f>
        <v>1483949</v>
      </c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>
        <f>IFERROR(__xludf.DUMMYFUNCTION("""COMPUTED_VALUE"""),46134.5625)</f>
        <v>46134.5625</v>
      </c>
      <c r="C727" s="190">
        <f>IFERROR(__xludf.DUMMYFUNCTION("""COMPUTED_VALUE"""),75.0)</f>
        <v>75</v>
      </c>
      <c r="D727" s="190">
        <f>IFERROR(__xludf.DUMMYFUNCTION("""COMPUTED_VALUE"""),75.8)</f>
        <v>75.8</v>
      </c>
      <c r="E727" s="190">
        <f>IFERROR(__xludf.DUMMYFUNCTION("""COMPUTED_VALUE"""),75.0)</f>
        <v>75</v>
      </c>
      <c r="F727" s="190">
        <f>IFERROR(__xludf.DUMMYFUNCTION("""COMPUTED_VALUE"""),75.7)</f>
        <v>75.7</v>
      </c>
      <c r="G727" s="191">
        <f>IFERROR(__xludf.DUMMYFUNCTION("""COMPUTED_VALUE"""),1547002.0)</f>
        <v>1547002</v>
      </c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>
        <f>IFERROR(__xludf.DUMMYFUNCTION("""COMPUTED_VALUE"""),46135.5625)</f>
        <v>46135.5625</v>
      </c>
      <c r="C728" s="190">
        <f>IFERROR(__xludf.DUMMYFUNCTION("""COMPUTED_VALUE"""),76.9)</f>
        <v>76.9</v>
      </c>
      <c r="D728" s="190">
        <f>IFERROR(__xludf.DUMMYFUNCTION("""COMPUTED_VALUE"""),77.95)</f>
        <v>77.95</v>
      </c>
      <c r="E728" s="190">
        <f>IFERROR(__xludf.DUMMYFUNCTION("""COMPUTED_VALUE"""),75.0)</f>
        <v>75</v>
      </c>
      <c r="F728" s="190">
        <f>IFERROR(__xludf.DUMMYFUNCTION("""COMPUTED_VALUE"""),75.85)</f>
        <v>75.85</v>
      </c>
      <c r="G728" s="191">
        <f>IFERROR(__xludf.DUMMYFUNCTION("""COMPUTED_VALUE"""),2719775.0)</f>
        <v>2719775</v>
      </c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>
        <f>IFERROR(__xludf.DUMMYFUNCTION("""COMPUTED_VALUE"""),46136.5625)</f>
        <v>46136.5625</v>
      </c>
      <c r="C729" s="190">
        <f>IFERROR(__xludf.DUMMYFUNCTION("""COMPUTED_VALUE"""),76.85)</f>
        <v>76.85</v>
      </c>
      <c r="D729" s="190">
        <f>IFERROR(__xludf.DUMMYFUNCTION("""COMPUTED_VALUE"""),78.9)</f>
        <v>78.9</v>
      </c>
      <c r="E729" s="190">
        <f>IFERROR(__xludf.DUMMYFUNCTION("""COMPUTED_VALUE"""),76.85)</f>
        <v>76.85</v>
      </c>
      <c r="F729" s="190">
        <f>IFERROR(__xludf.DUMMYFUNCTION("""COMPUTED_VALUE"""),78.9)</f>
        <v>78.9</v>
      </c>
      <c r="G729" s="191">
        <f>IFERROR(__xludf.DUMMYFUNCTION("""COMPUTED_VALUE"""),2346408.0)</f>
        <v>2346408</v>
      </c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>
        <f>IFERROR(__xludf.DUMMYFUNCTION("""COMPUTED_VALUE"""),46139.5625)</f>
        <v>46139.5625</v>
      </c>
      <c r="C730" s="190">
        <f>IFERROR(__xludf.DUMMYFUNCTION("""COMPUTED_VALUE"""),80.0)</f>
        <v>80</v>
      </c>
      <c r="D730" s="190">
        <f>IFERROR(__xludf.DUMMYFUNCTION("""COMPUTED_VALUE"""),82.25)</f>
        <v>82.25</v>
      </c>
      <c r="E730" s="190">
        <f>IFERROR(__xludf.DUMMYFUNCTION("""COMPUTED_VALUE"""),80.0)</f>
        <v>80</v>
      </c>
      <c r="F730" s="190">
        <f>IFERROR(__xludf.DUMMYFUNCTION("""COMPUTED_VALUE"""),81.1)</f>
        <v>81.1</v>
      </c>
      <c r="G730" s="191">
        <f>IFERROR(__xludf.DUMMYFUNCTION("""COMPUTED_VALUE"""),3982011.0)</f>
        <v>3982011</v>
      </c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>
        <f>IFERROR(__xludf.DUMMYFUNCTION("""COMPUTED_VALUE"""),46140.5625)</f>
        <v>46140.5625</v>
      </c>
      <c r="C731" s="190">
        <f>IFERROR(__xludf.DUMMYFUNCTION("""COMPUTED_VALUE"""),80.9)</f>
        <v>80.9</v>
      </c>
      <c r="D731" s="190">
        <f>IFERROR(__xludf.DUMMYFUNCTION("""COMPUTED_VALUE"""),81.7)</f>
        <v>81.7</v>
      </c>
      <c r="E731" s="190">
        <f>IFERROR(__xludf.DUMMYFUNCTION("""COMPUTED_VALUE"""),80.25)</f>
        <v>80.25</v>
      </c>
      <c r="F731" s="190">
        <f>IFERROR(__xludf.DUMMYFUNCTION("""COMPUTED_VALUE"""),80.4)</f>
        <v>80.4</v>
      </c>
      <c r="G731" s="191">
        <f>IFERROR(__xludf.DUMMYFUNCTION("""COMPUTED_VALUE"""),1425905.0)</f>
        <v>1425905</v>
      </c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>
        <f>IFERROR(__xludf.DUMMYFUNCTION("""COMPUTED_VALUE"""),46141.5625)</f>
        <v>46141.5625</v>
      </c>
      <c r="C732" s="190">
        <f>IFERROR(__xludf.DUMMYFUNCTION("""COMPUTED_VALUE"""),79.4)</f>
        <v>79.4</v>
      </c>
      <c r="D732" s="190">
        <f>IFERROR(__xludf.DUMMYFUNCTION("""COMPUTED_VALUE"""),80.1)</f>
        <v>80.1</v>
      </c>
      <c r="E732" s="190">
        <f>IFERROR(__xludf.DUMMYFUNCTION("""COMPUTED_VALUE"""),78.8)</f>
        <v>78.8</v>
      </c>
      <c r="F732" s="190">
        <f>IFERROR(__xludf.DUMMYFUNCTION("""COMPUTED_VALUE"""),79.45)</f>
        <v>79.45</v>
      </c>
      <c r="G732" s="191">
        <f>IFERROR(__xludf.DUMMYFUNCTION("""COMPUTED_VALUE"""),631244.0)</f>
        <v>631244</v>
      </c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>
        <f>IFERROR(__xludf.DUMMYFUNCTION("""COMPUTED_VALUE"""),46142.5625)</f>
        <v>46142.5625</v>
      </c>
      <c r="C733" s="190">
        <f>IFERROR(__xludf.DUMMYFUNCTION("""COMPUTED_VALUE"""),80.15)</f>
        <v>80.15</v>
      </c>
      <c r="D733" s="190">
        <f>IFERROR(__xludf.DUMMYFUNCTION("""COMPUTED_VALUE"""),80.25)</f>
        <v>80.25</v>
      </c>
      <c r="E733" s="190">
        <f>IFERROR(__xludf.DUMMYFUNCTION("""COMPUTED_VALUE"""),79.05)</f>
        <v>79.05</v>
      </c>
      <c r="F733" s="190">
        <f>IFERROR(__xludf.DUMMYFUNCTION("""COMPUTED_VALUE"""),79.1)</f>
        <v>79.1</v>
      </c>
      <c r="G733" s="191">
        <f>IFERROR(__xludf.DUMMYFUNCTION("""COMPUTED_VALUE"""),1323365.0)</f>
        <v>1323365</v>
      </c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>
        <f>IFERROR(__xludf.DUMMYFUNCTION("""COMPUTED_VALUE"""),46146.5625)</f>
        <v>46146.5625</v>
      </c>
      <c r="C734" s="190">
        <f>IFERROR(__xludf.DUMMYFUNCTION("""COMPUTED_VALUE"""),80.6)</f>
        <v>80.6</v>
      </c>
      <c r="D734" s="190">
        <f>IFERROR(__xludf.DUMMYFUNCTION("""COMPUTED_VALUE"""),82.5)</f>
        <v>82.5</v>
      </c>
      <c r="E734" s="190">
        <f>IFERROR(__xludf.DUMMYFUNCTION("""COMPUTED_VALUE"""),80.6)</f>
        <v>80.6</v>
      </c>
      <c r="F734" s="190">
        <f>IFERROR(__xludf.DUMMYFUNCTION("""COMPUTED_VALUE"""),82.5)</f>
        <v>82.5</v>
      </c>
      <c r="G734" s="191">
        <f>IFERROR(__xludf.DUMMYFUNCTION("""COMPUTED_VALUE"""),2063259.0)</f>
        <v>2063259</v>
      </c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>
        <f>IFERROR(__xludf.DUMMYFUNCTION("""COMPUTED_VALUE"""),46147.5625)</f>
        <v>46147.5625</v>
      </c>
      <c r="C735" s="190">
        <f>IFERROR(__xludf.DUMMYFUNCTION("""COMPUTED_VALUE"""),82.45)</f>
        <v>82.45</v>
      </c>
      <c r="D735" s="190">
        <f>IFERROR(__xludf.DUMMYFUNCTION("""COMPUTED_VALUE"""),82.6)</f>
        <v>82.6</v>
      </c>
      <c r="E735" s="190">
        <f>IFERROR(__xludf.DUMMYFUNCTION("""COMPUTED_VALUE"""),82.0)</f>
        <v>82</v>
      </c>
      <c r="F735" s="190">
        <f>IFERROR(__xludf.DUMMYFUNCTION("""COMPUTED_VALUE"""),82.45)</f>
        <v>82.45</v>
      </c>
      <c r="G735" s="191">
        <f>IFERROR(__xludf.DUMMYFUNCTION("""COMPUTED_VALUE"""),1056146.0)</f>
        <v>1056146</v>
      </c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>
        <f>IFERROR(__xludf.DUMMYFUNCTION("""COMPUTED_VALUE"""),46148.5625)</f>
        <v>46148.5625</v>
      </c>
      <c r="C736" s="190">
        <f>IFERROR(__xludf.DUMMYFUNCTION("""COMPUTED_VALUE"""),83.7)</f>
        <v>83.7</v>
      </c>
      <c r="D736" s="190">
        <f>IFERROR(__xludf.DUMMYFUNCTION("""COMPUTED_VALUE"""),84.5)</f>
        <v>84.5</v>
      </c>
      <c r="E736" s="190">
        <f>IFERROR(__xludf.DUMMYFUNCTION("""COMPUTED_VALUE"""),82.8)</f>
        <v>82.8</v>
      </c>
      <c r="F736" s="190">
        <f>IFERROR(__xludf.DUMMYFUNCTION("""COMPUTED_VALUE"""),83.55)</f>
        <v>83.55</v>
      </c>
      <c r="G736" s="191">
        <f>IFERROR(__xludf.DUMMYFUNCTION("""COMPUTED_VALUE"""),1186019.0)</f>
        <v>1186019</v>
      </c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>
        <f>IFERROR(__xludf.DUMMYFUNCTION("""COMPUTED_VALUE"""),46149.5625)</f>
        <v>46149.5625</v>
      </c>
      <c r="C737" s="190">
        <f>IFERROR(__xludf.DUMMYFUNCTION("""COMPUTED_VALUE"""),85.05)</f>
        <v>85.05</v>
      </c>
      <c r="D737" s="190">
        <f>IFERROR(__xludf.DUMMYFUNCTION("""COMPUTED_VALUE"""),85.8)</f>
        <v>85.8</v>
      </c>
      <c r="E737" s="190">
        <f>IFERROR(__xludf.DUMMYFUNCTION("""COMPUTED_VALUE"""),85.0)</f>
        <v>85</v>
      </c>
      <c r="F737" s="190">
        <f>IFERROR(__xludf.DUMMYFUNCTION("""COMPUTED_VALUE"""),85.3)</f>
        <v>85.3</v>
      </c>
      <c r="G737" s="191">
        <f>IFERROR(__xludf.DUMMYFUNCTION("""COMPUTED_VALUE"""),1642861.0)</f>
        <v>1642861</v>
      </c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>
        <f>IFERROR(__xludf.DUMMYFUNCTION("""COMPUTED_VALUE"""),46150.5625)</f>
        <v>46150.5625</v>
      </c>
      <c r="C738" s="190">
        <f>IFERROR(__xludf.DUMMYFUNCTION("""COMPUTED_VALUE"""),84.9)</f>
        <v>84.9</v>
      </c>
      <c r="D738" s="190">
        <f>IFERROR(__xludf.DUMMYFUNCTION("""COMPUTED_VALUE"""),85.4)</f>
        <v>85.4</v>
      </c>
      <c r="E738" s="190">
        <f>IFERROR(__xludf.DUMMYFUNCTION("""COMPUTED_VALUE"""),84.05)</f>
        <v>84.05</v>
      </c>
      <c r="F738" s="190">
        <f>IFERROR(__xludf.DUMMYFUNCTION("""COMPUTED_VALUE"""),85.05)</f>
        <v>85.05</v>
      </c>
      <c r="G738" s="191">
        <f>IFERROR(__xludf.DUMMYFUNCTION("""COMPUTED_VALUE"""),1324560.0)</f>
        <v>1324560</v>
      </c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>
        <f>IFERROR(__xludf.DUMMYFUNCTION("""COMPUTED_VALUE"""),46153.5625)</f>
        <v>46153.5625</v>
      </c>
      <c r="C739" s="190">
        <f>IFERROR(__xludf.DUMMYFUNCTION("""COMPUTED_VALUE"""),84.6)</f>
        <v>84.6</v>
      </c>
      <c r="D739" s="190">
        <f>IFERROR(__xludf.DUMMYFUNCTION("""COMPUTED_VALUE"""),84.9)</f>
        <v>84.9</v>
      </c>
      <c r="E739" s="190">
        <f>IFERROR(__xludf.DUMMYFUNCTION("""COMPUTED_VALUE"""),84.4)</f>
        <v>84.4</v>
      </c>
      <c r="F739" s="190">
        <f>IFERROR(__xludf.DUMMYFUNCTION("""COMPUTED_VALUE"""),84.65)</f>
        <v>84.65</v>
      </c>
      <c r="G739" s="191">
        <f>IFERROR(__xludf.DUMMYFUNCTION("""COMPUTED_VALUE"""),1356427.0)</f>
        <v>1356427</v>
      </c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>
        <f>IFERROR(__xludf.DUMMYFUNCTION("""COMPUTED_VALUE"""),46154.5625)</f>
        <v>46154.5625</v>
      </c>
      <c r="C740" s="190">
        <f>IFERROR(__xludf.DUMMYFUNCTION("""COMPUTED_VALUE"""),84.5)</f>
        <v>84.5</v>
      </c>
      <c r="D740" s="190">
        <f>IFERROR(__xludf.DUMMYFUNCTION("""COMPUTED_VALUE"""),85.0)</f>
        <v>85</v>
      </c>
      <c r="E740" s="190">
        <f>IFERROR(__xludf.DUMMYFUNCTION("""COMPUTED_VALUE"""),83.3)</f>
        <v>83.3</v>
      </c>
      <c r="F740" s="190">
        <f>IFERROR(__xludf.DUMMYFUNCTION("""COMPUTED_VALUE"""),84.5)</f>
        <v>84.5</v>
      </c>
      <c r="G740" s="191">
        <f>IFERROR(__xludf.DUMMYFUNCTION("""COMPUTED_VALUE"""),2125261.0)</f>
        <v>2125261</v>
      </c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>
        <f>IFERROR(__xludf.DUMMYFUNCTION("""COMPUTED_VALUE"""),46155.5625)</f>
        <v>46155.5625</v>
      </c>
      <c r="C741" s="190">
        <f>IFERROR(__xludf.DUMMYFUNCTION("""COMPUTED_VALUE"""),82.95)</f>
        <v>82.95</v>
      </c>
      <c r="D741" s="190">
        <f>IFERROR(__xludf.DUMMYFUNCTION("""COMPUTED_VALUE"""),83.65)</f>
        <v>83.65</v>
      </c>
      <c r="E741" s="190">
        <f>IFERROR(__xludf.DUMMYFUNCTION("""COMPUTED_VALUE"""),82.7)</f>
        <v>82.7</v>
      </c>
      <c r="F741" s="190">
        <f>IFERROR(__xludf.DUMMYFUNCTION("""COMPUTED_VALUE"""),83.45)</f>
        <v>83.45</v>
      </c>
      <c r="G741" s="191">
        <f>IFERROR(__xludf.DUMMYFUNCTION("""COMPUTED_VALUE"""),899290.0)</f>
        <v>899290</v>
      </c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>
        <f>IFERROR(__xludf.DUMMYFUNCTION("""COMPUTED_VALUE"""),46156.5625)</f>
        <v>46156.5625</v>
      </c>
      <c r="C742" s="190">
        <f>IFERROR(__xludf.DUMMYFUNCTION("""COMPUTED_VALUE"""),84.3)</f>
        <v>84.3</v>
      </c>
      <c r="D742" s="190">
        <f>IFERROR(__xludf.DUMMYFUNCTION("""COMPUTED_VALUE"""),84.95)</f>
        <v>84.95</v>
      </c>
      <c r="E742" s="190">
        <f>IFERROR(__xludf.DUMMYFUNCTION("""COMPUTED_VALUE"""),83.3)</f>
        <v>83.3</v>
      </c>
      <c r="F742" s="190">
        <f>IFERROR(__xludf.DUMMYFUNCTION("""COMPUTED_VALUE"""),83.8)</f>
        <v>83.8</v>
      </c>
      <c r="G742" s="191">
        <f>IFERROR(__xludf.DUMMYFUNCTION("""COMPUTED_VALUE"""),1638541.0)</f>
        <v>1638541</v>
      </c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>
        <f>IFERROR(__xludf.DUMMYFUNCTION("""COMPUTED_VALUE"""),46157.5625)</f>
        <v>46157.5625</v>
      </c>
      <c r="C743" s="190">
        <f>IFERROR(__xludf.DUMMYFUNCTION("""COMPUTED_VALUE"""),85.4)</f>
        <v>85.4</v>
      </c>
      <c r="D743" s="190">
        <f>IFERROR(__xludf.DUMMYFUNCTION("""COMPUTED_VALUE"""),85.55)</f>
        <v>85.55</v>
      </c>
      <c r="E743" s="190">
        <f>IFERROR(__xludf.DUMMYFUNCTION("""COMPUTED_VALUE"""),82.85)</f>
        <v>82.85</v>
      </c>
      <c r="F743" s="190">
        <f>IFERROR(__xludf.DUMMYFUNCTION("""COMPUTED_VALUE"""),83.0)</f>
        <v>83</v>
      </c>
      <c r="G743" s="191">
        <f>IFERROR(__xludf.DUMMYFUNCTION("""COMPUTED_VALUE"""),1186240.0)</f>
        <v>1186240</v>
      </c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>
        <f>IFERROR(__xludf.DUMMYFUNCTION("""COMPUTED_VALUE"""),46160.5625)</f>
        <v>46160.5625</v>
      </c>
      <c r="C744" s="190">
        <f>IFERROR(__xludf.DUMMYFUNCTION("""COMPUTED_VALUE"""),82.05)</f>
        <v>82.05</v>
      </c>
      <c r="D744" s="190">
        <f>IFERROR(__xludf.DUMMYFUNCTION("""COMPUTED_VALUE"""),82.95)</f>
        <v>82.95</v>
      </c>
      <c r="E744" s="190">
        <f>IFERROR(__xludf.DUMMYFUNCTION("""COMPUTED_VALUE"""),81.25)</f>
        <v>81.25</v>
      </c>
      <c r="F744" s="190">
        <f>IFERROR(__xludf.DUMMYFUNCTION("""COMPUTED_VALUE"""),82.45)</f>
        <v>82.45</v>
      </c>
      <c r="G744" s="191">
        <f>IFERROR(__xludf.DUMMYFUNCTION("""COMPUTED_VALUE"""),1128004.0)</f>
        <v>1128004</v>
      </c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>
        <f>IFERROR(__xludf.DUMMYFUNCTION("""COMPUTED_VALUE"""),46161.5625)</f>
        <v>46161.5625</v>
      </c>
      <c r="C745" s="190">
        <f>IFERROR(__xludf.DUMMYFUNCTION("""COMPUTED_VALUE"""),82.0)</f>
        <v>82</v>
      </c>
      <c r="D745" s="190">
        <f>IFERROR(__xludf.DUMMYFUNCTION("""COMPUTED_VALUE"""),82.35)</f>
        <v>82.35</v>
      </c>
      <c r="E745" s="190">
        <f>IFERROR(__xludf.DUMMYFUNCTION("""COMPUTED_VALUE"""),81.2)</f>
        <v>81.2</v>
      </c>
      <c r="F745" s="190">
        <f>IFERROR(__xludf.DUMMYFUNCTION("""COMPUTED_VALUE"""),81.2)</f>
        <v>81.2</v>
      </c>
      <c r="G745" s="191">
        <f>IFERROR(__xludf.DUMMYFUNCTION("""COMPUTED_VALUE"""),562834.0)</f>
        <v>562834</v>
      </c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>
        <f>IFERROR(__xludf.DUMMYFUNCTION("""COMPUTED_VALUE"""),46162.5625)</f>
        <v>46162.5625</v>
      </c>
      <c r="C746" s="190">
        <f>IFERROR(__xludf.DUMMYFUNCTION("""COMPUTED_VALUE"""),81.1)</f>
        <v>81.1</v>
      </c>
      <c r="D746" s="190">
        <f>IFERROR(__xludf.DUMMYFUNCTION("""COMPUTED_VALUE"""),81.45)</f>
        <v>81.45</v>
      </c>
      <c r="E746" s="190">
        <f>IFERROR(__xludf.DUMMYFUNCTION("""COMPUTED_VALUE"""),80.6)</f>
        <v>80.6</v>
      </c>
      <c r="F746" s="190">
        <f>IFERROR(__xludf.DUMMYFUNCTION("""COMPUTED_VALUE"""),80.7)</f>
        <v>80.7</v>
      </c>
      <c r="G746" s="191">
        <f>IFERROR(__xludf.DUMMYFUNCTION("""COMPUTED_VALUE"""),425670.0)</f>
        <v>425670</v>
      </c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>
        <f>IFERROR(__xludf.DUMMYFUNCTION("""COMPUTED_VALUE"""),46163.5625)</f>
        <v>46163.5625</v>
      </c>
      <c r="C747" s="190">
        <f>IFERROR(__xludf.DUMMYFUNCTION("""COMPUTED_VALUE"""),82.4)</f>
        <v>82.4</v>
      </c>
      <c r="D747" s="190">
        <f>IFERROR(__xludf.DUMMYFUNCTION("""COMPUTED_VALUE"""),83.5)</f>
        <v>83.5</v>
      </c>
      <c r="E747" s="190">
        <f>IFERROR(__xludf.DUMMYFUNCTION("""COMPUTED_VALUE"""),82.4)</f>
        <v>82.4</v>
      </c>
      <c r="F747" s="190">
        <f>IFERROR(__xludf.DUMMYFUNCTION("""COMPUTED_VALUE"""),83.5)</f>
        <v>83.5</v>
      </c>
      <c r="G747" s="191">
        <f>IFERROR(__xludf.DUMMYFUNCTION("""COMPUTED_VALUE"""),840084.0)</f>
        <v>840084</v>
      </c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>
        <f>IFERROR(__xludf.DUMMYFUNCTION("""COMPUTED_VALUE"""),46164.5625)</f>
        <v>46164.5625</v>
      </c>
      <c r="C748" s="190">
        <f>IFERROR(__xludf.DUMMYFUNCTION("""COMPUTED_VALUE"""),83.95)</f>
        <v>83.95</v>
      </c>
      <c r="D748" s="190">
        <f>IFERROR(__xludf.DUMMYFUNCTION("""COMPUTED_VALUE"""),84.6)</f>
        <v>84.6</v>
      </c>
      <c r="E748" s="190">
        <f>IFERROR(__xludf.DUMMYFUNCTION("""COMPUTED_VALUE"""),83.55)</f>
        <v>83.55</v>
      </c>
      <c r="F748" s="190">
        <f>IFERROR(__xludf.DUMMYFUNCTION("""COMPUTED_VALUE"""),84.6)</f>
        <v>84.6</v>
      </c>
      <c r="G748" s="191">
        <f>IFERROR(__xludf.DUMMYFUNCTION("""COMPUTED_VALUE"""),1474620.0)</f>
        <v>1474620</v>
      </c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>
        <f>IFERROR(__xludf.DUMMYFUNCTION("""COMPUTED_VALUE"""),46167.5625)</f>
        <v>46167.5625</v>
      </c>
      <c r="C749" s="190">
        <f>IFERROR(__xludf.DUMMYFUNCTION("""COMPUTED_VALUE"""),86.1)</f>
        <v>86.1</v>
      </c>
      <c r="D749" s="190">
        <f>IFERROR(__xludf.DUMMYFUNCTION("""COMPUTED_VALUE"""),87.75)</f>
        <v>87.75</v>
      </c>
      <c r="E749" s="190">
        <f>IFERROR(__xludf.DUMMYFUNCTION("""COMPUTED_VALUE"""),86.1)</f>
        <v>86.1</v>
      </c>
      <c r="F749" s="190">
        <f>IFERROR(__xludf.DUMMYFUNCTION("""COMPUTED_VALUE"""),87.6)</f>
        <v>87.6</v>
      </c>
      <c r="G749" s="191">
        <f>IFERROR(__xludf.DUMMYFUNCTION("""COMPUTED_VALUE"""),1617175.0)</f>
        <v>1617175</v>
      </c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>
        <f>IFERROR(__xludf.DUMMYFUNCTION("""COMPUTED_VALUE"""),46168.5625)</f>
        <v>46168.5625</v>
      </c>
      <c r="C750" s="190">
        <f>IFERROR(__xludf.DUMMYFUNCTION("""COMPUTED_VALUE"""),88.05)</f>
        <v>88.05</v>
      </c>
      <c r="D750" s="190">
        <f>IFERROR(__xludf.DUMMYFUNCTION("""COMPUTED_VALUE"""),88.2)</f>
        <v>88.2</v>
      </c>
      <c r="E750" s="190">
        <f>IFERROR(__xludf.DUMMYFUNCTION("""COMPUTED_VALUE"""),87.05)</f>
        <v>87.05</v>
      </c>
      <c r="F750" s="190">
        <f>IFERROR(__xludf.DUMMYFUNCTION("""COMPUTED_VALUE"""),87.25)</f>
        <v>87.25</v>
      </c>
      <c r="G750" s="191">
        <f>IFERROR(__xludf.DUMMYFUNCTION("""COMPUTED_VALUE"""),963941.0)</f>
        <v>963941</v>
      </c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>
        <f>IFERROR(__xludf.DUMMYFUNCTION("""COMPUTED_VALUE"""),46169.5625)</f>
        <v>46169.5625</v>
      </c>
      <c r="C751" s="190">
        <f>IFERROR(__xludf.DUMMYFUNCTION("""COMPUTED_VALUE"""),89.0)</f>
        <v>89</v>
      </c>
      <c r="D751" s="190">
        <f>IFERROR(__xludf.DUMMYFUNCTION("""COMPUTED_VALUE"""),90.2)</f>
        <v>90.2</v>
      </c>
      <c r="E751" s="190">
        <f>IFERROR(__xludf.DUMMYFUNCTION("""COMPUTED_VALUE"""),88.5)</f>
        <v>88.5</v>
      </c>
      <c r="F751" s="190">
        <f>IFERROR(__xludf.DUMMYFUNCTION("""COMPUTED_VALUE"""),89.05)</f>
        <v>89.05</v>
      </c>
      <c r="G751" s="191">
        <f>IFERROR(__xludf.DUMMYFUNCTION("""COMPUTED_VALUE"""),1749898.0)</f>
        <v>1749898</v>
      </c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>
        <f>IFERROR(__xludf.DUMMYFUNCTION("""COMPUTED_VALUE"""),46170.5625)</f>
        <v>46170.5625</v>
      </c>
      <c r="C752" s="190">
        <f>IFERROR(__xludf.DUMMYFUNCTION("""COMPUTED_VALUE"""),89.65)</f>
        <v>89.65</v>
      </c>
      <c r="D752" s="190">
        <f>IFERROR(__xludf.DUMMYFUNCTION("""COMPUTED_VALUE"""),90.3)</f>
        <v>90.3</v>
      </c>
      <c r="E752" s="190">
        <f>IFERROR(__xludf.DUMMYFUNCTION("""COMPUTED_VALUE"""),86.95)</f>
        <v>86.95</v>
      </c>
      <c r="F752" s="190">
        <f>IFERROR(__xludf.DUMMYFUNCTION("""COMPUTED_VALUE"""),87.25)</f>
        <v>87.25</v>
      </c>
      <c r="G752" s="191">
        <f>IFERROR(__xludf.DUMMYFUNCTION("""COMPUTED_VALUE"""),1672083.0)</f>
        <v>1672083</v>
      </c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>
        <f>IFERROR(__xludf.DUMMYFUNCTION("""COMPUTED_VALUE"""),46171.5625)</f>
        <v>46171.5625</v>
      </c>
      <c r="C753" s="190">
        <f>IFERROR(__xludf.DUMMYFUNCTION("""COMPUTED_VALUE"""),89.15)</f>
        <v>89.15</v>
      </c>
      <c r="D753" s="190">
        <f>IFERROR(__xludf.DUMMYFUNCTION("""COMPUTED_VALUE"""),90.5)</f>
        <v>90.5</v>
      </c>
      <c r="E753" s="190">
        <f>IFERROR(__xludf.DUMMYFUNCTION("""COMPUTED_VALUE"""),89.1)</f>
        <v>89.1</v>
      </c>
      <c r="F753" s="190">
        <f>IFERROR(__xludf.DUMMYFUNCTION("""COMPUTED_VALUE"""),90.45)</f>
        <v>90.45</v>
      </c>
      <c r="G753" s="191">
        <f>IFERROR(__xludf.DUMMYFUNCTION("""COMPUTED_VALUE"""),1642952.0)</f>
        <v>1642952</v>
      </c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2.63"/>
    <col customWidth="1" min="2" max="2" width="9.88"/>
    <col customWidth="1" hidden="1" min="3" max="3" width="9.88"/>
    <col customWidth="1" hidden="1" min="4" max="4" width="28.13"/>
    <col customWidth="1" min="5" max="9" width="12.13"/>
    <col customWidth="1" min="10" max="10" width="14.88"/>
    <col customWidth="1" min="11" max="11" width="14.63"/>
    <col customWidth="1" min="12" max="24" width="12.13"/>
    <col customWidth="1" min="25" max="25" width="5.38"/>
  </cols>
  <sheetData>
    <row r="1" ht="12.75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9"/>
      <c r="V1" s="69"/>
      <c r="W1" s="64"/>
      <c r="X1" s="64"/>
      <c r="Y1" s="64"/>
    </row>
    <row r="2" ht="25.5" customHeight="1">
      <c r="A2" s="64"/>
      <c r="B2" s="65" t="s">
        <v>256</v>
      </c>
      <c r="C2" s="64"/>
      <c r="D2" s="64"/>
      <c r="E2" s="64"/>
      <c r="F2" s="64"/>
      <c r="G2" s="64"/>
      <c r="H2" s="208" t="s">
        <v>257</v>
      </c>
      <c r="I2" s="209">
        <f>I4*E4</f>
        <v>320048.8697</v>
      </c>
      <c r="J2" s="156"/>
      <c r="K2" s="64"/>
      <c r="L2" s="64"/>
      <c r="M2" s="64"/>
      <c r="N2" s="64"/>
      <c r="O2" s="64"/>
      <c r="P2" s="64"/>
      <c r="Q2" s="64"/>
      <c r="R2" s="64"/>
      <c r="S2" s="64"/>
      <c r="T2" s="64"/>
      <c r="U2" s="69"/>
      <c r="V2" s="69"/>
      <c r="W2" s="64"/>
      <c r="X2" s="64"/>
      <c r="Y2" s="64"/>
    </row>
    <row r="3" ht="16.5" customHeight="1">
      <c r="A3" s="64"/>
      <c r="B3" s="70" t="s">
        <v>258</v>
      </c>
      <c r="C3" s="64"/>
      <c r="D3" s="64"/>
      <c r="E3" s="66" t="s">
        <v>74</v>
      </c>
      <c r="F3" s="66" t="s">
        <v>259</v>
      </c>
      <c r="G3" s="66" t="s">
        <v>260</v>
      </c>
      <c r="H3" s="74"/>
      <c r="I3" s="66" t="s">
        <v>261</v>
      </c>
      <c r="J3" s="74"/>
      <c r="K3" s="74"/>
      <c r="L3" s="74"/>
      <c r="M3" s="74"/>
      <c r="N3" s="74"/>
      <c r="O3" s="66" t="s">
        <v>262</v>
      </c>
      <c r="P3" s="66" t="s">
        <v>263</v>
      </c>
      <c r="Q3" s="66" t="s">
        <v>264</v>
      </c>
      <c r="R3" s="210" t="s">
        <v>81</v>
      </c>
      <c r="S3" s="74"/>
      <c r="T3" s="74"/>
      <c r="U3" s="69"/>
      <c r="V3" s="69"/>
      <c r="W3" s="64"/>
      <c r="X3" s="64"/>
      <c r="Y3" s="64"/>
    </row>
    <row r="4">
      <c r="A4" s="64"/>
      <c r="B4" s="75">
        <f>SUM(I7:I20)</f>
        <v>10183.94713</v>
      </c>
      <c r="E4" s="74">
        <f>IFERROR(__xludf.DUMMYFUNCTION("GOOGLEFINANCE(""Currency:USDTWD"")"),31.426800000000004)</f>
        <v>31.4268</v>
      </c>
      <c r="F4" s="211">
        <f>SUMPRODUCT(F7:F20,H7:H20)</f>
        <v>-140.56129</v>
      </c>
      <c r="G4" s="212">
        <f>F4/(I4-F4)*100%</f>
        <v>-0.01361433245</v>
      </c>
      <c r="H4" s="64"/>
      <c r="I4" s="213">
        <f>SUM(I7:I20)</f>
        <v>10183.94713</v>
      </c>
      <c r="J4" s="214"/>
      <c r="K4" s="215"/>
      <c r="L4" s="215">
        <v>11000.0</v>
      </c>
      <c r="M4" s="214"/>
      <c r="N4" s="214"/>
      <c r="O4" s="216">
        <f>SUM(O7:O20)</f>
        <v>6428.942871</v>
      </c>
      <c r="P4" s="217">
        <f>I4-O4</f>
        <v>3755.004259</v>
      </c>
      <c r="Q4" s="218">
        <f>P4/O4</f>
        <v>0.5840780257</v>
      </c>
      <c r="R4" s="85">
        <f>(P4+SUM(S4,T4,U4))/O4</f>
        <v>0.5975240622</v>
      </c>
      <c r="S4" s="86">
        <f t="shared" ref="S4:V4" si="1">SUM(S7:S20)</f>
        <v>0</v>
      </c>
      <c r="T4" s="219">
        <f t="shared" si="1"/>
        <v>20.58</v>
      </c>
      <c r="U4" s="220">
        <f t="shared" si="1"/>
        <v>65.8638</v>
      </c>
      <c r="V4" s="220">
        <f t="shared" si="1"/>
        <v>20.7088</v>
      </c>
      <c r="W4" s="86">
        <f>SUM(S4:U4)</f>
        <v>86.4438</v>
      </c>
      <c r="X4" s="64"/>
      <c r="Y4" s="64"/>
    </row>
    <row r="5" ht="11.25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221">
        <f>SUM(K7:K20)</f>
        <v>1.005</v>
      </c>
      <c r="L5" s="64"/>
      <c r="M5" s="64"/>
      <c r="N5" s="64"/>
      <c r="O5" s="64"/>
      <c r="P5" s="64"/>
      <c r="Q5" s="64"/>
      <c r="R5" s="64"/>
      <c r="S5" s="64"/>
      <c r="T5" s="64"/>
      <c r="U5" s="69"/>
      <c r="V5" s="69"/>
      <c r="W5" s="64"/>
      <c r="X5" s="64"/>
      <c r="Y5" s="64"/>
    </row>
    <row r="6" ht="21.0" customHeight="1">
      <c r="A6" s="222"/>
      <c r="B6" s="89" t="s">
        <v>82</v>
      </c>
      <c r="C6" s="89" t="s">
        <v>83</v>
      </c>
      <c r="D6" s="89" t="s">
        <v>84</v>
      </c>
      <c r="E6" s="90" t="s">
        <v>85</v>
      </c>
      <c r="F6" s="90" t="s">
        <v>265</v>
      </c>
      <c r="G6" s="90" t="s">
        <v>238</v>
      </c>
      <c r="H6" s="90" t="s">
        <v>239</v>
      </c>
      <c r="I6" s="90" t="s">
        <v>89</v>
      </c>
      <c r="J6" s="90" t="s">
        <v>90</v>
      </c>
      <c r="K6" s="223" t="s">
        <v>266</v>
      </c>
      <c r="L6" s="224" t="s">
        <v>267</v>
      </c>
      <c r="M6" s="224" t="s">
        <v>268</v>
      </c>
      <c r="N6" s="90" t="s">
        <v>269</v>
      </c>
      <c r="O6" s="90" t="s">
        <v>92</v>
      </c>
      <c r="P6" s="90" t="s">
        <v>270</v>
      </c>
      <c r="Q6" s="91" t="s">
        <v>94</v>
      </c>
      <c r="R6" s="90" t="s">
        <v>95</v>
      </c>
      <c r="S6" s="90" t="s">
        <v>96</v>
      </c>
      <c r="T6" s="90" t="s">
        <v>97</v>
      </c>
      <c r="U6" s="92" t="s">
        <v>98</v>
      </c>
      <c r="V6" s="92" t="s">
        <v>99</v>
      </c>
      <c r="W6" s="90" t="s">
        <v>102</v>
      </c>
      <c r="X6" s="90" t="s">
        <v>103</v>
      </c>
      <c r="Y6" s="93"/>
    </row>
    <row r="7" ht="17.25" customHeight="1">
      <c r="A7" s="94"/>
      <c r="B7" s="225" t="s">
        <v>113</v>
      </c>
      <c r="C7" s="124" t="s">
        <v>114</v>
      </c>
      <c r="D7" s="226" t="str">
        <f>IFERROR(__xludf.DUMMYFUNCTION("IF(ISBLANK(B7), ""-"", GOOGLEFINANCE(IF(ISBLANK(C7), B7, C7&amp;"":""&amp;B7), ""name""))"),"Tesla Inc")</f>
        <v>Tesla Inc</v>
      </c>
      <c r="E7" s="97">
        <f>IFERROR(__xludf.DUMMYFUNCTION("IF(ISBLANK(B7), 0, GOOGLEFINANCE(IF(ISBLANK(C7), B7, C7&amp;"":""&amp;B7), ""price""))"),435.79)</f>
        <v>435.79</v>
      </c>
      <c r="F7" s="98">
        <f>IFERROR(__xludf.DUMMYFUNCTION("IF(ISBLANK(B7), 0, GOOGLEFINANCE(IF(ISBLANK(C7), B7, C7&amp;"":""&amp;B7), ""change""))"),-6.31)</f>
        <v>-6.31</v>
      </c>
      <c r="G7" s="99">
        <f>IFERROR(__xludf.DUMMYFUNCTION("IF(ISBLANK(B7), 0, GOOGLEFINANCE(IF(ISBLANK(C7), B7, C7&amp;"":""&amp;B7), ""changepct"")/100)"),-0.0143)</f>
        <v>-0.0143</v>
      </c>
      <c r="H7" s="110">
        <v>16.0</v>
      </c>
      <c r="I7" s="101">
        <f t="shared" ref="I7:I20" si="2">H7 * E7</f>
        <v>6972.64</v>
      </c>
      <c r="J7" s="102">
        <f t="shared" ref="J7:J20" si="3">I7/$I$4</f>
        <v>0.6846696974</v>
      </c>
      <c r="K7" s="227">
        <v>0.34</v>
      </c>
      <c r="L7" s="228">
        <f t="shared" ref="L7:L10" si="4">K7*$L$4</f>
        <v>3740</v>
      </c>
      <c r="M7" s="228">
        <f t="shared" ref="M7:M10" si="5">L7/E7</f>
        <v>8.582115239</v>
      </c>
      <c r="N7" s="104">
        <f>198.23</f>
        <v>198.23</v>
      </c>
      <c r="O7" s="97">
        <f t="shared" ref="O7:O20" si="6">H7*N7</f>
        <v>3171.68</v>
      </c>
      <c r="P7" s="97">
        <f t="shared" ref="P7:P20" si="7">I7-O7</f>
        <v>3800.96</v>
      </c>
      <c r="Q7" s="103">
        <f t="shared" ref="Q7:Q17" si="8">IF(H7=0,0,IF(O7=0,1,(P7+S7+T7+U7)/O7*100%))</f>
        <v>1.198405892</v>
      </c>
      <c r="R7" s="104" t="s">
        <v>112</v>
      </c>
      <c r="S7" s="97"/>
      <c r="T7" s="97"/>
      <c r="U7" s="111"/>
      <c r="V7" s="111"/>
      <c r="W7" s="105">
        <v>44755.0</v>
      </c>
      <c r="X7" s="106">
        <f t="shared" ref="X7:X15" si="9">DAYS(TODAY(),W7)</f>
        <v>1417</v>
      </c>
      <c r="Y7" s="107"/>
    </row>
    <row r="8" ht="17.25" customHeight="1">
      <c r="A8" s="112"/>
      <c r="B8" s="124" t="s">
        <v>271</v>
      </c>
      <c r="C8" s="124"/>
      <c r="D8" s="112" t="str">
        <f>IFERROR(__xludf.DUMMYFUNCTION("IF(ISBLANK(B8), ""-"", GOOGLEFINANCE(IF(ISBLANK(C8), B8, C8&amp;"":""&amp;B8), ""name""))"),"Direxion Daily 20 Year Treasury Bull 3X ETF")</f>
        <v>Direxion Daily 20 Year Treasury Bull 3X ETF</v>
      </c>
      <c r="E8" s="97">
        <f>IFERROR(__xludf.DUMMYFUNCTION("IF(ISBLANK(B8), 0, GOOGLEFINANCE(IF(ISBLANK(C8), B8, C8&amp;"":""&amp;B8), ""price""))"),34.94)</f>
        <v>34.94</v>
      </c>
      <c r="F8" s="98">
        <f>IFERROR(__xludf.DUMMYFUNCTION("IF(ISBLANK(B8), 0, GOOGLEFINANCE(IF(ISBLANK(C8), B8, C8&amp;"":""&amp;B8), ""change""))"),0.0)</f>
        <v>0</v>
      </c>
      <c r="G8" s="99">
        <f>IFERROR(__xludf.DUMMYFUNCTION("IF(ISBLANK(B8), 0, GOOGLEFINANCE(IF(ISBLANK(C8), B8, C8&amp;"":""&amp;B8), ""changepct"")/100)"),0.0)</f>
        <v>0</v>
      </c>
      <c r="H8" s="110">
        <v>26.3865</v>
      </c>
      <c r="I8" s="101">
        <f t="shared" si="2"/>
        <v>921.94431</v>
      </c>
      <c r="J8" s="102">
        <f t="shared" si="3"/>
        <v>0.09052917285</v>
      </c>
      <c r="K8" s="227">
        <v>0.1</v>
      </c>
      <c r="L8" s="228">
        <f t="shared" si="4"/>
        <v>1100</v>
      </c>
      <c r="M8" s="228">
        <f t="shared" si="5"/>
        <v>31.4825415</v>
      </c>
      <c r="N8" s="104">
        <v>66.63</v>
      </c>
      <c r="O8" s="97">
        <f t="shared" si="6"/>
        <v>1758.132495</v>
      </c>
      <c r="P8" s="97">
        <f t="shared" si="7"/>
        <v>-836.188185</v>
      </c>
      <c r="Q8" s="103">
        <f t="shared" si="8"/>
        <v>-0.4756115864</v>
      </c>
      <c r="R8" s="104" t="s">
        <v>272</v>
      </c>
      <c r="S8" s="97"/>
      <c r="T8" s="97"/>
      <c r="U8" s="97"/>
      <c r="V8" s="97"/>
      <c r="W8" s="105">
        <v>45057.0</v>
      </c>
      <c r="X8" s="106">
        <f t="shared" si="9"/>
        <v>1115</v>
      </c>
      <c r="Y8" s="107"/>
    </row>
    <row r="9" ht="17.25" customHeight="1">
      <c r="A9" s="112"/>
      <c r="B9" s="225" t="s">
        <v>131</v>
      </c>
      <c r="C9" s="124"/>
      <c r="D9" s="226" t="str">
        <f>IFERROR(__xludf.DUMMYFUNCTION("IF(ISBLANK(B9), ""-"", GOOGLEFINANCE(IF(ISBLANK(C9), B9, C9&amp;"":""&amp;B9), ""name""))"),"Alphabet Inc Class A")</f>
        <v>Alphabet Inc Class A</v>
      </c>
      <c r="E9" s="97">
        <f>IFERROR(__xludf.DUMMYFUNCTION("IF(ISBLANK(B9), 0, GOOGLEFINANCE(IF(ISBLANK(C9), B9, C9&amp;"":""&amp;B9), ""price""))"),380.34)</f>
        <v>380.34</v>
      </c>
      <c r="F9" s="98">
        <f>IFERROR(__xludf.DUMMYFUNCTION("IF(ISBLANK(B9), 0, GOOGLEFINANCE(IF(ISBLANK(C9), B9, C9&amp;"":""&amp;B9), ""change""))"),-9.79)</f>
        <v>-9.79</v>
      </c>
      <c r="G9" s="99">
        <f>IFERROR(__xludf.DUMMYFUNCTION("IF(ISBLANK(B9), 0, GOOGLEFINANCE(IF(ISBLANK(C9), B9, C9&amp;"":""&amp;B9), ""changepct"")/100)"),-0.025099999999999997)</f>
        <v>-0.0251</v>
      </c>
      <c r="H9" s="110">
        <v>4.0</v>
      </c>
      <c r="I9" s="101">
        <f t="shared" si="2"/>
        <v>1521.36</v>
      </c>
      <c r="J9" s="102">
        <f t="shared" si="3"/>
        <v>0.1493880497</v>
      </c>
      <c r="K9" s="227">
        <v>0.13</v>
      </c>
      <c r="L9" s="228">
        <f t="shared" si="4"/>
        <v>1430</v>
      </c>
      <c r="M9" s="228">
        <f t="shared" si="5"/>
        <v>3.759793869</v>
      </c>
      <c r="N9" s="104">
        <f>(116.93*2+138.5+131.78)/4</f>
        <v>126.035</v>
      </c>
      <c r="O9" s="97">
        <f t="shared" si="6"/>
        <v>504.14</v>
      </c>
      <c r="P9" s="97">
        <f t="shared" si="7"/>
        <v>1017.22</v>
      </c>
      <c r="Q9" s="103">
        <f t="shared" si="8"/>
        <v>2.017733169</v>
      </c>
      <c r="R9" s="104" t="s">
        <v>112</v>
      </c>
      <c r="S9" s="97"/>
      <c r="T9" s="97"/>
      <c r="U9" s="97"/>
      <c r="V9" s="97"/>
      <c r="W9" s="105">
        <v>45012.0</v>
      </c>
      <c r="X9" s="106">
        <f t="shared" si="9"/>
        <v>1160</v>
      </c>
      <c r="Y9" s="107"/>
    </row>
    <row r="10" ht="17.25" customHeight="1">
      <c r="A10" s="112"/>
      <c r="B10" s="124" t="s">
        <v>147</v>
      </c>
      <c r="C10" s="124"/>
      <c r="D10" s="112" t="str">
        <f>IFERROR(__xludf.DUMMYFUNCTION("IF(ISBLANK(B10), ""-"", GOOGLEFINANCE(IF(ISBLANK(C10), B10, C10&amp;"":""&amp;B10), ""name""))"),"Schwab US Dividend Equity ETF")</f>
        <v>Schwab US Dividend Equity ETF</v>
      </c>
      <c r="E10" s="97">
        <f>IFERROR(__xludf.DUMMYFUNCTION("IF(ISBLANK(B10), 0, GOOGLEFINANCE(IF(ISBLANK(C10), B10, C10&amp;"":""&amp;B10), ""price""))"),32.5)</f>
        <v>32.5</v>
      </c>
      <c r="F10" s="98">
        <f>IFERROR(__xludf.DUMMYFUNCTION("IF(ISBLANK(B10), 0, GOOGLEFINANCE(IF(ISBLANK(C10), B10, C10&amp;"":""&amp;B10), ""change""))"),-0.13)</f>
        <v>-0.13</v>
      </c>
      <c r="G10" s="99">
        <f>IFERROR(__xludf.DUMMYFUNCTION("IF(ISBLANK(B10), 0, GOOGLEFINANCE(IF(ISBLANK(C10), B10, C10&amp;"":""&amp;B10), ""changepct"")/100)"),-0.004)</f>
        <v>-0.004</v>
      </c>
      <c r="H10" s="110">
        <v>7.141</v>
      </c>
      <c r="I10" s="101">
        <f t="shared" si="2"/>
        <v>232.0825</v>
      </c>
      <c r="J10" s="102">
        <f t="shared" si="3"/>
        <v>0.02278905193</v>
      </c>
      <c r="K10" s="227">
        <v>0.08</v>
      </c>
      <c r="L10" s="228">
        <f t="shared" si="4"/>
        <v>880</v>
      </c>
      <c r="M10" s="228">
        <f t="shared" si="5"/>
        <v>27.07692308</v>
      </c>
      <c r="N10" s="104">
        <v>71.11</v>
      </c>
      <c r="O10" s="97">
        <f t="shared" si="6"/>
        <v>507.79651</v>
      </c>
      <c r="P10" s="97">
        <f t="shared" si="7"/>
        <v>-275.71401</v>
      </c>
      <c r="Q10" s="103">
        <f t="shared" si="8"/>
        <v>-0.5429616088</v>
      </c>
      <c r="R10" s="104" t="s">
        <v>156</v>
      </c>
      <c r="S10" s="97"/>
      <c r="T10" s="97"/>
      <c r="U10" s="97"/>
      <c r="V10" s="97"/>
      <c r="W10" s="105">
        <v>45068.0</v>
      </c>
      <c r="X10" s="106">
        <f t="shared" si="9"/>
        <v>1104</v>
      </c>
      <c r="Y10" s="107"/>
    </row>
    <row r="11" ht="17.25" hidden="1" customHeight="1">
      <c r="A11" s="112"/>
      <c r="B11" s="124" t="s">
        <v>273</v>
      </c>
      <c r="C11" s="124"/>
      <c r="D11" s="112" t="str">
        <f>IFERROR(__xludf.DUMMYFUNCTION("IF(ISBLANK(B11), ""-"", GOOGLEFINANCE(IF(ISBLANK(C11), B11, C11&amp;"":""&amp;B11), ""name""))"),"British American Tobacco P.l.c")</f>
        <v>British American Tobacco P.l.c</v>
      </c>
      <c r="E11" s="97">
        <f>IFERROR(__xludf.DUMMYFUNCTION("IF(ISBLANK(B11), 0, GOOGLEFINANCE(IF(ISBLANK(C11), B11, C11&amp;"":""&amp;B11), ""price""))"),61.79)</f>
        <v>61.79</v>
      </c>
      <c r="F11" s="98">
        <f>IFERROR(__xludf.DUMMYFUNCTION("IF(ISBLANK(B11), 0, GOOGLEFINANCE(IF(ISBLANK(C11), B11, C11&amp;"":""&amp;B11), ""change""))"),-1.13)</f>
        <v>-1.13</v>
      </c>
      <c r="G11" s="99">
        <f>IFERROR(__xludf.DUMMYFUNCTION("IF(ISBLANK(B11), 0, GOOGLEFINANCE(IF(ISBLANK(C11), B11, C11&amp;"":""&amp;B11), ""changepct"")/100)"),-0.018000000000000002)</f>
        <v>-0.018</v>
      </c>
      <c r="H11" s="110"/>
      <c r="I11" s="101">
        <f t="shared" si="2"/>
        <v>0</v>
      </c>
      <c r="J11" s="102">
        <f t="shared" si="3"/>
        <v>0</v>
      </c>
      <c r="K11" s="229"/>
      <c r="L11" s="104"/>
      <c r="M11" s="104"/>
      <c r="N11" s="104">
        <v>34.55</v>
      </c>
      <c r="O11" s="97">
        <f t="shared" si="6"/>
        <v>0</v>
      </c>
      <c r="P11" s="97">
        <f t="shared" si="7"/>
        <v>0</v>
      </c>
      <c r="Q11" s="103">
        <f t="shared" si="8"/>
        <v>0</v>
      </c>
      <c r="R11" s="104" t="s">
        <v>274</v>
      </c>
      <c r="S11" s="97"/>
      <c r="T11" s="97"/>
      <c r="U11" s="97"/>
      <c r="V11" s="97"/>
      <c r="W11" s="105">
        <v>45056.0</v>
      </c>
      <c r="X11" s="106">
        <f t="shared" si="9"/>
        <v>1116</v>
      </c>
      <c r="Y11" s="107"/>
    </row>
    <row r="12" ht="17.25" hidden="1" customHeight="1">
      <c r="A12" s="112"/>
      <c r="B12" s="124" t="s">
        <v>275</v>
      </c>
      <c r="C12" s="124"/>
      <c r="D12" s="112" t="str">
        <f>IFERROR(__xludf.DUMMYFUNCTION("IF(ISBLANK(B12), ""-"", GOOGLEFINANCE(IF(ISBLANK(C12), B12, C12&amp;"":""&amp;B12), ""name""))"),"Realty Income Corp")</f>
        <v>Realty Income Corp</v>
      </c>
      <c r="E12" s="97">
        <f>IFERROR(__xludf.DUMMYFUNCTION("IF(ISBLANK(B12), 0, GOOGLEFINANCE(IF(ISBLANK(C12), B12, C12&amp;"":""&amp;B12), ""price""))"),61.28)</f>
        <v>61.28</v>
      </c>
      <c r="F12" s="98">
        <f>IFERROR(__xludf.DUMMYFUNCTION("IF(ISBLANK(B12), 0, GOOGLEFINANCE(IF(ISBLANK(C12), B12, C12&amp;"":""&amp;B12), ""change""))"),-0.14)</f>
        <v>-0.14</v>
      </c>
      <c r="G12" s="99">
        <f>IFERROR(__xludf.DUMMYFUNCTION("IF(ISBLANK(B12), 0, GOOGLEFINANCE(IF(ISBLANK(C12), B12, C12&amp;"":""&amp;B12), ""changepct"")/100)"),-0.0023)</f>
        <v>-0.0023</v>
      </c>
      <c r="H12" s="110"/>
      <c r="I12" s="101">
        <f t="shared" si="2"/>
        <v>0</v>
      </c>
      <c r="J12" s="102">
        <f t="shared" si="3"/>
        <v>0</v>
      </c>
      <c r="K12" s="227">
        <v>0.025</v>
      </c>
      <c r="L12" s="228">
        <f t="shared" ref="L12:L13" si="10">K12*$L$4</f>
        <v>275</v>
      </c>
      <c r="M12" s="228">
        <f t="shared" ref="M12:M13" si="11">L12/E12</f>
        <v>4.487597911</v>
      </c>
      <c r="N12" s="104">
        <v>56.4457</v>
      </c>
      <c r="O12" s="97">
        <f t="shared" si="6"/>
        <v>0</v>
      </c>
      <c r="P12" s="97">
        <f t="shared" si="7"/>
        <v>0</v>
      </c>
      <c r="Q12" s="103">
        <f t="shared" si="8"/>
        <v>0</v>
      </c>
      <c r="R12" s="104" t="s">
        <v>276</v>
      </c>
      <c r="S12" s="97"/>
      <c r="T12" s="97"/>
      <c r="U12" s="97"/>
      <c r="V12" s="97"/>
      <c r="W12" s="105">
        <v>45169.0</v>
      </c>
      <c r="X12" s="106">
        <f t="shared" si="9"/>
        <v>1003</v>
      </c>
      <c r="Y12" s="107"/>
    </row>
    <row r="13" ht="17.25" hidden="1" customHeight="1">
      <c r="A13" s="94"/>
      <c r="B13" s="230" t="s">
        <v>155</v>
      </c>
      <c r="C13" s="230"/>
      <c r="D13" s="231" t="str">
        <f>IFERROR(__xludf.DUMMYFUNCTION("IF(ISBLANK(B13), ""-"", GOOGLEFINANCE(IF(ISBLANK(C13), B13, C13&amp;"":""&amp;B13), ""name""))"),"YieldMax TSLA Option Income Strategy ETF")</f>
        <v>YieldMax TSLA Option Income Strategy ETF</v>
      </c>
      <c r="E13" s="97">
        <f>IFERROR(__xludf.DUMMYFUNCTION("IF(ISBLANK(B13), 0, GOOGLEFINANCE(IF(ISBLANK(C13), B13, C13&amp;"":""&amp;B13), ""price""))"),30.63)</f>
        <v>30.63</v>
      </c>
      <c r="F13" s="98">
        <f>IFERROR(__xludf.DUMMYFUNCTION("IF(ISBLANK(B13), 0, GOOGLEFINANCE(IF(ISBLANK(C13), B13, C13&amp;"":""&amp;B13), ""change""))"),-0.26)</f>
        <v>-0.26</v>
      </c>
      <c r="G13" s="99">
        <f>IFERROR(__xludf.DUMMYFUNCTION("IF(ISBLANK(B13), 0, GOOGLEFINANCE(IF(ISBLANK(C13), B13, C13&amp;"":""&amp;B13), ""changepct"")/100)"),-0.0084)</f>
        <v>-0.0084</v>
      </c>
      <c r="H13" s="110"/>
      <c r="I13" s="101">
        <f t="shared" si="2"/>
        <v>0</v>
      </c>
      <c r="J13" s="102">
        <f t="shared" si="3"/>
        <v>0</v>
      </c>
      <c r="K13" s="227">
        <v>0.03</v>
      </c>
      <c r="L13" s="228">
        <f t="shared" si="10"/>
        <v>330</v>
      </c>
      <c r="M13" s="228">
        <f t="shared" si="11"/>
        <v>10.77375122</v>
      </c>
      <c r="N13" s="104">
        <v>26.6</v>
      </c>
      <c r="O13" s="97">
        <f t="shared" si="6"/>
        <v>0</v>
      </c>
      <c r="P13" s="97">
        <f t="shared" si="7"/>
        <v>0</v>
      </c>
      <c r="Q13" s="103">
        <f t="shared" si="8"/>
        <v>0</v>
      </c>
      <c r="R13" s="104" t="s">
        <v>156</v>
      </c>
      <c r="S13" s="97"/>
      <c r="T13" s="97"/>
      <c r="U13" s="97">
        <f>8.19+8.07+11.8755+12.2612+11.3071</f>
        <v>51.7038</v>
      </c>
      <c r="V13" s="104">
        <f>9.9225+10.7863</f>
        <v>20.7088</v>
      </c>
      <c r="W13" s="105">
        <v>45176.0</v>
      </c>
      <c r="X13" s="106">
        <f t="shared" si="9"/>
        <v>996</v>
      </c>
      <c r="Y13" s="107"/>
    </row>
    <row r="14" ht="17.25" hidden="1" customHeight="1">
      <c r="A14" s="112"/>
      <c r="B14" s="124" t="s">
        <v>160</v>
      </c>
      <c r="C14" s="124"/>
      <c r="D14" s="127" t="str">
        <f>IFERROR(__xludf.DUMMYFUNCTION("IF(ISBLANK(B14), ""-"", GOOGLEFINANCE(IF(ISBLANK(C14), B14, C14&amp;"":""&amp;B14), ""name""))"),"Global X NASDAQ 100 Covered Call ETF")</f>
        <v>Global X NASDAQ 100 Covered Call ETF</v>
      </c>
      <c r="E14" s="97">
        <f>IFERROR(__xludf.DUMMYFUNCTION("IF(ISBLANK(B14), 0, GOOGLEFINANCE(IF(ISBLANK(C14), B14, C14&amp;"":""&amp;B14), ""price""))"),18.08)</f>
        <v>18.08</v>
      </c>
      <c r="F14" s="98">
        <f>IFERROR(__xludf.DUMMYFUNCTION("IF(ISBLANK(B14), 0, GOOGLEFINANCE(IF(ISBLANK(C14), B14, C14&amp;"":""&amp;B14), ""change""))"),0.03)</f>
        <v>0.03</v>
      </c>
      <c r="G14" s="99">
        <f>IFERROR(__xludf.DUMMYFUNCTION("IF(ISBLANK(B14), 0, GOOGLEFINANCE(IF(ISBLANK(C14), B14, C14&amp;"":""&amp;B14), ""changepct"")/100)"),0.0017000000000000001)</f>
        <v>0.0017</v>
      </c>
      <c r="H14" s="100">
        <f>QYLD!J8</f>
        <v>0</v>
      </c>
      <c r="I14" s="101">
        <f t="shared" si="2"/>
        <v>0</v>
      </c>
      <c r="J14" s="102">
        <f t="shared" si="3"/>
        <v>0</v>
      </c>
      <c r="K14" s="97"/>
      <c r="L14" s="97"/>
      <c r="M14" s="97"/>
      <c r="N14" s="97">
        <f>QYLD!L8</f>
        <v>17.68</v>
      </c>
      <c r="O14" s="97">
        <f t="shared" si="6"/>
        <v>0</v>
      </c>
      <c r="P14" s="97">
        <f t="shared" si="7"/>
        <v>0</v>
      </c>
      <c r="Q14" s="103">
        <f t="shared" si="8"/>
        <v>0</v>
      </c>
      <c r="R14" s="104" t="s">
        <v>156</v>
      </c>
      <c r="S14" s="97"/>
      <c r="T14" s="97">
        <f>(19.45)</f>
        <v>19.45</v>
      </c>
      <c r="U14" s="111">
        <f>(4.75+4.68+4.73)</f>
        <v>14.16</v>
      </c>
      <c r="V14" s="111"/>
      <c r="W14" s="128">
        <v>44729.0</v>
      </c>
      <c r="X14" s="106">
        <f t="shared" si="9"/>
        <v>1443</v>
      </c>
      <c r="Y14" s="107"/>
    </row>
    <row r="15" ht="17.25" hidden="1" customHeight="1">
      <c r="A15" s="112"/>
      <c r="B15" s="124" t="s">
        <v>161</v>
      </c>
      <c r="C15" s="124"/>
      <c r="D15" s="112" t="str">
        <f>IFERROR(__xludf.DUMMYFUNCTION("IF(ISBLANK(B15), ""-"", GOOGLEFINANCE(IF(ISBLANK(C15), B15, C15&amp;"":""&amp;B15), ""name""))"),"iShares Core S&amp;P Total US Stock Market ETF")</f>
        <v>iShares Core S&amp;P Total US Stock Market ETF</v>
      </c>
      <c r="E15" s="97">
        <f>IFERROR(__xludf.DUMMYFUNCTION("IF(ISBLANK(B15), 0, GOOGLEFINANCE(IF(ISBLANK(C15), B15, C15&amp;"":""&amp;B15), ""price""))"),165.48)</f>
        <v>165.48</v>
      </c>
      <c r="F15" s="98">
        <f>IFERROR(__xludf.DUMMYFUNCTION("IF(ISBLANK(B15), 0, GOOGLEFINANCE(IF(ISBLANK(C15), B15, C15&amp;"":""&amp;B15), ""change""))"),0.44)</f>
        <v>0.44</v>
      </c>
      <c r="G15" s="99">
        <f>IFERROR(__xludf.DUMMYFUNCTION("IF(ISBLANK(B15), 0, GOOGLEFINANCE(IF(ISBLANK(C15), B15, C15&amp;"":""&amp;B15), ""changepct"")/100)"),0.0027)</f>
        <v>0.0027</v>
      </c>
      <c r="H15" s="110"/>
      <c r="I15" s="101">
        <f t="shared" si="2"/>
        <v>0</v>
      </c>
      <c r="J15" s="102">
        <f t="shared" si="3"/>
        <v>0</v>
      </c>
      <c r="K15" s="97"/>
      <c r="L15" s="97"/>
      <c r="M15" s="97"/>
      <c r="N15" s="97">
        <f>ITOT!L8</f>
        <v>90.99833333</v>
      </c>
      <c r="O15" s="97">
        <f t="shared" si="6"/>
        <v>0</v>
      </c>
      <c r="P15" s="97">
        <f t="shared" si="7"/>
        <v>0</v>
      </c>
      <c r="Q15" s="102">
        <f t="shared" si="8"/>
        <v>0</v>
      </c>
      <c r="R15" s="97" t="str">
        <f>ITOT!N8</f>
        <v>指數ETF</v>
      </c>
      <c r="S15" s="97"/>
      <c r="T15" s="104">
        <f>(1.13)</f>
        <v>1.13</v>
      </c>
      <c r="U15" s="111"/>
      <c r="V15" s="111"/>
      <c r="W15" s="105">
        <v>44781.0</v>
      </c>
      <c r="X15" s="106">
        <f t="shared" si="9"/>
        <v>1391</v>
      </c>
      <c r="Y15" s="107"/>
    </row>
    <row r="16" ht="17.25" customHeight="1">
      <c r="A16" s="112"/>
      <c r="B16" s="94" t="s">
        <v>120</v>
      </c>
      <c r="C16" s="94"/>
      <c r="D16" s="112" t="str">
        <f>IFERROR(__xludf.DUMMYFUNCTION("IF(ISBLANK(B16), ""-"", GOOGLEFINANCE(IF(ISBLANK(C16), B16, C16&amp;"":""&amp;B16), ""name""))"),"Vanguard Total Stock Market Index Fund ETF")</f>
        <v>Vanguard Total Stock Market Index Fund ETF</v>
      </c>
      <c r="E16" s="97">
        <f>IFERROR(__xludf.DUMMYFUNCTION("IF(ISBLANK(B16), 0, GOOGLEFINANCE(IF(ISBLANK(C16), B16, C16&amp;"":""&amp;B16), ""price""))"),372.54)</f>
        <v>372.54</v>
      </c>
      <c r="F16" s="98">
        <f>IFERROR(__xludf.DUMMYFUNCTION("IF(ISBLANK(B16), 0, GOOGLEFINANCE(IF(ISBLANK(C16), B16, C16&amp;"":""&amp;B16), ""change""))"),0.88)</f>
        <v>0.88</v>
      </c>
      <c r="G16" s="99">
        <f>IFERROR(__xludf.DUMMYFUNCTION("IF(ISBLANK(B16), 0, GOOGLEFINANCE(IF(ISBLANK(C16), B16, C16&amp;"":""&amp;B16), ""changepct"")/100)"),0.0024)</f>
        <v>0.0024</v>
      </c>
      <c r="H16" s="110">
        <v>1.008</v>
      </c>
      <c r="I16" s="101">
        <f t="shared" si="2"/>
        <v>375.52032</v>
      </c>
      <c r="J16" s="102">
        <f t="shared" si="3"/>
        <v>0.03687374995</v>
      </c>
      <c r="K16" s="227">
        <v>0.25</v>
      </c>
      <c r="L16" s="228">
        <f>K16*$L$4</f>
        <v>2750</v>
      </c>
      <c r="M16" s="228">
        <f>L16/E16</f>
        <v>7.381757664</v>
      </c>
      <c r="N16" s="104">
        <v>216.9582</v>
      </c>
      <c r="O16" s="97">
        <f t="shared" si="6"/>
        <v>218.6938656</v>
      </c>
      <c r="P16" s="97">
        <f t="shared" si="7"/>
        <v>156.8264544</v>
      </c>
      <c r="Q16" s="103">
        <f t="shared" si="8"/>
        <v>0.7171049539</v>
      </c>
      <c r="R16" s="104" t="s">
        <v>163</v>
      </c>
      <c r="S16" s="97"/>
      <c r="T16" s="97"/>
      <c r="U16" s="97"/>
      <c r="V16" s="97"/>
      <c r="W16" s="97"/>
      <c r="X16" s="97"/>
      <c r="Y16" s="107"/>
    </row>
    <row r="17" ht="17.25" hidden="1" customHeight="1">
      <c r="A17" s="112"/>
      <c r="B17" s="124" t="s">
        <v>277</v>
      </c>
      <c r="C17" s="124"/>
      <c r="D17" s="112" t="str">
        <f>IFERROR(__xludf.DUMMYFUNCTION("IF(ISBLANK(B17), ""-"", GOOGLEFINANCE(IF(ISBLANK(C17), B17, C17&amp;"":""&amp;B17), ""name""))"),"Pfizer Inc")</f>
        <v>Pfizer Inc</v>
      </c>
      <c r="E17" s="97">
        <f>IFERROR(__xludf.DUMMYFUNCTION("IF(ISBLANK(B17), 0, GOOGLEFINANCE(IF(ISBLANK(C17), B17, C17&amp;"":""&amp;B17), ""price""))"),26.18)</f>
        <v>26.18</v>
      </c>
      <c r="F17" s="98">
        <f>IFERROR(__xludf.DUMMYFUNCTION("IF(ISBLANK(B17), 0, GOOGLEFINANCE(IF(ISBLANK(C17), B17, C17&amp;"":""&amp;B17), ""change""))"),0.04)</f>
        <v>0.04</v>
      </c>
      <c r="G17" s="99">
        <f>IFERROR(__xludf.DUMMYFUNCTION("IF(ISBLANK(B17), 0, GOOGLEFINANCE(IF(ISBLANK(C17), B17, C17&amp;"":""&amp;B17), ""changepct"")/100)"),0.0015)</f>
        <v>0.0015</v>
      </c>
      <c r="H17" s="110"/>
      <c r="I17" s="101">
        <f t="shared" si="2"/>
        <v>0</v>
      </c>
      <c r="J17" s="102">
        <f t="shared" si="3"/>
        <v>0</v>
      </c>
      <c r="K17" s="104"/>
      <c r="L17" s="104"/>
      <c r="M17" s="104"/>
      <c r="N17" s="104">
        <v>37.83</v>
      </c>
      <c r="O17" s="97">
        <f t="shared" si="6"/>
        <v>0</v>
      </c>
      <c r="P17" s="97">
        <f t="shared" si="7"/>
        <v>0</v>
      </c>
      <c r="Q17" s="103">
        <f t="shared" si="8"/>
        <v>0</v>
      </c>
      <c r="R17" s="104" t="s">
        <v>278</v>
      </c>
      <c r="S17" s="97"/>
      <c r="T17" s="97"/>
      <c r="U17" s="97"/>
      <c r="V17" s="97"/>
      <c r="W17" s="105">
        <v>45072.0</v>
      </c>
      <c r="X17" s="106">
        <f t="shared" ref="X17:X20" si="12">DAYS(TODAY(),W17)</f>
        <v>1100</v>
      </c>
      <c r="Y17" s="107"/>
    </row>
    <row r="18" ht="17.25" customHeight="1">
      <c r="A18" s="94"/>
      <c r="B18" s="124" t="s">
        <v>279</v>
      </c>
      <c r="C18" s="124"/>
      <c r="D18" s="112" t="str">
        <f>IFERROR(__xludf.DUMMYFUNCTION("IF(ISBLANK(B18), ""-"", GOOGLEFINANCE(IF(ISBLANK(C18), B18, C18&amp;"":""&amp;B18), ""name""))"),"ProShares Ultra 20+ Year Treasury")</f>
        <v>ProShares Ultra 20+ Year Treasury</v>
      </c>
      <c r="E18" s="97">
        <f>IFERROR(__xludf.DUMMYFUNCTION("IF(ISBLANK(B18), 0, GOOGLEFINANCE(IF(ISBLANK(C18), B18, C18&amp;"":""&amp;B18), ""price""))"),16.04)</f>
        <v>16.04</v>
      </c>
      <c r="F18" s="98">
        <f>IFERROR(__xludf.DUMMYFUNCTION("IF(ISBLANK(B18), 0, GOOGLEFINANCE(IF(ISBLANK(C18), B18, C18&amp;"":""&amp;B18), ""change""))"),-0.04)</f>
        <v>-0.04</v>
      </c>
      <c r="G18" s="99">
        <f>IFERROR(__xludf.DUMMYFUNCTION("IF(ISBLANK(B18), 0, GOOGLEFINANCE(IF(ISBLANK(C18), B18, C18&amp;"":""&amp;B18), ""changepct"")/100)"),-0.0025)</f>
        <v>-0.0025</v>
      </c>
      <c r="H18" s="110">
        <v>10.0</v>
      </c>
      <c r="I18" s="101">
        <f t="shared" si="2"/>
        <v>160.4</v>
      </c>
      <c r="J18" s="102">
        <f t="shared" si="3"/>
        <v>0.01575027815</v>
      </c>
      <c r="K18" s="227"/>
      <c r="L18" s="228">
        <f>K18*$L$4</f>
        <v>0</v>
      </c>
      <c r="M18" s="228">
        <f>L18/E18</f>
        <v>0</v>
      </c>
      <c r="N18" s="97">
        <f>26.85</f>
        <v>26.85</v>
      </c>
      <c r="O18" s="97">
        <f t="shared" si="6"/>
        <v>268.5</v>
      </c>
      <c r="P18" s="97">
        <f t="shared" si="7"/>
        <v>-108.1</v>
      </c>
      <c r="Q18" s="103">
        <f>IF(H18=0,0,IF(O18=0,1,(P18+S18+T18)/O18*100%))</f>
        <v>-0.4026070764</v>
      </c>
      <c r="R18" s="104" t="s">
        <v>272</v>
      </c>
      <c r="S18" s="97"/>
      <c r="T18" s="97"/>
      <c r="U18" s="105"/>
      <c r="V18" s="105"/>
      <c r="W18" s="105">
        <v>45006.0</v>
      </c>
      <c r="X18" s="106">
        <f t="shared" si="12"/>
        <v>1166</v>
      </c>
      <c r="Y18" s="107"/>
    </row>
    <row r="19" ht="17.25" hidden="1" customHeight="1">
      <c r="A19" s="112"/>
      <c r="B19" s="124" t="s">
        <v>280</v>
      </c>
      <c r="C19" s="124"/>
      <c r="D19" s="112" t="str">
        <f>IFERROR(__xludf.DUMMYFUNCTION("IF(ISBLANK(B19), ""-"", GOOGLEFINANCE(IF(ISBLANK(C19), B19, C19&amp;"":""&amp;B19), ""name""))"),"Global X Uranium ETF")</f>
        <v>Global X Uranium ETF</v>
      </c>
      <c r="E19" s="97">
        <f>IFERROR(__xludf.DUMMYFUNCTION("IF(ISBLANK(B19), 0, GOOGLEFINANCE(IF(ISBLANK(C19), B19, C19&amp;"":""&amp;B19), ""price""))"),50.76)</f>
        <v>50.76</v>
      </c>
      <c r="F19" s="98">
        <f>IFERROR(__xludf.DUMMYFUNCTION("IF(ISBLANK(B19), 0, GOOGLEFINANCE(IF(ISBLANK(C19), B19, C19&amp;"":""&amp;B19), ""change""))"),0.01)</f>
        <v>0.01</v>
      </c>
      <c r="G19" s="99">
        <f>IFERROR(__xludf.DUMMYFUNCTION("IF(ISBLANK(B19), 0, GOOGLEFINANCE(IF(ISBLANK(C19), B19, C19&amp;"":""&amp;B19), ""changepct"")/100)"),2.0E-4)</f>
        <v>0.0002</v>
      </c>
      <c r="H19" s="110"/>
      <c r="I19" s="101">
        <f t="shared" si="2"/>
        <v>0</v>
      </c>
      <c r="J19" s="102">
        <f t="shared" si="3"/>
        <v>0</v>
      </c>
      <c r="K19" s="104"/>
      <c r="L19" s="104"/>
      <c r="M19" s="104"/>
      <c r="N19" s="104">
        <v>28.76</v>
      </c>
      <c r="O19" s="97">
        <f t="shared" si="6"/>
        <v>0</v>
      </c>
      <c r="P19" s="97">
        <f t="shared" si="7"/>
        <v>0</v>
      </c>
      <c r="Q19" s="103">
        <f t="shared" ref="Q19:Q20" si="13">IF(H19=0,0,IF(O19=0,1,(P19+S19+T19+U19)/O19*100%))</f>
        <v>0</v>
      </c>
      <c r="R19" s="104"/>
      <c r="S19" s="97"/>
      <c r="T19" s="97"/>
      <c r="U19" s="97"/>
      <c r="V19" s="97"/>
      <c r="W19" s="105">
        <v>45379.0</v>
      </c>
      <c r="X19" s="106">
        <f t="shared" si="12"/>
        <v>793</v>
      </c>
      <c r="Y19" s="107"/>
    </row>
    <row r="20" ht="17.25" hidden="1" customHeight="1">
      <c r="A20" s="94"/>
      <c r="B20" s="124" t="s">
        <v>281</v>
      </c>
      <c r="C20" s="124"/>
      <c r="D20" s="112" t="str">
        <f>IFERROR(__xludf.DUMMYFUNCTION("IF(ISBLANK(B20), ""-"", GOOGLEFINANCE(IF(ISBLANK(C20), B20, C20&amp;"":""&amp;B20), ""name""))"),"Apple Inc")</f>
        <v>Apple Inc</v>
      </c>
      <c r="E20" s="97">
        <f>IFERROR(__xludf.DUMMYFUNCTION("IF(ISBLANK(B20), 0, GOOGLEFINANCE(IF(ISBLANK(C20), B20, C20&amp;"":""&amp;B20), ""price""))"),312.06)</f>
        <v>312.06</v>
      </c>
      <c r="F20" s="98">
        <f>IFERROR(__xludf.DUMMYFUNCTION("IF(ISBLANK(B20), 0, GOOGLEFINANCE(IF(ISBLANK(C20), B20, C20&amp;"":""&amp;B20), ""change""))"),-0.45)</f>
        <v>-0.45</v>
      </c>
      <c r="G20" s="99">
        <f>IFERROR(__xludf.DUMMYFUNCTION("IF(ISBLANK(B20), 0, GOOGLEFINANCE(IF(ISBLANK(C20), B20, C20&amp;"":""&amp;B20), ""changepct"")/100)"),-0.0014000000000000002)</f>
        <v>-0.0014</v>
      </c>
      <c r="H20" s="110"/>
      <c r="I20" s="101">
        <f t="shared" si="2"/>
        <v>0</v>
      </c>
      <c r="J20" s="102">
        <f t="shared" si="3"/>
        <v>0</v>
      </c>
      <c r="K20" s="227">
        <v>0.05</v>
      </c>
      <c r="L20" s="228">
        <f>K20*$L$4</f>
        <v>550</v>
      </c>
      <c r="M20" s="228">
        <f>L20/E20</f>
        <v>1.762481574</v>
      </c>
      <c r="N20" s="104">
        <v>190.3389</v>
      </c>
      <c r="O20" s="97">
        <f t="shared" si="6"/>
        <v>0</v>
      </c>
      <c r="P20" s="97">
        <f t="shared" si="7"/>
        <v>0</v>
      </c>
      <c r="Q20" s="103">
        <f t="shared" si="13"/>
        <v>0</v>
      </c>
      <c r="R20" s="104" t="s">
        <v>112</v>
      </c>
      <c r="S20" s="97"/>
      <c r="T20" s="97"/>
      <c r="U20" s="97"/>
      <c r="V20" s="97"/>
      <c r="W20" s="105">
        <v>45064.0</v>
      </c>
      <c r="X20" s="106">
        <f t="shared" si="12"/>
        <v>1108</v>
      </c>
      <c r="Y20" s="107"/>
    </row>
    <row r="21" ht="17.25" customHeight="1">
      <c r="A21" s="112"/>
      <c r="B21" s="124"/>
      <c r="C21" s="124"/>
      <c r="D21" s="112"/>
      <c r="E21" s="97"/>
      <c r="F21" s="98"/>
      <c r="G21" s="99"/>
      <c r="H21" s="110"/>
      <c r="I21" s="101"/>
      <c r="J21" s="102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129"/>
      <c r="V21" s="129"/>
      <c r="W21" s="97"/>
      <c r="X21" s="97"/>
      <c r="Y21" s="107"/>
    </row>
    <row r="22" ht="17.25" customHeight="1">
      <c r="A22" s="112"/>
      <c r="B22" s="124"/>
      <c r="C22" s="124"/>
      <c r="D22" s="112"/>
      <c r="E22" s="97"/>
      <c r="F22" s="98"/>
      <c r="G22" s="99"/>
      <c r="H22" s="110"/>
      <c r="I22" s="101"/>
      <c r="J22" s="102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129"/>
      <c r="V22" s="129"/>
      <c r="W22" s="97"/>
      <c r="X22" s="97"/>
      <c r="Y22" s="107"/>
    </row>
    <row r="23" ht="17.25" customHeight="1">
      <c r="A23" s="112"/>
      <c r="B23" s="124"/>
      <c r="C23" s="124"/>
      <c r="D23" s="112"/>
      <c r="E23" s="97"/>
      <c r="F23" s="98"/>
      <c r="G23" s="99"/>
      <c r="H23" s="110"/>
      <c r="I23" s="101"/>
      <c r="J23" s="102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129"/>
      <c r="V23" s="129"/>
      <c r="W23" s="97"/>
      <c r="X23" s="97"/>
      <c r="Y23" s="107"/>
    </row>
    <row r="24" ht="17.25" customHeight="1">
      <c r="A24" s="112"/>
      <c r="B24" s="124"/>
      <c r="C24" s="124"/>
      <c r="D24" s="112"/>
      <c r="E24" s="97"/>
      <c r="F24" s="98"/>
      <c r="G24" s="99"/>
      <c r="H24" s="110"/>
      <c r="I24" s="101"/>
      <c r="J24" s="102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129"/>
      <c r="V24" s="129"/>
      <c r="W24" s="97"/>
      <c r="X24" s="97"/>
      <c r="Y24" s="107"/>
    </row>
    <row r="25" ht="17.25" customHeight="1">
      <c r="A25" s="112"/>
      <c r="B25" s="124"/>
      <c r="C25" s="124"/>
      <c r="D25" s="112"/>
      <c r="E25" s="97"/>
      <c r="F25" s="98"/>
      <c r="G25" s="99"/>
      <c r="H25" s="110"/>
      <c r="I25" s="101"/>
      <c r="J25" s="102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129"/>
      <c r="V25" s="129"/>
      <c r="W25" s="97"/>
      <c r="X25" s="97"/>
      <c r="Y25" s="107"/>
    </row>
    <row r="26" ht="17.25" customHeight="1">
      <c r="A26" s="112"/>
      <c r="B26" s="124"/>
      <c r="C26" s="124"/>
      <c r="D26" s="112"/>
      <c r="E26" s="97"/>
      <c r="F26" s="98"/>
      <c r="G26" s="99"/>
      <c r="H26" s="110"/>
      <c r="I26" s="101"/>
      <c r="J26" s="102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129"/>
      <c r="V26" s="129"/>
      <c r="W26" s="97"/>
      <c r="X26" s="97"/>
      <c r="Y26" s="107"/>
    </row>
    <row r="27" ht="17.25" customHeight="1">
      <c r="A27" s="112"/>
      <c r="B27" s="124"/>
      <c r="C27" s="124"/>
      <c r="D27" s="112"/>
      <c r="E27" s="97"/>
      <c r="F27" s="98"/>
      <c r="G27" s="99"/>
      <c r="H27" s="110"/>
      <c r="I27" s="101"/>
      <c r="J27" s="102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129"/>
      <c r="V27" s="129"/>
      <c r="W27" s="97"/>
      <c r="X27" s="97"/>
      <c r="Y27" s="107"/>
    </row>
    <row r="28" ht="17.25" customHeight="1">
      <c r="A28" s="112"/>
      <c r="B28" s="124"/>
      <c r="C28" s="124"/>
      <c r="D28" s="112"/>
      <c r="E28" s="97"/>
      <c r="F28" s="98"/>
      <c r="G28" s="99"/>
      <c r="H28" s="110"/>
      <c r="I28" s="101"/>
      <c r="J28" s="102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129"/>
      <c r="V28" s="129"/>
      <c r="W28" s="97"/>
      <c r="X28" s="97"/>
      <c r="Y28" s="107"/>
    </row>
    <row r="29" ht="17.25" customHeight="1">
      <c r="A29" s="112"/>
      <c r="B29" s="124"/>
      <c r="C29" s="124"/>
      <c r="D29" s="112"/>
      <c r="E29" s="97"/>
      <c r="F29" s="98"/>
      <c r="G29" s="99"/>
      <c r="H29" s="110"/>
      <c r="I29" s="101"/>
      <c r="J29" s="102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129"/>
      <c r="V29" s="129"/>
      <c r="W29" s="97"/>
      <c r="X29" s="97"/>
      <c r="Y29" s="107"/>
    </row>
    <row r="30" ht="17.25" customHeight="1">
      <c r="A30" s="112"/>
      <c r="B30" s="124"/>
      <c r="C30" s="124"/>
      <c r="D30" s="112"/>
      <c r="E30" s="97"/>
      <c r="F30" s="98"/>
      <c r="G30" s="99"/>
      <c r="H30" s="110"/>
      <c r="I30" s="101"/>
      <c r="J30" s="102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129"/>
      <c r="V30" s="129"/>
      <c r="W30" s="97"/>
      <c r="X30" s="97"/>
      <c r="Y30" s="107"/>
    </row>
    <row r="31" ht="17.25" customHeight="1">
      <c r="A31" s="112"/>
      <c r="B31" s="124"/>
      <c r="C31" s="124"/>
      <c r="D31" s="112"/>
      <c r="E31" s="97"/>
      <c r="F31" s="98"/>
      <c r="G31" s="99"/>
      <c r="H31" s="110"/>
      <c r="I31" s="101"/>
      <c r="J31" s="102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129"/>
      <c r="V31" s="129"/>
      <c r="W31" s="97"/>
      <c r="X31" s="97"/>
      <c r="Y31" s="107"/>
    </row>
    <row r="32" ht="17.25" customHeight="1">
      <c r="A32" s="112"/>
      <c r="B32" s="124"/>
      <c r="C32" s="124"/>
      <c r="D32" s="112"/>
      <c r="E32" s="97"/>
      <c r="F32" s="98"/>
      <c r="G32" s="99"/>
      <c r="H32" s="110"/>
      <c r="I32" s="101"/>
      <c r="J32" s="102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129"/>
      <c r="V32" s="129"/>
      <c r="W32" s="97"/>
      <c r="X32" s="97"/>
      <c r="Y32" s="107"/>
    </row>
    <row r="33" ht="17.25" customHeight="1">
      <c r="A33" s="112"/>
      <c r="B33" s="232"/>
      <c r="C33" s="124"/>
      <c r="D33" s="112"/>
      <c r="E33" s="97"/>
      <c r="F33" s="98"/>
      <c r="G33" s="99"/>
      <c r="H33" s="110"/>
      <c r="I33" s="101"/>
      <c r="J33" s="102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129"/>
      <c r="V33" s="129"/>
      <c r="W33" s="97"/>
      <c r="X33" s="97"/>
      <c r="Y33" s="107"/>
    </row>
    <row r="34" ht="17.25" customHeight="1">
      <c r="A34" s="112"/>
      <c r="B34" s="124"/>
      <c r="C34" s="124"/>
      <c r="D34" s="112"/>
      <c r="E34" s="97"/>
      <c r="F34" s="98"/>
      <c r="G34" s="99"/>
      <c r="H34" s="110"/>
      <c r="I34" s="101"/>
      <c r="J34" s="102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129"/>
      <c r="V34" s="129"/>
      <c r="W34" s="97"/>
      <c r="X34" s="97"/>
      <c r="Y34" s="107"/>
    </row>
    <row r="35" ht="17.25" customHeight="1">
      <c r="A35" s="112"/>
      <c r="B35" s="124"/>
      <c r="C35" s="124"/>
      <c r="D35" s="112"/>
      <c r="E35" s="97"/>
      <c r="F35" s="98"/>
      <c r="G35" s="99"/>
      <c r="H35" s="110"/>
      <c r="I35" s="101"/>
      <c r="J35" s="102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129"/>
      <c r="V35" s="129"/>
      <c r="W35" s="97"/>
      <c r="X35" s="97"/>
      <c r="Y35" s="107"/>
    </row>
    <row r="36" ht="17.25" customHeight="1">
      <c r="A36" s="112"/>
      <c r="B36" s="124"/>
      <c r="C36" s="124"/>
      <c r="D36" s="112"/>
      <c r="E36" s="97"/>
      <c r="F36" s="98"/>
      <c r="G36" s="99"/>
      <c r="H36" s="110"/>
      <c r="I36" s="101"/>
      <c r="J36" s="102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129"/>
      <c r="V36" s="129"/>
      <c r="W36" s="97"/>
      <c r="X36" s="97"/>
      <c r="Y36" s="107"/>
    </row>
    <row r="37" ht="17.25" customHeight="1">
      <c r="A37" s="112"/>
      <c r="B37" s="124"/>
      <c r="C37" s="124"/>
      <c r="D37" s="112"/>
      <c r="E37" s="97"/>
      <c r="F37" s="98"/>
      <c r="G37" s="99"/>
      <c r="H37" s="110"/>
      <c r="I37" s="101"/>
      <c r="J37" s="102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129"/>
      <c r="V37" s="129"/>
      <c r="W37" s="97"/>
      <c r="X37" s="97"/>
      <c r="Y37" s="107"/>
    </row>
    <row r="38" ht="17.25" customHeight="1">
      <c r="A38" s="112"/>
      <c r="B38" s="124"/>
      <c r="C38" s="124"/>
      <c r="D38" s="112"/>
      <c r="E38" s="97"/>
      <c r="F38" s="98"/>
      <c r="G38" s="99"/>
      <c r="H38" s="110"/>
      <c r="I38" s="101"/>
      <c r="J38" s="102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129"/>
      <c r="V38" s="129"/>
      <c r="W38" s="97"/>
      <c r="X38" s="97"/>
      <c r="Y38" s="107"/>
    </row>
    <row r="39" ht="17.25" customHeight="1">
      <c r="A39" s="112"/>
      <c r="B39" s="124"/>
      <c r="C39" s="124"/>
      <c r="D39" s="112"/>
      <c r="E39" s="97"/>
      <c r="F39" s="98"/>
      <c r="G39" s="99"/>
      <c r="H39" s="110"/>
      <c r="I39" s="101"/>
      <c r="J39" s="102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129"/>
      <c r="V39" s="129"/>
      <c r="W39" s="97"/>
      <c r="X39" s="97"/>
      <c r="Y39" s="107"/>
    </row>
    <row r="40" ht="17.25" customHeight="1">
      <c r="A40" s="112"/>
      <c r="B40" s="124"/>
      <c r="C40" s="124"/>
      <c r="D40" s="112"/>
      <c r="E40" s="97"/>
      <c r="F40" s="98"/>
      <c r="G40" s="99"/>
      <c r="H40" s="110"/>
      <c r="I40" s="101"/>
      <c r="J40" s="102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129"/>
      <c r="V40" s="129"/>
      <c r="W40" s="97"/>
      <c r="X40" s="97"/>
      <c r="Y40" s="107"/>
    </row>
    <row r="41" ht="17.25" customHeight="1">
      <c r="A41" s="112"/>
      <c r="B41" s="124"/>
      <c r="C41" s="124"/>
      <c r="D41" s="112"/>
      <c r="E41" s="97"/>
      <c r="F41" s="98"/>
      <c r="G41" s="99"/>
      <c r="H41" s="110"/>
      <c r="I41" s="101"/>
      <c r="J41" s="102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129"/>
      <c r="V41" s="129"/>
      <c r="W41" s="97"/>
      <c r="X41" s="97"/>
      <c r="Y41" s="107"/>
    </row>
    <row r="42" ht="17.25" customHeight="1">
      <c r="A42" s="112"/>
      <c r="B42" s="124"/>
      <c r="C42" s="124"/>
      <c r="D42" s="112"/>
      <c r="E42" s="97"/>
      <c r="F42" s="98"/>
      <c r="G42" s="99"/>
      <c r="H42" s="110"/>
      <c r="I42" s="101"/>
      <c r="J42" s="102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129"/>
      <c r="V42" s="129"/>
      <c r="W42" s="97"/>
      <c r="X42" s="97"/>
      <c r="Y42" s="107"/>
    </row>
    <row r="43" ht="17.25" customHeight="1">
      <c r="A43" s="112"/>
      <c r="B43" s="124"/>
      <c r="C43" s="124"/>
      <c r="D43" s="112"/>
      <c r="E43" s="97"/>
      <c r="F43" s="98"/>
      <c r="G43" s="99"/>
      <c r="H43" s="110"/>
      <c r="I43" s="101"/>
      <c r="J43" s="102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29"/>
      <c r="V43" s="129"/>
      <c r="W43" s="97"/>
      <c r="X43" s="97"/>
      <c r="Y43" s="107"/>
    </row>
    <row r="44" ht="17.25" customHeight="1">
      <c r="A44" s="112"/>
      <c r="B44" s="124"/>
      <c r="C44" s="124"/>
      <c r="D44" s="112"/>
      <c r="E44" s="97"/>
      <c r="F44" s="98"/>
      <c r="G44" s="99"/>
      <c r="H44" s="110"/>
      <c r="I44" s="101"/>
      <c r="J44" s="102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129"/>
      <c r="V44" s="129"/>
      <c r="W44" s="97"/>
      <c r="X44" s="97"/>
      <c r="Y44" s="107"/>
    </row>
    <row r="45" ht="17.25" customHeight="1">
      <c r="A45" s="112"/>
      <c r="B45" s="124"/>
      <c r="C45" s="124"/>
      <c r="D45" s="112"/>
      <c r="E45" s="97"/>
      <c r="F45" s="98"/>
      <c r="G45" s="99"/>
      <c r="H45" s="110"/>
      <c r="I45" s="101"/>
      <c r="J45" s="102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129"/>
      <c r="V45" s="129"/>
      <c r="W45" s="97"/>
      <c r="X45" s="97"/>
      <c r="Y45" s="107"/>
    </row>
    <row r="46" ht="17.25" customHeight="1">
      <c r="A46" s="112"/>
      <c r="B46" s="124"/>
      <c r="C46" s="124"/>
      <c r="D46" s="112"/>
      <c r="E46" s="97"/>
      <c r="F46" s="98"/>
      <c r="G46" s="99"/>
      <c r="H46" s="110"/>
      <c r="I46" s="101"/>
      <c r="J46" s="102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129"/>
      <c r="V46" s="129"/>
      <c r="W46" s="97"/>
      <c r="X46" s="97"/>
      <c r="Y46" s="107"/>
    </row>
    <row r="47" ht="17.25" customHeight="1">
      <c r="A47" s="112"/>
      <c r="B47" s="124"/>
      <c r="C47" s="124"/>
      <c r="D47" s="112"/>
      <c r="E47" s="97"/>
      <c r="F47" s="98"/>
      <c r="G47" s="99"/>
      <c r="H47" s="110"/>
      <c r="I47" s="101"/>
      <c r="J47" s="102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129"/>
      <c r="V47" s="129"/>
      <c r="W47" s="97"/>
      <c r="X47" s="97"/>
      <c r="Y47" s="107"/>
    </row>
    <row r="48" ht="17.25" customHeight="1">
      <c r="A48" s="112"/>
      <c r="B48" s="124"/>
      <c r="C48" s="124"/>
      <c r="D48" s="112"/>
      <c r="E48" s="97"/>
      <c r="F48" s="98"/>
      <c r="G48" s="99"/>
      <c r="H48" s="110"/>
      <c r="I48" s="101"/>
      <c r="J48" s="102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129"/>
      <c r="V48" s="129"/>
      <c r="W48" s="97"/>
      <c r="X48" s="97"/>
      <c r="Y48" s="107"/>
    </row>
    <row r="49" ht="17.25" customHeight="1">
      <c r="A49" s="112"/>
      <c r="B49" s="124"/>
      <c r="C49" s="124"/>
      <c r="D49" s="112"/>
      <c r="E49" s="97"/>
      <c r="F49" s="98"/>
      <c r="G49" s="99"/>
      <c r="H49" s="110"/>
      <c r="I49" s="101"/>
      <c r="J49" s="102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129"/>
      <c r="V49" s="129"/>
      <c r="W49" s="97"/>
      <c r="X49" s="97"/>
      <c r="Y49" s="107"/>
    </row>
    <row r="50" ht="17.25" customHeight="1">
      <c r="A50" s="112"/>
      <c r="B50" s="124"/>
      <c r="C50" s="124"/>
      <c r="D50" s="112"/>
      <c r="E50" s="97"/>
      <c r="F50" s="98"/>
      <c r="G50" s="99"/>
      <c r="H50" s="110"/>
      <c r="I50" s="101"/>
      <c r="J50" s="102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129"/>
      <c r="V50" s="129"/>
      <c r="W50" s="97"/>
      <c r="X50" s="97"/>
      <c r="Y50" s="107"/>
    </row>
    <row r="51" ht="17.25" customHeight="1">
      <c r="A51" s="112"/>
      <c r="B51" s="124"/>
      <c r="C51" s="124"/>
      <c r="D51" s="112"/>
      <c r="E51" s="97"/>
      <c r="F51" s="98"/>
      <c r="G51" s="99"/>
      <c r="H51" s="110"/>
      <c r="I51" s="101"/>
      <c r="J51" s="102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129"/>
      <c r="V51" s="129"/>
      <c r="W51" s="97"/>
      <c r="X51" s="97"/>
      <c r="Y51" s="107"/>
    </row>
    <row r="52" ht="17.25" customHeight="1">
      <c r="A52" s="112"/>
      <c r="B52" s="124"/>
      <c r="C52" s="124"/>
      <c r="D52" s="112"/>
      <c r="E52" s="97"/>
      <c r="F52" s="98"/>
      <c r="G52" s="99"/>
      <c r="H52" s="110"/>
      <c r="I52" s="101"/>
      <c r="J52" s="102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129"/>
      <c r="V52" s="129"/>
      <c r="W52" s="97"/>
      <c r="X52" s="97"/>
      <c r="Y52" s="107"/>
    </row>
    <row r="53" ht="17.25" customHeight="1">
      <c r="A53" s="112"/>
      <c r="B53" s="124"/>
      <c r="C53" s="124"/>
      <c r="D53" s="112"/>
      <c r="E53" s="97"/>
      <c r="F53" s="98"/>
      <c r="G53" s="99"/>
      <c r="H53" s="110"/>
      <c r="I53" s="101"/>
      <c r="J53" s="102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129"/>
      <c r="V53" s="129"/>
      <c r="W53" s="97"/>
      <c r="X53" s="97"/>
      <c r="Y53" s="107"/>
    </row>
    <row r="54" ht="17.25" customHeight="1">
      <c r="A54" s="112"/>
      <c r="B54" s="124"/>
      <c r="C54" s="124"/>
      <c r="D54" s="112"/>
      <c r="E54" s="97"/>
      <c r="F54" s="98"/>
      <c r="G54" s="99"/>
      <c r="H54" s="110"/>
      <c r="I54" s="101"/>
      <c r="J54" s="102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129"/>
      <c r="V54" s="129"/>
      <c r="W54" s="97"/>
      <c r="X54" s="97"/>
      <c r="Y54" s="107"/>
    </row>
    <row r="55" ht="17.25" customHeight="1">
      <c r="A55" s="112"/>
      <c r="B55" s="124"/>
      <c r="C55" s="124"/>
      <c r="D55" s="112"/>
      <c r="E55" s="97"/>
      <c r="F55" s="98"/>
      <c r="G55" s="99"/>
      <c r="H55" s="110"/>
      <c r="I55" s="101"/>
      <c r="J55" s="102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129"/>
      <c r="V55" s="129"/>
      <c r="W55" s="97"/>
      <c r="X55" s="97"/>
      <c r="Y55" s="107"/>
    </row>
    <row r="56" ht="17.25" customHeight="1">
      <c r="A56" s="112"/>
      <c r="B56" s="124"/>
      <c r="C56" s="124"/>
      <c r="D56" s="112"/>
      <c r="E56" s="97"/>
      <c r="F56" s="98"/>
      <c r="G56" s="99"/>
      <c r="H56" s="110"/>
      <c r="I56" s="101"/>
      <c r="J56" s="102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129"/>
      <c r="V56" s="129"/>
      <c r="W56" s="97"/>
      <c r="X56" s="97"/>
      <c r="Y56" s="107"/>
    </row>
    <row r="57" ht="17.25" customHeight="1">
      <c r="A57" s="112"/>
      <c r="B57" s="124"/>
      <c r="C57" s="124"/>
      <c r="D57" s="112"/>
      <c r="E57" s="97"/>
      <c r="F57" s="98"/>
      <c r="G57" s="99"/>
      <c r="H57" s="110"/>
      <c r="I57" s="101"/>
      <c r="J57" s="102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129"/>
      <c r="V57" s="129"/>
      <c r="W57" s="97"/>
      <c r="X57" s="97"/>
      <c r="Y57" s="107"/>
    </row>
    <row r="58" ht="17.25" customHeight="1">
      <c r="A58" s="112"/>
      <c r="B58" s="124"/>
      <c r="C58" s="124"/>
      <c r="D58" s="112"/>
      <c r="E58" s="97"/>
      <c r="F58" s="98"/>
      <c r="G58" s="99"/>
      <c r="H58" s="110"/>
      <c r="I58" s="101"/>
      <c r="J58" s="102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129"/>
      <c r="V58" s="129"/>
      <c r="W58" s="97"/>
      <c r="X58" s="97"/>
      <c r="Y58" s="107"/>
    </row>
    <row r="59" ht="17.25" customHeight="1">
      <c r="A59" s="112"/>
      <c r="B59" s="124"/>
      <c r="C59" s="124"/>
      <c r="D59" s="112"/>
      <c r="E59" s="97"/>
      <c r="F59" s="98"/>
      <c r="G59" s="99"/>
      <c r="H59" s="110"/>
      <c r="I59" s="101"/>
      <c r="J59" s="102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129"/>
      <c r="V59" s="129"/>
      <c r="W59" s="97"/>
      <c r="X59" s="97"/>
      <c r="Y59" s="107"/>
    </row>
    <row r="60" ht="17.25" customHeight="1">
      <c r="A60" s="112"/>
      <c r="B60" s="124"/>
      <c r="C60" s="124"/>
      <c r="D60" s="112"/>
      <c r="E60" s="97"/>
      <c r="F60" s="98"/>
      <c r="G60" s="99"/>
      <c r="H60" s="110"/>
      <c r="I60" s="101"/>
      <c r="J60" s="102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129"/>
      <c r="V60" s="129"/>
      <c r="W60" s="97"/>
      <c r="X60" s="97"/>
      <c r="Y60" s="107"/>
    </row>
  </sheetData>
  <autoFilter ref="$B$6:$X$20">
    <filterColumn colId="8">
      <filters>
        <filter val="9.05%"/>
        <filter val="3.69%"/>
        <filter val="2.28%"/>
        <filter val="68.47%"/>
        <filter val="1.58%"/>
        <filter val="14.94%"/>
      </filters>
    </filterColumn>
    <sortState ref="B6:X20">
      <sortCondition descending="1" ref="J6:J20"/>
      <sortCondition descending="1" ref="K6:K20"/>
    </sortState>
  </autoFilter>
  <customSheetViews>
    <customSheetView guid="{F856818F-A058-4EE9-87F4-CF4D29DD3AFB}" filter="1" showAutoFilter="1">
      <autoFilter ref="$B$6:$X$20">
        <sortState ref="B6:X20">
          <sortCondition descending="1" ref="Q6:Q20"/>
        </sortState>
      </autoFilter>
    </customSheetView>
    <customSheetView guid="{211266BA-7D4F-434C-A6B9-08541D97D023}" filter="1" showAutoFilter="1">
      <autoFilter ref="$B$6:$X$20">
        <filterColumn colId="15">
          <filters>
            <filter val="201.8%"/>
            <filter val="0.0%"/>
            <filter val="119.8%"/>
            <filter val="-54.3%"/>
            <filter val="-40.3%"/>
            <filter val="71.7%"/>
            <filter val="-47.6%"/>
            <filter val="0.00%"/>
          </filters>
        </filterColumn>
      </autoFilter>
    </customSheetView>
  </customSheetViews>
  <mergeCells count="1">
    <mergeCell ref="B4:D4"/>
  </mergeCells>
  <conditionalFormatting sqref="F7:G60">
    <cfRule type="cellIs" dxfId="3" priority="1" operator="greaterThan">
      <formula>0</formula>
    </cfRule>
  </conditionalFormatting>
  <conditionalFormatting sqref="F7:G60">
    <cfRule type="cellIs" dxfId="4" priority="2" operator="lessThan">
      <formula>0</formula>
    </cfRule>
  </conditionalFormatting>
  <conditionalFormatting sqref="Q7:Q20">
    <cfRule type="colorScale" priority="3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9.88"/>
    <col customWidth="1" hidden="1" min="2" max="2" width="9.88"/>
    <col customWidth="1" hidden="1" min="3" max="3" width="28.13"/>
    <col customWidth="1" min="4" max="6" width="12.13"/>
    <col customWidth="1" min="7" max="12" width="9.25"/>
    <col customWidth="1" min="13" max="13" width="9.63"/>
    <col customWidth="1" min="14" max="14" width="15.75"/>
    <col customWidth="1" min="15" max="16" width="13.13"/>
    <col customWidth="1" min="17" max="17" width="13.88"/>
    <col customWidth="1" min="18" max="21" width="7.75"/>
  </cols>
  <sheetData>
    <row r="1" ht="12.75" customHeight="1">
      <c r="A1" s="64"/>
      <c r="B1" s="64"/>
      <c r="C1" s="64"/>
      <c r="D1" s="64"/>
      <c r="E1" s="64"/>
      <c r="F1" s="64"/>
      <c r="G1" s="233"/>
      <c r="H1" s="233"/>
      <c r="I1" s="234"/>
      <c r="J1" s="234"/>
      <c r="K1" s="235"/>
      <c r="L1" s="235"/>
      <c r="M1" s="236"/>
      <c r="N1" s="237"/>
      <c r="O1" s="233"/>
      <c r="P1" s="233"/>
      <c r="Q1" s="238"/>
      <c r="R1" s="238"/>
      <c r="S1" s="238"/>
      <c r="T1" s="64"/>
      <c r="U1" s="64"/>
    </row>
    <row r="2" ht="11.25" customHeight="1">
      <c r="A2" s="64"/>
      <c r="B2" s="64"/>
      <c r="C2" s="64"/>
      <c r="D2" s="64"/>
      <c r="E2" s="64"/>
      <c r="F2" s="64"/>
      <c r="G2" s="233"/>
      <c r="H2" s="233"/>
      <c r="I2" s="234"/>
      <c r="J2" s="234"/>
      <c r="K2" s="235"/>
      <c r="L2" s="235"/>
      <c r="M2" s="236"/>
      <c r="N2" s="237"/>
      <c r="O2" s="233"/>
      <c r="P2" s="233"/>
      <c r="Q2" s="238"/>
      <c r="R2" s="238"/>
      <c r="S2" s="238"/>
      <c r="T2" s="64"/>
      <c r="U2" s="64"/>
    </row>
    <row r="3" ht="21.0" customHeight="1">
      <c r="A3" s="239" t="s">
        <v>82</v>
      </c>
      <c r="B3" s="239" t="s">
        <v>83</v>
      </c>
      <c r="C3" s="239" t="s">
        <v>84</v>
      </c>
      <c r="D3" s="239" t="s">
        <v>282</v>
      </c>
      <c r="E3" s="239"/>
      <c r="F3" s="239" t="s">
        <v>85</v>
      </c>
      <c r="G3" s="240" t="s">
        <v>283</v>
      </c>
      <c r="H3" s="240" t="s">
        <v>284</v>
      </c>
      <c r="I3" s="241" t="s">
        <v>285</v>
      </c>
      <c r="J3" s="241" t="s">
        <v>286</v>
      </c>
      <c r="K3" s="242" t="s">
        <v>287</v>
      </c>
      <c r="L3" s="242" t="s">
        <v>288</v>
      </c>
      <c r="M3" s="243" t="s">
        <v>289</v>
      </c>
      <c r="N3" s="244" t="s">
        <v>290</v>
      </c>
      <c r="O3" s="240" t="s">
        <v>291</v>
      </c>
      <c r="P3" s="240" t="s">
        <v>292</v>
      </c>
      <c r="Q3" s="245" t="s">
        <v>293</v>
      </c>
      <c r="R3" s="245" t="s">
        <v>294</v>
      </c>
      <c r="S3" s="245" t="s">
        <v>295</v>
      </c>
      <c r="T3" s="239" t="s">
        <v>245</v>
      </c>
      <c r="U3" s="239" t="s">
        <v>296</v>
      </c>
    </row>
    <row r="4" ht="17.25" customHeight="1">
      <c r="A4" s="124" t="s">
        <v>134</v>
      </c>
      <c r="B4" s="124"/>
      <c r="C4" s="112" t="str">
        <f>IFERROR(__xludf.DUMMYFUNCTION("IF(ISBLANK(A4), ""-"", GOOGLEFINANCE(IF(ISBLANK(B4), A4, B4&amp;"":""&amp;A4), ""name""))"),"TS Financial Holding Co Ltd")</f>
        <v>TS Financial Holding Co Ltd</v>
      </c>
      <c r="D4" s="104" t="s">
        <v>297</v>
      </c>
      <c r="E4" s="104" t="s">
        <v>298</v>
      </c>
      <c r="F4" s="97">
        <f>IFERROR(__xludf.DUMMYFUNCTION("IF(ISBLANK(A4), 0, GOOGLEFINANCE(IF(ISBLANK(B4), A4, B4&amp;"":""&amp;A4), ""price""))"),23.35)</f>
        <v>23.35</v>
      </c>
      <c r="G4" s="246"/>
      <c r="H4" s="246"/>
      <c r="I4" s="247"/>
      <c r="J4" s="247"/>
      <c r="K4" s="248">
        <f t="shared" ref="K4:K22" si="1">SUM(G4:J4)</f>
        <v>0</v>
      </c>
      <c r="L4" s="248"/>
      <c r="M4" s="249"/>
      <c r="N4" s="250"/>
      <c r="O4" s="246">
        <f t="shared" ref="O4:O13" si="2">K4*N4</f>
        <v>0</v>
      </c>
      <c r="P4" s="251">
        <f t="shared" ref="P4:P22" si="3">O4/F4*100%</f>
        <v>0</v>
      </c>
      <c r="Q4" s="252"/>
      <c r="R4" s="253" t="str">
        <f t="shared" ref="R4:R22" si="4">O4/Q4</f>
        <v>#DIV/0!</v>
      </c>
      <c r="S4" s="254" t="str">
        <f t="shared" ref="S4:S22" si="5">(R4-F4)/F4</f>
        <v>#DIV/0!</v>
      </c>
      <c r="T4" s="97"/>
      <c r="U4" s="97"/>
    </row>
    <row r="5" ht="17.25" hidden="1" customHeight="1">
      <c r="A5" s="124" t="s">
        <v>107</v>
      </c>
      <c r="B5" s="124"/>
      <c r="C5" s="112" t="str">
        <f>IFERROR(__xludf.DUMMYFUNCTION("IF(ISBLANK(A5), ""-"", GOOGLEFINANCE(IF(ISBLANK(B5), A5, B5&amp;"":""&amp;A5), ""name""))"),"Cathay MSCI Taiwan ESG Sustain Hi Div Yield ETF")</f>
        <v>Cathay MSCI Taiwan ESG Sustain Hi Div Yield ETF</v>
      </c>
      <c r="D5" s="97"/>
      <c r="E5" s="104"/>
      <c r="F5" s="97">
        <f>IFERROR(__xludf.DUMMYFUNCTION("IF(ISBLANK(A5), 0, GOOGLEFINANCE(IF(ISBLANK(B5), A5, B5&amp;"":""&amp;A5), ""price""))"),30.76)</f>
        <v>30.76</v>
      </c>
      <c r="G5" s="246"/>
      <c r="H5" s="246"/>
      <c r="I5" s="247"/>
      <c r="J5" s="247"/>
      <c r="K5" s="248">
        <f t="shared" si="1"/>
        <v>0</v>
      </c>
      <c r="L5" s="248"/>
      <c r="M5" s="249"/>
      <c r="N5" s="250"/>
      <c r="O5" s="246">
        <f t="shared" si="2"/>
        <v>0</v>
      </c>
      <c r="P5" s="251">
        <f t="shared" si="3"/>
        <v>0</v>
      </c>
      <c r="Q5" s="252"/>
      <c r="R5" s="253" t="str">
        <f t="shared" si="4"/>
        <v>#DIV/0!</v>
      </c>
      <c r="S5" s="254" t="str">
        <f t="shared" si="5"/>
        <v>#DIV/0!</v>
      </c>
      <c r="T5" s="97"/>
      <c r="U5" s="97"/>
    </row>
    <row r="6" ht="17.25" hidden="1" customHeight="1">
      <c r="A6" s="124" t="s">
        <v>162</v>
      </c>
      <c r="B6" s="124"/>
      <c r="C6" s="112" t="str">
        <f>IFERROR(__xludf.DUMMYFUNCTION("IF(ISBLANK(A6), ""-"", GOOGLEFINANCE(IF(ISBLANK(B6), A6, B6&amp;"":""&amp;A6), ""name""))"),"Yuanta/P-shares Taiwan Top 50 ETF")</f>
        <v>Yuanta/P-shares Taiwan Top 50 ETF</v>
      </c>
      <c r="D6" s="97"/>
      <c r="E6" s="104"/>
      <c r="F6" s="97">
        <f>IFERROR(__xludf.DUMMYFUNCTION("IF(ISBLANK(A6), 0, GOOGLEFINANCE(IF(ISBLANK(B6), A6, B6&amp;"":""&amp;A6), ""price""))"),105.4)</f>
        <v>105.4</v>
      </c>
      <c r="G6" s="246"/>
      <c r="H6" s="246"/>
      <c r="I6" s="247"/>
      <c r="J6" s="247"/>
      <c r="K6" s="248">
        <f t="shared" si="1"/>
        <v>0</v>
      </c>
      <c r="L6" s="248"/>
      <c r="M6" s="249"/>
      <c r="N6" s="250"/>
      <c r="O6" s="246">
        <f t="shared" si="2"/>
        <v>0</v>
      </c>
      <c r="P6" s="251">
        <f t="shared" si="3"/>
        <v>0</v>
      </c>
      <c r="Q6" s="252"/>
      <c r="R6" s="253" t="str">
        <f t="shared" si="4"/>
        <v>#DIV/0!</v>
      </c>
      <c r="S6" s="254" t="str">
        <f t="shared" si="5"/>
        <v>#DIV/0!</v>
      </c>
      <c r="T6" s="97"/>
      <c r="U6" s="97"/>
    </row>
    <row r="7" ht="17.25" customHeight="1">
      <c r="A7" s="124" t="s">
        <v>299</v>
      </c>
      <c r="B7" s="124"/>
      <c r="C7" s="112" t="str">
        <f>IFERROR(__xludf.DUMMYFUNCTION("IF(ISBLANK(A7), ""-"", GOOGLEFINANCE(IF(ISBLANK(B7), A7, B7&amp;"":""&amp;A7), ""name""))"),"Nan Ya Plastics Corp")</f>
        <v>Nan Ya Plastics Corp</v>
      </c>
      <c r="D7" s="104" t="s">
        <v>300</v>
      </c>
      <c r="E7" s="104" t="s">
        <v>301</v>
      </c>
      <c r="F7" s="97">
        <f>IFERROR(__xludf.DUMMYFUNCTION("IF(ISBLANK(A7), 0, GOOGLEFINANCE(IF(ISBLANK(B7), A7, B7&amp;"":""&amp;A7), ""price""))"),98.1)</f>
        <v>98.1</v>
      </c>
      <c r="G7" s="255">
        <v>1.9</v>
      </c>
      <c r="H7" s="255">
        <v>1.81</v>
      </c>
      <c r="I7" s="256">
        <v>1.3</v>
      </c>
      <c r="J7" s="256">
        <v>1.3</v>
      </c>
      <c r="K7" s="248">
        <f t="shared" si="1"/>
        <v>6.31</v>
      </c>
      <c r="L7" s="257">
        <v>10.25</v>
      </c>
      <c r="M7" s="258">
        <v>9.1</v>
      </c>
      <c r="N7" s="259">
        <v>0.7001</v>
      </c>
      <c r="O7" s="246">
        <f t="shared" si="2"/>
        <v>4.417631</v>
      </c>
      <c r="P7" s="251">
        <f t="shared" si="3"/>
        <v>0.04503191641</v>
      </c>
      <c r="Q7" s="260">
        <v>0.06</v>
      </c>
      <c r="R7" s="253">
        <f t="shared" si="4"/>
        <v>73.62718333</v>
      </c>
      <c r="S7" s="254">
        <f t="shared" si="5"/>
        <v>-0.2494680598</v>
      </c>
      <c r="T7" s="97"/>
      <c r="U7" s="97"/>
    </row>
    <row r="8" ht="17.25" hidden="1" customHeight="1">
      <c r="A8" s="124" t="s">
        <v>104</v>
      </c>
      <c r="B8" s="124"/>
      <c r="C8" s="112" t="str">
        <f>IFERROR(__xludf.DUMMYFUNCTION("IF(ISBLANK(A8), ""-"", GOOGLEFINANCE(IF(ISBLANK(B8), A8, B8&amp;"":""&amp;A8), ""name""))"),"FUBON TWSE CORPORATE GOVERNANCE 100 ETF")</f>
        <v>FUBON TWSE CORPORATE GOVERNANCE 100 ETF</v>
      </c>
      <c r="D8" s="97"/>
      <c r="E8" s="97"/>
      <c r="F8" s="97">
        <f>IFERROR(__xludf.DUMMYFUNCTION("IF(ISBLANK(A8), 0, GOOGLEFINANCE(IF(ISBLANK(B8), A8, B8&amp;"":""&amp;A8), ""price""))"),90.45)</f>
        <v>90.45</v>
      </c>
      <c r="G8" s="246"/>
      <c r="H8" s="246"/>
      <c r="I8" s="247"/>
      <c r="J8" s="247"/>
      <c r="K8" s="248">
        <f t="shared" si="1"/>
        <v>0</v>
      </c>
      <c r="L8" s="248"/>
      <c r="M8" s="249"/>
      <c r="N8" s="250"/>
      <c r="O8" s="246">
        <f t="shared" si="2"/>
        <v>0</v>
      </c>
      <c r="P8" s="251">
        <f t="shared" si="3"/>
        <v>0</v>
      </c>
      <c r="Q8" s="252"/>
      <c r="R8" s="253" t="str">
        <f t="shared" si="4"/>
        <v>#DIV/0!</v>
      </c>
      <c r="S8" s="254" t="str">
        <f t="shared" si="5"/>
        <v>#DIV/0!</v>
      </c>
      <c r="T8" s="97"/>
      <c r="U8" s="97"/>
    </row>
    <row r="9" ht="17.25" hidden="1" customHeight="1">
      <c r="A9" s="124" t="s">
        <v>123</v>
      </c>
      <c r="B9" s="124"/>
      <c r="C9" s="112" t="str">
        <f>IFERROR(__xludf.DUMMYFUNCTION("IF(ISBLANK(A9), ""-"", GOOGLEFINANCE(IF(ISBLANK(B9), A9, B9&amp;"":""&amp;A9), ""name""))"),"Cathay Taiwan Technology Leader ETF")</f>
        <v>Cathay Taiwan Technology Leader ETF</v>
      </c>
      <c r="D9" s="97"/>
      <c r="E9" s="97"/>
      <c r="F9" s="97">
        <f>IFERROR(__xludf.DUMMYFUNCTION("IF(ISBLANK(A9), 0, GOOGLEFINANCE(IF(ISBLANK(B9), A9, B9&amp;"":""&amp;A9), ""price""))"),54.9)</f>
        <v>54.9</v>
      </c>
      <c r="G9" s="246"/>
      <c r="H9" s="246"/>
      <c r="I9" s="247"/>
      <c r="J9" s="247"/>
      <c r="K9" s="248">
        <f t="shared" si="1"/>
        <v>0</v>
      </c>
      <c r="L9" s="248"/>
      <c r="M9" s="249"/>
      <c r="N9" s="250"/>
      <c r="O9" s="246">
        <f t="shared" si="2"/>
        <v>0</v>
      </c>
      <c r="P9" s="251">
        <f t="shared" si="3"/>
        <v>0</v>
      </c>
      <c r="Q9" s="252"/>
      <c r="R9" s="253" t="str">
        <f t="shared" si="4"/>
        <v>#DIV/0!</v>
      </c>
      <c r="S9" s="254" t="str">
        <f t="shared" si="5"/>
        <v>#DIV/0!</v>
      </c>
      <c r="T9" s="97"/>
      <c r="U9" s="97"/>
    </row>
    <row r="10" ht="17.25" customHeight="1">
      <c r="A10" s="124" t="s">
        <v>137</v>
      </c>
      <c r="B10" s="124"/>
      <c r="C10" s="112" t="str">
        <f>IFERROR(__xludf.DUMMYFUNCTION("IF(ISBLANK(A10), ""-"", GOOGLEFINANCE(IF(ISBLANK(B10), A10, B10&amp;"":""&amp;A10), ""name""))"),"Taiwan Business Bank Ltd")</f>
        <v>Taiwan Business Bank Ltd</v>
      </c>
      <c r="D10" s="104" t="s">
        <v>297</v>
      </c>
      <c r="E10" s="104" t="s">
        <v>31</v>
      </c>
      <c r="F10" s="97">
        <f>IFERROR(__xludf.DUMMYFUNCTION("IF(ISBLANK(A10), 0, GOOGLEFINANCE(IF(ISBLANK(B10), A10, B10&amp;"":""&amp;A10), ""price""))"),16.25)</f>
        <v>16.25</v>
      </c>
      <c r="G10" s="246"/>
      <c r="H10" s="246"/>
      <c r="I10" s="247"/>
      <c r="J10" s="247"/>
      <c r="K10" s="248">
        <f t="shared" si="1"/>
        <v>0</v>
      </c>
      <c r="L10" s="248"/>
      <c r="M10" s="249"/>
      <c r="N10" s="250"/>
      <c r="O10" s="246">
        <f t="shared" si="2"/>
        <v>0</v>
      </c>
      <c r="P10" s="251">
        <f t="shared" si="3"/>
        <v>0</v>
      </c>
      <c r="Q10" s="252"/>
      <c r="R10" s="253" t="str">
        <f t="shared" si="4"/>
        <v>#DIV/0!</v>
      </c>
      <c r="S10" s="254" t="str">
        <f t="shared" si="5"/>
        <v>#DIV/0!</v>
      </c>
      <c r="T10" s="97"/>
      <c r="U10" s="97"/>
    </row>
    <row r="11" ht="17.25" customHeight="1">
      <c r="A11" s="124" t="s">
        <v>121</v>
      </c>
      <c r="B11" s="124"/>
      <c r="C11" s="112" t="str">
        <f>IFERROR(__xludf.DUMMYFUNCTION("IF(ISBLANK(A11), ""-"", GOOGLEFINANCE(IF(ISBLANK(B11), A11, B11&amp;"":""&amp;A11), ""name""))"),"Yuanta Financial Holding Co Ltd")</f>
        <v>Yuanta Financial Holding Co Ltd</v>
      </c>
      <c r="D11" s="104" t="s">
        <v>297</v>
      </c>
      <c r="E11" s="104" t="s">
        <v>122</v>
      </c>
      <c r="F11" s="97">
        <f>IFERROR(__xludf.DUMMYFUNCTION("IF(ISBLANK(A11), 0, GOOGLEFINANCE(IF(ISBLANK(B11), A11, B11&amp;"":""&amp;A11), ""price""))"),59.6)</f>
        <v>59.6</v>
      </c>
      <c r="G11" s="246"/>
      <c r="H11" s="246"/>
      <c r="I11" s="247"/>
      <c r="J11" s="247"/>
      <c r="K11" s="248">
        <f t="shared" si="1"/>
        <v>0</v>
      </c>
      <c r="L11" s="248"/>
      <c r="M11" s="249"/>
      <c r="N11" s="250"/>
      <c r="O11" s="246">
        <f t="shared" si="2"/>
        <v>0</v>
      </c>
      <c r="P11" s="251">
        <f t="shared" si="3"/>
        <v>0</v>
      </c>
      <c r="Q11" s="252"/>
      <c r="R11" s="253" t="str">
        <f t="shared" si="4"/>
        <v>#DIV/0!</v>
      </c>
      <c r="S11" s="254" t="str">
        <f t="shared" si="5"/>
        <v>#DIV/0!</v>
      </c>
      <c r="T11" s="97"/>
      <c r="U11" s="97"/>
    </row>
    <row r="12" ht="17.25" customHeight="1">
      <c r="A12" s="124" t="s">
        <v>302</v>
      </c>
      <c r="B12" s="124"/>
      <c r="C12" s="112" t="str">
        <f>IFERROR(__xludf.DUMMYFUNCTION("IF(ISBLANK(A12), ""-"", GOOGLEFINANCE(IF(ISBLANK(B12), A12, B12&amp;"":""&amp;A12), ""name""))"),"TCC Group Holdings Co Ltd")</f>
        <v>TCC Group Holdings Co Ltd</v>
      </c>
      <c r="D12" s="104" t="s">
        <v>303</v>
      </c>
      <c r="E12" s="104" t="s">
        <v>304</v>
      </c>
      <c r="F12" s="97">
        <f>IFERROR(__xludf.DUMMYFUNCTION("IF(ISBLANK(A12), 0, GOOGLEFINANCE(IF(ISBLANK(B12), A12, B12&amp;"":""&amp;A12), ""price""))"),24.4)</f>
        <v>24.4</v>
      </c>
      <c r="G12" s="255">
        <v>0.2</v>
      </c>
      <c r="H12" s="255">
        <v>-0.02</v>
      </c>
      <c r="I12" s="256">
        <v>1.0</v>
      </c>
      <c r="J12" s="256">
        <v>1.0</v>
      </c>
      <c r="K12" s="248">
        <f t="shared" si="1"/>
        <v>2.18</v>
      </c>
      <c r="L12" s="257">
        <v>3.3</v>
      </c>
      <c r="M12" s="258">
        <v>22.9</v>
      </c>
      <c r="N12" s="259">
        <v>0.7614</v>
      </c>
      <c r="O12" s="246">
        <f t="shared" si="2"/>
        <v>1.659852</v>
      </c>
      <c r="P12" s="251">
        <f t="shared" si="3"/>
        <v>0.06802672131</v>
      </c>
      <c r="Q12" s="260">
        <v>0.0494</v>
      </c>
      <c r="R12" s="253">
        <f t="shared" si="4"/>
        <v>33.60024291</v>
      </c>
      <c r="S12" s="254">
        <f t="shared" si="5"/>
        <v>0.3770591359</v>
      </c>
      <c r="T12" s="97"/>
      <c r="U12" s="97"/>
    </row>
    <row r="13" ht="17.25" hidden="1" customHeight="1">
      <c r="A13" s="124" t="s">
        <v>305</v>
      </c>
      <c r="B13" s="124"/>
      <c r="C13" s="112" t="str">
        <f>IFERROR(__xludf.DUMMYFUNCTION("IF(ISBLANK(A13), ""-"", GOOGLEFINANCE(IF(ISBLANK(B13), A13, B13&amp;"":""&amp;A13), ""name""))"),"UPAMC NYSE FANG+ ETF")</f>
        <v>UPAMC NYSE FANG+ ETF</v>
      </c>
      <c r="D13" s="97"/>
      <c r="E13" s="97"/>
      <c r="F13" s="97">
        <f>IFERROR(__xludf.DUMMYFUNCTION("IF(ISBLANK(A13), 0, GOOGLEFINANCE(IF(ISBLANK(B13), A13, B13&amp;"":""&amp;A13), ""price""))"),133.7)</f>
        <v>133.7</v>
      </c>
      <c r="G13" s="246"/>
      <c r="H13" s="246"/>
      <c r="I13" s="247"/>
      <c r="J13" s="247"/>
      <c r="K13" s="248">
        <f t="shared" si="1"/>
        <v>0</v>
      </c>
      <c r="L13" s="248"/>
      <c r="M13" s="249"/>
      <c r="N13" s="250"/>
      <c r="O13" s="246">
        <f t="shared" si="2"/>
        <v>0</v>
      </c>
      <c r="P13" s="251">
        <f t="shared" si="3"/>
        <v>0</v>
      </c>
      <c r="Q13" s="252"/>
      <c r="R13" s="253" t="str">
        <f t="shared" si="4"/>
        <v>#DIV/0!</v>
      </c>
      <c r="S13" s="254" t="str">
        <f t="shared" si="5"/>
        <v>#DIV/0!</v>
      </c>
      <c r="T13" s="97"/>
      <c r="U13" s="97"/>
    </row>
    <row r="14" ht="17.25" customHeight="1">
      <c r="A14" s="124" t="s">
        <v>126</v>
      </c>
      <c r="B14" s="124"/>
      <c r="C14" s="112" t="str">
        <f>IFERROR(__xludf.DUMMYFUNCTION("IF(ISBLANK(A14), ""-"", GOOGLEFINANCE(IF(ISBLANK(B14), A14, B14&amp;"":""&amp;A14), ""name""))"),"Stark Technology Inc")</f>
        <v>Stark Technology Inc</v>
      </c>
      <c r="D14" s="104" t="s">
        <v>306</v>
      </c>
      <c r="E14" s="104" t="s">
        <v>127</v>
      </c>
      <c r="F14" s="97">
        <f>IFERROR(__xludf.DUMMYFUNCTION("IF(ISBLANK(A14), 0, GOOGLEFINANCE(IF(ISBLANK(B14), A14, B14&amp;"":""&amp;A14), ""price""))"),148.5)</f>
        <v>148.5</v>
      </c>
      <c r="G14" s="255">
        <v>1.71</v>
      </c>
      <c r="H14" s="255">
        <v>1.61</v>
      </c>
      <c r="I14" s="256">
        <v>1.2</v>
      </c>
      <c r="J14" s="256">
        <v>1.8</v>
      </c>
      <c r="K14" s="248">
        <f t="shared" si="1"/>
        <v>6.32</v>
      </c>
      <c r="L14" s="257">
        <v>6.0</v>
      </c>
      <c r="M14" s="258">
        <v>12.5</v>
      </c>
      <c r="N14" s="259">
        <v>0.9867</v>
      </c>
      <c r="O14" s="246">
        <f>K14*N10:N14</f>
        <v>6.235944</v>
      </c>
      <c r="P14" s="251">
        <f t="shared" si="3"/>
        <v>0.04199288889</v>
      </c>
      <c r="Q14" s="252">
        <v>0.065</v>
      </c>
      <c r="R14" s="253">
        <f t="shared" si="4"/>
        <v>95.9376</v>
      </c>
      <c r="S14" s="254">
        <f t="shared" si="5"/>
        <v>-0.3539555556</v>
      </c>
      <c r="T14" s="97"/>
      <c r="U14" s="256" t="s">
        <v>307</v>
      </c>
    </row>
    <row r="15" ht="17.25" hidden="1" customHeight="1">
      <c r="A15" s="124" t="s">
        <v>113</v>
      </c>
      <c r="B15" s="124" t="s">
        <v>114</v>
      </c>
      <c r="C15" s="112" t="str">
        <f>IFERROR(__xludf.DUMMYFUNCTION("IF(ISBLANK(A15), ""-"", GOOGLEFINANCE(IF(ISBLANK(B15), A15, B15&amp;"":""&amp;A15), ""name""))"),"Tesla Inc")</f>
        <v>Tesla Inc</v>
      </c>
      <c r="D15" s="97"/>
      <c r="E15" s="97"/>
      <c r="F15" s="97">
        <f>IFERROR(__xludf.DUMMYFUNCTION("IF(ISBLANK(A15), 0, GOOGLEFINANCE(IF(ISBLANK(B15), A15, B15&amp;"":""&amp;A15), ""price""))"),435.79)</f>
        <v>435.79</v>
      </c>
      <c r="G15" s="246"/>
      <c r="H15" s="246"/>
      <c r="I15" s="247"/>
      <c r="J15" s="247"/>
      <c r="K15" s="248">
        <f t="shared" si="1"/>
        <v>0</v>
      </c>
      <c r="L15" s="248"/>
      <c r="M15" s="249"/>
      <c r="N15" s="250"/>
      <c r="O15" s="246">
        <f t="shared" ref="O15:O22" si="6">K15*N15</f>
        <v>0</v>
      </c>
      <c r="P15" s="251">
        <f t="shared" si="3"/>
        <v>0</v>
      </c>
      <c r="Q15" s="252"/>
      <c r="R15" s="253" t="str">
        <f t="shared" si="4"/>
        <v>#DIV/0!</v>
      </c>
      <c r="S15" s="254" t="str">
        <f t="shared" si="5"/>
        <v>#DIV/0!</v>
      </c>
      <c r="T15" s="97"/>
      <c r="U15" s="97"/>
    </row>
    <row r="16" ht="17.25" customHeight="1">
      <c r="A16" s="124" t="s">
        <v>153</v>
      </c>
      <c r="B16" s="124"/>
      <c r="C16" s="112" t="str">
        <f>IFERROR(__xludf.DUMMYFUNCTION("IF(ISBLANK(A16), ""-"", GOOGLEFINANCE(IF(ISBLANK(B16), A16, B16&amp;"":""&amp;A16), ""name""))"),"Lite-On Technology Corp")</f>
        <v>Lite-On Technology Corp</v>
      </c>
      <c r="D16" s="104" t="s">
        <v>308</v>
      </c>
      <c r="E16" s="104" t="s">
        <v>309</v>
      </c>
      <c r="F16" s="97">
        <f>IFERROR(__xludf.DUMMYFUNCTION("IF(ISBLANK(A16), 0, GOOGLEFINANCE(IF(ISBLANK(B16), A16, B16&amp;"":""&amp;A16), ""price""))"),234.5)</f>
        <v>234.5</v>
      </c>
      <c r="G16" s="255">
        <v>0.92</v>
      </c>
      <c r="H16" s="255">
        <v>1.74</v>
      </c>
      <c r="I16" s="256">
        <v>1.2</v>
      </c>
      <c r="J16" s="256">
        <v>1.0</v>
      </c>
      <c r="K16" s="248">
        <f t="shared" si="1"/>
        <v>4.86</v>
      </c>
      <c r="L16" s="257">
        <v>6.01</v>
      </c>
      <c r="M16" s="258">
        <v>11.5</v>
      </c>
      <c r="N16" s="261">
        <v>0.98</v>
      </c>
      <c r="O16" s="246">
        <f t="shared" si="6"/>
        <v>4.7628</v>
      </c>
      <c r="P16" s="251">
        <f t="shared" si="3"/>
        <v>0.02031044776</v>
      </c>
      <c r="Q16" s="252">
        <v>0.06</v>
      </c>
      <c r="R16" s="253">
        <f t="shared" si="4"/>
        <v>79.38</v>
      </c>
      <c r="S16" s="254">
        <f t="shared" si="5"/>
        <v>-0.6614925373</v>
      </c>
      <c r="T16" s="97"/>
      <c r="U16" s="256" t="s">
        <v>307</v>
      </c>
    </row>
    <row r="17" ht="17.25" hidden="1" customHeight="1">
      <c r="A17" s="124" t="s">
        <v>160</v>
      </c>
      <c r="B17" s="124"/>
      <c r="C17" s="112" t="str">
        <f>IFERROR(__xludf.DUMMYFUNCTION("IF(ISBLANK(A17), ""-"", GOOGLEFINANCE(IF(ISBLANK(B17), A17, B17&amp;"":""&amp;A17), ""name""))"),"Global X NASDAQ 100 Covered Call ETF")</f>
        <v>Global X NASDAQ 100 Covered Call ETF</v>
      </c>
      <c r="D17" s="97"/>
      <c r="E17" s="97"/>
      <c r="F17" s="97">
        <f>IFERROR(__xludf.DUMMYFUNCTION("IF(ISBLANK(A17), 0, GOOGLEFINANCE(IF(ISBLANK(B17), A17, B17&amp;"":""&amp;A17), ""price""))"),18.08)</f>
        <v>18.08</v>
      </c>
      <c r="G17" s="246"/>
      <c r="H17" s="246"/>
      <c r="I17" s="247"/>
      <c r="J17" s="247"/>
      <c r="K17" s="248">
        <f t="shared" si="1"/>
        <v>0</v>
      </c>
      <c r="L17" s="248"/>
      <c r="M17" s="249"/>
      <c r="N17" s="250"/>
      <c r="O17" s="246">
        <f t="shared" si="6"/>
        <v>0</v>
      </c>
      <c r="P17" s="251">
        <f t="shared" si="3"/>
        <v>0</v>
      </c>
      <c r="Q17" s="252"/>
      <c r="R17" s="253" t="str">
        <f t="shared" si="4"/>
        <v>#DIV/0!</v>
      </c>
      <c r="S17" s="254" t="str">
        <f t="shared" si="5"/>
        <v>#DIV/0!</v>
      </c>
      <c r="T17" s="97"/>
      <c r="U17" s="97"/>
    </row>
    <row r="18" ht="17.25" customHeight="1">
      <c r="A18" s="124" t="s">
        <v>310</v>
      </c>
      <c r="B18" s="124"/>
      <c r="C18" s="112" t="str">
        <f>IFERROR(__xludf.DUMMYFUNCTION("IF(ISBLANK(A18), ""-"", GOOGLEFINANCE(IF(ISBLANK(B18), A18, B18&amp;"":""&amp;A18), ""name""))"),"Ton Yi Industrial Corp")</f>
        <v>Ton Yi Industrial Corp</v>
      </c>
      <c r="D18" s="104" t="s">
        <v>311</v>
      </c>
      <c r="E18" s="104" t="s">
        <v>312</v>
      </c>
      <c r="F18" s="97">
        <f>IFERROR(__xludf.DUMMYFUNCTION("IF(ISBLANK(A18), 0, GOOGLEFINANCE(IF(ISBLANK(B18), A18, B18&amp;"":""&amp;A18), ""price""))"),15.95)</f>
        <v>15.95</v>
      </c>
      <c r="G18" s="255">
        <v>0.39</v>
      </c>
      <c r="H18" s="255">
        <v>0.55</v>
      </c>
      <c r="I18" s="256">
        <v>0.55</v>
      </c>
      <c r="J18" s="256">
        <v>0.4</v>
      </c>
      <c r="K18" s="248">
        <f t="shared" si="1"/>
        <v>1.89</v>
      </c>
      <c r="L18" s="257">
        <v>1.17</v>
      </c>
      <c r="M18" s="258">
        <v>12.2</v>
      </c>
      <c r="N18" s="259">
        <v>0.7711</v>
      </c>
      <c r="O18" s="246">
        <f t="shared" si="6"/>
        <v>1.457379</v>
      </c>
      <c r="P18" s="251">
        <f t="shared" si="3"/>
        <v>0.09137172414</v>
      </c>
      <c r="Q18" s="252">
        <v>0.045</v>
      </c>
      <c r="R18" s="253">
        <f t="shared" si="4"/>
        <v>32.3862</v>
      </c>
      <c r="S18" s="254">
        <f t="shared" si="5"/>
        <v>1.030482759</v>
      </c>
      <c r="T18" s="97"/>
      <c r="U18" s="256" t="s">
        <v>307</v>
      </c>
    </row>
    <row r="19" ht="17.25" customHeight="1">
      <c r="A19" s="124" t="s">
        <v>117</v>
      </c>
      <c r="B19" s="124"/>
      <c r="C19" s="112" t="str">
        <f>IFERROR(__xludf.DUMMYFUNCTION("IF(ISBLANK(A19), ""-"", GOOGLEFINANCE(IF(ISBLANK(B19), A19, B19&amp;"":""&amp;A19), ""name""))"),"Sinopac Financial Holdings Co Ltd")</f>
        <v>Sinopac Financial Holdings Co Ltd</v>
      </c>
      <c r="D19" s="104" t="s">
        <v>297</v>
      </c>
      <c r="E19" s="104" t="s">
        <v>118</v>
      </c>
      <c r="F19" s="97">
        <f>IFERROR(__xludf.DUMMYFUNCTION("IF(ISBLANK(A19), 0, GOOGLEFINANCE(IF(ISBLANK(B19), A19, B19&amp;"":""&amp;A19), ""price""))"),30.0)</f>
        <v>30</v>
      </c>
      <c r="G19" s="246"/>
      <c r="H19" s="246"/>
      <c r="I19" s="247"/>
      <c r="J19" s="247"/>
      <c r="K19" s="248">
        <f t="shared" si="1"/>
        <v>0</v>
      </c>
      <c r="L19" s="248"/>
      <c r="M19" s="249"/>
      <c r="N19" s="250"/>
      <c r="O19" s="246">
        <f t="shared" si="6"/>
        <v>0</v>
      </c>
      <c r="P19" s="251">
        <f t="shared" si="3"/>
        <v>0</v>
      </c>
      <c r="Q19" s="252"/>
      <c r="R19" s="253" t="str">
        <f t="shared" si="4"/>
        <v>#DIV/0!</v>
      </c>
      <c r="S19" s="254" t="str">
        <f t="shared" si="5"/>
        <v>#DIV/0!</v>
      </c>
      <c r="T19" s="97"/>
      <c r="U19" s="97"/>
    </row>
    <row r="20" ht="17.25" hidden="1" customHeight="1">
      <c r="A20" s="124" t="s">
        <v>161</v>
      </c>
      <c r="B20" s="124"/>
      <c r="C20" s="112" t="str">
        <f>IFERROR(__xludf.DUMMYFUNCTION("IF(ISBLANK(A20), ""-"", GOOGLEFINANCE(IF(ISBLANK(B20), A20, B20&amp;"":""&amp;A20), ""name""))"),"iShares Core S&amp;P Total US Stock Market ETF")</f>
        <v>iShares Core S&amp;P Total US Stock Market ETF</v>
      </c>
      <c r="D20" s="97"/>
      <c r="E20" s="97"/>
      <c r="F20" s="97">
        <f>IFERROR(__xludf.DUMMYFUNCTION("IF(ISBLANK(A20), 0, GOOGLEFINANCE(IF(ISBLANK(B20), A20, B20&amp;"":""&amp;A20), ""price""))"),165.48)</f>
        <v>165.48</v>
      </c>
      <c r="G20" s="246"/>
      <c r="H20" s="246"/>
      <c r="I20" s="247"/>
      <c r="J20" s="247"/>
      <c r="K20" s="248">
        <f t="shared" si="1"/>
        <v>0</v>
      </c>
      <c r="L20" s="248"/>
      <c r="M20" s="249"/>
      <c r="N20" s="250"/>
      <c r="O20" s="246">
        <f t="shared" si="6"/>
        <v>0</v>
      </c>
      <c r="P20" s="251">
        <f t="shared" si="3"/>
        <v>0</v>
      </c>
      <c r="Q20" s="252"/>
      <c r="R20" s="253" t="str">
        <f t="shared" si="4"/>
        <v>#DIV/0!</v>
      </c>
      <c r="S20" s="254" t="str">
        <f t="shared" si="5"/>
        <v>#DIV/0!</v>
      </c>
      <c r="T20" s="97"/>
      <c r="U20" s="97"/>
    </row>
    <row r="21" ht="17.25" hidden="1" customHeight="1">
      <c r="A21" s="124" t="s">
        <v>145</v>
      </c>
      <c r="B21" s="124"/>
      <c r="C21" s="112" t="str">
        <f>IFERROR(__xludf.DUMMYFUNCTION("IF(ISBLANK(A21), ""-"", GOOGLEFINANCE(IF(ISBLANK(B21), A21, B21&amp;"":""&amp;A21), ""name""))"),"China Steel Corp")</f>
        <v>China Steel Corp</v>
      </c>
      <c r="D21" s="97"/>
      <c r="E21" s="104" t="s">
        <v>313</v>
      </c>
      <c r="F21" s="97">
        <f>IFERROR(__xludf.DUMMYFUNCTION("IF(ISBLANK(A21), 0, GOOGLEFINANCE(IF(ISBLANK(B21), A21, B21&amp;"":""&amp;A21), ""price""))"),19.1)</f>
        <v>19.1</v>
      </c>
      <c r="G21" s="246"/>
      <c r="H21" s="246"/>
      <c r="I21" s="247"/>
      <c r="J21" s="247"/>
      <c r="K21" s="248">
        <f t="shared" si="1"/>
        <v>0</v>
      </c>
      <c r="L21" s="248"/>
      <c r="M21" s="249"/>
      <c r="N21" s="250"/>
      <c r="O21" s="246">
        <f t="shared" si="6"/>
        <v>0</v>
      </c>
      <c r="P21" s="251">
        <f t="shared" si="3"/>
        <v>0</v>
      </c>
      <c r="Q21" s="252"/>
      <c r="R21" s="253" t="str">
        <f t="shared" si="4"/>
        <v>#DIV/0!</v>
      </c>
      <c r="S21" s="254" t="str">
        <f t="shared" si="5"/>
        <v>#DIV/0!</v>
      </c>
      <c r="T21" s="97"/>
      <c r="U21" s="97"/>
    </row>
    <row r="22" ht="17.25" hidden="1" customHeight="1">
      <c r="A22" s="124" t="s">
        <v>314</v>
      </c>
      <c r="B22" s="124"/>
      <c r="C22" s="112" t="str">
        <f>IFERROR(__xludf.DUMMYFUNCTION("IF(ISBLANK(A22), ""-"", GOOGLEFINANCE(IF(ISBLANK(B22), A22, B22&amp;"":""&amp;A22), ""name""))"),"Ruentex Development Co Ltd")</f>
        <v>Ruentex Development Co Ltd</v>
      </c>
      <c r="D22" s="97"/>
      <c r="E22" s="97"/>
      <c r="F22" s="97">
        <f>IFERROR(__xludf.DUMMYFUNCTION("IF(ISBLANK(A22), 0, GOOGLEFINANCE(IF(ISBLANK(B22), A22, B22&amp;"":""&amp;A22), ""price""))"),23.3)</f>
        <v>23.3</v>
      </c>
      <c r="G22" s="246"/>
      <c r="H22" s="246"/>
      <c r="I22" s="247"/>
      <c r="J22" s="247"/>
      <c r="K22" s="248">
        <f t="shared" si="1"/>
        <v>0</v>
      </c>
      <c r="L22" s="248"/>
      <c r="M22" s="249"/>
      <c r="N22" s="250"/>
      <c r="O22" s="246">
        <f t="shared" si="6"/>
        <v>0</v>
      </c>
      <c r="P22" s="251">
        <f t="shared" si="3"/>
        <v>0</v>
      </c>
      <c r="Q22" s="252"/>
      <c r="R22" s="253" t="str">
        <f t="shared" si="4"/>
        <v>#DIV/0!</v>
      </c>
      <c r="S22" s="254" t="str">
        <f t="shared" si="5"/>
        <v>#DIV/0!</v>
      </c>
      <c r="T22" s="97"/>
      <c r="U22" s="97"/>
    </row>
    <row r="23" ht="17.25" hidden="1" customHeight="1">
      <c r="A23" s="124"/>
      <c r="B23" s="124"/>
      <c r="C23" s="112" t="str">
        <f>IFERROR(__xludf.DUMMYFUNCTION("IF(ISBLANK(A23), ""-"", GOOGLEFINANCE(IF(ISBLANK(B23), A23, B23&amp;"":""&amp;A23), ""name""))"),"-")</f>
        <v>-</v>
      </c>
      <c r="D23" s="97"/>
      <c r="E23" s="97"/>
      <c r="F23" s="97">
        <f>IFERROR(__xludf.DUMMYFUNCTION("IF(ISBLANK(A23), 0, GOOGLEFINANCE(IF(ISBLANK(B23), A23, B23&amp;"":""&amp;A23), ""price""))"),0.0)</f>
        <v>0</v>
      </c>
      <c r="G23" s="246"/>
      <c r="H23" s="246"/>
      <c r="I23" s="247"/>
      <c r="J23" s="247"/>
      <c r="K23" s="248"/>
      <c r="L23" s="248"/>
      <c r="M23" s="249"/>
      <c r="N23" s="250"/>
      <c r="O23" s="246"/>
      <c r="P23" s="246"/>
      <c r="Q23" s="253"/>
      <c r="R23" s="253"/>
      <c r="S23" s="253"/>
      <c r="T23" s="97"/>
      <c r="U23" s="97"/>
    </row>
    <row r="24" ht="17.25" hidden="1" customHeight="1">
      <c r="A24" s="124"/>
      <c r="B24" s="124"/>
      <c r="C24" s="112" t="str">
        <f>IFERROR(__xludf.DUMMYFUNCTION("IF(ISBLANK(A24), ""-"", GOOGLEFINANCE(IF(ISBLANK(B24), A24, B24&amp;"":""&amp;A24), ""name""))"),"-")</f>
        <v>-</v>
      </c>
      <c r="D24" s="97"/>
      <c r="E24" s="97"/>
      <c r="F24" s="97">
        <f>IFERROR(__xludf.DUMMYFUNCTION("IF(ISBLANK(A24), 0, GOOGLEFINANCE(IF(ISBLANK(B24), A24, B24&amp;"":""&amp;A24), ""price""))"),0.0)</f>
        <v>0</v>
      </c>
      <c r="G24" s="246"/>
      <c r="H24" s="246"/>
      <c r="I24" s="247"/>
      <c r="J24" s="247"/>
      <c r="K24" s="248"/>
      <c r="L24" s="248"/>
      <c r="M24" s="249"/>
      <c r="N24" s="250"/>
      <c r="O24" s="246"/>
      <c r="P24" s="246"/>
      <c r="Q24" s="253"/>
      <c r="R24" s="253"/>
      <c r="S24" s="253"/>
      <c r="T24" s="97"/>
      <c r="U24" s="97"/>
    </row>
    <row r="25" ht="17.25" hidden="1" customHeight="1">
      <c r="A25" s="124"/>
      <c r="B25" s="124"/>
      <c r="C25" s="112" t="str">
        <f>IFERROR(__xludf.DUMMYFUNCTION("IF(ISBLANK(A25), ""-"", GOOGLEFINANCE(IF(ISBLANK(B25), A25, B25&amp;"":""&amp;A25), ""name""))"),"-")</f>
        <v>-</v>
      </c>
      <c r="D25" s="97"/>
      <c r="E25" s="97"/>
      <c r="F25" s="97">
        <f>IFERROR(__xludf.DUMMYFUNCTION("IF(ISBLANK(A25), 0, GOOGLEFINANCE(IF(ISBLANK(B25), A25, B25&amp;"":""&amp;A25), ""price""))"),0.0)</f>
        <v>0</v>
      </c>
      <c r="G25" s="246"/>
      <c r="H25" s="246"/>
      <c r="I25" s="247"/>
      <c r="J25" s="247"/>
      <c r="K25" s="248"/>
      <c r="L25" s="248"/>
      <c r="M25" s="249"/>
      <c r="N25" s="250"/>
      <c r="O25" s="246"/>
      <c r="P25" s="246"/>
      <c r="Q25" s="253"/>
      <c r="R25" s="253"/>
      <c r="S25" s="253"/>
      <c r="T25" s="97"/>
      <c r="U25" s="97"/>
    </row>
    <row r="26" ht="17.25" hidden="1" customHeight="1">
      <c r="A26" s="124"/>
      <c r="B26" s="124"/>
      <c r="C26" s="112" t="str">
        <f>IFERROR(__xludf.DUMMYFUNCTION("IF(ISBLANK(A26), ""-"", GOOGLEFINANCE(IF(ISBLANK(B26), A26, B26&amp;"":""&amp;A26), ""name""))"),"-")</f>
        <v>-</v>
      </c>
      <c r="D26" s="97"/>
      <c r="E26" s="97"/>
      <c r="F26" s="97">
        <f>IFERROR(__xludf.DUMMYFUNCTION("IF(ISBLANK(A26), 0, GOOGLEFINANCE(IF(ISBLANK(B26), A26, B26&amp;"":""&amp;A26), ""price""))"),0.0)</f>
        <v>0</v>
      </c>
      <c r="G26" s="246"/>
      <c r="H26" s="246"/>
      <c r="I26" s="247"/>
      <c r="J26" s="247"/>
      <c r="K26" s="248"/>
      <c r="L26" s="248"/>
      <c r="M26" s="249"/>
      <c r="N26" s="250"/>
      <c r="O26" s="246"/>
      <c r="P26" s="246"/>
      <c r="Q26" s="253"/>
      <c r="R26" s="253"/>
      <c r="S26" s="253"/>
      <c r="T26" s="97"/>
      <c r="U26" s="97"/>
    </row>
    <row r="27" ht="17.25" hidden="1" customHeight="1">
      <c r="A27" s="124"/>
      <c r="B27" s="124"/>
      <c r="C27" s="112" t="str">
        <f>IFERROR(__xludf.DUMMYFUNCTION("IF(ISBLANK(A27), ""-"", GOOGLEFINANCE(IF(ISBLANK(B27), A27, B27&amp;"":""&amp;A27), ""name""))"),"-")</f>
        <v>-</v>
      </c>
      <c r="D27" s="97"/>
      <c r="E27" s="97"/>
      <c r="F27" s="97">
        <f>IFERROR(__xludf.DUMMYFUNCTION("IF(ISBLANK(A27), 0, GOOGLEFINANCE(IF(ISBLANK(B27), A27, B27&amp;"":""&amp;A27), ""price""))"),0.0)</f>
        <v>0</v>
      </c>
      <c r="G27" s="246"/>
      <c r="H27" s="246"/>
      <c r="I27" s="247"/>
      <c r="J27" s="247"/>
      <c r="K27" s="248"/>
      <c r="L27" s="248"/>
      <c r="M27" s="249"/>
      <c r="N27" s="250"/>
      <c r="O27" s="246"/>
      <c r="P27" s="246"/>
      <c r="Q27" s="253"/>
      <c r="R27" s="253"/>
      <c r="S27" s="253"/>
      <c r="T27" s="97"/>
      <c r="U27" s="97"/>
    </row>
    <row r="28" ht="17.25" hidden="1" customHeight="1">
      <c r="A28" s="124"/>
      <c r="B28" s="124"/>
      <c r="C28" s="112" t="str">
        <f>IFERROR(__xludf.DUMMYFUNCTION("IF(ISBLANK(A28), ""-"", GOOGLEFINANCE(IF(ISBLANK(B28), A28, B28&amp;"":""&amp;A28), ""name""))"),"-")</f>
        <v>-</v>
      </c>
      <c r="D28" s="97"/>
      <c r="E28" s="97"/>
      <c r="F28" s="97">
        <f>IFERROR(__xludf.DUMMYFUNCTION("IF(ISBLANK(A28), 0, GOOGLEFINANCE(IF(ISBLANK(B28), A28, B28&amp;"":""&amp;A28), ""price""))"),0.0)</f>
        <v>0</v>
      </c>
      <c r="G28" s="246"/>
      <c r="H28" s="246"/>
      <c r="I28" s="247"/>
      <c r="J28" s="247"/>
      <c r="K28" s="248"/>
      <c r="L28" s="248"/>
      <c r="M28" s="249"/>
      <c r="N28" s="250"/>
      <c r="O28" s="246"/>
      <c r="P28" s="246"/>
      <c r="Q28" s="253"/>
      <c r="R28" s="253"/>
      <c r="S28" s="253"/>
      <c r="T28" s="97"/>
      <c r="U28" s="97"/>
    </row>
    <row r="29" ht="17.25" hidden="1" customHeight="1">
      <c r="A29" s="124"/>
      <c r="B29" s="124"/>
      <c r="C29" s="112" t="str">
        <f>IFERROR(__xludf.DUMMYFUNCTION("IF(ISBLANK(A29), ""-"", GOOGLEFINANCE(IF(ISBLANK(B29), A29, B29&amp;"":""&amp;A29), ""name""))"),"-")</f>
        <v>-</v>
      </c>
      <c r="D29" s="97"/>
      <c r="E29" s="97"/>
      <c r="F29" s="97">
        <f>IFERROR(__xludf.DUMMYFUNCTION("IF(ISBLANK(A29), 0, GOOGLEFINANCE(IF(ISBLANK(B29), A29, B29&amp;"":""&amp;A29), ""price""))"),0.0)</f>
        <v>0</v>
      </c>
      <c r="G29" s="246"/>
      <c r="H29" s="246"/>
      <c r="I29" s="247"/>
      <c r="J29" s="247"/>
      <c r="K29" s="248"/>
      <c r="L29" s="248"/>
      <c r="M29" s="249"/>
      <c r="N29" s="250"/>
      <c r="O29" s="246"/>
      <c r="P29" s="246"/>
      <c r="Q29" s="253"/>
      <c r="R29" s="253"/>
      <c r="S29" s="253"/>
      <c r="T29" s="97"/>
      <c r="U29" s="97"/>
    </row>
    <row r="30" ht="17.25" hidden="1" customHeight="1">
      <c r="A30" s="124"/>
      <c r="B30" s="124"/>
      <c r="C30" s="112" t="str">
        <f>IFERROR(__xludf.DUMMYFUNCTION("IF(ISBLANK(A30), ""-"", GOOGLEFINANCE(IF(ISBLANK(B30), A30, B30&amp;"":""&amp;A30), ""name""))"),"-")</f>
        <v>-</v>
      </c>
      <c r="D30" s="97"/>
      <c r="E30" s="97"/>
      <c r="F30" s="97">
        <f>IFERROR(__xludf.DUMMYFUNCTION("IF(ISBLANK(A30), 0, GOOGLEFINANCE(IF(ISBLANK(B30), A30, B30&amp;"":""&amp;A30), ""price""))"),0.0)</f>
        <v>0</v>
      </c>
      <c r="G30" s="246"/>
      <c r="H30" s="246"/>
      <c r="I30" s="247"/>
      <c r="J30" s="247"/>
      <c r="K30" s="248"/>
      <c r="L30" s="248"/>
      <c r="M30" s="249"/>
      <c r="N30" s="250"/>
      <c r="O30" s="246"/>
      <c r="P30" s="246"/>
      <c r="Q30" s="253"/>
      <c r="R30" s="253"/>
      <c r="S30" s="253"/>
      <c r="T30" s="97"/>
      <c r="U30" s="97"/>
    </row>
    <row r="31" ht="17.25" hidden="1" customHeight="1">
      <c r="A31" s="124"/>
      <c r="B31" s="124"/>
      <c r="C31" s="112" t="str">
        <f>IFERROR(__xludf.DUMMYFUNCTION("IF(ISBLANK(A31), ""-"", GOOGLEFINANCE(IF(ISBLANK(B31), A31, B31&amp;"":""&amp;A31), ""name""))"),"-")</f>
        <v>-</v>
      </c>
      <c r="D31" s="97"/>
      <c r="E31" s="97"/>
      <c r="F31" s="97">
        <f>IFERROR(__xludf.DUMMYFUNCTION("IF(ISBLANK(A31), 0, GOOGLEFINANCE(IF(ISBLANK(B31), A31, B31&amp;"":""&amp;A31), ""price""))"),0.0)</f>
        <v>0</v>
      </c>
      <c r="G31" s="246"/>
      <c r="H31" s="246"/>
      <c r="I31" s="247"/>
      <c r="J31" s="247"/>
      <c r="K31" s="248"/>
      <c r="L31" s="248"/>
      <c r="M31" s="249"/>
      <c r="N31" s="250"/>
      <c r="O31" s="246"/>
      <c r="P31" s="246"/>
      <c r="Q31" s="253"/>
      <c r="R31" s="253"/>
      <c r="S31" s="253"/>
      <c r="T31" s="97"/>
      <c r="U31" s="97"/>
    </row>
    <row r="32" ht="17.25" hidden="1" customHeight="1">
      <c r="A32" s="124"/>
      <c r="B32" s="124"/>
      <c r="C32" s="112" t="str">
        <f>IFERROR(__xludf.DUMMYFUNCTION("IF(ISBLANK(A32), ""-"", GOOGLEFINANCE(IF(ISBLANK(B32), A32, B32&amp;"":""&amp;A32), ""name""))"),"-")</f>
        <v>-</v>
      </c>
      <c r="D32" s="97"/>
      <c r="E32" s="97"/>
      <c r="F32" s="97">
        <f>IFERROR(__xludf.DUMMYFUNCTION("IF(ISBLANK(A32), 0, GOOGLEFINANCE(IF(ISBLANK(B32), A32, B32&amp;"":""&amp;A32), ""price""))"),0.0)</f>
        <v>0</v>
      </c>
      <c r="G32" s="246"/>
      <c r="H32" s="246"/>
      <c r="I32" s="247"/>
      <c r="J32" s="247"/>
      <c r="K32" s="248"/>
      <c r="L32" s="248"/>
      <c r="M32" s="249"/>
      <c r="N32" s="250"/>
      <c r="O32" s="246"/>
      <c r="P32" s="246"/>
      <c r="Q32" s="253"/>
      <c r="R32" s="253"/>
      <c r="S32" s="253"/>
      <c r="T32" s="97"/>
      <c r="U32" s="97"/>
    </row>
    <row r="33" ht="17.25" hidden="1" customHeight="1">
      <c r="A33" s="124"/>
      <c r="B33" s="124"/>
      <c r="C33" s="112" t="str">
        <f>IFERROR(__xludf.DUMMYFUNCTION("IF(ISBLANK(A33), ""-"", GOOGLEFINANCE(IF(ISBLANK(B33), A33, B33&amp;"":""&amp;A33), ""name""))"),"-")</f>
        <v>-</v>
      </c>
      <c r="D33" s="97"/>
      <c r="E33" s="97"/>
      <c r="F33" s="97">
        <f>IFERROR(__xludf.DUMMYFUNCTION("IF(ISBLANK(A33), 0, GOOGLEFINANCE(IF(ISBLANK(B33), A33, B33&amp;"":""&amp;A33), ""price""))"),0.0)</f>
        <v>0</v>
      </c>
      <c r="G33" s="246"/>
      <c r="H33" s="246"/>
      <c r="I33" s="247"/>
      <c r="J33" s="247"/>
      <c r="K33" s="248"/>
      <c r="L33" s="248"/>
      <c r="M33" s="249"/>
      <c r="N33" s="250"/>
      <c r="O33" s="246"/>
      <c r="P33" s="246"/>
      <c r="Q33" s="253"/>
      <c r="R33" s="253"/>
      <c r="S33" s="253"/>
      <c r="T33" s="97"/>
      <c r="U33" s="97"/>
    </row>
    <row r="34" ht="17.25" hidden="1" customHeight="1">
      <c r="A34" s="124"/>
      <c r="B34" s="124"/>
      <c r="C34" s="112" t="str">
        <f>IFERROR(__xludf.DUMMYFUNCTION("IF(ISBLANK(A34), ""-"", GOOGLEFINANCE(IF(ISBLANK(B34), A34, B34&amp;"":""&amp;A34), ""name""))"),"-")</f>
        <v>-</v>
      </c>
      <c r="D34" s="97"/>
      <c r="E34" s="97"/>
      <c r="F34" s="97">
        <f>IFERROR(__xludf.DUMMYFUNCTION("IF(ISBLANK(A34), 0, GOOGLEFINANCE(IF(ISBLANK(B34), A34, B34&amp;"":""&amp;A34), ""price""))"),0.0)</f>
        <v>0</v>
      </c>
      <c r="G34" s="246"/>
      <c r="H34" s="246"/>
      <c r="I34" s="247"/>
      <c r="J34" s="247"/>
      <c r="K34" s="248"/>
      <c r="L34" s="248"/>
      <c r="M34" s="249"/>
      <c r="N34" s="250"/>
      <c r="O34" s="246"/>
      <c r="P34" s="246"/>
      <c r="Q34" s="253"/>
      <c r="R34" s="253"/>
      <c r="S34" s="253"/>
      <c r="T34" s="97"/>
      <c r="U34" s="97"/>
    </row>
    <row r="35" ht="17.25" hidden="1" customHeight="1">
      <c r="A35" s="124"/>
      <c r="B35" s="124"/>
      <c r="C35" s="112" t="str">
        <f>IFERROR(__xludf.DUMMYFUNCTION("IF(ISBLANK(A35), ""-"", GOOGLEFINANCE(IF(ISBLANK(B35), A35, B35&amp;"":""&amp;A35), ""name""))"),"-")</f>
        <v>-</v>
      </c>
      <c r="D35" s="97"/>
      <c r="E35" s="97"/>
      <c r="F35" s="97">
        <f>IFERROR(__xludf.DUMMYFUNCTION("IF(ISBLANK(A35), 0, GOOGLEFINANCE(IF(ISBLANK(B35), A35, B35&amp;"":""&amp;A35), ""price""))"),0.0)</f>
        <v>0</v>
      </c>
      <c r="G35" s="246"/>
      <c r="H35" s="246"/>
      <c r="I35" s="247"/>
      <c r="J35" s="247"/>
      <c r="K35" s="248"/>
      <c r="L35" s="248"/>
      <c r="M35" s="249"/>
      <c r="N35" s="250"/>
      <c r="O35" s="246"/>
      <c r="P35" s="246"/>
      <c r="Q35" s="253"/>
      <c r="R35" s="253"/>
      <c r="S35" s="253"/>
      <c r="T35" s="97"/>
      <c r="U35" s="97"/>
    </row>
    <row r="36" ht="17.25" customHeight="1">
      <c r="A36" s="124"/>
      <c r="B36" s="124"/>
      <c r="C36" s="112"/>
      <c r="D36" s="97"/>
      <c r="E36" s="97"/>
      <c r="F36" s="97"/>
      <c r="G36" s="246"/>
      <c r="H36" s="246"/>
      <c r="I36" s="247"/>
      <c r="J36" s="247"/>
      <c r="K36" s="248"/>
      <c r="L36" s="248"/>
      <c r="M36" s="249"/>
      <c r="N36" s="250"/>
      <c r="O36" s="246"/>
      <c r="P36" s="246"/>
      <c r="Q36" s="253"/>
      <c r="R36" s="253"/>
      <c r="S36" s="253"/>
      <c r="T36" s="97"/>
      <c r="U36" s="97"/>
    </row>
    <row r="37" ht="17.25" customHeight="1">
      <c r="A37" s="124"/>
      <c r="B37" s="124"/>
      <c r="C37" s="112"/>
      <c r="D37" s="97"/>
      <c r="E37" s="97"/>
      <c r="F37" s="97"/>
      <c r="G37" s="246"/>
      <c r="H37" s="246"/>
      <c r="I37" s="247"/>
      <c r="J37" s="247"/>
      <c r="K37" s="248"/>
      <c r="L37" s="248"/>
      <c r="M37" s="249"/>
      <c r="N37" s="250"/>
      <c r="O37" s="246"/>
      <c r="P37" s="246"/>
      <c r="Q37" s="253"/>
      <c r="R37" s="253"/>
      <c r="S37" s="253"/>
      <c r="T37" s="97"/>
      <c r="U37" s="97"/>
    </row>
    <row r="38" ht="17.25" customHeight="1">
      <c r="A38" s="124"/>
      <c r="B38" s="124"/>
      <c r="C38" s="112"/>
      <c r="D38" s="97"/>
      <c r="E38" s="97"/>
      <c r="F38" s="97"/>
      <c r="G38" s="246"/>
      <c r="H38" s="246"/>
      <c r="I38" s="247"/>
      <c r="J38" s="247"/>
      <c r="K38" s="248"/>
      <c r="L38" s="248"/>
      <c r="M38" s="249"/>
      <c r="N38" s="250"/>
      <c r="O38" s="246"/>
      <c r="P38" s="246"/>
      <c r="Q38" s="253"/>
      <c r="R38" s="253"/>
      <c r="S38" s="253"/>
      <c r="T38" s="97"/>
      <c r="U38" s="97"/>
    </row>
    <row r="39" ht="17.25" customHeight="1">
      <c r="A39" s="124"/>
      <c r="B39" s="124"/>
      <c r="C39" s="112"/>
      <c r="D39" s="97"/>
      <c r="E39" s="97"/>
      <c r="F39" s="97"/>
      <c r="G39" s="246"/>
      <c r="H39" s="246"/>
      <c r="I39" s="247"/>
      <c r="J39" s="247"/>
      <c r="K39" s="248"/>
      <c r="L39" s="248"/>
      <c r="M39" s="249"/>
      <c r="N39" s="250"/>
      <c r="O39" s="246"/>
      <c r="P39" s="246"/>
      <c r="Q39" s="253"/>
      <c r="R39" s="253"/>
      <c r="S39" s="253"/>
      <c r="T39" s="97"/>
      <c r="U39" s="97"/>
    </row>
    <row r="40" ht="17.25" customHeight="1">
      <c r="A40" s="124"/>
      <c r="B40" s="124"/>
      <c r="C40" s="112"/>
      <c r="D40" s="97"/>
      <c r="E40" s="97"/>
      <c r="F40" s="97"/>
      <c r="G40" s="246"/>
      <c r="H40" s="246"/>
      <c r="I40" s="247"/>
      <c r="J40" s="247"/>
      <c r="K40" s="248"/>
      <c r="L40" s="248"/>
      <c r="M40" s="249"/>
      <c r="N40" s="250"/>
      <c r="O40" s="246"/>
      <c r="P40" s="246"/>
      <c r="Q40" s="253"/>
      <c r="R40" s="253"/>
      <c r="S40" s="253"/>
      <c r="T40" s="97"/>
      <c r="U40" s="97"/>
    </row>
    <row r="41" ht="17.25" customHeight="1">
      <c r="A41" s="124"/>
      <c r="B41" s="124"/>
      <c r="C41" s="112"/>
      <c r="D41" s="97"/>
      <c r="E41" s="97"/>
      <c r="F41" s="97"/>
      <c r="G41" s="246"/>
      <c r="H41" s="246"/>
      <c r="I41" s="247"/>
      <c r="J41" s="247"/>
      <c r="K41" s="248"/>
      <c r="L41" s="248"/>
      <c r="M41" s="249"/>
      <c r="N41" s="250"/>
      <c r="O41" s="246"/>
      <c r="P41" s="246"/>
      <c r="Q41" s="253"/>
      <c r="R41" s="253"/>
      <c r="S41" s="253"/>
      <c r="T41" s="97"/>
      <c r="U41" s="97"/>
    </row>
    <row r="42" ht="17.25" customHeight="1">
      <c r="A42" s="124"/>
      <c r="B42" s="124"/>
      <c r="C42" s="112"/>
      <c r="D42" s="97"/>
      <c r="E42" s="97"/>
      <c r="F42" s="97"/>
      <c r="G42" s="246"/>
      <c r="H42" s="246"/>
      <c r="I42" s="247"/>
      <c r="J42" s="247"/>
      <c r="K42" s="248"/>
      <c r="L42" s="248"/>
      <c r="M42" s="249"/>
      <c r="N42" s="250"/>
      <c r="O42" s="246"/>
      <c r="P42" s="246"/>
      <c r="Q42" s="253"/>
      <c r="R42" s="253"/>
      <c r="S42" s="253"/>
      <c r="T42" s="97"/>
      <c r="U42" s="97"/>
    </row>
    <row r="43" ht="17.25" customHeight="1">
      <c r="A43" s="124"/>
      <c r="B43" s="124"/>
      <c r="C43" s="112"/>
      <c r="D43" s="97"/>
      <c r="E43" s="97"/>
      <c r="F43" s="97"/>
      <c r="G43" s="246"/>
      <c r="H43" s="246"/>
      <c r="I43" s="247"/>
      <c r="J43" s="247"/>
      <c r="K43" s="248"/>
      <c r="L43" s="248"/>
      <c r="M43" s="249"/>
      <c r="N43" s="250"/>
      <c r="O43" s="246"/>
      <c r="P43" s="246"/>
      <c r="Q43" s="253"/>
      <c r="R43" s="253"/>
      <c r="S43" s="253"/>
      <c r="T43" s="97"/>
      <c r="U43" s="97"/>
    </row>
    <row r="44" ht="17.25" customHeight="1">
      <c r="A44" s="124"/>
      <c r="B44" s="124"/>
      <c r="C44" s="112"/>
      <c r="D44" s="97"/>
      <c r="E44" s="97"/>
      <c r="F44" s="97"/>
      <c r="G44" s="246"/>
      <c r="H44" s="246"/>
      <c r="I44" s="247"/>
      <c r="J44" s="247"/>
      <c r="K44" s="248"/>
      <c r="L44" s="248"/>
      <c r="M44" s="249"/>
      <c r="N44" s="250"/>
      <c r="O44" s="246"/>
      <c r="P44" s="246"/>
      <c r="Q44" s="253"/>
      <c r="R44" s="253"/>
      <c r="S44" s="253"/>
      <c r="T44" s="97"/>
      <c r="U44" s="97"/>
    </row>
    <row r="45" ht="17.25" customHeight="1">
      <c r="A45" s="124"/>
      <c r="B45" s="124"/>
      <c r="C45" s="112"/>
      <c r="D45" s="97"/>
      <c r="E45" s="97"/>
      <c r="F45" s="97"/>
      <c r="G45" s="246"/>
      <c r="H45" s="246"/>
      <c r="I45" s="247"/>
      <c r="J45" s="247"/>
      <c r="K45" s="248"/>
      <c r="L45" s="248"/>
      <c r="M45" s="249"/>
      <c r="N45" s="250"/>
      <c r="O45" s="246"/>
      <c r="P45" s="246"/>
      <c r="Q45" s="253"/>
      <c r="R45" s="253"/>
      <c r="S45" s="253"/>
      <c r="T45" s="97"/>
      <c r="U45" s="97"/>
    </row>
    <row r="46" ht="17.25" customHeight="1">
      <c r="A46" s="124"/>
      <c r="B46" s="124"/>
      <c r="C46" s="112"/>
      <c r="D46" s="97"/>
      <c r="E46" s="97"/>
      <c r="F46" s="97"/>
      <c r="G46" s="246"/>
      <c r="H46" s="246"/>
      <c r="I46" s="247"/>
      <c r="J46" s="247"/>
      <c r="K46" s="248"/>
      <c r="L46" s="248"/>
      <c r="M46" s="249"/>
      <c r="N46" s="250"/>
      <c r="O46" s="246"/>
      <c r="P46" s="246"/>
      <c r="Q46" s="253"/>
      <c r="R46" s="253"/>
      <c r="S46" s="253"/>
      <c r="T46" s="97"/>
      <c r="U46" s="97"/>
    </row>
    <row r="47" ht="17.25" customHeight="1">
      <c r="A47" s="124"/>
      <c r="B47" s="124"/>
      <c r="C47" s="112"/>
      <c r="D47" s="97"/>
      <c r="E47" s="97"/>
      <c r="F47" s="97"/>
      <c r="G47" s="246"/>
      <c r="H47" s="246"/>
      <c r="I47" s="247"/>
      <c r="J47" s="247"/>
      <c r="K47" s="248"/>
      <c r="L47" s="248"/>
      <c r="M47" s="249"/>
      <c r="N47" s="250"/>
      <c r="O47" s="246"/>
      <c r="P47" s="246"/>
      <c r="Q47" s="253"/>
      <c r="R47" s="253"/>
      <c r="S47" s="253"/>
      <c r="T47" s="97"/>
      <c r="U47" s="97"/>
    </row>
    <row r="48" ht="17.25" customHeight="1">
      <c r="A48" s="124"/>
      <c r="B48" s="124"/>
      <c r="C48" s="112"/>
      <c r="D48" s="97"/>
      <c r="E48" s="97"/>
      <c r="F48" s="97"/>
      <c r="G48" s="246"/>
      <c r="H48" s="246"/>
      <c r="I48" s="247"/>
      <c r="J48" s="247"/>
      <c r="K48" s="248"/>
      <c r="L48" s="248"/>
      <c r="M48" s="249"/>
      <c r="N48" s="250"/>
      <c r="O48" s="246"/>
      <c r="P48" s="246"/>
      <c r="Q48" s="253"/>
      <c r="R48" s="253"/>
      <c r="S48" s="253"/>
      <c r="T48" s="97"/>
      <c r="U48" s="97"/>
    </row>
    <row r="49" ht="17.25" customHeight="1">
      <c r="A49" s="124"/>
      <c r="B49" s="124"/>
      <c r="C49" s="112"/>
      <c r="D49" s="97"/>
      <c r="E49" s="97"/>
      <c r="F49" s="97"/>
      <c r="G49" s="246"/>
      <c r="H49" s="246"/>
      <c r="I49" s="247"/>
      <c r="J49" s="247"/>
      <c r="K49" s="248"/>
      <c r="L49" s="248"/>
      <c r="M49" s="249"/>
      <c r="N49" s="250"/>
      <c r="O49" s="246"/>
      <c r="P49" s="246"/>
      <c r="Q49" s="253"/>
      <c r="R49" s="253"/>
      <c r="S49" s="253"/>
      <c r="T49" s="97"/>
      <c r="U49" s="97"/>
    </row>
    <row r="50" ht="17.25" customHeight="1">
      <c r="A50" s="124"/>
      <c r="B50" s="124"/>
      <c r="C50" s="112"/>
      <c r="D50" s="97"/>
      <c r="E50" s="97"/>
      <c r="F50" s="97"/>
      <c r="G50" s="246"/>
      <c r="H50" s="246"/>
      <c r="I50" s="247"/>
      <c r="J50" s="247"/>
      <c r="K50" s="248"/>
      <c r="L50" s="248"/>
      <c r="M50" s="249"/>
      <c r="N50" s="250"/>
      <c r="O50" s="246"/>
      <c r="P50" s="246"/>
      <c r="Q50" s="253"/>
      <c r="R50" s="253"/>
      <c r="S50" s="253"/>
      <c r="T50" s="97"/>
      <c r="U50" s="97"/>
    </row>
    <row r="51" ht="17.25" customHeight="1">
      <c r="A51" s="124"/>
      <c r="B51" s="124"/>
      <c r="C51" s="112"/>
      <c r="D51" s="97"/>
      <c r="E51" s="97"/>
      <c r="F51" s="97"/>
      <c r="G51" s="246"/>
      <c r="H51" s="246"/>
      <c r="I51" s="247"/>
      <c r="J51" s="247"/>
      <c r="K51" s="248"/>
      <c r="L51" s="248"/>
      <c r="M51" s="249"/>
      <c r="N51" s="250"/>
      <c r="O51" s="246"/>
      <c r="P51" s="246"/>
      <c r="Q51" s="253"/>
      <c r="R51" s="253"/>
      <c r="S51" s="253"/>
      <c r="T51" s="97"/>
      <c r="U51" s="97"/>
    </row>
    <row r="52" ht="17.25" customHeight="1">
      <c r="A52" s="124"/>
      <c r="B52" s="124"/>
      <c r="C52" s="112"/>
      <c r="D52" s="97"/>
      <c r="E52" s="97"/>
      <c r="F52" s="97"/>
      <c r="G52" s="246"/>
      <c r="H52" s="246"/>
      <c r="I52" s="247"/>
      <c r="J52" s="247"/>
      <c r="K52" s="248"/>
      <c r="L52" s="248"/>
      <c r="M52" s="249"/>
      <c r="N52" s="250"/>
      <c r="O52" s="246"/>
      <c r="P52" s="246"/>
      <c r="Q52" s="253"/>
      <c r="R52" s="253"/>
      <c r="S52" s="253"/>
      <c r="T52" s="97"/>
      <c r="U52" s="97"/>
    </row>
    <row r="53" ht="17.25" customHeight="1">
      <c r="A53" s="124"/>
      <c r="B53" s="124"/>
      <c r="C53" s="112"/>
      <c r="D53" s="97"/>
      <c r="E53" s="97"/>
      <c r="F53" s="97"/>
      <c r="G53" s="246"/>
      <c r="H53" s="246"/>
      <c r="I53" s="247"/>
      <c r="J53" s="247"/>
      <c r="K53" s="248"/>
      <c r="L53" s="248"/>
      <c r="M53" s="249"/>
      <c r="N53" s="250"/>
      <c r="O53" s="246"/>
      <c r="P53" s="246"/>
      <c r="Q53" s="253"/>
      <c r="R53" s="253"/>
      <c r="S53" s="253"/>
      <c r="T53" s="97"/>
      <c r="U53" s="97"/>
    </row>
    <row r="54" ht="17.25" customHeight="1">
      <c r="A54" s="124"/>
      <c r="B54" s="124"/>
      <c r="C54" s="112"/>
      <c r="D54" s="97"/>
      <c r="E54" s="97"/>
      <c r="F54" s="97"/>
      <c r="G54" s="246"/>
      <c r="H54" s="246"/>
      <c r="I54" s="247"/>
      <c r="J54" s="247"/>
      <c r="K54" s="248"/>
      <c r="L54" s="248"/>
      <c r="M54" s="249"/>
      <c r="N54" s="250"/>
      <c r="O54" s="246"/>
      <c r="P54" s="246"/>
      <c r="Q54" s="253"/>
      <c r="R54" s="253"/>
      <c r="S54" s="253"/>
      <c r="T54" s="97"/>
      <c r="U54" s="97"/>
    </row>
    <row r="55" ht="17.25" customHeight="1">
      <c r="A55" s="124"/>
      <c r="B55" s="124"/>
      <c r="C55" s="112"/>
      <c r="D55" s="97"/>
      <c r="E55" s="97"/>
      <c r="F55" s="97"/>
      <c r="G55" s="246"/>
      <c r="H55" s="246"/>
      <c r="I55" s="247"/>
      <c r="J55" s="247"/>
      <c r="K55" s="248"/>
      <c r="L55" s="248"/>
      <c r="M55" s="249"/>
      <c r="N55" s="250"/>
      <c r="O55" s="246"/>
      <c r="P55" s="246"/>
      <c r="Q55" s="253"/>
      <c r="R55" s="253"/>
      <c r="S55" s="253"/>
      <c r="T55" s="97"/>
      <c r="U55" s="97"/>
    </row>
    <row r="56" ht="17.25" customHeight="1">
      <c r="A56" s="124"/>
      <c r="B56" s="124"/>
      <c r="C56" s="112"/>
      <c r="D56" s="97"/>
      <c r="E56" s="97"/>
      <c r="F56" s="97"/>
      <c r="G56" s="246"/>
      <c r="H56" s="246"/>
      <c r="I56" s="247"/>
      <c r="J56" s="247"/>
      <c r="K56" s="248"/>
      <c r="L56" s="248"/>
      <c r="M56" s="249"/>
      <c r="N56" s="250"/>
      <c r="O56" s="246"/>
      <c r="P56" s="246"/>
      <c r="Q56" s="253"/>
      <c r="R56" s="253"/>
      <c r="S56" s="253"/>
      <c r="T56" s="97"/>
      <c r="U56" s="97"/>
    </row>
    <row r="57" ht="17.25" customHeight="1">
      <c r="A57" s="124"/>
      <c r="B57" s="124"/>
      <c r="C57" s="112"/>
      <c r="D57" s="97"/>
      <c r="E57" s="97"/>
      <c r="F57" s="97"/>
      <c r="G57" s="246"/>
      <c r="H57" s="246"/>
      <c r="I57" s="247"/>
      <c r="J57" s="247"/>
      <c r="K57" s="248"/>
      <c r="L57" s="248"/>
      <c r="M57" s="249"/>
      <c r="N57" s="250"/>
      <c r="O57" s="246"/>
      <c r="P57" s="246"/>
      <c r="Q57" s="253"/>
      <c r="R57" s="253"/>
      <c r="S57" s="253"/>
      <c r="T57" s="97"/>
      <c r="U57" s="97"/>
    </row>
    <row r="58" ht="17.25" customHeight="1">
      <c r="A58" s="124"/>
      <c r="B58" s="124"/>
      <c r="C58" s="112"/>
      <c r="D58" s="97"/>
      <c r="E58" s="97"/>
      <c r="F58" s="97"/>
      <c r="G58" s="246"/>
      <c r="H58" s="246"/>
      <c r="I58" s="247"/>
      <c r="J58" s="247"/>
      <c r="K58" s="248"/>
      <c r="L58" s="248"/>
      <c r="M58" s="249"/>
      <c r="N58" s="250"/>
      <c r="O58" s="246"/>
      <c r="P58" s="246"/>
      <c r="Q58" s="253"/>
      <c r="R58" s="253"/>
      <c r="S58" s="253"/>
      <c r="T58" s="97"/>
      <c r="U58" s="97"/>
    </row>
    <row r="59" ht="17.25" customHeight="1">
      <c r="A59" s="124"/>
      <c r="B59" s="124"/>
      <c r="C59" s="112"/>
      <c r="D59" s="97"/>
      <c r="E59" s="97"/>
      <c r="F59" s="97"/>
      <c r="G59" s="246"/>
      <c r="H59" s="246"/>
      <c r="I59" s="247"/>
      <c r="J59" s="247"/>
      <c r="K59" s="248"/>
      <c r="L59" s="248"/>
      <c r="M59" s="249"/>
      <c r="N59" s="250"/>
      <c r="O59" s="246"/>
      <c r="P59" s="246"/>
      <c r="Q59" s="253"/>
      <c r="R59" s="253"/>
      <c r="S59" s="253"/>
      <c r="T59" s="97"/>
      <c r="U59" s="97"/>
    </row>
    <row r="60" ht="17.25" customHeight="1">
      <c r="A60" s="124"/>
      <c r="B60" s="124"/>
      <c r="C60" s="112"/>
      <c r="D60" s="97"/>
      <c r="E60" s="97"/>
      <c r="F60" s="97"/>
      <c r="G60" s="246"/>
      <c r="H60" s="246"/>
      <c r="I60" s="247"/>
      <c r="J60" s="247"/>
      <c r="K60" s="248"/>
      <c r="L60" s="248"/>
      <c r="M60" s="249"/>
      <c r="N60" s="250"/>
      <c r="O60" s="246"/>
      <c r="P60" s="246"/>
      <c r="Q60" s="253"/>
      <c r="R60" s="253"/>
      <c r="S60" s="253"/>
      <c r="T60" s="97"/>
      <c r="U60" s="97"/>
    </row>
    <row r="61" ht="17.25" customHeight="1">
      <c r="A61" s="124"/>
      <c r="B61" s="124"/>
      <c r="C61" s="112"/>
      <c r="D61" s="97"/>
      <c r="E61" s="97"/>
      <c r="F61" s="97"/>
      <c r="G61" s="246"/>
      <c r="H61" s="246"/>
      <c r="I61" s="247"/>
      <c r="J61" s="247"/>
      <c r="K61" s="248"/>
      <c r="L61" s="248"/>
      <c r="M61" s="249"/>
      <c r="N61" s="250"/>
      <c r="O61" s="246"/>
      <c r="P61" s="246"/>
      <c r="Q61" s="253"/>
      <c r="R61" s="253"/>
      <c r="S61" s="253"/>
      <c r="T61" s="97"/>
      <c r="U61" s="97"/>
    </row>
    <row r="62" ht="17.25" customHeight="1">
      <c r="A62" s="124"/>
      <c r="B62" s="124"/>
      <c r="C62" s="112"/>
      <c r="D62" s="97"/>
      <c r="E62" s="97"/>
      <c r="F62" s="97"/>
      <c r="G62" s="246"/>
      <c r="H62" s="246"/>
      <c r="I62" s="247"/>
      <c r="J62" s="247"/>
      <c r="K62" s="248"/>
      <c r="L62" s="248"/>
      <c r="M62" s="249"/>
      <c r="N62" s="250"/>
      <c r="O62" s="246"/>
      <c r="P62" s="246"/>
      <c r="Q62" s="253"/>
      <c r="R62" s="253"/>
      <c r="S62" s="253"/>
      <c r="T62" s="97"/>
      <c r="U62" s="97"/>
    </row>
    <row r="63" ht="17.25" customHeight="1">
      <c r="A63" s="124"/>
      <c r="B63" s="124"/>
      <c r="C63" s="112"/>
      <c r="D63" s="97"/>
      <c r="E63" s="97"/>
      <c r="F63" s="97"/>
      <c r="G63" s="246"/>
      <c r="H63" s="246"/>
      <c r="I63" s="247"/>
      <c r="J63" s="247"/>
      <c r="K63" s="248"/>
      <c r="L63" s="248"/>
      <c r="M63" s="249"/>
      <c r="N63" s="250"/>
      <c r="O63" s="246"/>
      <c r="P63" s="246"/>
      <c r="Q63" s="253"/>
      <c r="R63" s="253"/>
      <c r="S63" s="253"/>
      <c r="T63" s="97"/>
      <c r="U63" s="97"/>
    </row>
    <row r="64" ht="17.25" customHeight="1">
      <c r="A64" s="124"/>
      <c r="B64" s="124"/>
      <c r="C64" s="112"/>
      <c r="D64" s="97"/>
      <c r="E64" s="97"/>
      <c r="F64" s="97"/>
      <c r="G64" s="246"/>
      <c r="H64" s="246"/>
      <c r="I64" s="247"/>
      <c r="J64" s="247"/>
      <c r="K64" s="248"/>
      <c r="L64" s="248"/>
      <c r="M64" s="249"/>
      <c r="N64" s="250"/>
      <c r="O64" s="246"/>
      <c r="P64" s="246"/>
      <c r="Q64" s="253"/>
      <c r="R64" s="253"/>
      <c r="S64" s="253"/>
      <c r="T64" s="97"/>
      <c r="U64" s="97"/>
    </row>
    <row r="65" ht="17.25" customHeight="1">
      <c r="A65" s="124"/>
      <c r="B65" s="124"/>
      <c r="C65" s="112"/>
      <c r="D65" s="97"/>
      <c r="E65" s="97"/>
      <c r="F65" s="97"/>
      <c r="G65" s="246"/>
      <c r="H65" s="246"/>
      <c r="I65" s="247"/>
      <c r="J65" s="247"/>
      <c r="K65" s="248"/>
      <c r="L65" s="248"/>
      <c r="M65" s="249"/>
      <c r="N65" s="250"/>
      <c r="O65" s="246"/>
      <c r="P65" s="246"/>
      <c r="Q65" s="253"/>
      <c r="R65" s="253"/>
      <c r="S65" s="253"/>
      <c r="T65" s="97"/>
      <c r="U65" s="97"/>
    </row>
    <row r="66" ht="17.25" customHeight="1">
      <c r="A66" s="124"/>
      <c r="B66" s="124"/>
      <c r="C66" s="112"/>
      <c r="D66" s="97"/>
      <c r="E66" s="97"/>
      <c r="F66" s="97"/>
      <c r="G66" s="246"/>
      <c r="H66" s="246"/>
      <c r="I66" s="247"/>
      <c r="J66" s="247"/>
      <c r="K66" s="248"/>
      <c r="L66" s="248"/>
      <c r="M66" s="249"/>
      <c r="N66" s="250"/>
      <c r="O66" s="246"/>
      <c r="P66" s="246"/>
      <c r="Q66" s="253"/>
      <c r="R66" s="253"/>
      <c r="S66" s="253"/>
      <c r="T66" s="97"/>
      <c r="U66" s="97"/>
    </row>
    <row r="67" ht="17.25" customHeight="1">
      <c r="A67" s="124"/>
      <c r="B67" s="124"/>
      <c r="C67" s="112"/>
      <c r="D67" s="97"/>
      <c r="E67" s="97"/>
      <c r="F67" s="97"/>
      <c r="G67" s="246"/>
      <c r="H67" s="246"/>
      <c r="I67" s="247"/>
      <c r="J67" s="247"/>
      <c r="K67" s="248"/>
      <c r="L67" s="248"/>
      <c r="M67" s="249"/>
      <c r="N67" s="250"/>
      <c r="O67" s="246"/>
      <c r="P67" s="246"/>
      <c r="Q67" s="253"/>
      <c r="R67" s="253"/>
      <c r="S67" s="253"/>
      <c r="T67" s="97"/>
      <c r="U67" s="97"/>
    </row>
    <row r="68" ht="17.25" customHeight="1">
      <c r="A68" s="124"/>
      <c r="B68" s="124"/>
      <c r="C68" s="112"/>
      <c r="D68" s="97"/>
      <c r="E68" s="97"/>
      <c r="F68" s="97"/>
      <c r="G68" s="246"/>
      <c r="H68" s="246"/>
      <c r="I68" s="247"/>
      <c r="J68" s="247"/>
      <c r="K68" s="248"/>
      <c r="L68" s="248"/>
      <c r="M68" s="249"/>
      <c r="N68" s="250"/>
      <c r="O68" s="246"/>
      <c r="P68" s="246"/>
      <c r="Q68" s="253"/>
      <c r="R68" s="253"/>
      <c r="S68" s="253"/>
      <c r="T68" s="97"/>
      <c r="U68" s="97"/>
    </row>
    <row r="69" ht="17.25" customHeight="1">
      <c r="A69" s="124"/>
      <c r="B69" s="124"/>
      <c r="C69" s="112"/>
      <c r="D69" s="97"/>
      <c r="E69" s="97"/>
      <c r="F69" s="97"/>
      <c r="G69" s="246"/>
      <c r="H69" s="246"/>
      <c r="I69" s="247"/>
      <c r="J69" s="247"/>
      <c r="K69" s="248"/>
      <c r="L69" s="248"/>
      <c r="M69" s="249"/>
      <c r="N69" s="250"/>
      <c r="O69" s="246"/>
      <c r="P69" s="246"/>
      <c r="Q69" s="253"/>
      <c r="R69" s="253"/>
      <c r="S69" s="253"/>
      <c r="T69" s="97"/>
      <c r="U69" s="97"/>
    </row>
    <row r="70" ht="17.25" customHeight="1">
      <c r="A70" s="124"/>
      <c r="B70" s="124"/>
      <c r="C70" s="112"/>
      <c r="D70" s="97"/>
      <c r="E70" s="97"/>
      <c r="F70" s="97"/>
      <c r="G70" s="246"/>
      <c r="H70" s="246"/>
      <c r="I70" s="247"/>
      <c r="J70" s="247"/>
      <c r="K70" s="248"/>
      <c r="L70" s="248"/>
      <c r="M70" s="249"/>
      <c r="N70" s="250"/>
      <c r="O70" s="246"/>
      <c r="P70" s="246"/>
      <c r="Q70" s="253"/>
      <c r="R70" s="253"/>
      <c r="S70" s="253"/>
      <c r="T70" s="97"/>
      <c r="U70" s="97"/>
    </row>
    <row r="71" ht="17.25" customHeight="1">
      <c r="A71" s="124"/>
      <c r="B71" s="124"/>
      <c r="C71" s="112"/>
      <c r="D71" s="97"/>
      <c r="E71" s="97"/>
      <c r="F71" s="97"/>
      <c r="G71" s="246"/>
      <c r="H71" s="246"/>
      <c r="I71" s="247"/>
      <c r="J71" s="247"/>
      <c r="K71" s="248"/>
      <c r="L71" s="248"/>
      <c r="M71" s="249"/>
      <c r="N71" s="250"/>
      <c r="O71" s="246"/>
      <c r="P71" s="246"/>
      <c r="Q71" s="253"/>
      <c r="R71" s="253"/>
      <c r="S71" s="253"/>
      <c r="T71" s="97"/>
      <c r="U71" s="97"/>
    </row>
    <row r="72" ht="17.25" customHeight="1">
      <c r="A72" s="124"/>
      <c r="B72" s="124"/>
      <c r="C72" s="112"/>
      <c r="D72" s="97"/>
      <c r="E72" s="97"/>
      <c r="F72" s="97"/>
      <c r="G72" s="246"/>
      <c r="H72" s="246"/>
      <c r="I72" s="247"/>
      <c r="J72" s="247"/>
      <c r="K72" s="248"/>
      <c r="L72" s="248"/>
      <c r="M72" s="249"/>
      <c r="N72" s="250"/>
      <c r="O72" s="246"/>
      <c r="P72" s="246"/>
      <c r="Q72" s="253"/>
      <c r="R72" s="253"/>
      <c r="S72" s="253"/>
      <c r="T72" s="97"/>
      <c r="U72" s="97"/>
    </row>
    <row r="73" ht="17.25" customHeight="1">
      <c r="A73" s="124"/>
      <c r="B73" s="124"/>
      <c r="C73" s="112"/>
      <c r="D73" s="97"/>
      <c r="E73" s="97"/>
      <c r="F73" s="97"/>
      <c r="G73" s="246"/>
      <c r="H73" s="246"/>
      <c r="I73" s="247"/>
      <c r="J73" s="247"/>
      <c r="K73" s="248"/>
      <c r="L73" s="248"/>
      <c r="M73" s="249"/>
      <c r="N73" s="250"/>
      <c r="O73" s="246"/>
      <c r="P73" s="246"/>
      <c r="Q73" s="253"/>
      <c r="R73" s="253"/>
      <c r="S73" s="253"/>
      <c r="T73" s="97"/>
      <c r="U73" s="97"/>
    </row>
    <row r="74" ht="17.25" customHeight="1">
      <c r="A74" s="124"/>
      <c r="B74" s="124"/>
      <c r="C74" s="112"/>
      <c r="D74" s="97"/>
      <c r="E74" s="97"/>
      <c r="F74" s="97"/>
      <c r="G74" s="246"/>
      <c r="H74" s="246"/>
      <c r="I74" s="247"/>
      <c r="J74" s="247"/>
      <c r="K74" s="248"/>
      <c r="L74" s="248"/>
      <c r="M74" s="249"/>
      <c r="N74" s="250"/>
      <c r="O74" s="246"/>
      <c r="P74" s="246"/>
      <c r="Q74" s="253"/>
      <c r="R74" s="253"/>
      <c r="S74" s="253"/>
      <c r="T74" s="97"/>
      <c r="U74" s="97"/>
    </row>
    <row r="75" ht="17.25" customHeight="1">
      <c r="A75" s="124"/>
      <c r="B75" s="124"/>
      <c r="C75" s="112"/>
      <c r="D75" s="97"/>
      <c r="E75" s="97"/>
      <c r="F75" s="97"/>
      <c r="G75" s="246"/>
      <c r="H75" s="246"/>
      <c r="I75" s="247"/>
      <c r="J75" s="247"/>
      <c r="K75" s="248"/>
      <c r="L75" s="248"/>
      <c r="M75" s="249"/>
      <c r="N75" s="250"/>
      <c r="O75" s="246"/>
      <c r="P75" s="246"/>
      <c r="Q75" s="253"/>
      <c r="R75" s="253"/>
      <c r="S75" s="253"/>
      <c r="T75" s="97"/>
      <c r="U75" s="97"/>
    </row>
  </sheetData>
  <autoFilter ref="$A$3:$U$35">
    <filterColumn colId="3">
      <filters>
        <filter val="傳產-水泥"/>
        <filter val="傳產-化工"/>
        <filter val="傳產-包材"/>
        <filter val="電腦週邊"/>
        <filter val="金融-銀行"/>
        <filter val="資訊股務"/>
      </filters>
    </filterColumn>
  </autoFilter>
  <customSheetViews>
    <customSheetView guid="{F856818F-A058-4EE9-87F4-CF4D29DD3AFB}" filter="1" showAutoFilter="1">
      <autoFilter ref="$A$3:$F$35"/>
    </customSheetView>
    <customSheetView guid="{211266BA-7D4F-434C-A6B9-08541D97D023}" filter="1" showAutoFilter="1">
      <autoFilter ref="$A$3:$F$35"/>
    </customSheetView>
  </customSheetView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107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IFERROR(__xludf.DUMMYFUNCTION("GOOGLEFINANCE(B16,""name"")"),"Cathay MSCI Taiwan ESG Sustain Hi Div Yield ETF")</f>
        <v>Cathay MSCI Taiwan ESG Sustain Hi Div Yield ETF</v>
      </c>
      <c r="H5" s="64"/>
      <c r="I5" s="64"/>
      <c r="J5" s="157"/>
      <c r="K5" s="64"/>
      <c r="L5" s="64"/>
      <c r="M5" s="64"/>
      <c r="N5" s="64"/>
      <c r="O5" s="163" t="s">
        <v>236</v>
      </c>
      <c r="P5" s="64"/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IFERROR(__xludf.DUMMYFUNCTION("GOOGLEFINANCE(B16,""price"")"),30.76)</f>
        <v>30.76</v>
      </c>
      <c r="D8" s="171">
        <f>IFERROR(__xludf.DUMMYFUNCTION("IFERROR(GOOGLEFINANCE(B16,""change""),""-"")"),0.76)</f>
        <v>0.76</v>
      </c>
      <c r="E8" s="172">
        <f>IFERROR(__xludf.DUMMYFUNCTION("IFERROR(GOOGLEFINANCE(B16,""changepct"")/100,""-"")"),0.0253)</f>
        <v>0.0253</v>
      </c>
      <c r="F8" s="64"/>
      <c r="G8" s="64"/>
      <c r="H8" s="64"/>
      <c r="I8" s="64"/>
      <c r="J8" s="202">
        <f>SUM(K26:K200)</f>
        <v>17243</v>
      </c>
      <c r="K8" s="203">
        <f>SUM(N26:N200)</f>
        <v>320788.78</v>
      </c>
      <c r="L8" s="175">
        <f>K8/J8</f>
        <v>18.60400046</v>
      </c>
      <c r="M8" s="64"/>
      <c r="N8" s="176" t="s">
        <v>156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 t="str">
        <f>IFERROR(__xludf.DUMMYFUNCTION("IFERROR(GOOGLEFINANCE(B16,""marketcap""),""-"")"),"-")</f>
        <v>-</v>
      </c>
      <c r="C12" s="181" t="str">
        <f>IFERROR(__xludf.DUMMYFUNCTION("IFERROR(GOOGLEFINANCE(B16,""pe""),""-"")"),"-")</f>
        <v>-</v>
      </c>
      <c r="D12" s="181" t="str">
        <f>IFERROR(__xludf.DUMMYFUNCTION("IFERROR(GOOGLEFINANCE(B16,""beta""),""-"")"),"-")</f>
        <v>-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246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TPE:00878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IFERROR(__xludf.DUMMYFUNCTION("""COMPUTED_VALUE"""),45992.5625)</f>
        <v>45992.5625</v>
      </c>
      <c r="C26" s="190">
        <f>IFERROR(__xludf.DUMMYFUNCTION("""COMPUTED_VALUE"""),20.83)</f>
        <v>20.83</v>
      </c>
      <c r="D26" s="190">
        <f>IFERROR(__xludf.DUMMYFUNCTION("""COMPUTED_VALUE"""),20.98)</f>
        <v>20.98</v>
      </c>
      <c r="E26" s="190">
        <f>IFERROR(__xludf.DUMMYFUNCTION("""COMPUTED_VALUE"""),20.83)</f>
        <v>20.83</v>
      </c>
      <c r="F26" s="190">
        <f>IFERROR(__xludf.DUMMYFUNCTION("""COMPUTED_VALUE"""),20.86)</f>
        <v>20.86</v>
      </c>
      <c r="G26" s="191">
        <f>IFERROR(__xludf.DUMMYFUNCTION("""COMPUTED_VALUE"""),3.4095211E7)</f>
        <v>34095211</v>
      </c>
      <c r="H26" s="112"/>
      <c r="I26" s="112"/>
      <c r="J26" s="192">
        <v>44396.0</v>
      </c>
      <c r="K26" s="204">
        <v>1000.0</v>
      </c>
      <c r="L26" s="194">
        <v>18.5</v>
      </c>
      <c r="M26" s="94">
        <v>20.0</v>
      </c>
      <c r="N26" s="112">
        <f t="shared" ref="N26:N200" si="1">K26*L26+M26</f>
        <v>18520</v>
      </c>
      <c r="O26" s="112">
        <f>N26/K26</f>
        <v>18.52</v>
      </c>
      <c r="P26" s="112"/>
      <c r="Q26" s="112"/>
      <c r="R26" s="112"/>
    </row>
    <row r="27" ht="17.25" customHeight="1">
      <c r="A27" s="112"/>
      <c r="B27" s="189">
        <f>IFERROR(__xludf.DUMMYFUNCTION("""COMPUTED_VALUE"""),45993.5625)</f>
        <v>45993.5625</v>
      </c>
      <c r="C27" s="190">
        <f>IFERROR(__xludf.DUMMYFUNCTION("""COMPUTED_VALUE"""),20.97)</f>
        <v>20.97</v>
      </c>
      <c r="D27" s="190">
        <f>IFERROR(__xludf.DUMMYFUNCTION("""COMPUTED_VALUE"""),21.04)</f>
        <v>21.04</v>
      </c>
      <c r="E27" s="190">
        <f>IFERROR(__xludf.DUMMYFUNCTION("""COMPUTED_VALUE"""),20.95)</f>
        <v>20.95</v>
      </c>
      <c r="F27" s="190">
        <f>IFERROR(__xludf.DUMMYFUNCTION("""COMPUTED_VALUE"""),21.01)</f>
        <v>21.01</v>
      </c>
      <c r="G27" s="191">
        <f>IFERROR(__xludf.DUMMYFUNCTION("""COMPUTED_VALUE"""),3.3590322E7)</f>
        <v>33590322</v>
      </c>
      <c r="H27" s="112"/>
      <c r="I27" s="112"/>
      <c r="J27" s="192">
        <v>44421.0</v>
      </c>
      <c r="K27" s="204">
        <v>1000.0</v>
      </c>
      <c r="L27" s="194">
        <v>18.35</v>
      </c>
      <c r="M27" s="94">
        <v>20.0</v>
      </c>
      <c r="N27" s="112">
        <f t="shared" si="1"/>
        <v>18370</v>
      </c>
      <c r="O27" s="196">
        <f t="shared" ref="O27:O200" si="2">SUM($N$26:N27)/SUM($K$26:K27)</f>
        <v>18.445</v>
      </c>
      <c r="P27" s="112"/>
      <c r="Q27" s="112"/>
      <c r="R27" s="112"/>
    </row>
    <row r="28" ht="17.25" customHeight="1">
      <c r="A28" s="112"/>
      <c r="B28" s="189">
        <f>IFERROR(__xludf.DUMMYFUNCTION("""COMPUTED_VALUE"""),45994.5625)</f>
        <v>45994.5625</v>
      </c>
      <c r="C28" s="190">
        <f>IFERROR(__xludf.DUMMYFUNCTION("""COMPUTED_VALUE"""),21.08)</f>
        <v>21.08</v>
      </c>
      <c r="D28" s="190">
        <f>IFERROR(__xludf.DUMMYFUNCTION("""COMPUTED_VALUE"""),21.12)</f>
        <v>21.12</v>
      </c>
      <c r="E28" s="190">
        <f>IFERROR(__xludf.DUMMYFUNCTION("""COMPUTED_VALUE"""),21.01)</f>
        <v>21.01</v>
      </c>
      <c r="F28" s="190">
        <f>IFERROR(__xludf.DUMMYFUNCTION("""COMPUTED_VALUE"""),21.05)</f>
        <v>21.05</v>
      </c>
      <c r="G28" s="191">
        <f>IFERROR(__xludf.DUMMYFUNCTION("""COMPUTED_VALUE"""),2.7709891E7)</f>
        <v>27709891</v>
      </c>
      <c r="H28" s="112"/>
      <c r="I28" s="112"/>
      <c r="J28" s="192">
        <v>44427.0</v>
      </c>
      <c r="K28" s="194">
        <v>500.0</v>
      </c>
      <c r="L28" s="194">
        <v>17.59</v>
      </c>
      <c r="M28" s="94">
        <v>20.0</v>
      </c>
      <c r="N28" s="112">
        <f t="shared" si="1"/>
        <v>8815</v>
      </c>
      <c r="O28" s="196">
        <f t="shared" si="2"/>
        <v>18.282</v>
      </c>
      <c r="P28" s="112"/>
      <c r="Q28" s="112"/>
      <c r="R28" s="112"/>
    </row>
    <row r="29" ht="17.25" customHeight="1">
      <c r="A29" s="112"/>
      <c r="B29" s="189">
        <f>IFERROR(__xludf.DUMMYFUNCTION("""COMPUTED_VALUE"""),45995.5625)</f>
        <v>45995.5625</v>
      </c>
      <c r="C29" s="190">
        <f>IFERROR(__xludf.DUMMYFUNCTION("""COMPUTED_VALUE"""),21.08)</f>
        <v>21.08</v>
      </c>
      <c r="D29" s="190">
        <f>IFERROR(__xludf.DUMMYFUNCTION("""COMPUTED_VALUE"""),21.14)</f>
        <v>21.14</v>
      </c>
      <c r="E29" s="190">
        <f>IFERROR(__xludf.DUMMYFUNCTION("""COMPUTED_VALUE"""),21.08)</f>
        <v>21.08</v>
      </c>
      <c r="F29" s="190">
        <f>IFERROR(__xludf.DUMMYFUNCTION("""COMPUTED_VALUE"""),21.12)</f>
        <v>21.12</v>
      </c>
      <c r="G29" s="191">
        <f>IFERROR(__xludf.DUMMYFUNCTION("""COMPUTED_VALUE"""),3.9563039E7)</f>
        <v>39563039</v>
      </c>
      <c r="H29" s="112"/>
      <c r="I29" s="112"/>
      <c r="J29" s="192">
        <v>44582.0</v>
      </c>
      <c r="K29" s="204">
        <v>1000.0</v>
      </c>
      <c r="L29" s="194">
        <v>19.18</v>
      </c>
      <c r="M29" s="94">
        <v>20.0</v>
      </c>
      <c r="N29" s="112">
        <f t="shared" si="1"/>
        <v>19200</v>
      </c>
      <c r="O29" s="196">
        <f t="shared" si="2"/>
        <v>18.54428571</v>
      </c>
      <c r="P29" s="112"/>
      <c r="Q29" s="112"/>
      <c r="R29" s="112"/>
    </row>
    <row r="30" ht="17.25" customHeight="1">
      <c r="A30" s="112"/>
      <c r="B30" s="189">
        <f>IFERROR(__xludf.DUMMYFUNCTION("""COMPUTED_VALUE"""),45996.5625)</f>
        <v>45996.5625</v>
      </c>
      <c r="C30" s="190">
        <f>IFERROR(__xludf.DUMMYFUNCTION("""COMPUTED_VALUE"""),21.12)</f>
        <v>21.12</v>
      </c>
      <c r="D30" s="190">
        <f>IFERROR(__xludf.DUMMYFUNCTION("""COMPUTED_VALUE"""),21.21)</f>
        <v>21.21</v>
      </c>
      <c r="E30" s="190">
        <f>IFERROR(__xludf.DUMMYFUNCTION("""COMPUTED_VALUE"""),21.12)</f>
        <v>21.12</v>
      </c>
      <c r="F30" s="190">
        <f>IFERROR(__xludf.DUMMYFUNCTION("""COMPUTED_VALUE"""),21.2)</f>
        <v>21.2</v>
      </c>
      <c r="G30" s="191">
        <f>IFERROR(__xludf.DUMMYFUNCTION("""COMPUTED_VALUE"""),3.780138E7)</f>
        <v>37801380</v>
      </c>
      <c r="H30" s="112"/>
      <c r="I30" s="112"/>
      <c r="J30" s="192">
        <v>44616.0</v>
      </c>
      <c r="K30" s="194">
        <v>500.0</v>
      </c>
      <c r="L30" s="194">
        <v>19.08</v>
      </c>
      <c r="M30" s="94">
        <v>20.0</v>
      </c>
      <c r="N30" s="112">
        <f t="shared" si="1"/>
        <v>9560</v>
      </c>
      <c r="O30" s="196">
        <f t="shared" si="2"/>
        <v>18.61625</v>
      </c>
      <c r="P30" s="112"/>
      <c r="Q30" s="112"/>
      <c r="R30" s="112"/>
    </row>
    <row r="31" ht="17.25" customHeight="1">
      <c r="A31" s="112"/>
      <c r="B31" s="189">
        <f>IFERROR(__xludf.DUMMYFUNCTION("""COMPUTED_VALUE"""),45999.5625)</f>
        <v>45999.5625</v>
      </c>
      <c r="C31" s="190">
        <f>IFERROR(__xludf.DUMMYFUNCTION("""COMPUTED_VALUE"""),21.2)</f>
        <v>21.2</v>
      </c>
      <c r="D31" s="190">
        <f>IFERROR(__xludf.DUMMYFUNCTION("""COMPUTED_VALUE"""),21.27)</f>
        <v>21.27</v>
      </c>
      <c r="E31" s="190">
        <f>IFERROR(__xludf.DUMMYFUNCTION("""COMPUTED_VALUE"""),21.2)</f>
        <v>21.2</v>
      </c>
      <c r="F31" s="190">
        <f>IFERROR(__xludf.DUMMYFUNCTION("""COMPUTED_VALUE"""),21.26)</f>
        <v>21.26</v>
      </c>
      <c r="G31" s="191">
        <f>IFERROR(__xludf.DUMMYFUNCTION("""COMPUTED_VALUE"""),4.2386373E7)</f>
        <v>42386373</v>
      </c>
      <c r="H31" s="112"/>
      <c r="I31" s="112"/>
      <c r="J31" s="192">
        <v>44692.0</v>
      </c>
      <c r="K31" s="204">
        <v>300.0</v>
      </c>
      <c r="L31" s="194">
        <v>18.22</v>
      </c>
      <c r="M31" s="94">
        <v>20.0</v>
      </c>
      <c r="N31" s="112">
        <f t="shared" si="1"/>
        <v>5486</v>
      </c>
      <c r="O31" s="196">
        <f t="shared" si="2"/>
        <v>18.59325581</v>
      </c>
      <c r="P31" s="112"/>
      <c r="Q31" s="112"/>
      <c r="R31" s="112"/>
    </row>
    <row r="32" ht="17.25" customHeight="1">
      <c r="A32" s="112"/>
      <c r="B32" s="189">
        <f>IFERROR(__xludf.DUMMYFUNCTION("""COMPUTED_VALUE"""),46000.5625)</f>
        <v>46000.5625</v>
      </c>
      <c r="C32" s="190">
        <f>IFERROR(__xludf.DUMMYFUNCTION("""COMPUTED_VALUE"""),21.31)</f>
        <v>21.31</v>
      </c>
      <c r="D32" s="190">
        <f>IFERROR(__xludf.DUMMYFUNCTION("""COMPUTED_VALUE"""),21.34)</f>
        <v>21.34</v>
      </c>
      <c r="E32" s="190">
        <f>IFERROR(__xludf.DUMMYFUNCTION("""COMPUTED_VALUE"""),21.23)</f>
        <v>21.23</v>
      </c>
      <c r="F32" s="190">
        <f>IFERROR(__xludf.DUMMYFUNCTION("""COMPUTED_VALUE"""),21.27)</f>
        <v>21.27</v>
      </c>
      <c r="G32" s="191">
        <f>IFERROR(__xludf.DUMMYFUNCTION("""COMPUTED_VALUE"""),3.0469542E7)</f>
        <v>30469542</v>
      </c>
      <c r="H32" s="112"/>
      <c r="I32" s="112"/>
      <c r="J32" s="192">
        <v>44699.0</v>
      </c>
      <c r="K32" s="194">
        <v>200.0</v>
      </c>
      <c r="L32" s="194">
        <v>17.9</v>
      </c>
      <c r="M32" s="94">
        <v>20.0</v>
      </c>
      <c r="N32" s="112">
        <f t="shared" si="1"/>
        <v>3600</v>
      </c>
      <c r="O32" s="196">
        <f t="shared" si="2"/>
        <v>18.56688889</v>
      </c>
      <c r="P32" s="94"/>
      <c r="Q32" s="112"/>
      <c r="R32" s="112"/>
    </row>
    <row r="33" ht="17.25" customHeight="1">
      <c r="A33" s="112"/>
      <c r="B33" s="189">
        <f>IFERROR(__xludf.DUMMYFUNCTION("""COMPUTED_VALUE"""),46001.5625)</f>
        <v>46001.5625</v>
      </c>
      <c r="C33" s="190">
        <f>IFERROR(__xludf.DUMMYFUNCTION("""COMPUTED_VALUE"""),21.3)</f>
        <v>21.3</v>
      </c>
      <c r="D33" s="190">
        <f>IFERROR(__xludf.DUMMYFUNCTION("""COMPUTED_VALUE"""),21.31)</f>
        <v>21.31</v>
      </c>
      <c r="E33" s="190">
        <f>IFERROR(__xludf.DUMMYFUNCTION("""COMPUTED_VALUE"""),21.21)</f>
        <v>21.21</v>
      </c>
      <c r="F33" s="190">
        <f>IFERROR(__xludf.DUMMYFUNCTION("""COMPUTED_VALUE"""),21.25)</f>
        <v>21.25</v>
      </c>
      <c r="G33" s="191">
        <f>IFERROR(__xludf.DUMMYFUNCTION("""COMPUTED_VALUE"""),2.3346402E7)</f>
        <v>23346402</v>
      </c>
      <c r="H33" s="112"/>
      <c r="I33" s="112"/>
      <c r="J33" s="197">
        <v>44700.0</v>
      </c>
      <c r="K33" s="194">
        <v>300.0</v>
      </c>
      <c r="L33" s="194">
        <v>17.56</v>
      </c>
      <c r="M33" s="94">
        <v>20.0</v>
      </c>
      <c r="N33" s="112">
        <f t="shared" si="1"/>
        <v>5288</v>
      </c>
      <c r="O33" s="196">
        <f t="shared" si="2"/>
        <v>18.508125</v>
      </c>
      <c r="P33" s="112"/>
      <c r="Q33" s="112"/>
      <c r="R33" s="112"/>
    </row>
    <row r="34" ht="17.25" customHeight="1">
      <c r="A34" s="112"/>
      <c r="B34" s="189">
        <f>IFERROR(__xludf.DUMMYFUNCTION("""COMPUTED_VALUE"""),46002.5625)</f>
        <v>46002.5625</v>
      </c>
      <c r="C34" s="190">
        <f>IFERROR(__xludf.DUMMYFUNCTION("""COMPUTED_VALUE"""),21.28)</f>
        <v>21.28</v>
      </c>
      <c r="D34" s="190">
        <f>IFERROR(__xludf.DUMMYFUNCTION("""COMPUTED_VALUE"""),21.32)</f>
        <v>21.32</v>
      </c>
      <c r="E34" s="190">
        <f>IFERROR(__xludf.DUMMYFUNCTION("""COMPUTED_VALUE"""),21.09)</f>
        <v>21.09</v>
      </c>
      <c r="F34" s="190">
        <f>IFERROR(__xludf.DUMMYFUNCTION("""COMPUTED_VALUE"""),21.13)</f>
        <v>21.13</v>
      </c>
      <c r="G34" s="191">
        <f>IFERROR(__xludf.DUMMYFUNCTION("""COMPUTED_VALUE"""),3.8269375E7)</f>
        <v>38269375</v>
      </c>
      <c r="H34" s="112"/>
      <c r="I34" s="112"/>
      <c r="J34" s="197">
        <v>44707.0</v>
      </c>
      <c r="K34" s="204">
        <v>200.0</v>
      </c>
      <c r="L34" s="194">
        <v>17.55</v>
      </c>
      <c r="M34" s="94">
        <v>20.0</v>
      </c>
      <c r="N34" s="112">
        <f t="shared" si="1"/>
        <v>3530</v>
      </c>
      <c r="O34" s="196">
        <f t="shared" si="2"/>
        <v>18.4738</v>
      </c>
      <c r="P34" s="112"/>
      <c r="Q34" s="112"/>
      <c r="R34" s="112"/>
    </row>
    <row r="35" ht="17.25" customHeight="1">
      <c r="A35" s="112"/>
      <c r="B35" s="189">
        <f>IFERROR(__xludf.DUMMYFUNCTION("""COMPUTED_VALUE"""),46003.5625)</f>
        <v>46003.5625</v>
      </c>
      <c r="C35" s="190">
        <f>IFERROR(__xludf.DUMMYFUNCTION("""COMPUTED_VALUE"""),21.22)</f>
        <v>21.22</v>
      </c>
      <c r="D35" s="190">
        <f>IFERROR(__xludf.DUMMYFUNCTION("""COMPUTED_VALUE"""),21.28)</f>
        <v>21.28</v>
      </c>
      <c r="E35" s="190">
        <f>IFERROR(__xludf.DUMMYFUNCTION("""COMPUTED_VALUE"""),21.2)</f>
        <v>21.2</v>
      </c>
      <c r="F35" s="190">
        <f>IFERROR(__xludf.DUMMYFUNCTION("""COMPUTED_VALUE"""),21.25)</f>
        <v>21.25</v>
      </c>
      <c r="G35" s="191">
        <f>IFERROR(__xludf.DUMMYFUNCTION("""COMPUTED_VALUE"""),3.6919305E7)</f>
        <v>36919305</v>
      </c>
      <c r="H35" s="112"/>
      <c r="I35" s="112"/>
      <c r="J35" s="197">
        <v>44711.0</v>
      </c>
      <c r="K35" s="204">
        <v>1000.0</v>
      </c>
      <c r="L35" s="194">
        <v>17.82</v>
      </c>
      <c r="M35" s="94">
        <v>6.0</v>
      </c>
      <c r="N35" s="112">
        <f t="shared" si="1"/>
        <v>17826</v>
      </c>
      <c r="O35" s="196">
        <f t="shared" si="2"/>
        <v>18.36583333</v>
      </c>
      <c r="P35" s="112"/>
      <c r="Q35" s="112"/>
      <c r="R35" s="112"/>
    </row>
    <row r="36" ht="17.25" customHeight="1">
      <c r="A36" s="112"/>
      <c r="B36" s="189">
        <f>IFERROR(__xludf.DUMMYFUNCTION("""COMPUTED_VALUE"""),46006.5625)</f>
        <v>46006.5625</v>
      </c>
      <c r="C36" s="190">
        <f>IFERROR(__xludf.DUMMYFUNCTION("""COMPUTED_VALUE"""),21.13)</f>
        <v>21.13</v>
      </c>
      <c r="D36" s="190">
        <f>IFERROR(__xludf.DUMMYFUNCTION("""COMPUTED_VALUE"""),21.24)</f>
        <v>21.24</v>
      </c>
      <c r="E36" s="190">
        <f>IFERROR(__xludf.DUMMYFUNCTION("""COMPUTED_VALUE"""),21.04)</f>
        <v>21.04</v>
      </c>
      <c r="F36" s="190">
        <f>IFERROR(__xludf.DUMMYFUNCTION("""COMPUTED_VALUE"""),21.21)</f>
        <v>21.21</v>
      </c>
      <c r="G36" s="191">
        <f>IFERROR(__xludf.DUMMYFUNCTION("""COMPUTED_VALUE"""),3.3573124E7)</f>
        <v>33573124</v>
      </c>
      <c r="H36" s="112"/>
      <c r="I36" s="112"/>
      <c r="J36" s="197">
        <v>44736.0</v>
      </c>
      <c r="K36" s="194">
        <v>500.0</v>
      </c>
      <c r="L36" s="194">
        <v>17.12</v>
      </c>
      <c r="M36" s="94">
        <v>3.0</v>
      </c>
      <c r="N36" s="112">
        <f t="shared" si="1"/>
        <v>8563</v>
      </c>
      <c r="O36" s="196">
        <f t="shared" si="2"/>
        <v>18.27046154</v>
      </c>
      <c r="P36" s="112"/>
      <c r="Q36" s="112"/>
      <c r="R36" s="112"/>
    </row>
    <row r="37" ht="17.25" customHeight="1">
      <c r="A37" s="112"/>
      <c r="B37" s="189">
        <f>IFERROR(__xludf.DUMMYFUNCTION("""COMPUTED_VALUE"""),46007.5625)</f>
        <v>46007.5625</v>
      </c>
      <c r="C37" s="190">
        <f>IFERROR(__xludf.DUMMYFUNCTION("""COMPUTED_VALUE"""),21.08)</f>
        <v>21.08</v>
      </c>
      <c r="D37" s="190">
        <f>IFERROR(__xludf.DUMMYFUNCTION("""COMPUTED_VALUE"""),21.2)</f>
        <v>21.2</v>
      </c>
      <c r="E37" s="190">
        <f>IFERROR(__xludf.DUMMYFUNCTION("""COMPUTED_VALUE"""),21.04)</f>
        <v>21.04</v>
      </c>
      <c r="F37" s="190">
        <f>IFERROR(__xludf.DUMMYFUNCTION("""COMPUTED_VALUE"""),21.17)</f>
        <v>21.17</v>
      </c>
      <c r="G37" s="191">
        <f>IFERROR(__xludf.DUMMYFUNCTION("""COMPUTED_VALUE"""),4.9758613E7)</f>
        <v>49758613</v>
      </c>
      <c r="H37" s="112"/>
      <c r="I37" s="112"/>
      <c r="J37" s="192">
        <v>44743.0</v>
      </c>
      <c r="K37" s="194">
        <v>500.0</v>
      </c>
      <c r="L37" s="194">
        <v>16.44</v>
      </c>
      <c r="M37" s="94">
        <v>3.0</v>
      </c>
      <c r="N37" s="112">
        <f t="shared" si="1"/>
        <v>8223</v>
      </c>
      <c r="O37" s="196">
        <f t="shared" si="2"/>
        <v>18.14014286</v>
      </c>
      <c r="P37" s="112"/>
      <c r="Q37" s="112"/>
      <c r="R37" s="112"/>
    </row>
    <row r="38" ht="17.25" customHeight="1">
      <c r="A38" s="112"/>
      <c r="B38" s="189">
        <f>IFERROR(__xludf.DUMMYFUNCTION("""COMPUTED_VALUE"""),46008.5625)</f>
        <v>46008.5625</v>
      </c>
      <c r="C38" s="190">
        <f>IFERROR(__xludf.DUMMYFUNCTION("""COMPUTED_VALUE"""),21.2)</f>
        <v>21.2</v>
      </c>
      <c r="D38" s="190">
        <f>IFERROR(__xludf.DUMMYFUNCTION("""COMPUTED_VALUE"""),21.46)</f>
        <v>21.46</v>
      </c>
      <c r="E38" s="190">
        <f>IFERROR(__xludf.DUMMYFUNCTION("""COMPUTED_VALUE"""),21.19)</f>
        <v>21.19</v>
      </c>
      <c r="F38" s="190">
        <f>IFERROR(__xludf.DUMMYFUNCTION("""COMPUTED_VALUE"""),21.35)</f>
        <v>21.35</v>
      </c>
      <c r="G38" s="191">
        <f>IFERROR(__xludf.DUMMYFUNCTION("""COMPUTED_VALUE"""),6.5500784E7)</f>
        <v>65500784</v>
      </c>
      <c r="H38" s="112"/>
      <c r="I38" s="112"/>
      <c r="J38" s="192">
        <v>44770.0</v>
      </c>
      <c r="K38" s="204">
        <v>1000.0</v>
      </c>
      <c r="L38" s="194">
        <v>16.83</v>
      </c>
      <c r="M38" s="94">
        <v>6.0</v>
      </c>
      <c r="N38" s="112">
        <f t="shared" si="1"/>
        <v>16836</v>
      </c>
      <c r="O38" s="196">
        <f t="shared" si="2"/>
        <v>17.977125</v>
      </c>
      <c r="P38" s="112"/>
      <c r="Q38" s="112"/>
      <c r="R38" s="112"/>
    </row>
    <row r="39" ht="17.25" customHeight="1">
      <c r="A39" s="112"/>
      <c r="B39" s="189">
        <f>IFERROR(__xludf.DUMMYFUNCTION("""COMPUTED_VALUE"""),46009.5625)</f>
        <v>46009.5625</v>
      </c>
      <c r="C39" s="190">
        <f>IFERROR(__xludf.DUMMYFUNCTION("""COMPUTED_VALUE"""),21.35)</f>
        <v>21.35</v>
      </c>
      <c r="D39" s="190">
        <f>IFERROR(__xludf.DUMMYFUNCTION("""COMPUTED_VALUE"""),21.38)</f>
        <v>21.38</v>
      </c>
      <c r="E39" s="190">
        <f>IFERROR(__xludf.DUMMYFUNCTION("""COMPUTED_VALUE"""),21.27)</f>
        <v>21.27</v>
      </c>
      <c r="F39" s="190">
        <f>IFERROR(__xludf.DUMMYFUNCTION("""COMPUTED_VALUE"""),21.33)</f>
        <v>21.33</v>
      </c>
      <c r="G39" s="191">
        <f>IFERROR(__xludf.DUMMYFUNCTION("""COMPUTED_VALUE"""),2.5065155E7)</f>
        <v>25065155</v>
      </c>
      <c r="H39" s="112"/>
      <c r="I39" s="112"/>
      <c r="J39" s="192">
        <v>44791.0</v>
      </c>
      <c r="K39" s="204">
        <v>1000.0</v>
      </c>
      <c r="L39" s="194">
        <v>17.18</v>
      </c>
      <c r="M39" s="94">
        <v>6.0</v>
      </c>
      <c r="N39" s="112">
        <f t="shared" si="1"/>
        <v>17186</v>
      </c>
      <c r="O39" s="196">
        <f t="shared" si="2"/>
        <v>17.88922222</v>
      </c>
      <c r="P39" s="112"/>
      <c r="Q39" s="112"/>
      <c r="R39" s="112"/>
    </row>
    <row r="40" ht="17.25" customHeight="1">
      <c r="A40" s="112"/>
      <c r="B40" s="189">
        <f>IFERROR(__xludf.DUMMYFUNCTION("""COMPUTED_VALUE"""),46010.5625)</f>
        <v>46010.5625</v>
      </c>
      <c r="C40" s="190">
        <f>IFERROR(__xludf.DUMMYFUNCTION("""COMPUTED_VALUE"""),21.35)</f>
        <v>21.35</v>
      </c>
      <c r="D40" s="190">
        <f>IFERROR(__xludf.DUMMYFUNCTION("""COMPUTED_VALUE"""),21.5)</f>
        <v>21.5</v>
      </c>
      <c r="E40" s="190">
        <f>IFERROR(__xludf.DUMMYFUNCTION("""COMPUTED_VALUE"""),21.34)</f>
        <v>21.34</v>
      </c>
      <c r="F40" s="190">
        <f>IFERROR(__xludf.DUMMYFUNCTION("""COMPUTED_VALUE"""),21.49)</f>
        <v>21.49</v>
      </c>
      <c r="G40" s="191">
        <f>IFERROR(__xludf.DUMMYFUNCTION("""COMPUTED_VALUE"""),4.8057314E7)</f>
        <v>48057314</v>
      </c>
      <c r="H40" s="112"/>
      <c r="I40" s="112"/>
      <c r="J40" s="192">
        <v>44805.0</v>
      </c>
      <c r="K40" s="204">
        <v>1000.0</v>
      </c>
      <c r="L40" s="194">
        <v>16.86</v>
      </c>
      <c r="M40" s="94">
        <v>20.0</v>
      </c>
      <c r="N40" s="112">
        <f t="shared" si="1"/>
        <v>16880</v>
      </c>
      <c r="O40" s="196">
        <f t="shared" si="2"/>
        <v>17.7883</v>
      </c>
      <c r="P40" s="112"/>
      <c r="Q40" s="112"/>
      <c r="R40" s="112"/>
    </row>
    <row r="41" ht="17.25" customHeight="1">
      <c r="A41" s="112"/>
      <c r="B41" s="189">
        <f>IFERROR(__xludf.DUMMYFUNCTION("""COMPUTED_VALUE"""),46013.5625)</f>
        <v>46013.5625</v>
      </c>
      <c r="C41" s="190">
        <f>IFERROR(__xludf.DUMMYFUNCTION("""COMPUTED_VALUE"""),21.62)</f>
        <v>21.62</v>
      </c>
      <c r="D41" s="190">
        <f>IFERROR(__xludf.DUMMYFUNCTION("""COMPUTED_VALUE"""),21.72)</f>
        <v>21.72</v>
      </c>
      <c r="E41" s="190">
        <f>IFERROR(__xludf.DUMMYFUNCTION("""COMPUTED_VALUE"""),21.6)</f>
        <v>21.6</v>
      </c>
      <c r="F41" s="190">
        <f>IFERROR(__xludf.DUMMYFUNCTION("""COMPUTED_VALUE"""),21.69)</f>
        <v>21.69</v>
      </c>
      <c r="G41" s="191">
        <f>IFERROR(__xludf.DUMMYFUNCTION("""COMPUTED_VALUE"""),6.9419175E7)</f>
        <v>69419175</v>
      </c>
      <c r="H41" s="112"/>
      <c r="I41" s="112"/>
      <c r="J41" s="192">
        <v>44845.0</v>
      </c>
      <c r="K41" s="204">
        <v>1000.0</v>
      </c>
      <c r="L41" s="194">
        <v>15.81</v>
      </c>
      <c r="M41" s="94">
        <v>6.0</v>
      </c>
      <c r="N41" s="112">
        <f t="shared" si="1"/>
        <v>15816</v>
      </c>
      <c r="O41" s="196">
        <f t="shared" si="2"/>
        <v>17.609</v>
      </c>
      <c r="P41" s="112"/>
      <c r="Q41" s="112"/>
      <c r="R41" s="112"/>
    </row>
    <row r="42" ht="17.25" customHeight="1">
      <c r="A42" s="112"/>
      <c r="B42" s="189">
        <f>IFERROR(__xludf.DUMMYFUNCTION("""COMPUTED_VALUE"""),46014.5625)</f>
        <v>46014.5625</v>
      </c>
      <c r="C42" s="190">
        <f>IFERROR(__xludf.DUMMYFUNCTION("""COMPUTED_VALUE"""),21.7)</f>
        <v>21.7</v>
      </c>
      <c r="D42" s="190">
        <f>IFERROR(__xludf.DUMMYFUNCTION("""COMPUTED_VALUE"""),21.72)</f>
        <v>21.72</v>
      </c>
      <c r="E42" s="190">
        <f>IFERROR(__xludf.DUMMYFUNCTION("""COMPUTED_VALUE"""),21.55)</f>
        <v>21.55</v>
      </c>
      <c r="F42" s="190">
        <f>IFERROR(__xludf.DUMMYFUNCTION("""COMPUTED_VALUE"""),21.61)</f>
        <v>21.61</v>
      </c>
      <c r="G42" s="191">
        <f>IFERROR(__xludf.DUMMYFUNCTION("""COMPUTED_VALUE"""),2.8015811E7)</f>
        <v>28015811</v>
      </c>
      <c r="H42" s="112"/>
      <c r="I42" s="112"/>
      <c r="J42" s="262">
        <v>44907.0</v>
      </c>
      <c r="K42" s="204">
        <v>1000.0</v>
      </c>
      <c r="L42" s="94">
        <v>16.4</v>
      </c>
      <c r="M42" s="94">
        <v>6.0</v>
      </c>
      <c r="N42" s="112">
        <f t="shared" si="1"/>
        <v>16406</v>
      </c>
      <c r="O42" s="196">
        <f t="shared" si="2"/>
        <v>17.50875</v>
      </c>
      <c r="P42" s="112"/>
      <c r="Q42" s="112"/>
      <c r="R42" s="112"/>
    </row>
    <row r="43" ht="17.25" customHeight="1">
      <c r="A43" s="112"/>
      <c r="B43" s="189">
        <f>IFERROR(__xludf.DUMMYFUNCTION("""COMPUTED_VALUE"""),46015.5625)</f>
        <v>46015.5625</v>
      </c>
      <c r="C43" s="190">
        <f>IFERROR(__xludf.DUMMYFUNCTION("""COMPUTED_VALUE"""),21.65)</f>
        <v>21.65</v>
      </c>
      <c r="D43" s="190">
        <f>IFERROR(__xludf.DUMMYFUNCTION("""COMPUTED_VALUE"""),21.7)</f>
        <v>21.7</v>
      </c>
      <c r="E43" s="190">
        <f>IFERROR(__xludf.DUMMYFUNCTION("""COMPUTED_VALUE"""),21.55)</f>
        <v>21.55</v>
      </c>
      <c r="F43" s="190">
        <f>IFERROR(__xludf.DUMMYFUNCTION("""COMPUTED_VALUE"""),21.6)</f>
        <v>21.6</v>
      </c>
      <c r="G43" s="191">
        <f>IFERROR(__xludf.DUMMYFUNCTION("""COMPUTED_VALUE"""),3.051805E7)</f>
        <v>30518050</v>
      </c>
      <c r="H43" s="112"/>
      <c r="I43" s="112"/>
      <c r="J43" s="205">
        <v>44957.0</v>
      </c>
      <c r="K43" s="204">
        <v>1000.0</v>
      </c>
      <c r="L43" s="94">
        <v>16.9</v>
      </c>
      <c r="M43" s="94">
        <v>6.0</v>
      </c>
      <c r="N43" s="112">
        <f t="shared" si="1"/>
        <v>16906</v>
      </c>
      <c r="O43" s="196">
        <f t="shared" si="2"/>
        <v>17.46238462</v>
      </c>
      <c r="P43" s="112"/>
      <c r="Q43" s="112"/>
      <c r="R43" s="112"/>
    </row>
    <row r="44" ht="17.25" customHeight="1">
      <c r="A44" s="112"/>
      <c r="B44" s="189">
        <f>IFERROR(__xludf.DUMMYFUNCTION("""COMPUTED_VALUE"""),46017.5625)</f>
        <v>46017.5625</v>
      </c>
      <c r="C44" s="190">
        <f>IFERROR(__xludf.DUMMYFUNCTION("""COMPUTED_VALUE"""),21.6)</f>
        <v>21.6</v>
      </c>
      <c r="D44" s="190">
        <f>IFERROR(__xludf.DUMMYFUNCTION("""COMPUTED_VALUE"""),21.62)</f>
        <v>21.62</v>
      </c>
      <c r="E44" s="190">
        <f>IFERROR(__xludf.DUMMYFUNCTION("""COMPUTED_VALUE"""),21.52)</f>
        <v>21.52</v>
      </c>
      <c r="F44" s="190">
        <f>IFERROR(__xludf.DUMMYFUNCTION("""COMPUTED_VALUE"""),21.57)</f>
        <v>21.57</v>
      </c>
      <c r="G44" s="191">
        <f>IFERROR(__xludf.DUMMYFUNCTION("""COMPUTED_VALUE"""),2.8187213E7)</f>
        <v>28187213</v>
      </c>
      <c r="H44" s="112"/>
      <c r="I44" s="112"/>
      <c r="J44" s="262">
        <v>45271.0</v>
      </c>
      <c r="K44" s="94">
        <v>48.0</v>
      </c>
      <c r="L44" s="94">
        <v>20.6</v>
      </c>
      <c r="M44" s="94">
        <v>1.0</v>
      </c>
      <c r="N44" s="112">
        <f t="shared" si="1"/>
        <v>989.8</v>
      </c>
      <c r="O44" s="196">
        <f t="shared" si="2"/>
        <v>17.47400368</v>
      </c>
      <c r="P44" s="112"/>
      <c r="Q44" s="112"/>
      <c r="R44" s="112"/>
    </row>
    <row r="45" ht="17.25" customHeight="1">
      <c r="A45" s="112"/>
      <c r="B45" s="189">
        <f>IFERROR(__xludf.DUMMYFUNCTION("""COMPUTED_VALUE"""),46020.5625)</f>
        <v>46020.5625</v>
      </c>
      <c r="C45" s="190">
        <f>IFERROR(__xludf.DUMMYFUNCTION("""COMPUTED_VALUE"""),21.57)</f>
        <v>21.57</v>
      </c>
      <c r="D45" s="190">
        <f>IFERROR(__xludf.DUMMYFUNCTION("""COMPUTED_VALUE"""),21.77)</f>
        <v>21.77</v>
      </c>
      <c r="E45" s="190">
        <f>IFERROR(__xludf.DUMMYFUNCTION("""COMPUTED_VALUE"""),21.55)</f>
        <v>21.55</v>
      </c>
      <c r="F45" s="190">
        <f>IFERROR(__xludf.DUMMYFUNCTION("""COMPUTED_VALUE"""),21.73)</f>
        <v>21.73</v>
      </c>
      <c r="G45" s="191">
        <f>IFERROR(__xludf.DUMMYFUNCTION("""COMPUTED_VALUE"""),8.2226099E7)</f>
        <v>82226099</v>
      </c>
      <c r="H45" s="112"/>
      <c r="I45" s="112"/>
      <c r="J45" s="262">
        <v>45278.0</v>
      </c>
      <c r="K45" s="94">
        <v>47.0</v>
      </c>
      <c r="L45" s="94">
        <v>21.0</v>
      </c>
      <c r="M45" s="94">
        <v>1.0</v>
      </c>
      <c r="N45" s="112">
        <f t="shared" si="1"/>
        <v>988</v>
      </c>
      <c r="O45" s="196">
        <f t="shared" si="2"/>
        <v>17.4867354</v>
      </c>
      <c r="P45" s="112"/>
      <c r="Q45" s="112"/>
      <c r="R45" s="112"/>
    </row>
    <row r="46" ht="17.25" customHeight="1">
      <c r="A46" s="112"/>
      <c r="B46" s="189">
        <f>IFERROR(__xludf.DUMMYFUNCTION("""COMPUTED_VALUE"""),46021.5625)</f>
        <v>46021.5625</v>
      </c>
      <c r="C46" s="190">
        <f>IFERROR(__xludf.DUMMYFUNCTION("""COMPUTED_VALUE"""),21.7)</f>
        <v>21.7</v>
      </c>
      <c r="D46" s="190">
        <f>IFERROR(__xludf.DUMMYFUNCTION("""COMPUTED_VALUE"""),21.71)</f>
        <v>21.71</v>
      </c>
      <c r="E46" s="190">
        <f>IFERROR(__xludf.DUMMYFUNCTION("""COMPUTED_VALUE"""),21.64)</f>
        <v>21.64</v>
      </c>
      <c r="F46" s="190">
        <f>IFERROR(__xludf.DUMMYFUNCTION("""COMPUTED_VALUE"""),21.7)</f>
        <v>21.7</v>
      </c>
      <c r="G46" s="191">
        <f>IFERROR(__xludf.DUMMYFUNCTION("""COMPUTED_VALUE"""),2.6118641E7)</f>
        <v>26118641</v>
      </c>
      <c r="H46" s="112"/>
      <c r="I46" s="112"/>
      <c r="J46" s="262">
        <v>45285.0</v>
      </c>
      <c r="K46" s="94">
        <v>46.0</v>
      </c>
      <c r="L46" s="94">
        <v>21.33</v>
      </c>
      <c r="M46" s="94">
        <v>1.0</v>
      </c>
      <c r="N46" s="112">
        <f t="shared" si="1"/>
        <v>982.18</v>
      </c>
      <c r="O46" s="196">
        <f t="shared" si="2"/>
        <v>17.50026482</v>
      </c>
      <c r="P46" s="112"/>
      <c r="Q46" s="112"/>
      <c r="R46" s="112"/>
    </row>
    <row r="47" ht="17.25" customHeight="1">
      <c r="A47" s="112"/>
      <c r="B47" s="189">
        <f>IFERROR(__xludf.DUMMYFUNCTION("""COMPUTED_VALUE"""),46022.5625)</f>
        <v>46022.5625</v>
      </c>
      <c r="C47" s="190">
        <f>IFERROR(__xludf.DUMMYFUNCTION("""COMPUTED_VALUE"""),21.7)</f>
        <v>21.7</v>
      </c>
      <c r="D47" s="190">
        <f>IFERROR(__xludf.DUMMYFUNCTION("""COMPUTED_VALUE"""),21.75)</f>
        <v>21.75</v>
      </c>
      <c r="E47" s="190">
        <f>IFERROR(__xludf.DUMMYFUNCTION("""COMPUTED_VALUE"""),21.63)</f>
        <v>21.63</v>
      </c>
      <c r="F47" s="190">
        <f>IFERROR(__xludf.DUMMYFUNCTION("""COMPUTED_VALUE"""),21.71)</f>
        <v>21.71</v>
      </c>
      <c r="G47" s="191">
        <f>IFERROR(__xludf.DUMMYFUNCTION("""COMPUTED_VALUE"""),4.1917727E7)</f>
        <v>41917727</v>
      </c>
      <c r="H47" s="112"/>
      <c r="I47" s="112"/>
      <c r="J47" s="205">
        <v>45302.0</v>
      </c>
      <c r="K47" s="94">
        <v>47.0</v>
      </c>
      <c r="L47" s="94">
        <v>21.18</v>
      </c>
      <c r="M47" s="94">
        <v>1.0</v>
      </c>
      <c r="N47" s="112">
        <f t="shared" si="1"/>
        <v>996.46</v>
      </c>
      <c r="O47" s="196">
        <f t="shared" si="2"/>
        <v>17.51345466</v>
      </c>
      <c r="P47" s="112"/>
      <c r="Q47" s="112"/>
      <c r="R47" s="112"/>
    </row>
    <row r="48" ht="17.25" customHeight="1">
      <c r="A48" s="112"/>
      <c r="B48" s="189">
        <f>IFERROR(__xludf.DUMMYFUNCTION("""COMPUTED_VALUE"""),46024.5625)</f>
        <v>46024.5625</v>
      </c>
      <c r="C48" s="190">
        <f>IFERROR(__xludf.DUMMYFUNCTION("""COMPUTED_VALUE"""),21.75)</f>
        <v>21.75</v>
      </c>
      <c r="D48" s="190">
        <f>IFERROR(__xludf.DUMMYFUNCTION("""COMPUTED_VALUE"""),21.92)</f>
        <v>21.92</v>
      </c>
      <c r="E48" s="190">
        <f>IFERROR(__xludf.DUMMYFUNCTION("""COMPUTED_VALUE"""),21.73)</f>
        <v>21.73</v>
      </c>
      <c r="F48" s="190">
        <f>IFERROR(__xludf.DUMMYFUNCTION("""COMPUTED_VALUE"""),21.86)</f>
        <v>21.86</v>
      </c>
      <c r="G48" s="191">
        <f>IFERROR(__xludf.DUMMYFUNCTION("""COMPUTED_VALUE"""),7.6662895E7)</f>
        <v>76662895</v>
      </c>
      <c r="H48" s="112"/>
      <c r="I48" s="112"/>
      <c r="J48" s="205">
        <v>45309.0</v>
      </c>
      <c r="K48" s="94">
        <v>47.0</v>
      </c>
      <c r="L48" s="94">
        <v>20.85</v>
      </c>
      <c r="M48" s="94">
        <v>1.0</v>
      </c>
      <c r="N48" s="112">
        <f t="shared" si="1"/>
        <v>980.95</v>
      </c>
      <c r="O48" s="196">
        <f t="shared" si="2"/>
        <v>17.52537892</v>
      </c>
      <c r="P48" s="112"/>
      <c r="Q48" s="112"/>
      <c r="R48" s="112"/>
    </row>
    <row r="49" ht="17.25" customHeight="1">
      <c r="A49" s="112"/>
      <c r="B49" s="189">
        <f>IFERROR(__xludf.DUMMYFUNCTION("""COMPUTED_VALUE"""),46027.5625)</f>
        <v>46027.5625</v>
      </c>
      <c r="C49" s="190">
        <f>IFERROR(__xludf.DUMMYFUNCTION("""COMPUTED_VALUE"""),21.86)</f>
        <v>21.86</v>
      </c>
      <c r="D49" s="190">
        <f>IFERROR(__xludf.DUMMYFUNCTION("""COMPUTED_VALUE"""),22.0)</f>
        <v>22</v>
      </c>
      <c r="E49" s="190">
        <f>IFERROR(__xludf.DUMMYFUNCTION("""COMPUTED_VALUE"""),21.82)</f>
        <v>21.82</v>
      </c>
      <c r="F49" s="190">
        <f>IFERROR(__xludf.DUMMYFUNCTION("""COMPUTED_VALUE"""),21.91)</f>
        <v>21.91</v>
      </c>
      <c r="G49" s="191">
        <f>IFERROR(__xludf.DUMMYFUNCTION("""COMPUTED_VALUE"""),1.28754804E8)</f>
        <v>128754804</v>
      </c>
      <c r="H49" s="112"/>
      <c r="I49" s="112"/>
      <c r="J49" s="205">
        <v>45316.0</v>
      </c>
      <c r="K49" s="94">
        <v>46.0</v>
      </c>
      <c r="L49" s="94">
        <v>21.7</v>
      </c>
      <c r="M49" s="94">
        <v>1.0</v>
      </c>
      <c r="N49" s="112">
        <f t="shared" si="1"/>
        <v>999.2</v>
      </c>
      <c r="O49" s="196">
        <f t="shared" si="2"/>
        <v>17.53991341</v>
      </c>
      <c r="P49" s="112"/>
      <c r="Q49" s="112"/>
      <c r="R49" s="112"/>
    </row>
    <row r="50" ht="17.25" customHeight="1">
      <c r="A50" s="112"/>
      <c r="B50" s="189">
        <f>IFERROR(__xludf.DUMMYFUNCTION("""COMPUTED_VALUE"""),46028.5625)</f>
        <v>46028.5625</v>
      </c>
      <c r="C50" s="190">
        <f>IFERROR(__xludf.DUMMYFUNCTION("""COMPUTED_VALUE"""),21.97)</f>
        <v>21.97</v>
      </c>
      <c r="D50" s="190">
        <f>IFERROR(__xludf.DUMMYFUNCTION("""COMPUTED_VALUE"""),22.02)</f>
        <v>22.02</v>
      </c>
      <c r="E50" s="190">
        <f>IFERROR(__xludf.DUMMYFUNCTION("""COMPUTED_VALUE"""),21.94)</f>
        <v>21.94</v>
      </c>
      <c r="F50" s="190">
        <f>IFERROR(__xludf.DUMMYFUNCTION("""COMPUTED_VALUE"""),22.0)</f>
        <v>22</v>
      </c>
      <c r="G50" s="191">
        <f>IFERROR(__xludf.DUMMYFUNCTION("""COMPUTED_VALUE"""),9.6162574E7)</f>
        <v>96162574</v>
      </c>
      <c r="H50" s="112"/>
      <c r="I50" s="112"/>
      <c r="J50" s="205">
        <v>45337.0</v>
      </c>
      <c r="K50" s="94">
        <v>45.0</v>
      </c>
      <c r="L50" s="94">
        <v>22.16</v>
      </c>
      <c r="M50" s="94">
        <v>1.0</v>
      </c>
      <c r="N50" s="112">
        <f t="shared" si="1"/>
        <v>998.2</v>
      </c>
      <c r="O50" s="196">
        <f t="shared" si="2"/>
        <v>17.55558982</v>
      </c>
      <c r="P50" s="112"/>
      <c r="Q50" s="112"/>
      <c r="R50" s="112"/>
    </row>
    <row r="51" ht="17.25" customHeight="1">
      <c r="A51" s="112"/>
      <c r="B51" s="189">
        <f>IFERROR(__xludf.DUMMYFUNCTION("""COMPUTED_VALUE"""),46029.5625)</f>
        <v>46029.5625</v>
      </c>
      <c r="C51" s="190">
        <f>IFERROR(__xludf.DUMMYFUNCTION("""COMPUTED_VALUE"""),22.04)</f>
        <v>22.04</v>
      </c>
      <c r="D51" s="190">
        <f>IFERROR(__xludf.DUMMYFUNCTION("""COMPUTED_VALUE"""),22.23)</f>
        <v>22.23</v>
      </c>
      <c r="E51" s="190">
        <f>IFERROR(__xludf.DUMMYFUNCTION("""COMPUTED_VALUE"""),22.03)</f>
        <v>22.03</v>
      </c>
      <c r="F51" s="190">
        <f>IFERROR(__xludf.DUMMYFUNCTION("""COMPUTED_VALUE"""),22.2)</f>
        <v>22.2</v>
      </c>
      <c r="G51" s="191">
        <f>IFERROR(__xludf.DUMMYFUNCTION("""COMPUTED_VALUE"""),1.17206772E8)</f>
        <v>117206772</v>
      </c>
      <c r="H51" s="112"/>
      <c r="I51" s="112"/>
      <c r="J51" s="205">
        <v>45341.0</v>
      </c>
      <c r="K51" s="94">
        <v>44.0</v>
      </c>
      <c r="L51" s="94">
        <v>22.27</v>
      </c>
      <c r="M51" s="94">
        <v>1.0</v>
      </c>
      <c r="N51" s="112">
        <f t="shared" si="1"/>
        <v>980.88</v>
      </c>
      <c r="O51" s="196">
        <f t="shared" si="2"/>
        <v>17.57117951</v>
      </c>
      <c r="P51" s="112"/>
      <c r="Q51" s="112"/>
      <c r="R51" s="112"/>
    </row>
    <row r="52" ht="17.25" customHeight="1">
      <c r="A52" s="112"/>
      <c r="B52" s="189">
        <f>IFERROR(__xludf.DUMMYFUNCTION("""COMPUTED_VALUE"""),46030.5625)</f>
        <v>46030.5625</v>
      </c>
      <c r="C52" s="190">
        <f>IFERROR(__xludf.DUMMYFUNCTION("""COMPUTED_VALUE"""),22.22)</f>
        <v>22.22</v>
      </c>
      <c r="D52" s="190">
        <f>IFERROR(__xludf.DUMMYFUNCTION("""COMPUTED_VALUE"""),22.33)</f>
        <v>22.33</v>
      </c>
      <c r="E52" s="190">
        <f>IFERROR(__xludf.DUMMYFUNCTION("""COMPUTED_VALUE"""),22.08)</f>
        <v>22.08</v>
      </c>
      <c r="F52" s="190">
        <f>IFERROR(__xludf.DUMMYFUNCTION("""COMPUTED_VALUE"""),22.12)</f>
        <v>22.12</v>
      </c>
      <c r="G52" s="191">
        <f>IFERROR(__xludf.DUMMYFUNCTION("""COMPUTED_VALUE"""),6.1032354E7)</f>
        <v>61032354</v>
      </c>
      <c r="H52" s="112"/>
      <c r="I52" s="112"/>
      <c r="J52" s="205">
        <v>45348.0</v>
      </c>
      <c r="K52" s="94">
        <v>44.0</v>
      </c>
      <c r="L52" s="94">
        <v>22.4</v>
      </c>
      <c r="M52" s="94">
        <v>1.0</v>
      </c>
      <c r="N52" s="112">
        <f t="shared" si="1"/>
        <v>986.6</v>
      </c>
      <c r="O52" s="196">
        <f t="shared" si="2"/>
        <v>17.58709334</v>
      </c>
      <c r="P52" s="112"/>
      <c r="Q52" s="112"/>
      <c r="R52" s="112"/>
    </row>
    <row r="53" ht="17.25" customHeight="1">
      <c r="A53" s="112"/>
      <c r="B53" s="189">
        <f>IFERROR(__xludf.DUMMYFUNCTION("""COMPUTED_VALUE"""),46031.5625)</f>
        <v>46031.5625</v>
      </c>
      <c r="C53" s="190">
        <f>IFERROR(__xludf.DUMMYFUNCTION("""COMPUTED_VALUE"""),22.12)</f>
        <v>22.12</v>
      </c>
      <c r="D53" s="190">
        <f>IFERROR(__xludf.DUMMYFUNCTION("""COMPUTED_VALUE"""),22.19)</f>
        <v>22.19</v>
      </c>
      <c r="E53" s="190">
        <f>IFERROR(__xludf.DUMMYFUNCTION("""COMPUTED_VALUE"""),21.96)</f>
        <v>21.96</v>
      </c>
      <c r="F53" s="190">
        <f>IFERROR(__xludf.DUMMYFUNCTION("""COMPUTED_VALUE"""),22.1)</f>
        <v>22.1</v>
      </c>
      <c r="G53" s="191">
        <f>IFERROR(__xludf.DUMMYFUNCTION("""COMPUTED_VALUE"""),4.6762791E7)</f>
        <v>46762791</v>
      </c>
      <c r="H53" s="112"/>
      <c r="I53" s="112"/>
      <c r="J53" s="205">
        <v>45362.0</v>
      </c>
      <c r="K53" s="94">
        <v>44.0</v>
      </c>
      <c r="L53" s="94">
        <v>22.4</v>
      </c>
      <c r="M53" s="94">
        <v>1.0</v>
      </c>
      <c r="N53" s="112">
        <f t="shared" si="1"/>
        <v>986.6</v>
      </c>
      <c r="O53" s="196">
        <f t="shared" si="2"/>
        <v>17.60290311</v>
      </c>
      <c r="P53" s="112"/>
      <c r="Q53" s="112"/>
      <c r="R53" s="112"/>
    </row>
    <row r="54" ht="17.25" customHeight="1">
      <c r="A54" s="112"/>
      <c r="B54" s="189">
        <f>IFERROR(__xludf.DUMMYFUNCTION("""COMPUTED_VALUE"""),46034.5625)</f>
        <v>46034.5625</v>
      </c>
      <c r="C54" s="190">
        <f>IFERROR(__xludf.DUMMYFUNCTION("""COMPUTED_VALUE"""),22.29)</f>
        <v>22.29</v>
      </c>
      <c r="D54" s="190">
        <f>IFERROR(__xludf.DUMMYFUNCTION("""COMPUTED_VALUE"""),22.32)</f>
        <v>22.32</v>
      </c>
      <c r="E54" s="190">
        <f>IFERROR(__xludf.DUMMYFUNCTION("""COMPUTED_VALUE"""),22.2)</f>
        <v>22.2</v>
      </c>
      <c r="F54" s="190">
        <f>IFERROR(__xludf.DUMMYFUNCTION("""COMPUTED_VALUE"""),22.27)</f>
        <v>22.27</v>
      </c>
      <c r="G54" s="191">
        <f>IFERROR(__xludf.DUMMYFUNCTION("""COMPUTED_VALUE"""),8.3480957E7)</f>
        <v>83480957</v>
      </c>
      <c r="H54" s="112"/>
      <c r="I54" s="112"/>
      <c r="J54" s="205">
        <v>45369.0</v>
      </c>
      <c r="K54" s="94">
        <v>44.0</v>
      </c>
      <c r="L54" s="94">
        <v>22.33</v>
      </c>
      <c r="M54" s="94">
        <v>1.0</v>
      </c>
      <c r="N54" s="112">
        <f t="shared" si="1"/>
        <v>983.52</v>
      </c>
      <c r="O54" s="196">
        <f t="shared" si="2"/>
        <v>17.61838172</v>
      </c>
      <c r="P54" s="112"/>
      <c r="Q54" s="112"/>
      <c r="R54" s="112"/>
    </row>
    <row r="55" ht="17.25" customHeight="1">
      <c r="A55" s="112"/>
      <c r="B55" s="189">
        <f>IFERROR(__xludf.DUMMYFUNCTION("""COMPUTED_VALUE"""),46035.5625)</f>
        <v>46035.5625</v>
      </c>
      <c r="C55" s="190">
        <f>IFERROR(__xludf.DUMMYFUNCTION("""COMPUTED_VALUE"""),22.39)</f>
        <v>22.39</v>
      </c>
      <c r="D55" s="190">
        <f>IFERROR(__xludf.DUMMYFUNCTION("""COMPUTED_VALUE"""),22.47)</f>
        <v>22.47</v>
      </c>
      <c r="E55" s="190">
        <f>IFERROR(__xludf.DUMMYFUNCTION("""COMPUTED_VALUE"""),22.24)</f>
        <v>22.24</v>
      </c>
      <c r="F55" s="190">
        <f>IFERROR(__xludf.DUMMYFUNCTION("""COMPUTED_VALUE"""),22.33)</f>
        <v>22.33</v>
      </c>
      <c r="G55" s="191">
        <f>IFERROR(__xludf.DUMMYFUNCTION("""COMPUTED_VALUE"""),7.7548281E7)</f>
        <v>77548281</v>
      </c>
      <c r="H55" s="112"/>
      <c r="I55" s="112"/>
      <c r="J55" s="205">
        <v>45376.0</v>
      </c>
      <c r="K55" s="94">
        <v>44.0</v>
      </c>
      <c r="L55" s="94">
        <v>22.5</v>
      </c>
      <c r="M55" s="94">
        <v>1.0</v>
      </c>
      <c r="N55" s="112">
        <f t="shared" si="1"/>
        <v>991</v>
      </c>
      <c r="O55" s="196">
        <f t="shared" si="2"/>
        <v>17.63431197</v>
      </c>
      <c r="P55" s="112"/>
      <c r="Q55" s="112"/>
      <c r="R55" s="112"/>
    </row>
    <row r="56" ht="17.25" customHeight="1">
      <c r="A56" s="112"/>
      <c r="B56" s="189">
        <f>IFERROR(__xludf.DUMMYFUNCTION("""COMPUTED_VALUE"""),46036.5625)</f>
        <v>46036.5625</v>
      </c>
      <c r="C56" s="190">
        <f>IFERROR(__xludf.DUMMYFUNCTION("""COMPUTED_VALUE"""),22.42)</f>
        <v>22.42</v>
      </c>
      <c r="D56" s="190">
        <f>IFERROR(__xludf.DUMMYFUNCTION("""COMPUTED_VALUE"""),22.44)</f>
        <v>22.44</v>
      </c>
      <c r="E56" s="190">
        <f>IFERROR(__xludf.DUMMYFUNCTION("""COMPUTED_VALUE"""),22.34)</f>
        <v>22.34</v>
      </c>
      <c r="F56" s="190">
        <f>IFERROR(__xludf.DUMMYFUNCTION("""COMPUTED_VALUE"""),22.36)</f>
        <v>22.36</v>
      </c>
      <c r="G56" s="191">
        <f>IFERROR(__xludf.DUMMYFUNCTION("""COMPUTED_VALUE"""),5.3196245E7)</f>
        <v>53196245</v>
      </c>
      <c r="H56" s="112"/>
      <c r="I56" s="112"/>
      <c r="J56" s="205">
        <v>45393.0</v>
      </c>
      <c r="K56" s="94">
        <v>43.0</v>
      </c>
      <c r="L56" s="94">
        <v>22.76</v>
      </c>
      <c r="M56" s="94">
        <v>1.0</v>
      </c>
      <c r="N56" s="112">
        <f t="shared" si="1"/>
        <v>979.68</v>
      </c>
      <c r="O56" s="196">
        <f t="shared" si="2"/>
        <v>17.6506049</v>
      </c>
      <c r="P56" s="112"/>
      <c r="Q56" s="112"/>
      <c r="R56" s="112"/>
    </row>
    <row r="57" ht="17.25" customHeight="1">
      <c r="A57" s="112"/>
      <c r="B57" s="189">
        <f>IFERROR(__xludf.DUMMYFUNCTION("""COMPUTED_VALUE"""),46037.5625)</f>
        <v>46037.5625</v>
      </c>
      <c r="C57" s="190">
        <f>IFERROR(__xludf.DUMMYFUNCTION("""COMPUTED_VALUE"""),22.37)</f>
        <v>22.37</v>
      </c>
      <c r="D57" s="190">
        <f>IFERROR(__xludf.DUMMYFUNCTION("""COMPUTED_VALUE"""),22.42)</f>
        <v>22.42</v>
      </c>
      <c r="E57" s="190">
        <f>IFERROR(__xludf.DUMMYFUNCTION("""COMPUTED_VALUE"""),22.34)</f>
        <v>22.34</v>
      </c>
      <c r="F57" s="190">
        <f>IFERROR(__xludf.DUMMYFUNCTION("""COMPUTED_VALUE"""),22.4)</f>
        <v>22.4</v>
      </c>
      <c r="G57" s="191">
        <f>IFERROR(__xludf.DUMMYFUNCTION("""COMPUTED_VALUE"""),5.1224076E7)</f>
        <v>51224076</v>
      </c>
      <c r="H57" s="112"/>
      <c r="I57" s="112"/>
      <c r="J57" s="205">
        <v>45400.0</v>
      </c>
      <c r="K57" s="94">
        <v>45.0</v>
      </c>
      <c r="L57" s="94">
        <v>22.18</v>
      </c>
      <c r="M57" s="94">
        <v>1.0</v>
      </c>
      <c r="N57" s="112">
        <f t="shared" si="1"/>
        <v>999.1</v>
      </c>
      <c r="O57" s="196">
        <f t="shared" si="2"/>
        <v>17.66562784</v>
      </c>
      <c r="P57" s="112"/>
      <c r="Q57" s="112"/>
      <c r="R57" s="112"/>
    </row>
    <row r="58" ht="17.25" customHeight="1">
      <c r="A58" s="112"/>
      <c r="B58" s="189">
        <f>IFERROR(__xludf.DUMMYFUNCTION("""COMPUTED_VALUE"""),46038.5625)</f>
        <v>46038.5625</v>
      </c>
      <c r="C58" s="190">
        <f>IFERROR(__xludf.DUMMYFUNCTION("""COMPUTED_VALUE"""),22.44)</f>
        <v>22.44</v>
      </c>
      <c r="D58" s="190">
        <f>IFERROR(__xludf.DUMMYFUNCTION("""COMPUTED_VALUE"""),22.72)</f>
        <v>22.72</v>
      </c>
      <c r="E58" s="190">
        <f>IFERROR(__xludf.DUMMYFUNCTION("""COMPUTED_VALUE"""),22.44)</f>
        <v>22.44</v>
      </c>
      <c r="F58" s="190">
        <f>IFERROR(__xludf.DUMMYFUNCTION("""COMPUTED_VALUE"""),22.65)</f>
        <v>22.65</v>
      </c>
      <c r="G58" s="191">
        <f>IFERROR(__xludf.DUMMYFUNCTION("""COMPUTED_VALUE"""),1.10353812E8)</f>
        <v>110353812</v>
      </c>
      <c r="H58" s="112"/>
      <c r="I58" s="112"/>
      <c r="J58" s="205">
        <v>45407.0</v>
      </c>
      <c r="K58" s="94">
        <v>45.0</v>
      </c>
      <c r="L58" s="94">
        <v>21.79</v>
      </c>
      <c r="M58" s="94">
        <v>1.0</v>
      </c>
      <c r="N58" s="112">
        <f t="shared" si="1"/>
        <v>981.55</v>
      </c>
      <c r="O58" s="196">
        <f t="shared" si="2"/>
        <v>17.67926895</v>
      </c>
      <c r="P58" s="112"/>
      <c r="Q58" s="112"/>
      <c r="R58" s="112"/>
    </row>
    <row r="59" ht="17.25" customHeight="1">
      <c r="A59" s="112"/>
      <c r="B59" s="189">
        <f>IFERROR(__xludf.DUMMYFUNCTION("""COMPUTED_VALUE"""),46041.5625)</f>
        <v>46041.5625</v>
      </c>
      <c r="C59" s="190">
        <f>IFERROR(__xludf.DUMMYFUNCTION("""COMPUTED_VALUE"""),22.65)</f>
        <v>22.65</v>
      </c>
      <c r="D59" s="190">
        <f>IFERROR(__xludf.DUMMYFUNCTION("""COMPUTED_VALUE"""),22.93)</f>
        <v>22.93</v>
      </c>
      <c r="E59" s="190">
        <f>IFERROR(__xludf.DUMMYFUNCTION("""COMPUTED_VALUE"""),22.64)</f>
        <v>22.64</v>
      </c>
      <c r="F59" s="190">
        <f>IFERROR(__xludf.DUMMYFUNCTION("""COMPUTED_VALUE"""),22.81)</f>
        <v>22.81</v>
      </c>
      <c r="G59" s="191">
        <f>IFERROR(__xludf.DUMMYFUNCTION("""COMPUTED_VALUE"""),8.5170176E7)</f>
        <v>85170176</v>
      </c>
      <c r="H59" s="112"/>
      <c r="I59" s="112"/>
      <c r="J59" s="205">
        <v>45425.0</v>
      </c>
      <c r="K59" s="94">
        <v>43.0</v>
      </c>
      <c r="L59" s="94">
        <v>23.18</v>
      </c>
      <c r="M59" s="94">
        <v>1.0</v>
      </c>
      <c r="N59" s="112">
        <f t="shared" si="1"/>
        <v>997.74</v>
      </c>
      <c r="O59" s="196">
        <f t="shared" si="2"/>
        <v>17.69657922</v>
      </c>
      <c r="P59" s="112"/>
      <c r="Q59" s="112"/>
      <c r="R59" s="112"/>
    </row>
    <row r="60" ht="17.25" customHeight="1">
      <c r="A60" s="112"/>
      <c r="B60" s="189">
        <f>IFERROR(__xludf.DUMMYFUNCTION("""COMPUTED_VALUE"""),46042.5625)</f>
        <v>46042.5625</v>
      </c>
      <c r="C60" s="190">
        <f>IFERROR(__xludf.DUMMYFUNCTION("""COMPUTED_VALUE"""),22.72)</f>
        <v>22.72</v>
      </c>
      <c r="D60" s="190">
        <f>IFERROR(__xludf.DUMMYFUNCTION("""COMPUTED_VALUE"""),22.96)</f>
        <v>22.96</v>
      </c>
      <c r="E60" s="190">
        <f>IFERROR(__xludf.DUMMYFUNCTION("""COMPUTED_VALUE"""),22.65)</f>
        <v>22.65</v>
      </c>
      <c r="F60" s="190">
        <f>IFERROR(__xludf.DUMMYFUNCTION("""COMPUTED_VALUE"""),22.84)</f>
        <v>22.84</v>
      </c>
      <c r="G60" s="191">
        <f>IFERROR(__xludf.DUMMYFUNCTION("""COMPUTED_VALUE"""),5.6950691E7)</f>
        <v>56950691</v>
      </c>
      <c r="H60" s="112"/>
      <c r="I60" s="112"/>
      <c r="J60" s="205">
        <v>45432.0</v>
      </c>
      <c r="K60" s="94">
        <v>43.0</v>
      </c>
      <c r="L60" s="94">
        <v>22.99</v>
      </c>
      <c r="M60" s="94">
        <v>1.0</v>
      </c>
      <c r="N60" s="112">
        <f t="shared" si="1"/>
        <v>989.57</v>
      </c>
      <c r="O60" s="196">
        <f t="shared" si="2"/>
        <v>17.7131878</v>
      </c>
      <c r="P60" s="112"/>
      <c r="Q60" s="112"/>
      <c r="R60" s="112"/>
    </row>
    <row r="61" ht="17.25" customHeight="1">
      <c r="A61" s="112"/>
      <c r="B61" s="189">
        <f>IFERROR(__xludf.DUMMYFUNCTION("""COMPUTED_VALUE"""),46043.5625)</f>
        <v>46043.5625</v>
      </c>
      <c r="C61" s="190">
        <f>IFERROR(__xludf.DUMMYFUNCTION("""COMPUTED_VALUE"""),22.8)</f>
        <v>22.8</v>
      </c>
      <c r="D61" s="190">
        <f>IFERROR(__xludf.DUMMYFUNCTION("""COMPUTED_VALUE"""),22.95)</f>
        <v>22.95</v>
      </c>
      <c r="E61" s="190">
        <f>IFERROR(__xludf.DUMMYFUNCTION("""COMPUTED_VALUE"""),22.62)</f>
        <v>22.62</v>
      </c>
      <c r="F61" s="190">
        <f>IFERROR(__xludf.DUMMYFUNCTION("""COMPUTED_VALUE"""),22.66)</f>
        <v>22.66</v>
      </c>
      <c r="G61" s="191">
        <f>IFERROR(__xludf.DUMMYFUNCTION("""COMPUTED_VALUE"""),7.5987588E7)</f>
        <v>75987588</v>
      </c>
      <c r="H61" s="112"/>
      <c r="I61" s="112"/>
      <c r="J61" s="205">
        <v>45439.0</v>
      </c>
      <c r="K61" s="94">
        <v>42.0</v>
      </c>
      <c r="L61" s="94">
        <v>23.49</v>
      </c>
      <c r="M61" s="94">
        <v>1.0</v>
      </c>
      <c r="N61" s="112">
        <f t="shared" si="1"/>
        <v>987.58</v>
      </c>
      <c r="O61" s="196">
        <f t="shared" si="2"/>
        <v>17.73083291</v>
      </c>
      <c r="P61" s="112"/>
      <c r="Q61" s="112"/>
      <c r="R61" s="112"/>
    </row>
    <row r="62" ht="17.25" customHeight="1">
      <c r="A62" s="112"/>
      <c r="B62" s="189">
        <f>IFERROR(__xludf.DUMMYFUNCTION("""COMPUTED_VALUE"""),46044.5625)</f>
        <v>46044.5625</v>
      </c>
      <c r="C62" s="190">
        <f>IFERROR(__xludf.DUMMYFUNCTION("""COMPUTED_VALUE"""),22.95)</f>
        <v>22.95</v>
      </c>
      <c r="D62" s="190">
        <f>IFERROR(__xludf.DUMMYFUNCTION("""COMPUTED_VALUE"""),23.02)</f>
        <v>23.02</v>
      </c>
      <c r="E62" s="190">
        <f>IFERROR(__xludf.DUMMYFUNCTION("""COMPUTED_VALUE"""),22.81)</f>
        <v>22.81</v>
      </c>
      <c r="F62" s="190">
        <f>IFERROR(__xludf.DUMMYFUNCTION("""COMPUTED_VALUE"""),22.88)</f>
        <v>22.88</v>
      </c>
      <c r="G62" s="191">
        <f>IFERROR(__xludf.DUMMYFUNCTION("""COMPUTED_VALUE"""),6.1297397E7)</f>
        <v>61297397</v>
      </c>
      <c r="H62" s="112"/>
      <c r="I62" s="112"/>
      <c r="J62" s="205">
        <v>45454.0</v>
      </c>
      <c r="K62" s="94">
        <v>43.0</v>
      </c>
      <c r="L62" s="94">
        <v>23.01</v>
      </c>
      <c r="M62" s="94">
        <v>1.0</v>
      </c>
      <c r="N62" s="112">
        <f t="shared" si="1"/>
        <v>990.43</v>
      </c>
      <c r="O62" s="196">
        <f t="shared" si="2"/>
        <v>17.74729531</v>
      </c>
      <c r="P62" s="112"/>
      <c r="Q62" s="112"/>
      <c r="R62" s="112"/>
    </row>
    <row r="63" ht="17.25" customHeight="1">
      <c r="A63" s="112"/>
      <c r="B63" s="189">
        <f>IFERROR(__xludf.DUMMYFUNCTION("""COMPUTED_VALUE"""),46045.5625)</f>
        <v>46045.5625</v>
      </c>
      <c r="C63" s="190">
        <f>IFERROR(__xludf.DUMMYFUNCTION("""COMPUTED_VALUE"""),23.04)</f>
        <v>23.04</v>
      </c>
      <c r="D63" s="190">
        <f>IFERROR(__xludf.DUMMYFUNCTION("""COMPUTED_VALUE"""),23.11)</f>
        <v>23.11</v>
      </c>
      <c r="E63" s="190">
        <f>IFERROR(__xludf.DUMMYFUNCTION("""COMPUTED_VALUE"""),22.88)</f>
        <v>22.88</v>
      </c>
      <c r="F63" s="190">
        <f>IFERROR(__xludf.DUMMYFUNCTION("""COMPUTED_VALUE"""),22.98)</f>
        <v>22.98</v>
      </c>
      <c r="G63" s="191">
        <f>IFERROR(__xludf.DUMMYFUNCTION("""COMPUTED_VALUE"""),5.9716822E7)</f>
        <v>59716822</v>
      </c>
      <c r="H63" s="112"/>
      <c r="I63" s="112"/>
      <c r="J63" s="205">
        <v>45460.0</v>
      </c>
      <c r="K63" s="94">
        <v>168.0</v>
      </c>
      <c r="L63" s="94">
        <v>23.37</v>
      </c>
      <c r="M63" s="94">
        <v>1.0</v>
      </c>
      <c r="N63" s="112">
        <f t="shared" si="1"/>
        <v>3927.16</v>
      </c>
      <c r="O63" s="196">
        <f t="shared" si="2"/>
        <v>17.81475246</v>
      </c>
      <c r="P63" s="94" t="s">
        <v>315</v>
      </c>
      <c r="Q63" s="112"/>
      <c r="R63" s="112"/>
    </row>
    <row r="64" ht="17.25" customHeight="1">
      <c r="A64" s="112"/>
      <c r="B64" s="189">
        <f>IFERROR(__xludf.DUMMYFUNCTION("""COMPUTED_VALUE"""),46048.5625)</f>
        <v>46048.5625</v>
      </c>
      <c r="C64" s="190">
        <f>IFERROR(__xludf.DUMMYFUNCTION("""COMPUTED_VALUE"""),23.04)</f>
        <v>23.04</v>
      </c>
      <c r="D64" s="190">
        <f>IFERROR(__xludf.DUMMYFUNCTION("""COMPUTED_VALUE"""),23.29)</f>
        <v>23.29</v>
      </c>
      <c r="E64" s="190">
        <f>IFERROR(__xludf.DUMMYFUNCTION("""COMPUTED_VALUE"""),23.02)</f>
        <v>23.02</v>
      </c>
      <c r="F64" s="190">
        <f>IFERROR(__xludf.DUMMYFUNCTION("""COMPUTED_VALUE"""),23.28)</f>
        <v>23.28</v>
      </c>
      <c r="G64" s="191">
        <f>IFERROR(__xludf.DUMMYFUNCTION("""COMPUTED_VALUE"""),9.4280508E7)</f>
        <v>94280508</v>
      </c>
      <c r="H64" s="112"/>
      <c r="I64" s="112"/>
      <c r="J64" s="205">
        <v>45461.0</v>
      </c>
      <c r="K64" s="94">
        <v>42.0</v>
      </c>
      <c r="L64" s="94">
        <v>23.47</v>
      </c>
      <c r="M64" s="94">
        <v>1.0</v>
      </c>
      <c r="N64" s="112">
        <f t="shared" si="1"/>
        <v>986.74</v>
      </c>
      <c r="O64" s="196">
        <f t="shared" si="2"/>
        <v>17.83171693</v>
      </c>
      <c r="P64" s="112"/>
      <c r="Q64" s="112"/>
      <c r="R64" s="112"/>
    </row>
    <row r="65" ht="17.25" customHeight="1">
      <c r="A65" s="112"/>
      <c r="B65" s="189">
        <f>IFERROR(__xludf.DUMMYFUNCTION("""COMPUTED_VALUE"""),46049.5625)</f>
        <v>46049.5625</v>
      </c>
      <c r="C65" s="190">
        <f>IFERROR(__xludf.DUMMYFUNCTION("""COMPUTED_VALUE"""),23.34)</f>
        <v>23.34</v>
      </c>
      <c r="D65" s="190">
        <f>IFERROR(__xludf.DUMMYFUNCTION("""COMPUTED_VALUE"""),23.56)</f>
        <v>23.56</v>
      </c>
      <c r="E65" s="190">
        <f>IFERROR(__xludf.DUMMYFUNCTION("""COMPUTED_VALUE"""),23.32)</f>
        <v>23.32</v>
      </c>
      <c r="F65" s="190">
        <f>IFERROR(__xludf.DUMMYFUNCTION("""COMPUTED_VALUE"""),23.49)</f>
        <v>23.49</v>
      </c>
      <c r="G65" s="191">
        <f>IFERROR(__xludf.DUMMYFUNCTION("""COMPUTED_VALUE"""),7.9443411E7)</f>
        <v>79443411</v>
      </c>
      <c r="H65" s="112"/>
      <c r="I65" s="112"/>
      <c r="J65" s="205">
        <v>45468.0</v>
      </c>
      <c r="K65" s="94">
        <v>42.0</v>
      </c>
      <c r="L65" s="94">
        <v>23.57</v>
      </c>
      <c r="M65" s="94">
        <v>1.0</v>
      </c>
      <c r="N65" s="112">
        <f t="shared" si="1"/>
        <v>990.94</v>
      </c>
      <c r="O65" s="196">
        <f t="shared" si="2"/>
        <v>17.84887817</v>
      </c>
      <c r="P65" s="112"/>
      <c r="Q65" s="112"/>
      <c r="R65" s="112"/>
    </row>
    <row r="66" ht="17.25" customHeight="1">
      <c r="A66" s="112"/>
      <c r="B66" s="189">
        <f>IFERROR(__xludf.DUMMYFUNCTION("""COMPUTED_VALUE"""),46050.5625)</f>
        <v>46050.5625</v>
      </c>
      <c r="C66" s="190">
        <f>IFERROR(__xludf.DUMMYFUNCTION("""COMPUTED_VALUE"""),23.58)</f>
        <v>23.58</v>
      </c>
      <c r="D66" s="190">
        <f>IFERROR(__xludf.DUMMYFUNCTION("""COMPUTED_VALUE"""),23.63)</f>
        <v>23.63</v>
      </c>
      <c r="E66" s="190">
        <f>IFERROR(__xludf.DUMMYFUNCTION("""COMPUTED_VALUE"""),23.47)</f>
        <v>23.47</v>
      </c>
      <c r="F66" s="190">
        <f>IFERROR(__xludf.DUMMYFUNCTION("""COMPUTED_VALUE"""),23.51)</f>
        <v>23.51</v>
      </c>
      <c r="G66" s="191">
        <f>IFERROR(__xludf.DUMMYFUNCTION("""COMPUTED_VALUE"""),8.4669784E7)</f>
        <v>84669784</v>
      </c>
      <c r="H66" s="112"/>
      <c r="I66" s="112"/>
      <c r="J66" s="205">
        <v>45484.0</v>
      </c>
      <c r="K66" s="94">
        <v>40.0</v>
      </c>
      <c r="L66" s="94">
        <v>24.58</v>
      </c>
      <c r="M66" s="94">
        <v>1.0</v>
      </c>
      <c r="N66" s="112">
        <f t="shared" si="1"/>
        <v>984.2</v>
      </c>
      <c r="O66" s="196">
        <f t="shared" si="2"/>
        <v>17.86798755</v>
      </c>
      <c r="P66" s="112"/>
      <c r="Q66" s="112"/>
      <c r="R66" s="112"/>
    </row>
    <row r="67" ht="17.25" customHeight="1">
      <c r="A67" s="112"/>
      <c r="B67" s="189">
        <f>IFERROR(__xludf.DUMMYFUNCTION("""COMPUTED_VALUE"""),46051.5625)</f>
        <v>46051.5625</v>
      </c>
      <c r="C67" s="190">
        <f>IFERROR(__xludf.DUMMYFUNCTION("""COMPUTED_VALUE"""),23.4)</f>
        <v>23.4</v>
      </c>
      <c r="D67" s="190">
        <f>IFERROR(__xludf.DUMMYFUNCTION("""COMPUTED_VALUE"""),23.4)</f>
        <v>23.4</v>
      </c>
      <c r="E67" s="190">
        <f>IFERROR(__xludf.DUMMYFUNCTION("""COMPUTED_VALUE"""),23.19)</f>
        <v>23.19</v>
      </c>
      <c r="F67" s="190">
        <f>IFERROR(__xludf.DUMMYFUNCTION("""COMPUTED_VALUE"""),23.29)</f>
        <v>23.29</v>
      </c>
      <c r="G67" s="191">
        <f>IFERROR(__xludf.DUMMYFUNCTION("""COMPUTED_VALUE"""),6.7968598E7)</f>
        <v>67968598</v>
      </c>
      <c r="H67" s="112"/>
      <c r="I67" s="112"/>
      <c r="J67" s="205">
        <v>45499.0</v>
      </c>
      <c r="K67" s="94">
        <v>43.0</v>
      </c>
      <c r="L67" s="94">
        <v>23.08</v>
      </c>
      <c r="M67" s="94">
        <v>1.0</v>
      </c>
      <c r="N67" s="112">
        <f t="shared" si="1"/>
        <v>993.44</v>
      </c>
      <c r="O67" s="196">
        <f t="shared" si="2"/>
        <v>17.8838576</v>
      </c>
      <c r="P67" s="112"/>
      <c r="Q67" s="112"/>
      <c r="R67" s="112"/>
    </row>
    <row r="68" ht="17.25" customHeight="1">
      <c r="A68" s="112"/>
      <c r="B68" s="189">
        <f>IFERROR(__xludf.DUMMYFUNCTION("""COMPUTED_VALUE"""),46052.5625)</f>
        <v>46052.5625</v>
      </c>
      <c r="C68" s="190">
        <f>IFERROR(__xludf.DUMMYFUNCTION("""COMPUTED_VALUE"""),23.09)</f>
        <v>23.09</v>
      </c>
      <c r="D68" s="190">
        <f>IFERROR(__xludf.DUMMYFUNCTION("""COMPUTED_VALUE"""),23.09)</f>
        <v>23.09</v>
      </c>
      <c r="E68" s="190">
        <f>IFERROR(__xludf.DUMMYFUNCTION("""COMPUTED_VALUE"""),22.71)</f>
        <v>22.71</v>
      </c>
      <c r="F68" s="190">
        <f>IFERROR(__xludf.DUMMYFUNCTION("""COMPUTED_VALUE"""),22.81)</f>
        <v>22.81</v>
      </c>
      <c r="G68" s="191">
        <f>IFERROR(__xludf.DUMMYFUNCTION("""COMPUTED_VALUE"""),9.4984616E7)</f>
        <v>94984616</v>
      </c>
      <c r="H68" s="112"/>
      <c r="I68" s="112"/>
      <c r="J68" s="205">
        <v>45516.0</v>
      </c>
      <c r="K68" s="94">
        <v>43.0</v>
      </c>
      <c r="L68" s="94">
        <v>22.96</v>
      </c>
      <c r="M68" s="94">
        <v>1.0</v>
      </c>
      <c r="N68" s="112">
        <f t="shared" si="1"/>
        <v>988.28</v>
      </c>
      <c r="O68" s="196">
        <f t="shared" si="2"/>
        <v>17.89926905</v>
      </c>
      <c r="P68" s="112"/>
      <c r="Q68" s="112"/>
      <c r="R68" s="112"/>
    </row>
    <row r="69" ht="17.25" customHeight="1">
      <c r="A69" s="112"/>
      <c r="B69" s="189">
        <f>IFERROR(__xludf.DUMMYFUNCTION("""COMPUTED_VALUE"""),46055.5625)</f>
        <v>46055.5625</v>
      </c>
      <c r="C69" s="190">
        <f>IFERROR(__xludf.DUMMYFUNCTION("""COMPUTED_VALUE"""),22.64)</f>
        <v>22.64</v>
      </c>
      <c r="D69" s="190">
        <f>IFERROR(__xludf.DUMMYFUNCTION("""COMPUTED_VALUE"""),22.66)</f>
        <v>22.66</v>
      </c>
      <c r="E69" s="190">
        <f>IFERROR(__xludf.DUMMYFUNCTION("""COMPUTED_VALUE"""),22.33)</f>
        <v>22.33</v>
      </c>
      <c r="F69" s="190">
        <f>IFERROR(__xludf.DUMMYFUNCTION("""COMPUTED_VALUE"""),22.47)</f>
        <v>22.47</v>
      </c>
      <c r="G69" s="191">
        <f>IFERROR(__xludf.DUMMYFUNCTION("""COMPUTED_VALUE"""),1.06158569E8)</f>
        <v>106158569</v>
      </c>
      <c r="H69" s="112"/>
      <c r="I69" s="112"/>
      <c r="J69" s="205">
        <v>45530.0</v>
      </c>
      <c r="K69" s="94">
        <v>43.0</v>
      </c>
      <c r="L69" s="190">
        <f>B8</f>
        <v>30.76</v>
      </c>
      <c r="M69" s="94">
        <v>1.0</v>
      </c>
      <c r="N69" s="112">
        <f t="shared" si="1"/>
        <v>1323.68</v>
      </c>
      <c r="O69" s="196">
        <f t="shared" si="2"/>
        <v>17.93808983</v>
      </c>
      <c r="P69" s="112"/>
      <c r="Q69" s="112"/>
      <c r="R69" s="112"/>
    </row>
    <row r="70" ht="17.25" customHeight="1">
      <c r="A70" s="112"/>
      <c r="B70" s="189">
        <f>IFERROR(__xludf.DUMMYFUNCTION("""COMPUTED_VALUE"""),46056.5625)</f>
        <v>46056.5625</v>
      </c>
      <c r="C70" s="190">
        <f>IFERROR(__xludf.DUMMYFUNCTION("""COMPUTED_VALUE"""),22.76)</f>
        <v>22.76</v>
      </c>
      <c r="D70" s="190">
        <f>IFERROR(__xludf.DUMMYFUNCTION("""COMPUTED_VALUE"""),22.85)</f>
        <v>22.85</v>
      </c>
      <c r="E70" s="190">
        <f>IFERROR(__xludf.DUMMYFUNCTION("""COMPUTED_VALUE"""),22.62)</f>
        <v>22.62</v>
      </c>
      <c r="F70" s="190">
        <f>IFERROR(__xludf.DUMMYFUNCTION("""COMPUTED_VALUE"""),22.81)</f>
        <v>22.81</v>
      </c>
      <c r="G70" s="191">
        <f>IFERROR(__xludf.DUMMYFUNCTION("""COMPUTED_VALUE"""),5.6152863E7)</f>
        <v>56152863</v>
      </c>
      <c r="H70" s="112"/>
      <c r="I70" s="112"/>
      <c r="J70" s="205">
        <v>45546.0</v>
      </c>
      <c r="K70" s="94">
        <v>45.0</v>
      </c>
      <c r="L70" s="94">
        <v>22.06</v>
      </c>
      <c r="M70" s="94">
        <v>1.0</v>
      </c>
      <c r="N70" s="112">
        <f t="shared" si="1"/>
        <v>993.7</v>
      </c>
      <c r="O70" s="196">
        <f t="shared" si="2"/>
        <v>17.95111623</v>
      </c>
      <c r="P70" s="112"/>
      <c r="Q70" s="112"/>
      <c r="R70" s="112"/>
    </row>
    <row r="71" ht="17.25" customHeight="1">
      <c r="A71" s="112"/>
      <c r="B71" s="189">
        <f>IFERROR(__xludf.DUMMYFUNCTION("""COMPUTED_VALUE"""),46057.5625)</f>
        <v>46057.5625</v>
      </c>
      <c r="C71" s="190">
        <f>IFERROR(__xludf.DUMMYFUNCTION("""COMPUTED_VALUE"""),22.74)</f>
        <v>22.74</v>
      </c>
      <c r="D71" s="190">
        <f>IFERROR(__xludf.DUMMYFUNCTION("""COMPUTED_VALUE"""),22.9)</f>
        <v>22.9</v>
      </c>
      <c r="E71" s="190">
        <f>IFERROR(__xludf.DUMMYFUNCTION("""COMPUTED_VALUE"""),22.67)</f>
        <v>22.67</v>
      </c>
      <c r="F71" s="190">
        <f>IFERROR(__xludf.DUMMYFUNCTION("""COMPUTED_VALUE"""),22.88)</f>
        <v>22.88</v>
      </c>
      <c r="G71" s="191">
        <f>IFERROR(__xludf.DUMMYFUNCTION("""COMPUTED_VALUE"""),4.5585605E7)</f>
        <v>45585605</v>
      </c>
      <c r="H71" s="112"/>
      <c r="I71" s="112"/>
      <c r="J71" s="205">
        <v>45548.0</v>
      </c>
      <c r="K71" s="94">
        <v>202.0</v>
      </c>
      <c r="L71" s="94">
        <v>22.3</v>
      </c>
      <c r="M71" s="94">
        <v>1.0</v>
      </c>
      <c r="N71" s="112">
        <f t="shared" si="1"/>
        <v>4505.6</v>
      </c>
      <c r="O71" s="196">
        <f t="shared" si="2"/>
        <v>18.01169445</v>
      </c>
      <c r="P71" s="94" t="s">
        <v>315</v>
      </c>
      <c r="Q71" s="112"/>
      <c r="R71" s="112"/>
    </row>
    <row r="72" ht="17.25" customHeight="1">
      <c r="A72" s="112"/>
      <c r="B72" s="189">
        <f>IFERROR(__xludf.DUMMYFUNCTION("""COMPUTED_VALUE"""),46058.5625)</f>
        <v>46058.5625</v>
      </c>
      <c r="C72" s="190">
        <f>IFERROR(__xludf.DUMMYFUNCTION("""COMPUTED_VALUE"""),22.73)</f>
        <v>22.73</v>
      </c>
      <c r="D72" s="190">
        <f>IFERROR(__xludf.DUMMYFUNCTION("""COMPUTED_VALUE"""),22.83)</f>
        <v>22.83</v>
      </c>
      <c r="E72" s="190">
        <f>IFERROR(__xludf.DUMMYFUNCTION("""COMPUTED_VALUE"""),22.66)</f>
        <v>22.66</v>
      </c>
      <c r="F72" s="190">
        <f>IFERROR(__xludf.DUMMYFUNCTION("""COMPUTED_VALUE"""),22.75)</f>
        <v>22.75</v>
      </c>
      <c r="G72" s="191">
        <f>IFERROR(__xludf.DUMMYFUNCTION("""COMPUTED_VALUE"""),5.9049307E7)</f>
        <v>59049307</v>
      </c>
      <c r="H72" s="112"/>
      <c r="I72" s="112"/>
      <c r="J72" s="205">
        <v>45560.0</v>
      </c>
      <c r="K72" s="94">
        <v>43.0</v>
      </c>
      <c r="L72" s="94">
        <v>22.9</v>
      </c>
      <c r="M72" s="94">
        <v>1.0</v>
      </c>
      <c r="N72" s="112">
        <f t="shared" si="1"/>
        <v>985.7</v>
      </c>
      <c r="O72" s="196">
        <f t="shared" si="2"/>
        <v>18.02619875</v>
      </c>
      <c r="P72" s="112"/>
      <c r="Q72" s="112"/>
      <c r="R72" s="112"/>
    </row>
    <row r="73" ht="17.25" customHeight="1">
      <c r="A73" s="112"/>
      <c r="B73" s="189">
        <f>IFERROR(__xludf.DUMMYFUNCTION("""COMPUTED_VALUE"""),46059.5625)</f>
        <v>46059.5625</v>
      </c>
      <c r="C73" s="190">
        <f>IFERROR(__xludf.DUMMYFUNCTION("""COMPUTED_VALUE"""),22.68)</f>
        <v>22.68</v>
      </c>
      <c r="D73" s="190">
        <f>IFERROR(__xludf.DUMMYFUNCTION("""COMPUTED_VALUE"""),22.78)</f>
        <v>22.78</v>
      </c>
      <c r="E73" s="190">
        <f>IFERROR(__xludf.DUMMYFUNCTION("""COMPUTED_VALUE"""),22.43)</f>
        <v>22.43</v>
      </c>
      <c r="F73" s="190">
        <f>IFERROR(__xludf.DUMMYFUNCTION("""COMPUTED_VALUE"""),22.7)</f>
        <v>22.7</v>
      </c>
      <c r="G73" s="191">
        <f>IFERROR(__xludf.DUMMYFUNCTION("""COMPUTED_VALUE"""),5.9480112E7)</f>
        <v>59480112</v>
      </c>
      <c r="H73" s="112"/>
      <c r="I73" s="112"/>
      <c r="J73" s="205">
        <v>45576.0</v>
      </c>
      <c r="K73" s="94">
        <v>43.0</v>
      </c>
      <c r="L73" s="94">
        <v>22.77</v>
      </c>
      <c r="M73" s="94">
        <v>1.0</v>
      </c>
      <c r="N73" s="112">
        <f t="shared" si="1"/>
        <v>980.11</v>
      </c>
      <c r="O73" s="196">
        <f t="shared" si="2"/>
        <v>18.04023487</v>
      </c>
      <c r="P73" s="112"/>
      <c r="Q73" s="112"/>
      <c r="R73" s="112"/>
    </row>
    <row r="74" ht="17.25" customHeight="1">
      <c r="A74" s="112"/>
      <c r="B74" s="189">
        <f>IFERROR(__xludf.DUMMYFUNCTION("""COMPUTED_VALUE"""),46062.5625)</f>
        <v>46062.5625</v>
      </c>
      <c r="C74" s="190">
        <f>IFERROR(__xludf.DUMMYFUNCTION("""COMPUTED_VALUE"""),23.03)</f>
        <v>23.03</v>
      </c>
      <c r="D74" s="190">
        <f>IFERROR(__xludf.DUMMYFUNCTION("""COMPUTED_VALUE"""),23.13)</f>
        <v>23.13</v>
      </c>
      <c r="E74" s="190">
        <f>IFERROR(__xludf.DUMMYFUNCTION("""COMPUTED_VALUE"""),22.99)</f>
        <v>22.99</v>
      </c>
      <c r="F74" s="190">
        <f>IFERROR(__xludf.DUMMYFUNCTION("""COMPUTED_VALUE"""),23.07)</f>
        <v>23.07</v>
      </c>
      <c r="G74" s="191">
        <f>IFERROR(__xludf.DUMMYFUNCTION("""COMPUTED_VALUE"""),1.01220611E8)</f>
        <v>101220611</v>
      </c>
      <c r="H74" s="112"/>
      <c r="I74" s="112"/>
      <c r="J74" s="205">
        <v>45590.0</v>
      </c>
      <c r="K74" s="94">
        <v>43.0</v>
      </c>
      <c r="L74" s="94">
        <v>23.09</v>
      </c>
      <c r="M74" s="94">
        <v>1.0</v>
      </c>
      <c r="N74" s="112">
        <f t="shared" si="1"/>
        <v>993.87</v>
      </c>
      <c r="O74" s="196">
        <f t="shared" si="2"/>
        <v>18.05512801</v>
      </c>
      <c r="P74" s="112"/>
      <c r="Q74" s="112"/>
      <c r="R74" s="112"/>
    </row>
    <row r="75" ht="17.25" customHeight="1">
      <c r="A75" s="112"/>
      <c r="B75" s="189">
        <f>IFERROR(__xludf.DUMMYFUNCTION("""COMPUTED_VALUE"""),46063.5625)</f>
        <v>46063.5625</v>
      </c>
      <c r="C75" s="190">
        <f>IFERROR(__xludf.DUMMYFUNCTION("""COMPUTED_VALUE"""),23.18)</f>
        <v>23.18</v>
      </c>
      <c r="D75" s="190">
        <f>IFERROR(__xludf.DUMMYFUNCTION("""COMPUTED_VALUE"""),23.26)</f>
        <v>23.26</v>
      </c>
      <c r="E75" s="190">
        <f>IFERROR(__xludf.DUMMYFUNCTION("""COMPUTED_VALUE"""),23.18)</f>
        <v>23.18</v>
      </c>
      <c r="F75" s="190">
        <f>IFERROR(__xludf.DUMMYFUNCTION("""COMPUTED_VALUE"""),23.23)</f>
        <v>23.23</v>
      </c>
      <c r="G75" s="191">
        <f>IFERROR(__xludf.DUMMYFUNCTION("""COMPUTED_VALUE"""),9.4916027E7)</f>
        <v>94916027</v>
      </c>
      <c r="H75" s="112"/>
      <c r="I75" s="112"/>
      <c r="J75" s="205">
        <v>45607.0</v>
      </c>
      <c r="K75" s="94">
        <v>43.0</v>
      </c>
      <c r="L75" s="94">
        <v>23.16</v>
      </c>
      <c r="M75" s="94">
        <v>1.0</v>
      </c>
      <c r="N75" s="112">
        <f t="shared" si="1"/>
        <v>996.88</v>
      </c>
      <c r="O75" s="196">
        <f t="shared" si="2"/>
        <v>18.07013887</v>
      </c>
      <c r="P75" s="112"/>
      <c r="Q75" s="112"/>
      <c r="R75" s="112"/>
    </row>
    <row r="76" ht="17.25" customHeight="1">
      <c r="A76" s="112"/>
      <c r="B76" s="189">
        <f>IFERROR(__xludf.DUMMYFUNCTION("""COMPUTED_VALUE"""),46064.5625)</f>
        <v>46064.5625</v>
      </c>
      <c r="C76" s="190">
        <f>IFERROR(__xludf.DUMMYFUNCTION("""COMPUTED_VALUE"""),23.23)</f>
        <v>23.23</v>
      </c>
      <c r="D76" s="190">
        <f>IFERROR(__xludf.DUMMYFUNCTION("""COMPUTED_VALUE"""),23.43)</f>
        <v>23.43</v>
      </c>
      <c r="E76" s="190">
        <f>IFERROR(__xludf.DUMMYFUNCTION("""COMPUTED_VALUE"""),23.23)</f>
        <v>23.23</v>
      </c>
      <c r="F76" s="190">
        <f>IFERROR(__xludf.DUMMYFUNCTION("""COMPUTED_VALUE"""),23.41)</f>
        <v>23.41</v>
      </c>
      <c r="G76" s="191">
        <f>IFERROR(__xludf.DUMMYFUNCTION("""COMPUTED_VALUE"""),9.2188892E7)</f>
        <v>92188892</v>
      </c>
      <c r="H76" s="112"/>
      <c r="I76" s="112"/>
      <c r="J76" s="205">
        <v>45621.0</v>
      </c>
      <c r="K76" s="94">
        <v>44.0</v>
      </c>
      <c r="L76" s="94">
        <v>22.36</v>
      </c>
      <c r="M76" s="94">
        <v>1.0</v>
      </c>
      <c r="N76" s="112">
        <f t="shared" si="1"/>
        <v>984.84</v>
      </c>
      <c r="O76" s="196">
        <f t="shared" si="2"/>
        <v>18.08301751</v>
      </c>
      <c r="P76" s="112"/>
      <c r="Q76" s="112"/>
      <c r="R76" s="112"/>
    </row>
    <row r="77" ht="17.25" customHeight="1">
      <c r="A77" s="112"/>
      <c r="B77" s="189">
        <f>IFERROR(__xludf.DUMMYFUNCTION("""COMPUTED_VALUE"""),46076.5625)</f>
        <v>46076.5625</v>
      </c>
      <c r="C77" s="190">
        <f>IFERROR(__xludf.DUMMYFUNCTION("""COMPUTED_VALUE"""),23.6)</f>
        <v>23.6</v>
      </c>
      <c r="D77" s="190">
        <f>IFERROR(__xludf.DUMMYFUNCTION("""COMPUTED_VALUE"""),23.85)</f>
        <v>23.85</v>
      </c>
      <c r="E77" s="190">
        <f>IFERROR(__xludf.DUMMYFUNCTION("""COMPUTED_VALUE"""),23.59)</f>
        <v>23.59</v>
      </c>
      <c r="F77" s="190">
        <f>IFERROR(__xludf.DUMMYFUNCTION("""COMPUTED_VALUE"""),23.65)</f>
        <v>23.65</v>
      </c>
      <c r="G77" s="191">
        <f>IFERROR(__xludf.DUMMYFUNCTION("""COMPUTED_VALUE"""),1.24501191E8)</f>
        <v>124501191</v>
      </c>
      <c r="H77" s="112"/>
      <c r="I77" s="112"/>
      <c r="J77" s="205">
        <v>45637.0</v>
      </c>
      <c r="K77" s="94">
        <v>44.0</v>
      </c>
      <c r="L77" s="94">
        <v>22.23</v>
      </c>
      <c r="M77" s="94">
        <v>1.0</v>
      </c>
      <c r="N77" s="112">
        <f t="shared" si="1"/>
        <v>979.12</v>
      </c>
      <c r="O77" s="196">
        <f t="shared" si="2"/>
        <v>18.0954324</v>
      </c>
      <c r="P77" s="112"/>
      <c r="Q77" s="112"/>
      <c r="R77" s="112"/>
    </row>
    <row r="78" ht="17.25" customHeight="1">
      <c r="A78" s="112"/>
      <c r="B78" s="189">
        <f>IFERROR(__xludf.DUMMYFUNCTION("""COMPUTED_VALUE"""),46077.5625)</f>
        <v>46077.5625</v>
      </c>
      <c r="C78" s="190">
        <f>IFERROR(__xludf.DUMMYFUNCTION("""COMPUTED_VALUE"""),23.7)</f>
        <v>23.7</v>
      </c>
      <c r="D78" s="190">
        <f>IFERROR(__xludf.DUMMYFUNCTION("""COMPUTED_VALUE"""),23.96)</f>
        <v>23.96</v>
      </c>
      <c r="E78" s="190">
        <f>IFERROR(__xludf.DUMMYFUNCTION("""COMPUTED_VALUE"""),23.7)</f>
        <v>23.7</v>
      </c>
      <c r="F78" s="190">
        <f>IFERROR(__xludf.DUMMYFUNCTION("""COMPUTED_VALUE"""),23.93)</f>
        <v>23.93</v>
      </c>
      <c r="G78" s="191">
        <f>IFERROR(__xludf.DUMMYFUNCTION("""COMPUTED_VALUE"""),1.19720984E8)</f>
        <v>119720984</v>
      </c>
      <c r="H78" s="112"/>
      <c r="I78" s="112"/>
      <c r="J78" s="205">
        <v>45642.0</v>
      </c>
      <c r="K78" s="94">
        <v>215.0</v>
      </c>
      <c r="L78" s="94">
        <v>22.2</v>
      </c>
      <c r="M78" s="94">
        <v>1.0</v>
      </c>
      <c r="N78" s="112">
        <f t="shared" si="1"/>
        <v>4774</v>
      </c>
      <c r="O78" s="196">
        <f t="shared" si="2"/>
        <v>18.1543587</v>
      </c>
      <c r="P78" s="94" t="s">
        <v>315</v>
      </c>
      <c r="Q78" s="112"/>
      <c r="R78" s="112"/>
    </row>
    <row r="79" ht="17.25" customHeight="1">
      <c r="A79" s="112"/>
      <c r="B79" s="189">
        <f>IFERROR(__xludf.DUMMYFUNCTION("""COMPUTED_VALUE"""),46078.5625)</f>
        <v>46078.5625</v>
      </c>
      <c r="C79" s="190">
        <f>IFERROR(__xludf.DUMMYFUNCTION("""COMPUTED_VALUE"""),23.98)</f>
        <v>23.98</v>
      </c>
      <c r="D79" s="190">
        <f>IFERROR(__xludf.DUMMYFUNCTION("""COMPUTED_VALUE"""),24.1)</f>
        <v>24.1</v>
      </c>
      <c r="E79" s="190">
        <f>IFERROR(__xludf.DUMMYFUNCTION("""COMPUTED_VALUE"""),23.94)</f>
        <v>23.94</v>
      </c>
      <c r="F79" s="190">
        <f>IFERROR(__xludf.DUMMYFUNCTION("""COMPUTED_VALUE"""),24.0)</f>
        <v>24</v>
      </c>
      <c r="G79" s="191">
        <f>IFERROR(__xludf.DUMMYFUNCTION("""COMPUTED_VALUE"""),1.44440915E8)</f>
        <v>144440915</v>
      </c>
      <c r="H79" s="112"/>
      <c r="I79" s="112"/>
      <c r="J79" s="205">
        <v>45651.0</v>
      </c>
      <c r="K79" s="94">
        <v>44.0</v>
      </c>
      <c r="L79" s="94">
        <v>22.36</v>
      </c>
      <c r="M79" s="94">
        <v>1.0</v>
      </c>
      <c r="N79" s="112">
        <f t="shared" si="1"/>
        <v>984.84</v>
      </c>
      <c r="O79" s="196">
        <f t="shared" si="2"/>
        <v>18.1667314</v>
      </c>
      <c r="P79" s="112"/>
      <c r="Q79" s="112"/>
      <c r="R79" s="112"/>
    </row>
    <row r="80" ht="17.25" customHeight="1">
      <c r="A80" s="112"/>
      <c r="B80" s="189">
        <f>IFERROR(__xludf.DUMMYFUNCTION("""COMPUTED_VALUE"""),46079.5625)</f>
        <v>46079.5625</v>
      </c>
      <c r="C80" s="190">
        <f>IFERROR(__xludf.DUMMYFUNCTION("""COMPUTED_VALUE"""),23.61)</f>
        <v>23.61</v>
      </c>
      <c r="D80" s="190">
        <f>IFERROR(__xludf.DUMMYFUNCTION("""COMPUTED_VALUE"""),23.78)</f>
        <v>23.78</v>
      </c>
      <c r="E80" s="190">
        <f>IFERROR(__xludf.DUMMYFUNCTION("""COMPUTED_VALUE"""),23.58)</f>
        <v>23.58</v>
      </c>
      <c r="F80" s="190">
        <f>IFERROR(__xludf.DUMMYFUNCTION("""COMPUTED_VALUE"""),23.74)</f>
        <v>23.74</v>
      </c>
      <c r="G80" s="191">
        <f>IFERROR(__xludf.DUMMYFUNCTION("""COMPUTED_VALUE"""),8.869119E7)</f>
        <v>88691190</v>
      </c>
      <c r="H80" s="112"/>
      <c r="I80" s="112"/>
      <c r="J80" s="205">
        <v>45670.0</v>
      </c>
      <c r="K80" s="94">
        <v>45.0</v>
      </c>
      <c r="L80" s="94">
        <v>21.82</v>
      </c>
      <c r="M80" s="94">
        <v>1.0</v>
      </c>
      <c r="N80" s="112">
        <f t="shared" si="1"/>
        <v>982.9</v>
      </c>
      <c r="O80" s="196">
        <f t="shared" si="2"/>
        <v>18.17769792</v>
      </c>
      <c r="P80" s="112"/>
      <c r="Q80" s="112"/>
      <c r="R80" s="112"/>
    </row>
    <row r="81" ht="17.25" customHeight="1">
      <c r="A81" s="112"/>
      <c r="B81" s="189">
        <f>IFERROR(__xludf.DUMMYFUNCTION("""COMPUTED_VALUE"""),46083.5625)</f>
        <v>46083.5625</v>
      </c>
      <c r="C81" s="190">
        <f>IFERROR(__xludf.DUMMYFUNCTION("""COMPUTED_VALUE"""),23.3)</f>
        <v>23.3</v>
      </c>
      <c r="D81" s="190">
        <f>IFERROR(__xludf.DUMMYFUNCTION("""COMPUTED_VALUE"""),23.5)</f>
        <v>23.5</v>
      </c>
      <c r="E81" s="190">
        <f>IFERROR(__xludf.DUMMYFUNCTION("""COMPUTED_VALUE"""),23.29)</f>
        <v>23.29</v>
      </c>
      <c r="F81" s="190">
        <f>IFERROR(__xludf.DUMMYFUNCTION("""COMPUTED_VALUE"""),23.38)</f>
        <v>23.38</v>
      </c>
      <c r="G81" s="191">
        <f>IFERROR(__xludf.DUMMYFUNCTION("""COMPUTED_VALUE"""),9.205347E7)</f>
        <v>92053470</v>
      </c>
      <c r="H81" s="112"/>
      <c r="I81" s="112"/>
      <c r="J81" s="205">
        <v>45691.0</v>
      </c>
      <c r="K81" s="94">
        <v>45.0</v>
      </c>
      <c r="L81" s="94">
        <v>22.07</v>
      </c>
      <c r="M81" s="94">
        <v>1.0</v>
      </c>
      <c r="N81" s="112">
        <f t="shared" si="1"/>
        <v>994.15</v>
      </c>
      <c r="O81" s="196">
        <f t="shared" si="2"/>
        <v>18.1893429</v>
      </c>
      <c r="P81" s="112"/>
      <c r="Q81" s="112"/>
      <c r="R81" s="112"/>
    </row>
    <row r="82" ht="17.25" customHeight="1">
      <c r="A82" s="112"/>
      <c r="B82" s="189">
        <f>IFERROR(__xludf.DUMMYFUNCTION("""COMPUTED_VALUE"""),46084.5625)</f>
        <v>46084.5625</v>
      </c>
      <c r="C82" s="190">
        <f>IFERROR(__xludf.DUMMYFUNCTION("""COMPUTED_VALUE"""),23.35)</f>
        <v>23.35</v>
      </c>
      <c r="D82" s="190">
        <f>IFERROR(__xludf.DUMMYFUNCTION("""COMPUTED_VALUE"""),23.4)</f>
        <v>23.4</v>
      </c>
      <c r="E82" s="190">
        <f>IFERROR(__xludf.DUMMYFUNCTION("""COMPUTED_VALUE"""),22.94)</f>
        <v>22.94</v>
      </c>
      <c r="F82" s="190">
        <f>IFERROR(__xludf.DUMMYFUNCTION("""COMPUTED_VALUE"""),22.95)</f>
        <v>22.95</v>
      </c>
      <c r="G82" s="191">
        <f>IFERROR(__xludf.DUMMYFUNCTION("""COMPUTED_VALUE"""),1.16609181E8)</f>
        <v>116609181</v>
      </c>
      <c r="H82" s="112"/>
      <c r="I82" s="112"/>
      <c r="J82" s="205">
        <v>45699.0</v>
      </c>
      <c r="K82" s="94">
        <v>44.0</v>
      </c>
      <c r="L82" s="94">
        <v>22.44</v>
      </c>
      <c r="M82" s="94">
        <v>1.0</v>
      </c>
      <c r="N82" s="112">
        <f t="shared" si="1"/>
        <v>988.36</v>
      </c>
      <c r="O82" s="196">
        <f t="shared" si="2"/>
        <v>18.20173687</v>
      </c>
      <c r="P82" s="112"/>
      <c r="Q82" s="112"/>
      <c r="R82" s="112"/>
    </row>
    <row r="83" ht="17.25" customHeight="1">
      <c r="A83" s="112"/>
      <c r="B83" s="189">
        <f>IFERROR(__xludf.DUMMYFUNCTION("""COMPUTED_VALUE"""),46085.5625)</f>
        <v>46085.5625</v>
      </c>
      <c r="C83" s="190">
        <f>IFERROR(__xludf.DUMMYFUNCTION("""COMPUTED_VALUE"""),22.55)</f>
        <v>22.55</v>
      </c>
      <c r="D83" s="190">
        <f>IFERROR(__xludf.DUMMYFUNCTION("""COMPUTED_VALUE"""),22.55)</f>
        <v>22.55</v>
      </c>
      <c r="E83" s="190">
        <f>IFERROR(__xludf.DUMMYFUNCTION("""COMPUTED_VALUE"""),22.05)</f>
        <v>22.05</v>
      </c>
      <c r="F83" s="190">
        <f>IFERROR(__xludf.DUMMYFUNCTION("""COMPUTED_VALUE"""),22.06)</f>
        <v>22.06</v>
      </c>
      <c r="G83" s="191">
        <f>IFERROR(__xludf.DUMMYFUNCTION("""COMPUTED_VALUE"""),1.6187237E8)</f>
        <v>161872370</v>
      </c>
      <c r="H83" s="112"/>
      <c r="I83" s="112"/>
      <c r="J83" s="205">
        <v>45713.0</v>
      </c>
      <c r="K83" s="94">
        <v>44.0</v>
      </c>
      <c r="L83" s="94">
        <v>22.53</v>
      </c>
      <c r="M83" s="94">
        <v>1.0</v>
      </c>
      <c r="N83" s="112">
        <f t="shared" si="1"/>
        <v>992.32</v>
      </c>
      <c r="O83" s="196">
        <f t="shared" si="2"/>
        <v>18.21431942</v>
      </c>
      <c r="P83" s="112"/>
      <c r="Q83" s="112"/>
      <c r="R83" s="112"/>
    </row>
    <row r="84" ht="17.25" customHeight="1">
      <c r="A84" s="112"/>
      <c r="B84" s="189">
        <f>IFERROR(__xludf.DUMMYFUNCTION("""COMPUTED_VALUE"""),46086.5625)</f>
        <v>46086.5625</v>
      </c>
      <c r="C84" s="190">
        <f>IFERROR(__xludf.DUMMYFUNCTION("""COMPUTED_VALUE"""),22.5)</f>
        <v>22.5</v>
      </c>
      <c r="D84" s="190">
        <f>IFERROR(__xludf.DUMMYFUNCTION("""COMPUTED_VALUE"""),22.58)</f>
        <v>22.58</v>
      </c>
      <c r="E84" s="190">
        <f>IFERROR(__xludf.DUMMYFUNCTION("""COMPUTED_VALUE"""),22.22)</f>
        <v>22.22</v>
      </c>
      <c r="F84" s="190">
        <f>IFERROR(__xludf.DUMMYFUNCTION("""COMPUTED_VALUE"""),22.4)</f>
        <v>22.4</v>
      </c>
      <c r="G84" s="191">
        <f>IFERROR(__xludf.DUMMYFUNCTION("""COMPUTED_VALUE"""),7.0913922E7)</f>
        <v>70913922</v>
      </c>
      <c r="H84" s="112"/>
      <c r="I84" s="112"/>
      <c r="J84" s="205">
        <v>45727.0</v>
      </c>
      <c r="K84" s="94">
        <v>45.0</v>
      </c>
      <c r="L84" s="94">
        <v>21.88</v>
      </c>
      <c r="M84" s="94">
        <v>1.0</v>
      </c>
      <c r="N84" s="112">
        <f t="shared" si="1"/>
        <v>985.6</v>
      </c>
      <c r="O84" s="196">
        <f t="shared" si="2"/>
        <v>18.22519463</v>
      </c>
      <c r="P84" s="112"/>
      <c r="Q84" s="112"/>
      <c r="R84" s="112"/>
    </row>
    <row r="85" ht="17.25" customHeight="1">
      <c r="A85" s="112"/>
      <c r="B85" s="189">
        <f>IFERROR(__xludf.DUMMYFUNCTION("""COMPUTED_VALUE"""),46087.5625)</f>
        <v>46087.5625</v>
      </c>
      <c r="C85" s="190">
        <f>IFERROR(__xludf.DUMMYFUNCTION("""COMPUTED_VALUE"""),22.28)</f>
        <v>22.28</v>
      </c>
      <c r="D85" s="190">
        <f>IFERROR(__xludf.DUMMYFUNCTION("""COMPUTED_VALUE"""),22.49)</f>
        <v>22.49</v>
      </c>
      <c r="E85" s="190">
        <f>IFERROR(__xludf.DUMMYFUNCTION("""COMPUTED_VALUE"""),22.15)</f>
        <v>22.15</v>
      </c>
      <c r="F85" s="190">
        <f>IFERROR(__xludf.DUMMYFUNCTION("""COMPUTED_VALUE"""),22.39)</f>
        <v>22.39</v>
      </c>
      <c r="G85" s="191">
        <f>IFERROR(__xludf.DUMMYFUNCTION("""COMPUTED_VALUE"""),4.2870888E7)</f>
        <v>42870888</v>
      </c>
      <c r="H85" s="112"/>
      <c r="I85" s="112"/>
      <c r="J85" s="205">
        <v>45736.0</v>
      </c>
      <c r="K85" s="94">
        <v>208.0</v>
      </c>
      <c r="L85" s="112">
        <f>22.04</f>
        <v>22.04</v>
      </c>
      <c r="M85" s="94">
        <v>1.0</v>
      </c>
      <c r="N85" s="112">
        <f t="shared" si="1"/>
        <v>4585.32</v>
      </c>
      <c r="O85" s="196">
        <f t="shared" si="2"/>
        <v>18.27655741</v>
      </c>
      <c r="P85" s="94" t="s">
        <v>315</v>
      </c>
      <c r="Q85" s="112"/>
      <c r="R85" s="112"/>
    </row>
    <row r="86" ht="17.25" customHeight="1">
      <c r="A86" s="112"/>
      <c r="B86" s="189">
        <f>IFERROR(__xludf.DUMMYFUNCTION("""COMPUTED_VALUE"""),46090.5625)</f>
        <v>46090.5625</v>
      </c>
      <c r="C86" s="190">
        <f>IFERROR(__xludf.DUMMYFUNCTION("""COMPUTED_VALUE"""),21.55)</f>
        <v>21.55</v>
      </c>
      <c r="D86" s="190">
        <f>IFERROR(__xludf.DUMMYFUNCTION("""COMPUTED_VALUE"""),21.75)</f>
        <v>21.75</v>
      </c>
      <c r="E86" s="190">
        <f>IFERROR(__xludf.DUMMYFUNCTION("""COMPUTED_VALUE"""),21.28)</f>
        <v>21.28</v>
      </c>
      <c r="F86" s="190">
        <f>IFERROR(__xludf.DUMMYFUNCTION("""COMPUTED_VALUE"""),21.75)</f>
        <v>21.75</v>
      </c>
      <c r="G86" s="191">
        <f>IFERROR(__xludf.DUMMYFUNCTION("""COMPUTED_VALUE"""),1.35830748E8)</f>
        <v>135830748</v>
      </c>
      <c r="H86" s="112"/>
      <c r="I86" s="112"/>
      <c r="J86" s="205">
        <v>45741.0</v>
      </c>
      <c r="K86" s="94">
        <v>45.0</v>
      </c>
      <c r="L86" s="94">
        <v>21.95</v>
      </c>
      <c r="M86" s="94">
        <v>1.0</v>
      </c>
      <c r="N86" s="112">
        <f t="shared" si="1"/>
        <v>988.75</v>
      </c>
      <c r="O86" s="196">
        <f t="shared" si="2"/>
        <v>18.28727777</v>
      </c>
      <c r="P86" s="112"/>
      <c r="Q86" s="112"/>
      <c r="R86" s="112"/>
    </row>
    <row r="87" ht="17.25" customHeight="1">
      <c r="A87" s="112"/>
      <c r="B87" s="189">
        <f>IFERROR(__xludf.DUMMYFUNCTION("""COMPUTED_VALUE"""),46091.5625)</f>
        <v>46091.5625</v>
      </c>
      <c r="C87" s="190">
        <f>IFERROR(__xludf.DUMMYFUNCTION("""COMPUTED_VALUE"""),22.13)</f>
        <v>22.13</v>
      </c>
      <c r="D87" s="190">
        <f>IFERROR(__xludf.DUMMYFUNCTION("""COMPUTED_VALUE"""),22.2)</f>
        <v>22.2</v>
      </c>
      <c r="E87" s="190">
        <f>IFERROR(__xludf.DUMMYFUNCTION("""COMPUTED_VALUE"""),21.9)</f>
        <v>21.9</v>
      </c>
      <c r="F87" s="190">
        <f>IFERROR(__xludf.DUMMYFUNCTION("""COMPUTED_VALUE"""),22.0)</f>
        <v>22</v>
      </c>
      <c r="G87" s="191">
        <f>IFERROR(__xludf.DUMMYFUNCTION("""COMPUTED_VALUE"""),5.8817262E7)</f>
        <v>58817262</v>
      </c>
      <c r="H87" s="112"/>
      <c r="I87" s="112"/>
      <c r="J87" s="205">
        <v>45758.0</v>
      </c>
      <c r="K87" s="94">
        <v>102.0</v>
      </c>
      <c r="L87" s="94">
        <v>19.47</v>
      </c>
      <c r="M87" s="94">
        <v>1.0</v>
      </c>
      <c r="N87" s="112">
        <f t="shared" si="1"/>
        <v>1986.94</v>
      </c>
      <c r="O87" s="196">
        <f t="shared" si="2"/>
        <v>18.29506756</v>
      </c>
      <c r="P87" s="94" t="s">
        <v>316</v>
      </c>
      <c r="Q87" s="112"/>
      <c r="R87" s="112"/>
    </row>
    <row r="88" ht="17.25" customHeight="1">
      <c r="A88" s="112"/>
      <c r="B88" s="189">
        <f>IFERROR(__xludf.DUMMYFUNCTION("""COMPUTED_VALUE"""),46092.5625)</f>
        <v>46092.5625</v>
      </c>
      <c r="C88" s="190">
        <f>IFERROR(__xludf.DUMMYFUNCTION("""COMPUTED_VALUE"""),22.29)</f>
        <v>22.29</v>
      </c>
      <c r="D88" s="190">
        <f>IFERROR(__xludf.DUMMYFUNCTION("""COMPUTED_VALUE"""),22.51)</f>
        <v>22.51</v>
      </c>
      <c r="E88" s="190">
        <f>IFERROR(__xludf.DUMMYFUNCTION("""COMPUTED_VALUE"""),22.29)</f>
        <v>22.29</v>
      </c>
      <c r="F88" s="190">
        <f>IFERROR(__xludf.DUMMYFUNCTION("""COMPUTED_VALUE"""),22.46)</f>
        <v>22.46</v>
      </c>
      <c r="G88" s="191">
        <f>IFERROR(__xludf.DUMMYFUNCTION("""COMPUTED_VALUE"""),5.0121695E7)</f>
        <v>50121695</v>
      </c>
      <c r="H88" s="112"/>
      <c r="I88" s="112"/>
      <c r="J88" s="205">
        <v>45772.0</v>
      </c>
      <c r="K88" s="94">
        <v>49.0</v>
      </c>
      <c r="L88" s="94">
        <v>20.09</v>
      </c>
      <c r="M88" s="94">
        <v>1.0</v>
      </c>
      <c r="N88" s="112">
        <f t="shared" si="1"/>
        <v>985.41</v>
      </c>
      <c r="O88" s="196">
        <f t="shared" si="2"/>
        <v>18.3007463</v>
      </c>
      <c r="P88" s="112"/>
      <c r="Q88" s="112"/>
      <c r="R88" s="112"/>
    </row>
    <row r="89" ht="17.25" customHeight="1">
      <c r="A89" s="112"/>
      <c r="B89" s="189">
        <f>IFERROR(__xludf.DUMMYFUNCTION("""COMPUTED_VALUE"""),46093.5625)</f>
        <v>46093.5625</v>
      </c>
      <c r="C89" s="190">
        <f>IFERROR(__xludf.DUMMYFUNCTION("""COMPUTED_VALUE"""),22.39)</f>
        <v>22.39</v>
      </c>
      <c r="D89" s="190">
        <f>IFERROR(__xludf.DUMMYFUNCTION("""COMPUTED_VALUE"""),22.46)</f>
        <v>22.46</v>
      </c>
      <c r="E89" s="190">
        <f>IFERROR(__xludf.DUMMYFUNCTION("""COMPUTED_VALUE"""),22.22)</f>
        <v>22.22</v>
      </c>
      <c r="F89" s="190">
        <f>IFERROR(__xludf.DUMMYFUNCTION("""COMPUTED_VALUE"""),22.27)</f>
        <v>22.27</v>
      </c>
      <c r="G89" s="191">
        <f>IFERROR(__xludf.DUMMYFUNCTION("""COMPUTED_VALUE"""),4.1642658E7)</f>
        <v>41642658</v>
      </c>
      <c r="H89" s="112"/>
      <c r="I89" s="112"/>
      <c r="J89" s="205">
        <v>45789.0</v>
      </c>
      <c r="K89" s="94">
        <v>47.0</v>
      </c>
      <c r="L89" s="94">
        <v>20.87</v>
      </c>
      <c r="M89" s="94">
        <v>1.0</v>
      </c>
      <c r="N89" s="112">
        <f t="shared" si="1"/>
        <v>981.89</v>
      </c>
      <c r="O89" s="196">
        <f t="shared" si="2"/>
        <v>18.30849596</v>
      </c>
      <c r="P89" s="112"/>
      <c r="Q89" s="112"/>
      <c r="R89" s="112"/>
    </row>
    <row r="90" ht="17.25" customHeight="1">
      <c r="A90" s="112"/>
      <c r="B90" s="189">
        <f>IFERROR(__xludf.DUMMYFUNCTION("""COMPUTED_VALUE"""),46094.5625)</f>
        <v>46094.5625</v>
      </c>
      <c r="C90" s="190">
        <f>IFERROR(__xludf.DUMMYFUNCTION("""COMPUTED_VALUE"""),22.18)</f>
        <v>22.18</v>
      </c>
      <c r="D90" s="190">
        <f>IFERROR(__xludf.DUMMYFUNCTION("""COMPUTED_VALUE"""),22.42)</f>
        <v>22.42</v>
      </c>
      <c r="E90" s="190">
        <f>IFERROR(__xludf.DUMMYFUNCTION("""COMPUTED_VALUE"""),22.12)</f>
        <v>22.12</v>
      </c>
      <c r="F90" s="190">
        <f>IFERROR(__xludf.DUMMYFUNCTION("""COMPUTED_VALUE"""),22.3)</f>
        <v>22.3</v>
      </c>
      <c r="G90" s="191">
        <f>IFERROR(__xludf.DUMMYFUNCTION("""COMPUTED_VALUE"""),4.1506174E7)</f>
        <v>41506174</v>
      </c>
      <c r="H90" s="112"/>
      <c r="I90" s="112"/>
      <c r="J90" s="205">
        <v>45803.0</v>
      </c>
      <c r="K90" s="94">
        <v>48.0</v>
      </c>
      <c r="L90" s="94">
        <v>20.55</v>
      </c>
      <c r="M90" s="94">
        <v>1.0</v>
      </c>
      <c r="N90" s="112">
        <f t="shared" si="1"/>
        <v>987.4</v>
      </c>
      <c r="O90" s="196">
        <f t="shared" si="2"/>
        <v>18.31538676</v>
      </c>
      <c r="P90" s="112"/>
      <c r="Q90" s="112"/>
      <c r="R90" s="112"/>
    </row>
    <row r="91" ht="17.25" customHeight="1">
      <c r="A91" s="112"/>
      <c r="B91" s="189">
        <f>IFERROR(__xludf.DUMMYFUNCTION("""COMPUTED_VALUE"""),46097.5625)</f>
        <v>46097.5625</v>
      </c>
      <c r="C91" s="190">
        <f>IFERROR(__xludf.DUMMYFUNCTION("""COMPUTED_VALUE"""),22.42)</f>
        <v>22.42</v>
      </c>
      <c r="D91" s="190">
        <f>IFERROR(__xludf.DUMMYFUNCTION("""COMPUTED_VALUE"""),22.52)</f>
        <v>22.52</v>
      </c>
      <c r="E91" s="190">
        <f>IFERROR(__xludf.DUMMYFUNCTION("""COMPUTED_VALUE"""),22.31)</f>
        <v>22.31</v>
      </c>
      <c r="F91" s="190">
        <f>IFERROR(__xludf.DUMMYFUNCTION("""COMPUTED_VALUE"""),22.43)</f>
        <v>22.43</v>
      </c>
      <c r="G91" s="191">
        <f>IFERROR(__xludf.DUMMYFUNCTION("""COMPUTED_VALUE"""),5.2845593E7)</f>
        <v>52845593</v>
      </c>
      <c r="H91" s="112"/>
      <c r="I91" s="112"/>
      <c r="J91" s="205">
        <v>45819.0</v>
      </c>
      <c r="K91" s="94">
        <v>48.0</v>
      </c>
      <c r="L91" s="94">
        <v>20.76</v>
      </c>
      <c r="M91" s="94">
        <v>1.0</v>
      </c>
      <c r="N91" s="112">
        <f t="shared" si="1"/>
        <v>997.48</v>
      </c>
      <c r="O91" s="196">
        <f t="shared" si="2"/>
        <v>18.32287341</v>
      </c>
      <c r="P91" s="112"/>
      <c r="Q91" s="112"/>
      <c r="R91" s="112"/>
    </row>
    <row r="92" ht="17.25" customHeight="1">
      <c r="A92" s="112"/>
      <c r="B92" s="189">
        <f>IFERROR(__xludf.DUMMYFUNCTION("""COMPUTED_VALUE"""),46098.5625)</f>
        <v>46098.5625</v>
      </c>
      <c r="C92" s="190">
        <f>IFERROR(__xludf.DUMMYFUNCTION("""COMPUTED_VALUE"""),22.58)</f>
        <v>22.58</v>
      </c>
      <c r="D92" s="190">
        <f>IFERROR(__xludf.DUMMYFUNCTION("""COMPUTED_VALUE"""),22.71)</f>
        <v>22.71</v>
      </c>
      <c r="E92" s="190">
        <f>IFERROR(__xludf.DUMMYFUNCTION("""COMPUTED_VALUE"""),22.57)</f>
        <v>22.57</v>
      </c>
      <c r="F92" s="190">
        <f>IFERROR(__xludf.DUMMYFUNCTION("""COMPUTED_VALUE"""),22.62)</f>
        <v>22.62</v>
      </c>
      <c r="G92" s="191">
        <f>IFERROR(__xludf.DUMMYFUNCTION("""COMPUTED_VALUE"""),4.2699504E7)</f>
        <v>42699504</v>
      </c>
      <c r="H92" s="112"/>
      <c r="I92" s="112"/>
      <c r="J92" s="205">
        <v>45825.0</v>
      </c>
      <c r="K92" s="94">
        <v>218.0</v>
      </c>
      <c r="L92" s="94">
        <v>20.93</v>
      </c>
      <c r="M92" s="94">
        <v>1.0</v>
      </c>
      <c r="N92" s="112">
        <f t="shared" si="1"/>
        <v>4563.74</v>
      </c>
      <c r="O92" s="196">
        <f t="shared" si="2"/>
        <v>18.3584025</v>
      </c>
      <c r="P92" s="94" t="s">
        <v>315</v>
      </c>
      <c r="Q92" s="112"/>
      <c r="R92" s="112"/>
    </row>
    <row r="93" ht="17.25" customHeight="1">
      <c r="A93" s="112"/>
      <c r="B93" s="189">
        <f>IFERROR(__xludf.DUMMYFUNCTION("""COMPUTED_VALUE"""),46099.5625)</f>
        <v>46099.5625</v>
      </c>
      <c r="C93" s="190">
        <f>IFERROR(__xludf.DUMMYFUNCTION("""COMPUTED_VALUE"""),22.86)</f>
        <v>22.86</v>
      </c>
      <c r="D93" s="190">
        <f>IFERROR(__xludf.DUMMYFUNCTION("""COMPUTED_VALUE"""),22.94)</f>
        <v>22.94</v>
      </c>
      <c r="E93" s="190">
        <f>IFERROR(__xludf.DUMMYFUNCTION("""COMPUTED_VALUE"""),22.75)</f>
        <v>22.75</v>
      </c>
      <c r="F93" s="190">
        <f>IFERROR(__xludf.DUMMYFUNCTION("""COMPUTED_VALUE"""),22.85)</f>
        <v>22.85</v>
      </c>
      <c r="G93" s="191">
        <f>IFERROR(__xludf.DUMMYFUNCTION("""COMPUTED_VALUE"""),4.3904663E7)</f>
        <v>43904663</v>
      </c>
      <c r="H93" s="112"/>
      <c r="I93" s="112"/>
      <c r="J93" s="205">
        <v>45833.0</v>
      </c>
      <c r="K93" s="94">
        <v>47.0</v>
      </c>
      <c r="L93" s="94">
        <v>20.96</v>
      </c>
      <c r="M93" s="94">
        <v>1.0</v>
      </c>
      <c r="N93" s="112">
        <f t="shared" si="1"/>
        <v>986.12</v>
      </c>
      <c r="O93" s="196">
        <f t="shared" si="2"/>
        <v>18.36607267</v>
      </c>
      <c r="P93" s="112"/>
      <c r="Q93" s="112"/>
      <c r="R93" s="112"/>
    </row>
    <row r="94" ht="17.25" customHeight="1">
      <c r="A94" s="112"/>
      <c r="B94" s="189">
        <f>IFERROR(__xludf.DUMMYFUNCTION("""COMPUTED_VALUE"""),46100.5625)</f>
        <v>46100.5625</v>
      </c>
      <c r="C94" s="190">
        <f>IFERROR(__xludf.DUMMYFUNCTION("""COMPUTED_VALUE"""),22.59)</f>
        <v>22.59</v>
      </c>
      <c r="D94" s="190">
        <f>IFERROR(__xludf.DUMMYFUNCTION("""COMPUTED_VALUE"""),22.65)</f>
        <v>22.65</v>
      </c>
      <c r="E94" s="190">
        <f>IFERROR(__xludf.DUMMYFUNCTION("""COMPUTED_VALUE"""),22.46)</f>
        <v>22.46</v>
      </c>
      <c r="F94" s="190">
        <f>IFERROR(__xludf.DUMMYFUNCTION("""COMPUTED_VALUE"""),22.47)</f>
        <v>22.47</v>
      </c>
      <c r="G94" s="191">
        <f>IFERROR(__xludf.DUMMYFUNCTION("""COMPUTED_VALUE"""),4.8360518E7)</f>
        <v>48360518</v>
      </c>
      <c r="H94" s="112"/>
      <c r="I94" s="112"/>
      <c r="J94" s="205">
        <v>45849.0</v>
      </c>
      <c r="K94" s="94">
        <v>47.0</v>
      </c>
      <c r="L94" s="94">
        <v>21.1</v>
      </c>
      <c r="M94" s="94">
        <v>1.0</v>
      </c>
      <c r="N94" s="112">
        <f t="shared" si="1"/>
        <v>992.7</v>
      </c>
      <c r="O94" s="196">
        <f t="shared" si="2"/>
        <v>18.37410633</v>
      </c>
      <c r="P94" s="112"/>
      <c r="Q94" s="112"/>
      <c r="R94" s="112"/>
    </row>
    <row r="95" ht="17.25" customHeight="1">
      <c r="A95" s="112"/>
      <c r="B95" s="189">
        <f>IFERROR(__xludf.DUMMYFUNCTION("""COMPUTED_VALUE"""),46101.5625)</f>
        <v>46101.5625</v>
      </c>
      <c r="C95" s="190">
        <f>IFERROR(__xludf.DUMMYFUNCTION("""COMPUTED_VALUE"""),22.49)</f>
        <v>22.49</v>
      </c>
      <c r="D95" s="190">
        <f>IFERROR(__xludf.DUMMYFUNCTION("""COMPUTED_VALUE"""),22.54)</f>
        <v>22.54</v>
      </c>
      <c r="E95" s="190">
        <f>IFERROR(__xludf.DUMMYFUNCTION("""COMPUTED_VALUE"""),22.29)</f>
        <v>22.29</v>
      </c>
      <c r="F95" s="190">
        <f>IFERROR(__xludf.DUMMYFUNCTION("""COMPUTED_VALUE"""),22.47)</f>
        <v>22.47</v>
      </c>
      <c r="G95" s="191">
        <f>IFERROR(__xludf.DUMMYFUNCTION("""COMPUTED_VALUE"""),3.999617E7)</f>
        <v>39996170</v>
      </c>
      <c r="H95" s="112"/>
      <c r="I95" s="112"/>
      <c r="J95" s="205">
        <v>45863.0</v>
      </c>
      <c r="K95" s="94">
        <v>47.0</v>
      </c>
      <c r="L95" s="94">
        <v>21.22</v>
      </c>
      <c r="M95" s="94">
        <v>1.0</v>
      </c>
      <c r="N95" s="112">
        <f t="shared" si="1"/>
        <v>998.34</v>
      </c>
      <c r="O95" s="196">
        <f t="shared" si="2"/>
        <v>18.38244216</v>
      </c>
      <c r="P95" s="112"/>
      <c r="Q95" s="112"/>
      <c r="R95" s="112"/>
    </row>
    <row r="96" ht="17.25" customHeight="1">
      <c r="A96" s="112"/>
      <c r="B96" s="189">
        <f>IFERROR(__xludf.DUMMYFUNCTION("""COMPUTED_VALUE"""),46104.5625)</f>
        <v>46104.5625</v>
      </c>
      <c r="C96" s="190">
        <f>IFERROR(__xludf.DUMMYFUNCTION("""COMPUTED_VALUE"""),22.0)</f>
        <v>22</v>
      </c>
      <c r="D96" s="190">
        <f>IFERROR(__xludf.DUMMYFUNCTION("""COMPUTED_VALUE"""),22.14)</f>
        <v>22.14</v>
      </c>
      <c r="E96" s="190">
        <f>IFERROR(__xludf.DUMMYFUNCTION("""COMPUTED_VALUE"""),21.87)</f>
        <v>21.87</v>
      </c>
      <c r="F96" s="190">
        <f>IFERROR(__xludf.DUMMYFUNCTION("""COMPUTED_VALUE"""),22.08)</f>
        <v>22.08</v>
      </c>
      <c r="G96" s="191">
        <f>IFERROR(__xludf.DUMMYFUNCTION("""COMPUTED_VALUE"""),8.1005688E7)</f>
        <v>81005688</v>
      </c>
      <c r="H96" s="112"/>
      <c r="I96" s="112"/>
      <c r="J96" s="205">
        <v>45880.0</v>
      </c>
      <c r="K96" s="94">
        <v>47.0</v>
      </c>
      <c r="L96" s="94">
        <v>21.22</v>
      </c>
      <c r="M96" s="94">
        <v>1.0</v>
      </c>
      <c r="N96" s="112">
        <f t="shared" si="1"/>
        <v>998.34</v>
      </c>
      <c r="O96" s="196">
        <f t="shared" si="2"/>
        <v>18.39072966</v>
      </c>
      <c r="P96" s="112"/>
      <c r="Q96" s="112"/>
      <c r="R96" s="112"/>
    </row>
    <row r="97" ht="17.25" customHeight="1">
      <c r="A97" s="112"/>
      <c r="B97" s="189">
        <f>IFERROR(__xludf.DUMMYFUNCTION("""COMPUTED_VALUE"""),46105.5625)</f>
        <v>46105.5625</v>
      </c>
      <c r="C97" s="190">
        <f>IFERROR(__xludf.DUMMYFUNCTION("""COMPUTED_VALUE"""),22.24)</f>
        <v>22.24</v>
      </c>
      <c r="D97" s="190">
        <f>IFERROR(__xludf.DUMMYFUNCTION("""COMPUTED_VALUE"""),22.3)</f>
        <v>22.3</v>
      </c>
      <c r="E97" s="190">
        <f>IFERROR(__xludf.DUMMYFUNCTION("""COMPUTED_VALUE"""),21.96)</f>
        <v>21.96</v>
      </c>
      <c r="F97" s="190">
        <f>IFERROR(__xludf.DUMMYFUNCTION("""COMPUTED_VALUE"""),22.08)</f>
        <v>22.08</v>
      </c>
      <c r="G97" s="191">
        <f>IFERROR(__xludf.DUMMYFUNCTION("""COMPUTED_VALUE"""),3.9894033E7)</f>
        <v>39894033</v>
      </c>
      <c r="H97" s="112"/>
      <c r="I97" s="112"/>
      <c r="J97" s="205">
        <v>45894.0</v>
      </c>
      <c r="K97" s="94">
        <v>48.0</v>
      </c>
      <c r="L97" s="94">
        <v>20.52</v>
      </c>
      <c r="M97" s="94">
        <v>1.0</v>
      </c>
      <c r="N97" s="112">
        <f t="shared" si="1"/>
        <v>985.96</v>
      </c>
      <c r="O97" s="196">
        <f t="shared" si="2"/>
        <v>18.39707644</v>
      </c>
      <c r="P97" s="112"/>
      <c r="Q97" s="112"/>
      <c r="R97" s="112"/>
    </row>
    <row r="98" ht="17.25" customHeight="1">
      <c r="A98" s="112"/>
      <c r="B98" s="189">
        <f>IFERROR(__xludf.DUMMYFUNCTION("""COMPUTED_VALUE"""),46106.5625)</f>
        <v>46106.5625</v>
      </c>
      <c r="C98" s="190">
        <f>IFERROR(__xludf.DUMMYFUNCTION("""COMPUTED_VALUE"""),22.38)</f>
        <v>22.38</v>
      </c>
      <c r="D98" s="190">
        <f>IFERROR(__xludf.DUMMYFUNCTION("""COMPUTED_VALUE"""),22.52)</f>
        <v>22.52</v>
      </c>
      <c r="E98" s="190">
        <f>IFERROR(__xludf.DUMMYFUNCTION("""COMPUTED_VALUE"""),22.35)</f>
        <v>22.35</v>
      </c>
      <c r="F98" s="190">
        <f>IFERROR(__xludf.DUMMYFUNCTION("""COMPUTED_VALUE"""),22.44)</f>
        <v>22.44</v>
      </c>
      <c r="G98" s="191">
        <f>IFERROR(__xludf.DUMMYFUNCTION("""COMPUTED_VALUE"""),3.4477032E7)</f>
        <v>34477032</v>
      </c>
      <c r="H98" s="112"/>
      <c r="I98" s="112"/>
      <c r="J98" s="205">
        <v>45911.0</v>
      </c>
      <c r="K98" s="94">
        <v>23.0</v>
      </c>
      <c r="L98" s="94">
        <v>20.95</v>
      </c>
      <c r="M98" s="94">
        <v>1.0</v>
      </c>
      <c r="N98" s="112">
        <f t="shared" si="1"/>
        <v>482.85</v>
      </c>
      <c r="O98" s="196">
        <f t="shared" si="2"/>
        <v>18.40074367</v>
      </c>
      <c r="P98" s="112"/>
      <c r="Q98" s="112"/>
      <c r="R98" s="112"/>
    </row>
    <row r="99" ht="17.25" customHeight="1">
      <c r="A99" s="112"/>
      <c r="B99" s="189">
        <f>IFERROR(__xludf.DUMMYFUNCTION("""COMPUTED_VALUE"""),46107.5625)</f>
        <v>46107.5625</v>
      </c>
      <c r="C99" s="190">
        <f>IFERROR(__xludf.DUMMYFUNCTION("""COMPUTED_VALUE"""),22.48)</f>
        <v>22.48</v>
      </c>
      <c r="D99" s="190">
        <f>IFERROR(__xludf.DUMMYFUNCTION("""COMPUTED_VALUE"""),22.63)</f>
        <v>22.63</v>
      </c>
      <c r="E99" s="190">
        <f>IFERROR(__xludf.DUMMYFUNCTION("""COMPUTED_VALUE"""),22.4)</f>
        <v>22.4</v>
      </c>
      <c r="F99" s="190">
        <f>IFERROR(__xludf.DUMMYFUNCTION("""COMPUTED_VALUE"""),22.44)</f>
        <v>22.44</v>
      </c>
      <c r="G99" s="191">
        <f>IFERROR(__xludf.DUMMYFUNCTION("""COMPUTED_VALUE"""),3.3445522E7)</f>
        <v>33445522</v>
      </c>
      <c r="H99" s="112"/>
      <c r="I99" s="112"/>
      <c r="J99" s="205">
        <v>45915.0</v>
      </c>
      <c r="K99" s="94">
        <v>193.0</v>
      </c>
      <c r="L99" s="94">
        <v>21.06</v>
      </c>
      <c r="M99" s="94">
        <v>1.0</v>
      </c>
      <c r="N99" s="112">
        <f t="shared" si="1"/>
        <v>4065.58</v>
      </c>
      <c r="O99" s="196">
        <f t="shared" si="2"/>
        <v>18.43195303</v>
      </c>
      <c r="P99" s="94" t="s">
        <v>315</v>
      </c>
      <c r="Q99" s="112"/>
      <c r="R99" s="112"/>
    </row>
    <row r="100" ht="17.25" customHeight="1">
      <c r="A100" s="112"/>
      <c r="B100" s="189">
        <f>IFERROR(__xludf.DUMMYFUNCTION("""COMPUTED_VALUE"""),46108.5625)</f>
        <v>46108.5625</v>
      </c>
      <c r="C100" s="190">
        <f>IFERROR(__xludf.DUMMYFUNCTION("""COMPUTED_VALUE"""),22.3)</f>
        <v>22.3</v>
      </c>
      <c r="D100" s="190">
        <f>IFERROR(__xludf.DUMMYFUNCTION("""COMPUTED_VALUE"""),22.4)</f>
        <v>22.4</v>
      </c>
      <c r="E100" s="190">
        <f>IFERROR(__xludf.DUMMYFUNCTION("""COMPUTED_VALUE"""),22.18)</f>
        <v>22.18</v>
      </c>
      <c r="F100" s="190">
        <f>IFERROR(__xludf.DUMMYFUNCTION("""COMPUTED_VALUE"""),22.39)</f>
        <v>22.39</v>
      </c>
      <c r="G100" s="191">
        <f>IFERROR(__xludf.DUMMYFUNCTION("""COMPUTED_VALUE"""),2.9091825E7)</f>
        <v>29091825</v>
      </c>
      <c r="H100" s="112"/>
      <c r="I100" s="112"/>
      <c r="J100" s="205">
        <v>45925.0</v>
      </c>
      <c r="K100" s="94">
        <v>23.0</v>
      </c>
      <c r="L100" s="94">
        <v>21.42</v>
      </c>
      <c r="M100" s="94">
        <v>1.0</v>
      </c>
      <c r="N100" s="112">
        <f t="shared" si="1"/>
        <v>493.66</v>
      </c>
      <c r="O100" s="196">
        <f t="shared" si="2"/>
        <v>18.43617879</v>
      </c>
      <c r="P100" s="112"/>
      <c r="Q100" s="112"/>
      <c r="R100" s="112"/>
    </row>
    <row r="101" ht="17.25" customHeight="1">
      <c r="A101" s="112"/>
      <c r="B101" s="189">
        <f>IFERROR(__xludf.DUMMYFUNCTION("""COMPUTED_VALUE"""),46111.5625)</f>
        <v>46111.5625</v>
      </c>
      <c r="C101" s="190">
        <f>IFERROR(__xludf.DUMMYFUNCTION("""COMPUTED_VALUE"""),22.12)</f>
        <v>22.12</v>
      </c>
      <c r="D101" s="190">
        <f>IFERROR(__xludf.DUMMYFUNCTION("""COMPUTED_VALUE"""),22.15)</f>
        <v>22.15</v>
      </c>
      <c r="E101" s="190">
        <f>IFERROR(__xludf.DUMMYFUNCTION("""COMPUTED_VALUE"""),22.01)</f>
        <v>22.01</v>
      </c>
      <c r="F101" s="190">
        <f>IFERROR(__xludf.DUMMYFUNCTION("""COMPUTED_VALUE"""),22.11)</f>
        <v>22.11</v>
      </c>
      <c r="G101" s="191">
        <f>IFERROR(__xludf.DUMMYFUNCTION("""COMPUTED_VALUE"""),5.3039219E7)</f>
        <v>53039219</v>
      </c>
      <c r="H101" s="112"/>
      <c r="I101" s="112"/>
      <c r="J101" s="262">
        <v>45943.0</v>
      </c>
      <c r="K101" s="94">
        <v>23.0</v>
      </c>
      <c r="L101" s="94">
        <v>21.27</v>
      </c>
      <c r="M101" s="94">
        <v>1.0</v>
      </c>
      <c r="N101" s="112">
        <f t="shared" si="1"/>
        <v>490.21</v>
      </c>
      <c r="O101" s="196">
        <f t="shared" si="2"/>
        <v>18.44018399</v>
      </c>
      <c r="P101" s="112"/>
      <c r="Q101" s="112"/>
      <c r="R101" s="112"/>
    </row>
    <row r="102" ht="17.25" customHeight="1">
      <c r="A102" s="112"/>
      <c r="B102" s="189">
        <f>IFERROR(__xludf.DUMMYFUNCTION("""COMPUTED_VALUE"""),46112.5625)</f>
        <v>46112.5625</v>
      </c>
      <c r="C102" s="190">
        <f>IFERROR(__xludf.DUMMYFUNCTION("""COMPUTED_VALUE"""),21.95)</f>
        <v>21.95</v>
      </c>
      <c r="D102" s="190">
        <f>IFERROR(__xludf.DUMMYFUNCTION("""COMPUTED_VALUE"""),22.03)</f>
        <v>22.03</v>
      </c>
      <c r="E102" s="190">
        <f>IFERROR(__xludf.DUMMYFUNCTION("""COMPUTED_VALUE"""),21.8)</f>
        <v>21.8</v>
      </c>
      <c r="F102" s="190">
        <f>IFERROR(__xludf.DUMMYFUNCTION("""COMPUTED_VALUE"""),21.81)</f>
        <v>21.81</v>
      </c>
      <c r="G102" s="191">
        <f>IFERROR(__xludf.DUMMYFUNCTION("""COMPUTED_VALUE"""),7.15672E7)</f>
        <v>71567200</v>
      </c>
      <c r="H102" s="112"/>
      <c r="I102" s="112"/>
      <c r="J102" s="262">
        <v>45957.0</v>
      </c>
      <c r="K102" s="94">
        <v>22.0</v>
      </c>
      <c r="L102" s="94">
        <v>21.75</v>
      </c>
      <c r="M102" s="94">
        <v>1.0</v>
      </c>
      <c r="N102" s="112">
        <f t="shared" si="1"/>
        <v>479.5</v>
      </c>
      <c r="O102" s="196">
        <f t="shared" si="2"/>
        <v>18.44464551</v>
      </c>
      <c r="P102" s="112"/>
      <c r="Q102" s="112"/>
      <c r="R102" s="112"/>
    </row>
    <row r="103" ht="17.25" customHeight="1">
      <c r="A103" s="112"/>
      <c r="B103" s="189">
        <f>IFERROR(__xludf.DUMMYFUNCTION("""COMPUTED_VALUE"""),46113.5625)</f>
        <v>46113.5625</v>
      </c>
      <c r="C103" s="190">
        <f>IFERROR(__xludf.DUMMYFUNCTION("""COMPUTED_VALUE"""),22.15)</f>
        <v>22.15</v>
      </c>
      <c r="D103" s="190">
        <f>IFERROR(__xludf.DUMMYFUNCTION("""COMPUTED_VALUE"""),22.34)</f>
        <v>22.34</v>
      </c>
      <c r="E103" s="190">
        <f>IFERROR(__xludf.DUMMYFUNCTION("""COMPUTED_VALUE"""),22.11)</f>
        <v>22.11</v>
      </c>
      <c r="F103" s="190">
        <f>IFERROR(__xludf.DUMMYFUNCTION("""COMPUTED_VALUE"""),22.3)</f>
        <v>22.3</v>
      </c>
      <c r="G103" s="191">
        <f>IFERROR(__xludf.DUMMYFUNCTION("""COMPUTED_VALUE"""),4.3482317E7)</f>
        <v>43482317</v>
      </c>
      <c r="H103" s="112"/>
      <c r="I103" s="112"/>
      <c r="J103" s="262">
        <v>45972.0</v>
      </c>
      <c r="K103" s="94">
        <v>23.0</v>
      </c>
      <c r="L103" s="94">
        <v>21.41</v>
      </c>
      <c r="M103" s="94">
        <v>1.0</v>
      </c>
      <c r="N103" s="112">
        <f t="shared" si="1"/>
        <v>493.43</v>
      </c>
      <c r="O103" s="196">
        <f t="shared" si="2"/>
        <v>18.44882243</v>
      </c>
      <c r="P103" s="112"/>
      <c r="Q103" s="112"/>
      <c r="R103" s="112"/>
    </row>
    <row r="104" ht="17.25" customHeight="1">
      <c r="A104" s="112"/>
      <c r="B104" s="189">
        <f>IFERROR(__xludf.DUMMYFUNCTION("""COMPUTED_VALUE"""),46114.5625)</f>
        <v>46114.5625</v>
      </c>
      <c r="C104" s="190">
        <f>IFERROR(__xludf.DUMMYFUNCTION("""COMPUTED_VALUE"""),22.43)</f>
        <v>22.43</v>
      </c>
      <c r="D104" s="190">
        <f>IFERROR(__xludf.DUMMYFUNCTION("""COMPUTED_VALUE"""),22.48)</f>
        <v>22.48</v>
      </c>
      <c r="E104" s="190">
        <f>IFERROR(__xludf.DUMMYFUNCTION("""COMPUTED_VALUE"""),21.96)</f>
        <v>21.96</v>
      </c>
      <c r="F104" s="190">
        <f>IFERROR(__xludf.DUMMYFUNCTION("""COMPUTED_VALUE"""),22.03)</f>
        <v>22.03</v>
      </c>
      <c r="G104" s="191">
        <f>IFERROR(__xludf.DUMMYFUNCTION("""COMPUTED_VALUE"""),4.8279511E7)</f>
        <v>48279511</v>
      </c>
      <c r="H104" s="112"/>
      <c r="I104" s="112"/>
      <c r="J104" s="262">
        <v>45986.0</v>
      </c>
      <c r="K104" s="94">
        <v>24.0</v>
      </c>
      <c r="L104" s="94">
        <v>20.57</v>
      </c>
      <c r="M104" s="94">
        <v>1.0</v>
      </c>
      <c r="N104" s="112">
        <f t="shared" si="1"/>
        <v>494.68</v>
      </c>
      <c r="O104" s="196">
        <f t="shared" si="2"/>
        <v>18.45195094</v>
      </c>
      <c r="P104" s="112"/>
      <c r="Q104" s="112"/>
      <c r="R104" s="112"/>
    </row>
    <row r="105" ht="17.25" customHeight="1">
      <c r="A105" s="112"/>
      <c r="B105" s="189">
        <f>IFERROR(__xludf.DUMMYFUNCTION("""COMPUTED_VALUE"""),46119.5625)</f>
        <v>46119.5625</v>
      </c>
      <c r="C105" s="190">
        <f>IFERROR(__xludf.DUMMYFUNCTION("""COMPUTED_VALUE"""),22.13)</f>
        <v>22.13</v>
      </c>
      <c r="D105" s="190">
        <f>IFERROR(__xludf.DUMMYFUNCTION("""COMPUTED_VALUE"""),22.35)</f>
        <v>22.35</v>
      </c>
      <c r="E105" s="190">
        <f>IFERROR(__xludf.DUMMYFUNCTION("""COMPUTED_VALUE"""),22.1)</f>
        <v>22.1</v>
      </c>
      <c r="F105" s="190">
        <f>IFERROR(__xludf.DUMMYFUNCTION("""COMPUTED_VALUE"""),22.3)</f>
        <v>22.3</v>
      </c>
      <c r="G105" s="191">
        <f>IFERROR(__xludf.DUMMYFUNCTION("""COMPUTED_VALUE"""),4.7070295E7)</f>
        <v>47070295</v>
      </c>
      <c r="H105" s="112"/>
      <c r="I105" s="112"/>
      <c r="J105" s="205">
        <v>46002.0</v>
      </c>
      <c r="K105" s="94">
        <v>23.0</v>
      </c>
      <c r="L105" s="94">
        <v>21.17</v>
      </c>
      <c r="M105" s="94">
        <v>1.0</v>
      </c>
      <c r="N105" s="112">
        <f t="shared" si="1"/>
        <v>487.91</v>
      </c>
      <c r="O105" s="196">
        <f t="shared" si="2"/>
        <v>18.4557737</v>
      </c>
      <c r="P105" s="112"/>
      <c r="Q105" s="112"/>
      <c r="R105" s="112"/>
    </row>
    <row r="106" ht="17.25" customHeight="1">
      <c r="A106" s="112"/>
      <c r="B106" s="189">
        <f>IFERROR(__xludf.DUMMYFUNCTION("""COMPUTED_VALUE"""),46120.5625)</f>
        <v>46120.5625</v>
      </c>
      <c r="C106" s="190">
        <f>IFERROR(__xludf.DUMMYFUNCTION("""COMPUTED_VALUE"""),22.65)</f>
        <v>22.65</v>
      </c>
      <c r="D106" s="190">
        <f>IFERROR(__xludf.DUMMYFUNCTION("""COMPUTED_VALUE"""),22.92)</f>
        <v>22.92</v>
      </c>
      <c r="E106" s="190">
        <f>IFERROR(__xludf.DUMMYFUNCTION("""COMPUTED_VALUE"""),22.64)</f>
        <v>22.64</v>
      </c>
      <c r="F106" s="190">
        <f>IFERROR(__xludf.DUMMYFUNCTION("""COMPUTED_VALUE"""),22.92)</f>
        <v>22.92</v>
      </c>
      <c r="G106" s="191">
        <f>IFERROR(__xludf.DUMMYFUNCTION("""COMPUTED_VALUE"""),9.4356431E7)</f>
        <v>94356431</v>
      </c>
      <c r="H106" s="112"/>
      <c r="I106" s="112"/>
      <c r="J106" s="262">
        <v>46008.0</v>
      </c>
      <c r="K106" s="94">
        <v>200.0</v>
      </c>
      <c r="L106" s="94">
        <v>21.12</v>
      </c>
      <c r="M106" s="94">
        <v>1.0</v>
      </c>
      <c r="N106" s="112">
        <f t="shared" si="1"/>
        <v>4225</v>
      </c>
      <c r="O106" s="196">
        <f t="shared" si="2"/>
        <v>18.48752186</v>
      </c>
      <c r="P106" s="94" t="s">
        <v>315</v>
      </c>
      <c r="Q106" s="112"/>
      <c r="R106" s="112"/>
    </row>
    <row r="107" ht="17.25" customHeight="1">
      <c r="A107" s="112"/>
      <c r="B107" s="189">
        <f>IFERROR(__xludf.DUMMYFUNCTION("""COMPUTED_VALUE"""),46121.5625)</f>
        <v>46121.5625</v>
      </c>
      <c r="C107" s="190">
        <f>IFERROR(__xludf.DUMMYFUNCTION("""COMPUTED_VALUE"""),22.92)</f>
        <v>22.92</v>
      </c>
      <c r="D107" s="190">
        <f>IFERROR(__xludf.DUMMYFUNCTION("""COMPUTED_VALUE"""),22.93)</f>
        <v>22.93</v>
      </c>
      <c r="E107" s="190">
        <f>IFERROR(__xludf.DUMMYFUNCTION("""COMPUTED_VALUE"""),22.79)</f>
        <v>22.79</v>
      </c>
      <c r="F107" s="190">
        <f>IFERROR(__xludf.DUMMYFUNCTION("""COMPUTED_VALUE"""),22.9)</f>
        <v>22.9</v>
      </c>
      <c r="G107" s="191">
        <f>IFERROR(__xludf.DUMMYFUNCTION("""COMPUTED_VALUE"""),4.5847388E7)</f>
        <v>45847388</v>
      </c>
      <c r="H107" s="112"/>
      <c r="I107" s="112"/>
      <c r="J107" s="262">
        <v>46017.0</v>
      </c>
      <c r="K107" s="94">
        <v>23.0</v>
      </c>
      <c r="L107" s="94">
        <v>21.53</v>
      </c>
      <c r="M107" s="94">
        <v>1.0</v>
      </c>
      <c r="N107" s="112">
        <f t="shared" si="1"/>
        <v>496.19</v>
      </c>
      <c r="O107" s="196">
        <f t="shared" si="2"/>
        <v>18.49173714</v>
      </c>
      <c r="P107" s="112"/>
      <c r="Q107" s="112"/>
      <c r="R107" s="112"/>
    </row>
    <row r="108" ht="17.25" customHeight="1">
      <c r="A108" s="112"/>
      <c r="B108" s="189">
        <f>IFERROR(__xludf.DUMMYFUNCTION("""COMPUTED_VALUE"""),46122.5625)</f>
        <v>46122.5625</v>
      </c>
      <c r="C108" s="190">
        <f>IFERROR(__xludf.DUMMYFUNCTION("""COMPUTED_VALUE"""),22.93)</f>
        <v>22.93</v>
      </c>
      <c r="D108" s="190">
        <f>IFERROR(__xludf.DUMMYFUNCTION("""COMPUTED_VALUE"""),23.05)</f>
        <v>23.05</v>
      </c>
      <c r="E108" s="190">
        <f>IFERROR(__xludf.DUMMYFUNCTION("""COMPUTED_VALUE"""),22.9)</f>
        <v>22.9</v>
      </c>
      <c r="F108" s="190">
        <f>IFERROR(__xludf.DUMMYFUNCTION("""COMPUTED_VALUE"""),23.02)</f>
        <v>23.02</v>
      </c>
      <c r="G108" s="191">
        <f>IFERROR(__xludf.DUMMYFUNCTION("""COMPUTED_VALUE"""),7.0545576E7)</f>
        <v>70545576</v>
      </c>
      <c r="H108" s="112"/>
      <c r="I108" s="112"/>
      <c r="J108" s="205">
        <v>46034.0</v>
      </c>
      <c r="K108" s="94">
        <v>22.0</v>
      </c>
      <c r="L108" s="94">
        <v>22.27</v>
      </c>
      <c r="M108" s="94">
        <v>1.0</v>
      </c>
      <c r="N108" s="112">
        <f t="shared" si="1"/>
        <v>490.94</v>
      </c>
      <c r="O108" s="196">
        <f t="shared" si="2"/>
        <v>18.49672657</v>
      </c>
      <c r="P108" s="112"/>
      <c r="Q108" s="112"/>
      <c r="R108" s="112"/>
    </row>
    <row r="109" ht="17.25" customHeight="1">
      <c r="A109" s="112"/>
      <c r="B109" s="189">
        <f>IFERROR(__xludf.DUMMYFUNCTION("""COMPUTED_VALUE"""),46125.5625)</f>
        <v>46125.5625</v>
      </c>
      <c r="C109" s="190">
        <f>IFERROR(__xludf.DUMMYFUNCTION("""COMPUTED_VALUE"""),23.0)</f>
        <v>23</v>
      </c>
      <c r="D109" s="190">
        <f>IFERROR(__xludf.DUMMYFUNCTION("""COMPUTED_VALUE"""),23.07)</f>
        <v>23.07</v>
      </c>
      <c r="E109" s="190">
        <f>IFERROR(__xludf.DUMMYFUNCTION("""COMPUTED_VALUE"""),22.89)</f>
        <v>22.89</v>
      </c>
      <c r="F109" s="190">
        <f>IFERROR(__xludf.DUMMYFUNCTION("""COMPUTED_VALUE"""),23.01)</f>
        <v>23.01</v>
      </c>
      <c r="G109" s="191">
        <f>IFERROR(__xludf.DUMMYFUNCTION("""COMPUTED_VALUE"""),5.3708956E7)</f>
        <v>53708956</v>
      </c>
      <c r="H109" s="112"/>
      <c r="I109" s="112"/>
      <c r="J109" s="205">
        <v>46048.0</v>
      </c>
      <c r="K109" s="94">
        <v>21.0</v>
      </c>
      <c r="L109" s="94">
        <v>23.19</v>
      </c>
      <c r="M109" s="94">
        <v>1.0</v>
      </c>
      <c r="N109" s="112">
        <f t="shared" si="1"/>
        <v>487.99</v>
      </c>
      <c r="O109" s="196">
        <f t="shared" si="2"/>
        <v>18.50262425</v>
      </c>
      <c r="P109" s="112"/>
      <c r="Q109" s="112"/>
      <c r="R109" s="112"/>
    </row>
    <row r="110" ht="17.25" customHeight="1">
      <c r="A110" s="112"/>
      <c r="B110" s="189">
        <f>IFERROR(__xludf.DUMMYFUNCTION("""COMPUTED_VALUE"""),46126.5625)</f>
        <v>46126.5625</v>
      </c>
      <c r="C110" s="190">
        <f>IFERROR(__xludf.DUMMYFUNCTION("""COMPUTED_VALUE"""),23.17)</f>
        <v>23.17</v>
      </c>
      <c r="D110" s="190">
        <f>IFERROR(__xludf.DUMMYFUNCTION("""COMPUTED_VALUE"""),23.31)</f>
        <v>23.31</v>
      </c>
      <c r="E110" s="190">
        <f>IFERROR(__xludf.DUMMYFUNCTION("""COMPUTED_VALUE"""),23.15)</f>
        <v>23.15</v>
      </c>
      <c r="F110" s="190">
        <f>IFERROR(__xludf.DUMMYFUNCTION("""COMPUTED_VALUE"""),23.2)</f>
        <v>23.2</v>
      </c>
      <c r="G110" s="191">
        <f>IFERROR(__xludf.DUMMYFUNCTION("""COMPUTED_VALUE"""),6.348309E7)</f>
        <v>63483090</v>
      </c>
      <c r="H110" s="112"/>
      <c r="I110" s="112"/>
      <c r="J110" s="205">
        <v>46064.0</v>
      </c>
      <c r="K110" s="94">
        <v>21.0</v>
      </c>
      <c r="L110" s="94">
        <v>23.35</v>
      </c>
      <c r="M110" s="94">
        <v>1.0</v>
      </c>
      <c r="N110" s="112">
        <f t="shared" si="1"/>
        <v>491.35</v>
      </c>
      <c r="O110" s="196">
        <f t="shared" si="2"/>
        <v>18.50870607</v>
      </c>
      <c r="P110" s="112"/>
      <c r="Q110" s="112"/>
      <c r="R110" s="112"/>
    </row>
    <row r="111" ht="17.25" customHeight="1">
      <c r="A111" s="112"/>
      <c r="B111" s="189">
        <f>IFERROR(__xludf.DUMMYFUNCTION("""COMPUTED_VALUE"""),46127.5625)</f>
        <v>46127.5625</v>
      </c>
      <c r="C111" s="190">
        <f>IFERROR(__xludf.DUMMYFUNCTION("""COMPUTED_VALUE"""),23.39)</f>
        <v>23.39</v>
      </c>
      <c r="D111" s="190">
        <f>IFERROR(__xludf.DUMMYFUNCTION("""COMPUTED_VALUE"""),23.56)</f>
        <v>23.56</v>
      </c>
      <c r="E111" s="190">
        <f>IFERROR(__xludf.DUMMYFUNCTION("""COMPUTED_VALUE"""),23.34)</f>
        <v>23.34</v>
      </c>
      <c r="F111" s="190">
        <f>IFERROR(__xludf.DUMMYFUNCTION("""COMPUTED_VALUE"""),23.39)</f>
        <v>23.39</v>
      </c>
      <c r="G111" s="191">
        <f>IFERROR(__xludf.DUMMYFUNCTION("""COMPUTED_VALUE"""),8.9411006E7)</f>
        <v>89411006</v>
      </c>
      <c r="H111" s="112"/>
      <c r="I111" s="112"/>
      <c r="J111" s="205">
        <v>46078.0</v>
      </c>
      <c r="K111" s="94">
        <v>20.0</v>
      </c>
      <c r="L111" s="94">
        <v>24.01</v>
      </c>
      <c r="M111" s="94">
        <v>1.0</v>
      </c>
      <c r="N111" s="112">
        <f t="shared" si="1"/>
        <v>481.2</v>
      </c>
      <c r="O111" s="196">
        <f t="shared" si="2"/>
        <v>18.51526711</v>
      </c>
      <c r="P111" s="112"/>
      <c r="Q111" s="112"/>
      <c r="R111" s="112"/>
    </row>
    <row r="112" ht="17.25" customHeight="1">
      <c r="A112" s="112"/>
      <c r="B112" s="189">
        <f>IFERROR(__xludf.DUMMYFUNCTION("""COMPUTED_VALUE"""),46128.5625)</f>
        <v>46128.5625</v>
      </c>
      <c r="C112" s="190">
        <f>IFERROR(__xludf.DUMMYFUNCTION("""COMPUTED_VALUE"""),23.72)</f>
        <v>23.72</v>
      </c>
      <c r="D112" s="190">
        <f>IFERROR(__xludf.DUMMYFUNCTION("""COMPUTED_VALUE"""),23.87)</f>
        <v>23.87</v>
      </c>
      <c r="E112" s="190">
        <f>IFERROR(__xludf.DUMMYFUNCTION("""COMPUTED_VALUE"""),23.71)</f>
        <v>23.71</v>
      </c>
      <c r="F112" s="190">
        <f>IFERROR(__xludf.DUMMYFUNCTION("""COMPUTED_VALUE"""),23.8)</f>
        <v>23.8</v>
      </c>
      <c r="G112" s="191">
        <f>IFERROR(__xludf.DUMMYFUNCTION("""COMPUTED_VALUE"""),9.8757474E7)</f>
        <v>98757474</v>
      </c>
      <c r="H112" s="112"/>
      <c r="I112" s="112"/>
      <c r="J112" s="205">
        <v>46092.0</v>
      </c>
      <c r="K112" s="94">
        <v>22.0</v>
      </c>
      <c r="L112" s="94">
        <v>22.48</v>
      </c>
      <c r="M112" s="94">
        <v>1.0</v>
      </c>
      <c r="N112" s="112">
        <f t="shared" si="1"/>
        <v>495.56</v>
      </c>
      <c r="O112" s="196">
        <f t="shared" si="2"/>
        <v>18.52047391</v>
      </c>
      <c r="P112" s="112"/>
      <c r="Q112" s="112"/>
      <c r="R112" s="112"/>
    </row>
    <row r="113" ht="17.25" customHeight="1">
      <c r="A113" s="112"/>
      <c r="B113" s="189">
        <f>IFERROR(__xludf.DUMMYFUNCTION("""COMPUTED_VALUE"""),46129.5625)</f>
        <v>46129.5625</v>
      </c>
      <c r="C113" s="190">
        <f>IFERROR(__xludf.DUMMYFUNCTION("""COMPUTED_VALUE"""),23.82)</f>
        <v>23.82</v>
      </c>
      <c r="D113" s="190">
        <f>IFERROR(__xludf.DUMMYFUNCTION("""COMPUTED_VALUE"""),24.07)</f>
        <v>24.07</v>
      </c>
      <c r="E113" s="190">
        <f>IFERROR(__xludf.DUMMYFUNCTION("""COMPUTED_VALUE"""),23.82)</f>
        <v>23.82</v>
      </c>
      <c r="F113" s="190">
        <f>IFERROR(__xludf.DUMMYFUNCTION("""COMPUTED_VALUE"""),24.06)</f>
        <v>24.06</v>
      </c>
      <c r="G113" s="191">
        <f>IFERROR(__xludf.DUMMYFUNCTION("""COMPUTED_VALUE"""),1.53036123E8)</f>
        <v>153036123</v>
      </c>
      <c r="H113" s="112"/>
      <c r="I113" s="112"/>
      <c r="J113" s="205">
        <v>46106.0</v>
      </c>
      <c r="K113" s="94">
        <v>226.0</v>
      </c>
      <c r="L113" s="94">
        <v>22.42</v>
      </c>
      <c r="M113" s="94">
        <v>1.0</v>
      </c>
      <c r="N113" s="112">
        <f t="shared" si="1"/>
        <v>5067.92</v>
      </c>
      <c r="O113" s="196">
        <f t="shared" si="2"/>
        <v>18.57185964</v>
      </c>
      <c r="P113" s="94" t="s">
        <v>315</v>
      </c>
      <c r="Q113" s="112"/>
      <c r="R113" s="112"/>
    </row>
    <row r="114" ht="17.25" customHeight="1">
      <c r="A114" s="112"/>
      <c r="B114" s="189">
        <f>IFERROR(__xludf.DUMMYFUNCTION("""COMPUTED_VALUE"""),46132.5625)</f>
        <v>46132.5625</v>
      </c>
      <c r="C114" s="190">
        <f>IFERROR(__xludf.DUMMYFUNCTION("""COMPUTED_VALUE"""),24.42)</f>
        <v>24.42</v>
      </c>
      <c r="D114" s="190">
        <f>IFERROR(__xludf.DUMMYFUNCTION("""COMPUTED_VALUE"""),24.58)</f>
        <v>24.58</v>
      </c>
      <c r="E114" s="190">
        <f>IFERROR(__xludf.DUMMYFUNCTION("""COMPUTED_VALUE"""),24.38)</f>
        <v>24.38</v>
      </c>
      <c r="F114" s="190">
        <f>IFERROR(__xludf.DUMMYFUNCTION("""COMPUTED_VALUE"""),24.51)</f>
        <v>24.51</v>
      </c>
      <c r="G114" s="191">
        <f>IFERROR(__xludf.DUMMYFUNCTION("""COMPUTED_VALUE"""),1.31212324E8)</f>
        <v>131212324</v>
      </c>
      <c r="H114" s="112"/>
      <c r="I114" s="112"/>
      <c r="J114" s="205">
        <v>46125.0</v>
      </c>
      <c r="K114" s="94">
        <v>21.0</v>
      </c>
      <c r="L114" s="94">
        <v>23.0</v>
      </c>
      <c r="M114" s="94">
        <v>1.0</v>
      </c>
      <c r="N114" s="112">
        <f t="shared" si="1"/>
        <v>484</v>
      </c>
      <c r="O114" s="196">
        <f t="shared" si="2"/>
        <v>18.57732709</v>
      </c>
      <c r="P114" s="112"/>
      <c r="Q114" s="112"/>
      <c r="R114" s="112"/>
    </row>
    <row r="115" ht="17.25" customHeight="1">
      <c r="A115" s="112"/>
      <c r="B115" s="189">
        <f>IFERROR(__xludf.DUMMYFUNCTION("""COMPUTED_VALUE"""),46133.5625)</f>
        <v>46133.5625</v>
      </c>
      <c r="C115" s="190">
        <f>IFERROR(__xludf.DUMMYFUNCTION("""COMPUTED_VALUE"""),24.58)</f>
        <v>24.58</v>
      </c>
      <c r="D115" s="190">
        <f>IFERROR(__xludf.DUMMYFUNCTION("""COMPUTED_VALUE"""),24.74)</f>
        <v>24.74</v>
      </c>
      <c r="E115" s="190">
        <f>IFERROR(__xludf.DUMMYFUNCTION("""COMPUTED_VALUE"""),24.51)</f>
        <v>24.51</v>
      </c>
      <c r="F115" s="190">
        <f>IFERROR(__xludf.DUMMYFUNCTION("""COMPUTED_VALUE"""),24.72)</f>
        <v>24.72</v>
      </c>
      <c r="G115" s="191">
        <f>IFERROR(__xludf.DUMMYFUNCTION("""COMPUTED_VALUE"""),9.3512552E7)</f>
        <v>93512552</v>
      </c>
      <c r="H115" s="112"/>
      <c r="I115" s="112"/>
      <c r="J115" s="205">
        <v>46139.0</v>
      </c>
      <c r="K115" s="94">
        <v>19.0</v>
      </c>
      <c r="L115" s="94">
        <v>24.99</v>
      </c>
      <c r="M115" s="94">
        <v>1.0</v>
      </c>
      <c r="N115" s="112">
        <f t="shared" si="1"/>
        <v>475.81</v>
      </c>
      <c r="O115" s="196">
        <f t="shared" si="2"/>
        <v>18.58446485</v>
      </c>
      <c r="P115" s="112"/>
      <c r="Q115" s="112"/>
      <c r="R115" s="112"/>
    </row>
    <row r="116" ht="17.25" customHeight="1">
      <c r="A116" s="112"/>
      <c r="B116" s="189">
        <f>IFERROR(__xludf.DUMMYFUNCTION("""COMPUTED_VALUE"""),46134.5625)</f>
        <v>46134.5625</v>
      </c>
      <c r="C116" s="190">
        <f>IFERROR(__xludf.DUMMYFUNCTION("""COMPUTED_VALUE"""),24.77)</f>
        <v>24.77</v>
      </c>
      <c r="D116" s="190">
        <f>IFERROR(__xludf.DUMMYFUNCTION("""COMPUTED_VALUE"""),25.13)</f>
        <v>25.13</v>
      </c>
      <c r="E116" s="190">
        <f>IFERROR(__xludf.DUMMYFUNCTION("""COMPUTED_VALUE"""),24.76)</f>
        <v>24.76</v>
      </c>
      <c r="F116" s="190">
        <f>IFERROR(__xludf.DUMMYFUNCTION("""COMPUTED_VALUE"""),25.1)</f>
        <v>25.1</v>
      </c>
      <c r="G116" s="191">
        <f>IFERROR(__xludf.DUMMYFUNCTION("""COMPUTED_VALUE"""),1.08858976E8)</f>
        <v>108858976</v>
      </c>
      <c r="H116" s="112"/>
      <c r="I116" s="112"/>
      <c r="J116" s="205">
        <v>46153.0</v>
      </c>
      <c r="K116" s="94">
        <v>17.0</v>
      </c>
      <c r="L116" s="94">
        <v>28.14</v>
      </c>
      <c r="M116" s="94">
        <v>1.0</v>
      </c>
      <c r="N116" s="112">
        <f t="shared" si="1"/>
        <v>479.38</v>
      </c>
      <c r="O116" s="196">
        <f t="shared" si="2"/>
        <v>18.59395252</v>
      </c>
      <c r="P116" s="112"/>
      <c r="Q116" s="112"/>
      <c r="R116" s="112"/>
    </row>
    <row r="117" ht="17.25" customHeight="1">
      <c r="A117" s="112"/>
      <c r="B117" s="189">
        <f>IFERROR(__xludf.DUMMYFUNCTION("""COMPUTED_VALUE"""),46135.5625)</f>
        <v>46135.5625</v>
      </c>
      <c r="C117" s="190">
        <f>IFERROR(__xludf.DUMMYFUNCTION("""COMPUTED_VALUE"""),25.19)</f>
        <v>25.19</v>
      </c>
      <c r="D117" s="190">
        <f>IFERROR(__xludf.DUMMYFUNCTION("""COMPUTED_VALUE"""),25.28)</f>
        <v>25.28</v>
      </c>
      <c r="E117" s="190">
        <f>IFERROR(__xludf.DUMMYFUNCTION("""COMPUTED_VALUE"""),24.4)</f>
        <v>24.4</v>
      </c>
      <c r="F117" s="190">
        <f>IFERROR(__xludf.DUMMYFUNCTION("""COMPUTED_VALUE"""),24.66)</f>
        <v>24.66</v>
      </c>
      <c r="G117" s="191">
        <f>IFERROR(__xludf.DUMMYFUNCTION("""COMPUTED_VALUE"""),1.22523122E8)</f>
        <v>122523122</v>
      </c>
      <c r="H117" s="112"/>
      <c r="I117" s="112"/>
      <c r="J117" s="205">
        <v>46167.0</v>
      </c>
      <c r="K117" s="94">
        <v>16.0</v>
      </c>
      <c r="L117" s="94">
        <v>29.36</v>
      </c>
      <c r="M117" s="94">
        <v>1.0</v>
      </c>
      <c r="N117" s="112">
        <f t="shared" si="1"/>
        <v>470.76</v>
      </c>
      <c r="O117" s="196">
        <f t="shared" si="2"/>
        <v>18.60400046</v>
      </c>
      <c r="P117" s="112"/>
      <c r="Q117" s="112"/>
      <c r="R117" s="112"/>
    </row>
    <row r="118" ht="17.25" customHeight="1">
      <c r="A118" s="112"/>
      <c r="B118" s="189">
        <f>IFERROR(__xludf.DUMMYFUNCTION("""COMPUTED_VALUE"""),46136.5625)</f>
        <v>46136.5625</v>
      </c>
      <c r="C118" s="190">
        <f>IFERROR(__xludf.DUMMYFUNCTION("""COMPUTED_VALUE"""),24.91)</f>
        <v>24.91</v>
      </c>
      <c r="D118" s="190">
        <f>IFERROR(__xludf.DUMMYFUNCTION("""COMPUTED_VALUE"""),25.02)</f>
        <v>25.02</v>
      </c>
      <c r="E118" s="190">
        <f>IFERROR(__xludf.DUMMYFUNCTION("""COMPUTED_VALUE"""),24.69)</f>
        <v>24.69</v>
      </c>
      <c r="F118" s="190">
        <f>IFERROR(__xludf.DUMMYFUNCTION("""COMPUTED_VALUE"""),25.0)</f>
        <v>25</v>
      </c>
      <c r="G118" s="191">
        <f>IFERROR(__xludf.DUMMYFUNCTION("""COMPUTED_VALUE"""),8.2297581E7)</f>
        <v>82297581</v>
      </c>
      <c r="H118" s="112"/>
      <c r="I118" s="112"/>
      <c r="J118" s="112"/>
      <c r="K118" s="112"/>
      <c r="L118" s="112"/>
      <c r="M118" s="112"/>
      <c r="N118" s="112">
        <f t="shared" si="1"/>
        <v>0</v>
      </c>
      <c r="O118" s="196">
        <f t="shared" si="2"/>
        <v>18.60400046</v>
      </c>
      <c r="P118" s="112"/>
      <c r="Q118" s="112"/>
      <c r="R118" s="112"/>
    </row>
    <row r="119" ht="17.25" customHeight="1">
      <c r="A119" s="112"/>
      <c r="B119" s="189">
        <f>IFERROR(__xludf.DUMMYFUNCTION("""COMPUTED_VALUE"""),46139.5625)</f>
        <v>46139.5625</v>
      </c>
      <c r="C119" s="190">
        <f>IFERROR(__xludf.DUMMYFUNCTION("""COMPUTED_VALUE"""),25.07)</f>
        <v>25.07</v>
      </c>
      <c r="D119" s="190">
        <f>IFERROR(__xludf.DUMMYFUNCTION("""COMPUTED_VALUE"""),25.17)</f>
        <v>25.17</v>
      </c>
      <c r="E119" s="190">
        <f>IFERROR(__xludf.DUMMYFUNCTION("""COMPUTED_VALUE"""),24.92)</f>
        <v>24.92</v>
      </c>
      <c r="F119" s="190">
        <f>IFERROR(__xludf.DUMMYFUNCTION("""COMPUTED_VALUE"""),25.0)</f>
        <v>25</v>
      </c>
      <c r="G119" s="191">
        <f>IFERROR(__xludf.DUMMYFUNCTION("""COMPUTED_VALUE"""),1.18193362E8)</f>
        <v>118193362</v>
      </c>
      <c r="H119" s="112"/>
      <c r="I119" s="112"/>
      <c r="J119" s="112"/>
      <c r="K119" s="112"/>
      <c r="L119" s="112"/>
      <c r="M119" s="112"/>
      <c r="N119" s="112">
        <f t="shared" si="1"/>
        <v>0</v>
      </c>
      <c r="O119" s="196">
        <f t="shared" si="2"/>
        <v>18.60400046</v>
      </c>
      <c r="P119" s="112"/>
      <c r="Q119" s="112"/>
      <c r="R119" s="112"/>
    </row>
    <row r="120" ht="17.25" customHeight="1">
      <c r="A120" s="112"/>
      <c r="B120" s="189">
        <f>IFERROR(__xludf.DUMMYFUNCTION("""COMPUTED_VALUE"""),46140.5625)</f>
        <v>46140.5625</v>
      </c>
      <c r="C120" s="190">
        <f>IFERROR(__xludf.DUMMYFUNCTION("""COMPUTED_VALUE"""),25.02)</f>
        <v>25.02</v>
      </c>
      <c r="D120" s="190">
        <f>IFERROR(__xludf.DUMMYFUNCTION("""COMPUTED_VALUE"""),25.43)</f>
        <v>25.43</v>
      </c>
      <c r="E120" s="190">
        <f>IFERROR(__xludf.DUMMYFUNCTION("""COMPUTED_VALUE"""),25.02)</f>
        <v>25.02</v>
      </c>
      <c r="F120" s="190">
        <f>IFERROR(__xludf.DUMMYFUNCTION("""COMPUTED_VALUE"""),25.3)</f>
        <v>25.3</v>
      </c>
      <c r="G120" s="191">
        <f>IFERROR(__xludf.DUMMYFUNCTION("""COMPUTED_VALUE"""),1.04894912E8)</f>
        <v>104894912</v>
      </c>
      <c r="H120" s="112"/>
      <c r="I120" s="112"/>
      <c r="J120" s="112"/>
      <c r="K120" s="112"/>
      <c r="L120" s="112"/>
      <c r="M120" s="112"/>
      <c r="N120" s="112">
        <f t="shared" si="1"/>
        <v>0</v>
      </c>
      <c r="O120" s="196">
        <f t="shared" si="2"/>
        <v>18.60400046</v>
      </c>
      <c r="P120" s="112"/>
      <c r="Q120" s="112"/>
      <c r="R120" s="112"/>
    </row>
    <row r="121" ht="17.25" customHeight="1">
      <c r="A121" s="112"/>
      <c r="B121" s="189">
        <f>IFERROR(__xludf.DUMMYFUNCTION("""COMPUTED_VALUE"""),46141.5625)</f>
        <v>46141.5625</v>
      </c>
      <c r="C121" s="190">
        <f>IFERROR(__xludf.DUMMYFUNCTION("""COMPUTED_VALUE"""),25.29)</f>
        <v>25.29</v>
      </c>
      <c r="D121" s="190">
        <f>IFERROR(__xludf.DUMMYFUNCTION("""COMPUTED_VALUE"""),25.32)</f>
        <v>25.32</v>
      </c>
      <c r="E121" s="190">
        <f>IFERROR(__xludf.DUMMYFUNCTION("""COMPUTED_VALUE"""),25.16)</f>
        <v>25.16</v>
      </c>
      <c r="F121" s="190">
        <f>IFERROR(__xludf.DUMMYFUNCTION("""COMPUTED_VALUE"""),25.3)</f>
        <v>25.3</v>
      </c>
      <c r="G121" s="191">
        <f>IFERROR(__xludf.DUMMYFUNCTION("""COMPUTED_VALUE"""),5.7195756E7)</f>
        <v>57195756</v>
      </c>
      <c r="H121" s="112"/>
      <c r="I121" s="112"/>
      <c r="J121" s="112"/>
      <c r="K121" s="112"/>
      <c r="L121" s="112"/>
      <c r="M121" s="112"/>
      <c r="N121" s="112">
        <f t="shared" si="1"/>
        <v>0</v>
      </c>
      <c r="O121" s="196">
        <f t="shared" si="2"/>
        <v>18.60400046</v>
      </c>
      <c r="P121" s="112"/>
      <c r="Q121" s="112"/>
      <c r="R121" s="112"/>
    </row>
    <row r="122" ht="17.25" customHeight="1">
      <c r="A122" s="112"/>
      <c r="B122" s="189">
        <f>IFERROR(__xludf.DUMMYFUNCTION("""COMPUTED_VALUE"""),46142.5625)</f>
        <v>46142.5625</v>
      </c>
      <c r="C122" s="190">
        <f>IFERROR(__xludf.DUMMYFUNCTION("""COMPUTED_VALUE"""),25.46)</f>
        <v>25.46</v>
      </c>
      <c r="D122" s="190">
        <f>IFERROR(__xludf.DUMMYFUNCTION("""COMPUTED_VALUE"""),25.68)</f>
        <v>25.68</v>
      </c>
      <c r="E122" s="190">
        <f>IFERROR(__xludf.DUMMYFUNCTION("""COMPUTED_VALUE"""),25.31)</f>
        <v>25.31</v>
      </c>
      <c r="F122" s="190">
        <f>IFERROR(__xludf.DUMMYFUNCTION("""COMPUTED_VALUE"""),25.39)</f>
        <v>25.39</v>
      </c>
      <c r="G122" s="191">
        <f>IFERROR(__xludf.DUMMYFUNCTION("""COMPUTED_VALUE"""),7.3949364E7)</f>
        <v>73949364</v>
      </c>
      <c r="H122" s="112"/>
      <c r="I122" s="112"/>
      <c r="J122" s="205">
        <f>TODAY()</f>
        <v>46172</v>
      </c>
      <c r="K122" s="112"/>
      <c r="L122" s="190">
        <f>B8</f>
        <v>30.76</v>
      </c>
      <c r="M122" s="112"/>
      <c r="N122" s="112">
        <f t="shared" si="1"/>
        <v>0</v>
      </c>
      <c r="O122" s="196">
        <f t="shared" si="2"/>
        <v>18.60400046</v>
      </c>
      <c r="P122" s="112"/>
      <c r="Q122" s="112"/>
      <c r="R122" s="112"/>
    </row>
    <row r="123" ht="17.25" customHeight="1">
      <c r="A123" s="112"/>
      <c r="B123" s="189">
        <f>IFERROR(__xludf.DUMMYFUNCTION("""COMPUTED_VALUE"""),46146.5625)</f>
        <v>46146.5625</v>
      </c>
      <c r="C123" s="190">
        <f>IFERROR(__xludf.DUMMYFUNCTION("""COMPUTED_VALUE"""),25.87)</f>
        <v>25.87</v>
      </c>
      <c r="D123" s="190">
        <f>IFERROR(__xludf.DUMMYFUNCTION("""COMPUTED_VALUE"""),26.21)</f>
        <v>26.21</v>
      </c>
      <c r="E123" s="190">
        <f>IFERROR(__xludf.DUMMYFUNCTION("""COMPUTED_VALUE"""),25.87)</f>
        <v>25.87</v>
      </c>
      <c r="F123" s="190">
        <f>IFERROR(__xludf.DUMMYFUNCTION("""COMPUTED_VALUE"""),26.15)</f>
        <v>26.15</v>
      </c>
      <c r="G123" s="191">
        <f>IFERROR(__xludf.DUMMYFUNCTION("""COMPUTED_VALUE"""),9.2610548E7)</f>
        <v>92610548</v>
      </c>
      <c r="H123" s="112"/>
      <c r="I123" s="112"/>
      <c r="J123" s="112"/>
      <c r="K123" s="112"/>
      <c r="L123" s="112"/>
      <c r="M123" s="112"/>
      <c r="N123" s="112">
        <f t="shared" si="1"/>
        <v>0</v>
      </c>
      <c r="O123" s="196">
        <f t="shared" si="2"/>
        <v>18.60400046</v>
      </c>
      <c r="P123" s="112"/>
      <c r="Q123" s="112"/>
      <c r="R123" s="112"/>
    </row>
    <row r="124" ht="17.25" customHeight="1">
      <c r="A124" s="112"/>
      <c r="B124" s="189">
        <f>IFERROR(__xludf.DUMMYFUNCTION("""COMPUTED_VALUE"""),46147.5625)</f>
        <v>46147.5625</v>
      </c>
      <c r="C124" s="190">
        <f>IFERROR(__xludf.DUMMYFUNCTION("""COMPUTED_VALUE"""),26.27)</f>
        <v>26.27</v>
      </c>
      <c r="D124" s="190">
        <f>IFERROR(__xludf.DUMMYFUNCTION("""COMPUTED_VALUE"""),26.62)</f>
        <v>26.62</v>
      </c>
      <c r="E124" s="190">
        <f>IFERROR(__xludf.DUMMYFUNCTION("""COMPUTED_VALUE"""),26.25)</f>
        <v>26.25</v>
      </c>
      <c r="F124" s="190">
        <f>IFERROR(__xludf.DUMMYFUNCTION("""COMPUTED_VALUE"""),26.58)</f>
        <v>26.58</v>
      </c>
      <c r="G124" s="191">
        <f>IFERROR(__xludf.DUMMYFUNCTION("""COMPUTED_VALUE"""),8.1020375E7)</f>
        <v>81020375</v>
      </c>
      <c r="H124" s="112"/>
      <c r="I124" s="112"/>
      <c r="J124" s="112"/>
      <c r="K124" s="112"/>
      <c r="L124" s="112"/>
      <c r="M124" s="112"/>
      <c r="N124" s="112">
        <f t="shared" si="1"/>
        <v>0</v>
      </c>
      <c r="O124" s="196">
        <f t="shared" si="2"/>
        <v>18.60400046</v>
      </c>
      <c r="P124" s="112"/>
      <c r="Q124" s="112"/>
      <c r="R124" s="112"/>
    </row>
    <row r="125" ht="17.25" customHeight="1">
      <c r="A125" s="112"/>
      <c r="B125" s="189">
        <f>IFERROR(__xludf.DUMMYFUNCTION("""COMPUTED_VALUE"""),46148.5625)</f>
        <v>46148.5625</v>
      </c>
      <c r="C125" s="190">
        <f>IFERROR(__xludf.DUMMYFUNCTION("""COMPUTED_VALUE"""),27.21)</f>
        <v>27.21</v>
      </c>
      <c r="D125" s="190">
        <f>IFERROR(__xludf.DUMMYFUNCTION("""COMPUTED_VALUE"""),27.41)</f>
        <v>27.41</v>
      </c>
      <c r="E125" s="190">
        <f>IFERROR(__xludf.DUMMYFUNCTION("""COMPUTED_VALUE"""),26.94)</f>
        <v>26.94</v>
      </c>
      <c r="F125" s="190">
        <f>IFERROR(__xludf.DUMMYFUNCTION("""COMPUTED_VALUE"""),27.33)</f>
        <v>27.33</v>
      </c>
      <c r="G125" s="191">
        <f>IFERROR(__xludf.DUMMYFUNCTION("""COMPUTED_VALUE"""),1.19377212E8)</f>
        <v>119377212</v>
      </c>
      <c r="H125" s="112"/>
      <c r="I125" s="112"/>
      <c r="J125" s="112"/>
      <c r="K125" s="112"/>
      <c r="L125" s="112"/>
      <c r="M125" s="112"/>
      <c r="N125" s="112">
        <f t="shared" si="1"/>
        <v>0</v>
      </c>
      <c r="O125" s="196">
        <f t="shared" si="2"/>
        <v>18.60400046</v>
      </c>
      <c r="P125" s="112"/>
      <c r="Q125" s="112"/>
      <c r="R125" s="112"/>
    </row>
    <row r="126" ht="17.25" customHeight="1">
      <c r="A126" s="112"/>
      <c r="B126" s="189">
        <f>IFERROR(__xludf.DUMMYFUNCTION("""COMPUTED_VALUE"""),46149.5625)</f>
        <v>46149.5625</v>
      </c>
      <c r="C126" s="190">
        <f>IFERROR(__xludf.DUMMYFUNCTION("""COMPUTED_VALUE"""),27.57)</f>
        <v>27.57</v>
      </c>
      <c r="D126" s="190">
        <f>IFERROR(__xludf.DUMMYFUNCTION("""COMPUTED_VALUE"""),27.9)</f>
        <v>27.9</v>
      </c>
      <c r="E126" s="190">
        <f>IFERROR(__xludf.DUMMYFUNCTION("""COMPUTED_VALUE"""),27.44)</f>
        <v>27.44</v>
      </c>
      <c r="F126" s="190">
        <f>IFERROR(__xludf.DUMMYFUNCTION("""COMPUTED_VALUE"""),27.89)</f>
        <v>27.89</v>
      </c>
      <c r="G126" s="191">
        <f>IFERROR(__xludf.DUMMYFUNCTION("""COMPUTED_VALUE"""),8.2746604E7)</f>
        <v>82746604</v>
      </c>
      <c r="H126" s="112"/>
      <c r="I126" s="112"/>
      <c r="J126" s="112"/>
      <c r="K126" s="112"/>
      <c r="L126" s="112"/>
      <c r="M126" s="112"/>
      <c r="N126" s="112">
        <f t="shared" si="1"/>
        <v>0</v>
      </c>
      <c r="O126" s="196">
        <f t="shared" si="2"/>
        <v>18.60400046</v>
      </c>
      <c r="P126" s="112"/>
      <c r="Q126" s="112"/>
      <c r="R126" s="112"/>
    </row>
    <row r="127" ht="17.25" customHeight="1">
      <c r="A127" s="112"/>
      <c r="B127" s="189">
        <f>IFERROR(__xludf.DUMMYFUNCTION("""COMPUTED_VALUE"""),46150.5625)</f>
        <v>46150.5625</v>
      </c>
      <c r="C127" s="190">
        <f>IFERROR(__xludf.DUMMYFUNCTION("""COMPUTED_VALUE"""),27.87)</f>
        <v>27.87</v>
      </c>
      <c r="D127" s="190">
        <f>IFERROR(__xludf.DUMMYFUNCTION("""COMPUTED_VALUE"""),28.13)</f>
        <v>28.13</v>
      </c>
      <c r="E127" s="190">
        <f>IFERROR(__xludf.DUMMYFUNCTION("""COMPUTED_VALUE"""),27.54)</f>
        <v>27.54</v>
      </c>
      <c r="F127" s="190">
        <f>IFERROR(__xludf.DUMMYFUNCTION("""COMPUTED_VALUE"""),27.82)</f>
        <v>27.82</v>
      </c>
      <c r="G127" s="191">
        <f>IFERROR(__xludf.DUMMYFUNCTION("""COMPUTED_VALUE"""),1.13140266E8)</f>
        <v>113140266</v>
      </c>
      <c r="H127" s="112"/>
      <c r="I127" s="112"/>
      <c r="J127" s="112"/>
      <c r="K127" s="112"/>
      <c r="L127" s="112"/>
      <c r="M127" s="112"/>
      <c r="N127" s="112">
        <f t="shared" si="1"/>
        <v>0</v>
      </c>
      <c r="O127" s="196">
        <f t="shared" si="2"/>
        <v>18.60400046</v>
      </c>
      <c r="P127" s="112"/>
      <c r="Q127" s="112"/>
      <c r="R127" s="112"/>
    </row>
    <row r="128" ht="17.25" customHeight="1">
      <c r="A128" s="112"/>
      <c r="B128" s="189">
        <f>IFERROR(__xludf.DUMMYFUNCTION("""COMPUTED_VALUE"""),46153.5625)</f>
        <v>46153.5625</v>
      </c>
      <c r="C128" s="190">
        <f>IFERROR(__xludf.DUMMYFUNCTION("""COMPUTED_VALUE"""),27.85)</f>
        <v>27.85</v>
      </c>
      <c r="D128" s="190">
        <f>IFERROR(__xludf.DUMMYFUNCTION("""COMPUTED_VALUE"""),28.29)</f>
        <v>28.29</v>
      </c>
      <c r="E128" s="190">
        <f>IFERROR(__xludf.DUMMYFUNCTION("""COMPUTED_VALUE"""),27.72)</f>
        <v>27.72</v>
      </c>
      <c r="F128" s="190">
        <f>IFERROR(__xludf.DUMMYFUNCTION("""COMPUTED_VALUE"""),28.28)</f>
        <v>28.28</v>
      </c>
      <c r="G128" s="191">
        <f>IFERROR(__xludf.DUMMYFUNCTION("""COMPUTED_VALUE"""),9.5554678E7)</f>
        <v>95554678</v>
      </c>
      <c r="H128" s="112"/>
      <c r="I128" s="112"/>
      <c r="J128" s="112"/>
      <c r="K128" s="112"/>
      <c r="L128" s="112"/>
      <c r="M128" s="112"/>
      <c r="N128" s="112">
        <f t="shared" si="1"/>
        <v>0</v>
      </c>
      <c r="O128" s="196">
        <f t="shared" si="2"/>
        <v>18.60400046</v>
      </c>
      <c r="P128" s="112"/>
      <c r="Q128" s="112"/>
      <c r="R128" s="112"/>
    </row>
    <row r="129" ht="17.25" customHeight="1">
      <c r="A129" s="112"/>
      <c r="B129" s="189">
        <f>IFERROR(__xludf.DUMMYFUNCTION("""COMPUTED_VALUE"""),46154.5625)</f>
        <v>46154.5625</v>
      </c>
      <c r="C129" s="190">
        <f>IFERROR(__xludf.DUMMYFUNCTION("""COMPUTED_VALUE"""),28.3)</f>
        <v>28.3</v>
      </c>
      <c r="D129" s="190">
        <f>IFERROR(__xludf.DUMMYFUNCTION("""COMPUTED_VALUE"""),28.37)</f>
        <v>28.37</v>
      </c>
      <c r="E129" s="190">
        <f>IFERROR(__xludf.DUMMYFUNCTION("""COMPUTED_VALUE"""),27.96)</f>
        <v>27.96</v>
      </c>
      <c r="F129" s="190">
        <f>IFERROR(__xludf.DUMMYFUNCTION("""COMPUTED_VALUE"""),28.13)</f>
        <v>28.13</v>
      </c>
      <c r="G129" s="191">
        <f>IFERROR(__xludf.DUMMYFUNCTION("""COMPUTED_VALUE"""),9.8086278E7)</f>
        <v>98086278</v>
      </c>
      <c r="H129" s="112"/>
      <c r="I129" s="112"/>
      <c r="J129" s="112"/>
      <c r="K129" s="112"/>
      <c r="L129" s="112"/>
      <c r="M129" s="112"/>
      <c r="N129" s="112">
        <f t="shared" si="1"/>
        <v>0</v>
      </c>
      <c r="O129" s="196">
        <f t="shared" si="2"/>
        <v>18.60400046</v>
      </c>
      <c r="P129" s="112"/>
      <c r="Q129" s="112"/>
      <c r="R129" s="112"/>
    </row>
    <row r="130" ht="17.25" customHeight="1">
      <c r="A130" s="112"/>
      <c r="B130" s="189">
        <f>IFERROR(__xludf.DUMMYFUNCTION("""COMPUTED_VALUE"""),46155.5625)</f>
        <v>46155.5625</v>
      </c>
      <c r="C130" s="190">
        <f>IFERROR(__xludf.DUMMYFUNCTION("""COMPUTED_VALUE"""),27.81)</f>
        <v>27.81</v>
      </c>
      <c r="D130" s="190">
        <f>IFERROR(__xludf.DUMMYFUNCTION("""COMPUTED_VALUE"""),28.04)</f>
        <v>28.04</v>
      </c>
      <c r="E130" s="190">
        <f>IFERROR(__xludf.DUMMYFUNCTION("""COMPUTED_VALUE"""),27.68)</f>
        <v>27.68</v>
      </c>
      <c r="F130" s="190">
        <f>IFERROR(__xludf.DUMMYFUNCTION("""COMPUTED_VALUE"""),27.95)</f>
        <v>27.95</v>
      </c>
      <c r="G130" s="191">
        <f>IFERROR(__xludf.DUMMYFUNCTION("""COMPUTED_VALUE"""),1.02003193E8)</f>
        <v>102003193</v>
      </c>
      <c r="H130" s="112"/>
      <c r="I130" s="112"/>
      <c r="J130" s="112"/>
      <c r="K130" s="112"/>
      <c r="L130" s="112"/>
      <c r="M130" s="112"/>
      <c r="N130" s="112">
        <f t="shared" si="1"/>
        <v>0</v>
      </c>
      <c r="O130" s="196">
        <f t="shared" si="2"/>
        <v>18.60400046</v>
      </c>
      <c r="P130" s="112"/>
      <c r="Q130" s="112"/>
      <c r="R130" s="112"/>
    </row>
    <row r="131" ht="17.25" customHeight="1">
      <c r="A131" s="112"/>
      <c r="B131" s="189">
        <f>IFERROR(__xludf.DUMMYFUNCTION("""COMPUTED_VALUE"""),46156.5625)</f>
        <v>46156.5625</v>
      </c>
      <c r="C131" s="190">
        <f>IFERROR(__xludf.DUMMYFUNCTION("""COMPUTED_VALUE"""),28.17)</f>
        <v>28.17</v>
      </c>
      <c r="D131" s="190">
        <f>IFERROR(__xludf.DUMMYFUNCTION("""COMPUTED_VALUE"""),28.3)</f>
        <v>28.3</v>
      </c>
      <c r="E131" s="190">
        <f>IFERROR(__xludf.DUMMYFUNCTION("""COMPUTED_VALUE"""),28.0)</f>
        <v>28</v>
      </c>
      <c r="F131" s="190">
        <f>IFERROR(__xludf.DUMMYFUNCTION("""COMPUTED_VALUE"""),28.12)</f>
        <v>28.12</v>
      </c>
      <c r="G131" s="191">
        <f>IFERROR(__xludf.DUMMYFUNCTION("""COMPUTED_VALUE"""),6.2368813E7)</f>
        <v>62368813</v>
      </c>
      <c r="H131" s="112"/>
      <c r="I131" s="112"/>
      <c r="J131" s="112"/>
      <c r="K131" s="112"/>
      <c r="L131" s="112"/>
      <c r="M131" s="112"/>
      <c r="N131" s="112">
        <f t="shared" si="1"/>
        <v>0</v>
      </c>
      <c r="O131" s="196">
        <f t="shared" si="2"/>
        <v>18.60400046</v>
      </c>
      <c r="P131" s="112"/>
      <c r="Q131" s="112"/>
      <c r="R131" s="112"/>
    </row>
    <row r="132" ht="17.25" customHeight="1">
      <c r="A132" s="112"/>
      <c r="B132" s="189">
        <f>IFERROR(__xludf.DUMMYFUNCTION("""COMPUTED_VALUE"""),46157.5625)</f>
        <v>46157.5625</v>
      </c>
      <c r="C132" s="190">
        <f>IFERROR(__xludf.DUMMYFUNCTION("""COMPUTED_VALUE"""),28.39)</f>
        <v>28.39</v>
      </c>
      <c r="D132" s="190">
        <f>IFERROR(__xludf.DUMMYFUNCTION("""COMPUTED_VALUE"""),28.56)</f>
        <v>28.56</v>
      </c>
      <c r="E132" s="190">
        <f>IFERROR(__xludf.DUMMYFUNCTION("""COMPUTED_VALUE"""),27.76)</f>
        <v>27.76</v>
      </c>
      <c r="F132" s="190">
        <f>IFERROR(__xludf.DUMMYFUNCTION("""COMPUTED_VALUE"""),27.9)</f>
        <v>27.9</v>
      </c>
      <c r="G132" s="191">
        <f>IFERROR(__xludf.DUMMYFUNCTION("""COMPUTED_VALUE"""),1.26939618E8)</f>
        <v>126939618</v>
      </c>
      <c r="H132" s="112"/>
      <c r="I132" s="112"/>
      <c r="J132" s="112"/>
      <c r="K132" s="112"/>
      <c r="L132" s="112"/>
      <c r="M132" s="112"/>
      <c r="N132" s="112">
        <f t="shared" si="1"/>
        <v>0</v>
      </c>
      <c r="O132" s="196">
        <f t="shared" si="2"/>
        <v>18.60400046</v>
      </c>
      <c r="P132" s="112"/>
      <c r="Q132" s="112"/>
      <c r="R132" s="112"/>
    </row>
    <row r="133" ht="17.25" customHeight="1">
      <c r="A133" s="112"/>
      <c r="B133" s="189">
        <f>IFERROR(__xludf.DUMMYFUNCTION("""COMPUTED_VALUE"""),46160.5625)</f>
        <v>46160.5625</v>
      </c>
      <c r="C133" s="190">
        <f>IFERROR(__xludf.DUMMYFUNCTION("""COMPUTED_VALUE"""),27.68)</f>
        <v>27.68</v>
      </c>
      <c r="D133" s="190">
        <f>IFERROR(__xludf.DUMMYFUNCTION("""COMPUTED_VALUE"""),28.0)</f>
        <v>28</v>
      </c>
      <c r="E133" s="190">
        <f>IFERROR(__xludf.DUMMYFUNCTION("""COMPUTED_VALUE"""),27.27)</f>
        <v>27.27</v>
      </c>
      <c r="F133" s="190">
        <f>IFERROR(__xludf.DUMMYFUNCTION("""COMPUTED_VALUE"""),27.8)</f>
        <v>27.8</v>
      </c>
      <c r="G133" s="191">
        <f>IFERROR(__xludf.DUMMYFUNCTION("""COMPUTED_VALUE"""),1.29712662E8)</f>
        <v>129712662</v>
      </c>
      <c r="H133" s="112"/>
      <c r="I133" s="112"/>
      <c r="J133" s="112"/>
      <c r="K133" s="112"/>
      <c r="L133" s="112"/>
      <c r="M133" s="112"/>
      <c r="N133" s="112">
        <f t="shared" si="1"/>
        <v>0</v>
      </c>
      <c r="O133" s="196">
        <f t="shared" si="2"/>
        <v>18.60400046</v>
      </c>
      <c r="P133" s="112"/>
      <c r="Q133" s="112"/>
      <c r="R133" s="112"/>
    </row>
    <row r="134" ht="17.25" customHeight="1">
      <c r="A134" s="112"/>
      <c r="B134" s="189">
        <f>IFERROR(__xludf.DUMMYFUNCTION("""COMPUTED_VALUE"""),46161.5625)</f>
        <v>46161.5625</v>
      </c>
      <c r="C134" s="190">
        <f>IFERROR(__xludf.DUMMYFUNCTION("""COMPUTED_VALUE"""),27.25)</f>
        <v>27.25</v>
      </c>
      <c r="D134" s="190">
        <f>IFERROR(__xludf.DUMMYFUNCTION("""COMPUTED_VALUE"""),27.69)</f>
        <v>27.69</v>
      </c>
      <c r="E134" s="190">
        <f>IFERROR(__xludf.DUMMYFUNCTION("""COMPUTED_VALUE"""),27.0)</f>
        <v>27</v>
      </c>
      <c r="F134" s="190">
        <f>IFERROR(__xludf.DUMMYFUNCTION("""COMPUTED_VALUE"""),27.0)</f>
        <v>27</v>
      </c>
      <c r="G134" s="191">
        <f>IFERROR(__xludf.DUMMYFUNCTION("""COMPUTED_VALUE"""),8.4521541E7)</f>
        <v>84521541</v>
      </c>
      <c r="H134" s="112"/>
      <c r="I134" s="112"/>
      <c r="J134" s="112"/>
      <c r="K134" s="112"/>
      <c r="L134" s="112"/>
      <c r="M134" s="112"/>
      <c r="N134" s="112">
        <f t="shared" si="1"/>
        <v>0</v>
      </c>
      <c r="O134" s="196">
        <f t="shared" si="2"/>
        <v>18.60400046</v>
      </c>
      <c r="P134" s="112"/>
      <c r="Q134" s="112"/>
      <c r="R134" s="112"/>
    </row>
    <row r="135" ht="17.25" customHeight="1">
      <c r="A135" s="112"/>
      <c r="B135" s="189">
        <f>IFERROR(__xludf.DUMMYFUNCTION("""COMPUTED_VALUE"""),46162.5625)</f>
        <v>46162.5625</v>
      </c>
      <c r="C135" s="190">
        <f>IFERROR(__xludf.DUMMYFUNCTION("""COMPUTED_VALUE"""),27.04)</f>
        <v>27.04</v>
      </c>
      <c r="D135" s="190">
        <f>IFERROR(__xludf.DUMMYFUNCTION("""COMPUTED_VALUE"""),27.19)</f>
        <v>27.19</v>
      </c>
      <c r="E135" s="190">
        <f>IFERROR(__xludf.DUMMYFUNCTION("""COMPUTED_VALUE"""),26.9)</f>
        <v>26.9</v>
      </c>
      <c r="F135" s="190">
        <f>IFERROR(__xludf.DUMMYFUNCTION("""COMPUTED_VALUE"""),26.93)</f>
        <v>26.93</v>
      </c>
      <c r="G135" s="191">
        <f>IFERROR(__xludf.DUMMYFUNCTION("""COMPUTED_VALUE"""),4.8884647E7)</f>
        <v>48884647</v>
      </c>
      <c r="H135" s="112"/>
      <c r="I135" s="112"/>
      <c r="J135" s="112"/>
      <c r="K135" s="112"/>
      <c r="L135" s="112"/>
      <c r="M135" s="112"/>
      <c r="N135" s="112">
        <f t="shared" si="1"/>
        <v>0</v>
      </c>
      <c r="O135" s="196">
        <f t="shared" si="2"/>
        <v>18.60400046</v>
      </c>
      <c r="P135" s="112"/>
      <c r="Q135" s="112"/>
      <c r="R135" s="112"/>
    </row>
    <row r="136" ht="17.25" customHeight="1">
      <c r="A136" s="112"/>
      <c r="B136" s="189">
        <f>IFERROR(__xludf.DUMMYFUNCTION("""COMPUTED_VALUE"""),46163.5625)</f>
        <v>46163.5625</v>
      </c>
      <c r="C136" s="190">
        <f>IFERROR(__xludf.DUMMYFUNCTION("""COMPUTED_VALUE"""),27.42)</f>
        <v>27.42</v>
      </c>
      <c r="D136" s="190">
        <f>IFERROR(__xludf.DUMMYFUNCTION("""COMPUTED_VALUE"""),27.76)</f>
        <v>27.76</v>
      </c>
      <c r="E136" s="190">
        <f>IFERROR(__xludf.DUMMYFUNCTION("""COMPUTED_VALUE"""),27.42)</f>
        <v>27.42</v>
      </c>
      <c r="F136" s="190">
        <f>IFERROR(__xludf.DUMMYFUNCTION("""COMPUTED_VALUE"""),27.71)</f>
        <v>27.71</v>
      </c>
      <c r="G136" s="191">
        <f>IFERROR(__xludf.DUMMYFUNCTION("""COMPUTED_VALUE"""),6.4012117E7)</f>
        <v>64012117</v>
      </c>
      <c r="H136" s="112"/>
      <c r="I136" s="112"/>
      <c r="J136" s="112"/>
      <c r="K136" s="112"/>
      <c r="L136" s="112"/>
      <c r="M136" s="112"/>
      <c r="N136" s="112">
        <f t="shared" si="1"/>
        <v>0</v>
      </c>
      <c r="O136" s="196">
        <f t="shared" si="2"/>
        <v>18.60400046</v>
      </c>
      <c r="P136" s="112"/>
      <c r="Q136" s="112"/>
      <c r="R136" s="112"/>
    </row>
    <row r="137" ht="17.25" customHeight="1">
      <c r="A137" s="112"/>
      <c r="B137" s="189">
        <f>IFERROR(__xludf.DUMMYFUNCTION("""COMPUTED_VALUE"""),46164.5625)</f>
        <v>46164.5625</v>
      </c>
      <c r="C137" s="190">
        <f>IFERROR(__xludf.DUMMYFUNCTION("""COMPUTED_VALUE"""),27.91)</f>
        <v>27.91</v>
      </c>
      <c r="D137" s="190">
        <f>IFERROR(__xludf.DUMMYFUNCTION("""COMPUTED_VALUE"""),28.3)</f>
        <v>28.3</v>
      </c>
      <c r="E137" s="190">
        <f>IFERROR(__xludf.DUMMYFUNCTION("""COMPUTED_VALUE"""),27.81)</f>
        <v>27.81</v>
      </c>
      <c r="F137" s="190">
        <f>IFERROR(__xludf.DUMMYFUNCTION("""COMPUTED_VALUE"""),28.27)</f>
        <v>28.27</v>
      </c>
      <c r="G137" s="191">
        <f>IFERROR(__xludf.DUMMYFUNCTION("""COMPUTED_VALUE"""),9.4523901E7)</f>
        <v>94523901</v>
      </c>
      <c r="H137" s="112"/>
      <c r="I137" s="112"/>
      <c r="J137" s="112"/>
      <c r="K137" s="112"/>
      <c r="L137" s="112"/>
      <c r="M137" s="112"/>
      <c r="N137" s="112">
        <f t="shared" si="1"/>
        <v>0</v>
      </c>
      <c r="O137" s="196">
        <f t="shared" si="2"/>
        <v>18.60400046</v>
      </c>
      <c r="P137" s="112"/>
      <c r="Q137" s="112"/>
      <c r="R137" s="112"/>
    </row>
    <row r="138" ht="17.25" customHeight="1">
      <c r="A138" s="112"/>
      <c r="B138" s="189">
        <f>IFERROR(__xludf.DUMMYFUNCTION("""COMPUTED_VALUE"""),46167.5625)</f>
        <v>46167.5625</v>
      </c>
      <c r="C138" s="190">
        <f>IFERROR(__xludf.DUMMYFUNCTION("""COMPUTED_VALUE"""),28.86)</f>
        <v>28.86</v>
      </c>
      <c r="D138" s="190">
        <f>IFERROR(__xludf.DUMMYFUNCTION("""COMPUTED_VALUE"""),29.5)</f>
        <v>29.5</v>
      </c>
      <c r="E138" s="190">
        <f>IFERROR(__xludf.DUMMYFUNCTION("""COMPUTED_VALUE"""),28.83)</f>
        <v>28.83</v>
      </c>
      <c r="F138" s="190">
        <f>IFERROR(__xludf.DUMMYFUNCTION("""COMPUTED_VALUE"""),29.48)</f>
        <v>29.48</v>
      </c>
      <c r="G138" s="191">
        <f>IFERROR(__xludf.DUMMYFUNCTION("""COMPUTED_VALUE"""),1.40451987E8)</f>
        <v>140451987</v>
      </c>
      <c r="H138" s="112"/>
      <c r="I138" s="112"/>
      <c r="J138" s="112"/>
      <c r="K138" s="112"/>
      <c r="L138" s="112"/>
      <c r="M138" s="112"/>
      <c r="N138" s="112">
        <f t="shared" si="1"/>
        <v>0</v>
      </c>
      <c r="O138" s="196">
        <f t="shared" si="2"/>
        <v>18.60400046</v>
      </c>
      <c r="P138" s="112"/>
      <c r="Q138" s="112"/>
      <c r="R138" s="112"/>
    </row>
    <row r="139" ht="17.25" customHeight="1">
      <c r="A139" s="112"/>
      <c r="B139" s="189">
        <f>IFERROR(__xludf.DUMMYFUNCTION("""COMPUTED_VALUE"""),46168.5625)</f>
        <v>46168.5625</v>
      </c>
      <c r="C139" s="190">
        <f>IFERROR(__xludf.DUMMYFUNCTION("""COMPUTED_VALUE"""),29.69)</f>
        <v>29.69</v>
      </c>
      <c r="D139" s="190">
        <f>IFERROR(__xludf.DUMMYFUNCTION("""COMPUTED_VALUE"""),29.83)</f>
        <v>29.83</v>
      </c>
      <c r="E139" s="190">
        <f>IFERROR(__xludf.DUMMYFUNCTION("""COMPUTED_VALUE"""),29.48)</f>
        <v>29.48</v>
      </c>
      <c r="F139" s="190">
        <f>IFERROR(__xludf.DUMMYFUNCTION("""COMPUTED_VALUE"""),29.62)</f>
        <v>29.62</v>
      </c>
      <c r="G139" s="191">
        <f>IFERROR(__xludf.DUMMYFUNCTION("""COMPUTED_VALUE"""),8.3155347E7)</f>
        <v>83155347</v>
      </c>
      <c r="H139" s="112"/>
      <c r="I139" s="112"/>
      <c r="J139" s="112"/>
      <c r="K139" s="112"/>
      <c r="L139" s="112"/>
      <c r="M139" s="112"/>
      <c r="N139" s="112">
        <f t="shared" si="1"/>
        <v>0</v>
      </c>
      <c r="O139" s="196">
        <f t="shared" si="2"/>
        <v>18.60400046</v>
      </c>
      <c r="P139" s="112"/>
      <c r="Q139" s="112"/>
      <c r="R139" s="112"/>
    </row>
    <row r="140" ht="17.25" customHeight="1">
      <c r="A140" s="112"/>
      <c r="B140" s="189">
        <f>IFERROR(__xludf.DUMMYFUNCTION("""COMPUTED_VALUE"""),46169.5625)</f>
        <v>46169.5625</v>
      </c>
      <c r="C140" s="190">
        <f>IFERROR(__xludf.DUMMYFUNCTION("""COMPUTED_VALUE"""),30.28)</f>
        <v>30.28</v>
      </c>
      <c r="D140" s="190">
        <f>IFERROR(__xludf.DUMMYFUNCTION("""COMPUTED_VALUE"""),30.8)</f>
        <v>30.8</v>
      </c>
      <c r="E140" s="190">
        <f>IFERROR(__xludf.DUMMYFUNCTION("""COMPUTED_VALUE"""),30.28)</f>
        <v>30.28</v>
      </c>
      <c r="F140" s="190">
        <f>IFERROR(__xludf.DUMMYFUNCTION("""COMPUTED_VALUE"""),30.55)</f>
        <v>30.55</v>
      </c>
      <c r="G140" s="191">
        <f>IFERROR(__xludf.DUMMYFUNCTION("""COMPUTED_VALUE"""),1.09005585E8)</f>
        <v>109005585</v>
      </c>
      <c r="H140" s="112"/>
      <c r="I140" s="112"/>
      <c r="J140" s="112"/>
      <c r="K140" s="112"/>
      <c r="L140" s="112"/>
      <c r="M140" s="112"/>
      <c r="N140" s="112">
        <f t="shared" si="1"/>
        <v>0</v>
      </c>
      <c r="O140" s="196">
        <f t="shared" si="2"/>
        <v>18.60400046</v>
      </c>
      <c r="P140" s="112"/>
      <c r="Q140" s="112"/>
      <c r="R140" s="112"/>
    </row>
    <row r="141" ht="17.25" customHeight="1">
      <c r="A141" s="112"/>
      <c r="B141" s="189">
        <f>IFERROR(__xludf.DUMMYFUNCTION("""COMPUTED_VALUE"""),46170.5625)</f>
        <v>46170.5625</v>
      </c>
      <c r="C141" s="190">
        <f>IFERROR(__xludf.DUMMYFUNCTION("""COMPUTED_VALUE"""),30.55)</f>
        <v>30.55</v>
      </c>
      <c r="D141" s="190">
        <f>IFERROR(__xludf.DUMMYFUNCTION("""COMPUTED_VALUE"""),30.79)</f>
        <v>30.79</v>
      </c>
      <c r="E141" s="190">
        <f>IFERROR(__xludf.DUMMYFUNCTION("""COMPUTED_VALUE"""),29.84)</f>
        <v>29.84</v>
      </c>
      <c r="F141" s="190">
        <f>IFERROR(__xludf.DUMMYFUNCTION("""COMPUTED_VALUE"""),30.0)</f>
        <v>30</v>
      </c>
      <c r="G141" s="191">
        <f>IFERROR(__xludf.DUMMYFUNCTION("""COMPUTED_VALUE"""),8.8911943E7)</f>
        <v>88911943</v>
      </c>
      <c r="H141" s="112"/>
      <c r="I141" s="112"/>
      <c r="J141" s="112"/>
      <c r="K141" s="112"/>
      <c r="L141" s="112"/>
      <c r="M141" s="112"/>
      <c r="N141" s="112">
        <f t="shared" si="1"/>
        <v>0</v>
      </c>
      <c r="O141" s="196">
        <f t="shared" si="2"/>
        <v>18.60400046</v>
      </c>
      <c r="P141" s="112"/>
      <c r="Q141" s="112"/>
      <c r="R141" s="112"/>
    </row>
    <row r="142" ht="17.25" customHeight="1">
      <c r="A142" s="112"/>
      <c r="B142" s="189">
        <f>IFERROR(__xludf.DUMMYFUNCTION("""COMPUTED_VALUE"""),46171.5625)</f>
        <v>46171.5625</v>
      </c>
      <c r="C142" s="190">
        <f>IFERROR(__xludf.DUMMYFUNCTION("""COMPUTED_VALUE"""),30.58)</f>
        <v>30.58</v>
      </c>
      <c r="D142" s="190">
        <f>IFERROR(__xludf.DUMMYFUNCTION("""COMPUTED_VALUE"""),30.8)</f>
        <v>30.8</v>
      </c>
      <c r="E142" s="190">
        <f>IFERROR(__xludf.DUMMYFUNCTION("""COMPUTED_VALUE"""),30.35)</f>
        <v>30.35</v>
      </c>
      <c r="F142" s="190">
        <f>IFERROR(__xludf.DUMMYFUNCTION("""COMPUTED_VALUE"""),30.76)</f>
        <v>30.76</v>
      </c>
      <c r="G142" s="191">
        <f>IFERROR(__xludf.DUMMYFUNCTION("""COMPUTED_VALUE"""),7.0511148E7)</f>
        <v>70511148</v>
      </c>
      <c r="H142" s="112"/>
      <c r="I142" s="112"/>
      <c r="J142" s="112"/>
      <c r="K142" s="112"/>
      <c r="L142" s="112"/>
      <c r="M142" s="112"/>
      <c r="N142" s="112">
        <f t="shared" si="1"/>
        <v>0</v>
      </c>
      <c r="O142" s="196">
        <f t="shared" si="2"/>
        <v>18.60400046</v>
      </c>
      <c r="P142" s="112"/>
      <c r="Q142" s="112"/>
      <c r="R142" s="112"/>
    </row>
    <row r="143" ht="17.25" customHeight="1">
      <c r="A143" s="112"/>
      <c r="B143" s="189"/>
      <c r="C143" s="190"/>
      <c r="D143" s="190"/>
      <c r="E143" s="190"/>
      <c r="F143" s="190"/>
      <c r="G143" s="191"/>
      <c r="H143" s="112"/>
      <c r="I143" s="112"/>
      <c r="J143" s="112"/>
      <c r="K143" s="112"/>
      <c r="L143" s="112"/>
      <c r="M143" s="112"/>
      <c r="N143" s="112">
        <f t="shared" si="1"/>
        <v>0</v>
      </c>
      <c r="O143" s="196">
        <f t="shared" si="2"/>
        <v>18.60400046</v>
      </c>
      <c r="P143" s="112"/>
      <c r="Q143" s="112"/>
      <c r="R143" s="112"/>
    </row>
    <row r="144" ht="17.25" customHeight="1">
      <c r="A144" s="112"/>
      <c r="B144" s="189"/>
      <c r="C144" s="190"/>
      <c r="D144" s="190"/>
      <c r="E144" s="190"/>
      <c r="F144" s="190"/>
      <c r="G144" s="191"/>
      <c r="H144" s="112"/>
      <c r="I144" s="112"/>
      <c r="J144" s="112"/>
      <c r="K144" s="112"/>
      <c r="L144" s="112"/>
      <c r="M144" s="112"/>
      <c r="N144" s="112">
        <f t="shared" si="1"/>
        <v>0</v>
      </c>
      <c r="O144" s="196">
        <f t="shared" si="2"/>
        <v>18.60400046</v>
      </c>
      <c r="P144" s="112"/>
      <c r="Q144" s="112"/>
      <c r="R144" s="112"/>
    </row>
    <row r="145" ht="17.25" customHeight="1">
      <c r="A145" s="112"/>
      <c r="B145" s="189"/>
      <c r="C145" s="190"/>
      <c r="D145" s="190"/>
      <c r="E145" s="190"/>
      <c r="F145" s="190"/>
      <c r="G145" s="191"/>
      <c r="H145" s="112"/>
      <c r="I145" s="112"/>
      <c r="J145" s="112"/>
      <c r="K145" s="112"/>
      <c r="L145" s="112"/>
      <c r="M145" s="112"/>
      <c r="N145" s="112">
        <f t="shared" si="1"/>
        <v>0</v>
      </c>
      <c r="O145" s="196">
        <f t="shared" si="2"/>
        <v>18.60400046</v>
      </c>
      <c r="P145" s="112"/>
      <c r="Q145" s="112"/>
      <c r="R145" s="112"/>
    </row>
    <row r="146" ht="17.25" customHeight="1">
      <c r="A146" s="112"/>
      <c r="B146" s="189"/>
      <c r="C146" s="190"/>
      <c r="D146" s="190"/>
      <c r="E146" s="190"/>
      <c r="F146" s="190"/>
      <c r="G146" s="191"/>
      <c r="H146" s="112"/>
      <c r="I146" s="112"/>
      <c r="J146" s="112"/>
      <c r="K146" s="112"/>
      <c r="L146" s="112"/>
      <c r="M146" s="112"/>
      <c r="N146" s="112">
        <f t="shared" si="1"/>
        <v>0</v>
      </c>
      <c r="O146" s="196">
        <f t="shared" si="2"/>
        <v>18.60400046</v>
      </c>
      <c r="P146" s="112"/>
      <c r="Q146" s="112"/>
      <c r="R146" s="112"/>
    </row>
    <row r="147" ht="17.25" customHeight="1">
      <c r="A147" s="112"/>
      <c r="B147" s="189"/>
      <c r="C147" s="190"/>
      <c r="D147" s="190"/>
      <c r="E147" s="190"/>
      <c r="F147" s="190"/>
      <c r="G147" s="191"/>
      <c r="H147" s="112"/>
      <c r="I147" s="112"/>
      <c r="J147" s="112"/>
      <c r="K147" s="112"/>
      <c r="L147" s="112"/>
      <c r="M147" s="112"/>
      <c r="N147" s="112">
        <f t="shared" si="1"/>
        <v>0</v>
      </c>
      <c r="O147" s="196">
        <f t="shared" si="2"/>
        <v>18.60400046</v>
      </c>
      <c r="P147" s="112"/>
      <c r="Q147" s="112"/>
      <c r="R147" s="112"/>
    </row>
    <row r="148" ht="17.25" customHeight="1">
      <c r="A148" s="112"/>
      <c r="B148" s="189"/>
      <c r="C148" s="190"/>
      <c r="D148" s="190"/>
      <c r="E148" s="190"/>
      <c r="F148" s="190"/>
      <c r="G148" s="191"/>
      <c r="H148" s="112"/>
      <c r="I148" s="112"/>
      <c r="J148" s="112"/>
      <c r="K148" s="112"/>
      <c r="L148" s="112"/>
      <c r="M148" s="112"/>
      <c r="N148" s="112">
        <f t="shared" si="1"/>
        <v>0</v>
      </c>
      <c r="O148" s="196">
        <f t="shared" si="2"/>
        <v>18.60400046</v>
      </c>
      <c r="P148" s="112"/>
      <c r="Q148" s="112"/>
      <c r="R148" s="112"/>
    </row>
    <row r="149" ht="17.25" customHeight="1">
      <c r="A149" s="112"/>
      <c r="B149" s="189"/>
      <c r="C149" s="190"/>
      <c r="D149" s="190"/>
      <c r="E149" s="190"/>
      <c r="F149" s="190"/>
      <c r="G149" s="191"/>
      <c r="H149" s="112"/>
      <c r="I149" s="112"/>
      <c r="J149" s="112"/>
      <c r="K149" s="112"/>
      <c r="L149" s="112"/>
      <c r="M149" s="112"/>
      <c r="N149" s="112">
        <f t="shared" si="1"/>
        <v>0</v>
      </c>
      <c r="O149" s="196">
        <f t="shared" si="2"/>
        <v>18.60400046</v>
      </c>
      <c r="P149" s="112"/>
      <c r="Q149" s="112"/>
      <c r="R149" s="112"/>
    </row>
    <row r="150" ht="17.25" customHeight="1">
      <c r="A150" s="112"/>
      <c r="B150" s="189"/>
      <c r="C150" s="190"/>
      <c r="D150" s="190"/>
      <c r="E150" s="190"/>
      <c r="F150" s="190"/>
      <c r="G150" s="191"/>
      <c r="H150" s="112"/>
      <c r="I150" s="112"/>
      <c r="J150" s="112"/>
      <c r="K150" s="112"/>
      <c r="L150" s="112"/>
      <c r="M150" s="112"/>
      <c r="N150" s="112">
        <f t="shared" si="1"/>
        <v>0</v>
      </c>
      <c r="O150" s="196">
        <f t="shared" si="2"/>
        <v>18.60400046</v>
      </c>
      <c r="P150" s="112"/>
      <c r="Q150" s="112"/>
      <c r="R150" s="112"/>
    </row>
    <row r="151" ht="17.25" customHeight="1">
      <c r="A151" s="112"/>
      <c r="B151" s="189"/>
      <c r="C151" s="190"/>
      <c r="D151" s="190"/>
      <c r="E151" s="190"/>
      <c r="F151" s="190"/>
      <c r="G151" s="191"/>
      <c r="H151" s="112"/>
      <c r="I151" s="112"/>
      <c r="J151" s="112"/>
      <c r="K151" s="112"/>
      <c r="L151" s="112"/>
      <c r="M151" s="112"/>
      <c r="N151" s="112">
        <f t="shared" si="1"/>
        <v>0</v>
      </c>
      <c r="O151" s="196">
        <f t="shared" si="2"/>
        <v>18.60400046</v>
      </c>
      <c r="P151" s="112"/>
      <c r="Q151" s="112"/>
      <c r="R151" s="112"/>
    </row>
    <row r="152" ht="17.25" customHeight="1">
      <c r="A152" s="112"/>
      <c r="B152" s="189"/>
      <c r="C152" s="190"/>
      <c r="D152" s="190"/>
      <c r="E152" s="190"/>
      <c r="F152" s="190"/>
      <c r="G152" s="191"/>
      <c r="H152" s="112"/>
      <c r="I152" s="112"/>
      <c r="J152" s="112"/>
      <c r="K152" s="112"/>
      <c r="L152" s="112"/>
      <c r="M152" s="112"/>
      <c r="N152" s="112">
        <f t="shared" si="1"/>
        <v>0</v>
      </c>
      <c r="O152" s="196">
        <f t="shared" si="2"/>
        <v>18.60400046</v>
      </c>
      <c r="P152" s="112"/>
      <c r="Q152" s="112"/>
      <c r="R152" s="112"/>
    </row>
    <row r="153" ht="17.25" customHeight="1">
      <c r="A153" s="112"/>
      <c r="B153" s="189"/>
      <c r="C153" s="190"/>
      <c r="D153" s="190"/>
      <c r="E153" s="190"/>
      <c r="F153" s="190"/>
      <c r="G153" s="191"/>
      <c r="H153" s="112"/>
      <c r="I153" s="112"/>
      <c r="J153" s="112"/>
      <c r="K153" s="112"/>
      <c r="L153" s="112"/>
      <c r="M153" s="112"/>
      <c r="N153" s="112">
        <f t="shared" si="1"/>
        <v>0</v>
      </c>
      <c r="O153" s="196">
        <f t="shared" si="2"/>
        <v>18.60400046</v>
      </c>
      <c r="P153" s="112"/>
      <c r="Q153" s="112"/>
      <c r="R153" s="112"/>
    </row>
    <row r="154" ht="17.25" customHeight="1">
      <c r="A154" s="112"/>
      <c r="B154" s="189"/>
      <c r="C154" s="190"/>
      <c r="D154" s="190"/>
      <c r="E154" s="190"/>
      <c r="F154" s="190"/>
      <c r="G154" s="191"/>
      <c r="H154" s="112"/>
      <c r="I154" s="112"/>
      <c r="J154" s="112"/>
      <c r="K154" s="112"/>
      <c r="L154" s="112"/>
      <c r="M154" s="112"/>
      <c r="N154" s="112">
        <f t="shared" si="1"/>
        <v>0</v>
      </c>
      <c r="O154" s="196">
        <f t="shared" si="2"/>
        <v>18.60400046</v>
      </c>
      <c r="P154" s="112"/>
      <c r="Q154" s="112"/>
      <c r="R154" s="112"/>
    </row>
    <row r="155" ht="17.25" customHeight="1">
      <c r="A155" s="112"/>
      <c r="B155" s="189"/>
      <c r="C155" s="190"/>
      <c r="D155" s="190"/>
      <c r="E155" s="190"/>
      <c r="F155" s="190"/>
      <c r="G155" s="191"/>
      <c r="H155" s="112"/>
      <c r="I155" s="112"/>
      <c r="J155" s="112"/>
      <c r="K155" s="112"/>
      <c r="L155" s="112"/>
      <c r="M155" s="112"/>
      <c r="N155" s="112">
        <f t="shared" si="1"/>
        <v>0</v>
      </c>
      <c r="O155" s="196">
        <f t="shared" si="2"/>
        <v>18.60400046</v>
      </c>
      <c r="P155" s="112"/>
      <c r="Q155" s="112"/>
      <c r="R155" s="112"/>
    </row>
    <row r="156" ht="17.25" customHeight="1">
      <c r="A156" s="112"/>
      <c r="B156" s="189"/>
      <c r="C156" s="190"/>
      <c r="D156" s="190"/>
      <c r="E156" s="190"/>
      <c r="F156" s="190"/>
      <c r="G156" s="191"/>
      <c r="H156" s="112"/>
      <c r="I156" s="112"/>
      <c r="J156" s="112"/>
      <c r="K156" s="112"/>
      <c r="L156" s="112"/>
      <c r="M156" s="112"/>
      <c r="N156" s="112">
        <f t="shared" si="1"/>
        <v>0</v>
      </c>
      <c r="O156" s="196">
        <f t="shared" si="2"/>
        <v>18.60400046</v>
      </c>
      <c r="P156" s="112"/>
      <c r="Q156" s="112"/>
      <c r="R156" s="112"/>
    </row>
    <row r="157" ht="17.25" customHeight="1">
      <c r="A157" s="112"/>
      <c r="B157" s="189"/>
      <c r="C157" s="190"/>
      <c r="D157" s="190"/>
      <c r="E157" s="190"/>
      <c r="F157" s="190"/>
      <c r="G157" s="191"/>
      <c r="H157" s="112"/>
      <c r="I157" s="112"/>
      <c r="J157" s="112"/>
      <c r="K157" s="112"/>
      <c r="L157" s="112"/>
      <c r="M157" s="112"/>
      <c r="N157" s="112">
        <f t="shared" si="1"/>
        <v>0</v>
      </c>
      <c r="O157" s="196">
        <f t="shared" si="2"/>
        <v>18.60400046</v>
      </c>
      <c r="P157" s="112"/>
      <c r="Q157" s="112"/>
      <c r="R157" s="112"/>
    </row>
    <row r="158" ht="17.25" customHeight="1">
      <c r="A158" s="112"/>
      <c r="B158" s="189"/>
      <c r="C158" s="190"/>
      <c r="D158" s="190"/>
      <c r="E158" s="190"/>
      <c r="F158" s="190"/>
      <c r="G158" s="191"/>
      <c r="H158" s="112"/>
      <c r="I158" s="112"/>
      <c r="J158" s="112"/>
      <c r="K158" s="112"/>
      <c r="L158" s="112"/>
      <c r="M158" s="112"/>
      <c r="N158" s="112">
        <f t="shared" si="1"/>
        <v>0</v>
      </c>
      <c r="O158" s="196">
        <f t="shared" si="2"/>
        <v>18.60400046</v>
      </c>
      <c r="P158" s="112"/>
      <c r="Q158" s="112"/>
      <c r="R158" s="112"/>
    </row>
    <row r="159" ht="17.25" customHeight="1">
      <c r="A159" s="112"/>
      <c r="B159" s="189"/>
      <c r="C159" s="190"/>
      <c r="D159" s="190"/>
      <c r="E159" s="190"/>
      <c r="F159" s="190"/>
      <c r="G159" s="191"/>
      <c r="H159" s="112"/>
      <c r="I159" s="112"/>
      <c r="J159" s="112"/>
      <c r="K159" s="112"/>
      <c r="L159" s="112"/>
      <c r="M159" s="112"/>
      <c r="N159" s="112">
        <f t="shared" si="1"/>
        <v>0</v>
      </c>
      <c r="O159" s="196">
        <f t="shared" si="2"/>
        <v>18.60400046</v>
      </c>
      <c r="P159" s="112"/>
      <c r="Q159" s="112"/>
      <c r="R159" s="112"/>
    </row>
    <row r="160" ht="17.25" customHeight="1">
      <c r="A160" s="112"/>
      <c r="B160" s="189"/>
      <c r="C160" s="190"/>
      <c r="D160" s="190"/>
      <c r="E160" s="190"/>
      <c r="F160" s="190"/>
      <c r="G160" s="191"/>
      <c r="H160" s="112"/>
      <c r="I160" s="112"/>
      <c r="J160" s="112"/>
      <c r="K160" s="112"/>
      <c r="L160" s="112"/>
      <c r="M160" s="112"/>
      <c r="N160" s="112">
        <f t="shared" si="1"/>
        <v>0</v>
      </c>
      <c r="O160" s="196">
        <f t="shared" si="2"/>
        <v>18.60400046</v>
      </c>
      <c r="P160" s="112"/>
      <c r="Q160" s="112"/>
      <c r="R160" s="112"/>
    </row>
    <row r="161" ht="17.25" customHeight="1">
      <c r="A161" s="112"/>
      <c r="B161" s="189"/>
      <c r="C161" s="190"/>
      <c r="D161" s="190"/>
      <c r="E161" s="190"/>
      <c r="F161" s="190"/>
      <c r="G161" s="191"/>
      <c r="H161" s="112"/>
      <c r="I161" s="112"/>
      <c r="J161" s="112"/>
      <c r="K161" s="112"/>
      <c r="L161" s="112"/>
      <c r="M161" s="112"/>
      <c r="N161" s="112">
        <f t="shared" si="1"/>
        <v>0</v>
      </c>
      <c r="O161" s="196">
        <f t="shared" si="2"/>
        <v>18.60400046</v>
      </c>
      <c r="P161" s="112"/>
      <c r="Q161" s="112"/>
      <c r="R161" s="112"/>
    </row>
    <row r="162" ht="17.25" customHeight="1">
      <c r="A162" s="112"/>
      <c r="B162" s="189"/>
      <c r="C162" s="190"/>
      <c r="D162" s="190"/>
      <c r="E162" s="190"/>
      <c r="F162" s="190"/>
      <c r="G162" s="191"/>
      <c r="H162" s="112"/>
      <c r="I162" s="112"/>
      <c r="J162" s="112"/>
      <c r="K162" s="112"/>
      <c r="L162" s="112"/>
      <c r="M162" s="112"/>
      <c r="N162" s="112">
        <f t="shared" si="1"/>
        <v>0</v>
      </c>
      <c r="O162" s="196">
        <f t="shared" si="2"/>
        <v>18.60400046</v>
      </c>
      <c r="P162" s="112"/>
      <c r="Q162" s="112"/>
      <c r="R162" s="112"/>
    </row>
    <row r="163" ht="17.25" customHeight="1">
      <c r="A163" s="112"/>
      <c r="B163" s="189"/>
      <c r="C163" s="190"/>
      <c r="D163" s="190"/>
      <c r="E163" s="190"/>
      <c r="F163" s="190"/>
      <c r="G163" s="191"/>
      <c r="H163" s="112"/>
      <c r="I163" s="112"/>
      <c r="J163" s="112"/>
      <c r="K163" s="112"/>
      <c r="L163" s="112"/>
      <c r="M163" s="112"/>
      <c r="N163" s="112">
        <f t="shared" si="1"/>
        <v>0</v>
      </c>
      <c r="O163" s="196">
        <f t="shared" si="2"/>
        <v>18.60400046</v>
      </c>
      <c r="P163" s="112"/>
      <c r="Q163" s="112"/>
      <c r="R163" s="112"/>
    </row>
    <row r="164" ht="17.25" customHeight="1">
      <c r="A164" s="112"/>
      <c r="B164" s="189"/>
      <c r="C164" s="190"/>
      <c r="D164" s="190"/>
      <c r="E164" s="190"/>
      <c r="F164" s="190"/>
      <c r="G164" s="191"/>
      <c r="H164" s="112"/>
      <c r="I164" s="112"/>
      <c r="J164" s="112"/>
      <c r="K164" s="112"/>
      <c r="L164" s="112"/>
      <c r="M164" s="112"/>
      <c r="N164" s="112">
        <f t="shared" si="1"/>
        <v>0</v>
      </c>
      <c r="O164" s="196">
        <f t="shared" si="2"/>
        <v>18.60400046</v>
      </c>
      <c r="P164" s="112"/>
      <c r="Q164" s="112"/>
      <c r="R164" s="112"/>
    </row>
    <row r="165" ht="17.25" customHeight="1">
      <c r="A165" s="112"/>
      <c r="B165" s="189"/>
      <c r="C165" s="190"/>
      <c r="D165" s="190"/>
      <c r="E165" s="190"/>
      <c r="F165" s="190"/>
      <c r="G165" s="191"/>
      <c r="H165" s="112"/>
      <c r="I165" s="112"/>
      <c r="J165" s="112"/>
      <c r="K165" s="112"/>
      <c r="L165" s="112"/>
      <c r="M165" s="112"/>
      <c r="N165" s="112">
        <f t="shared" si="1"/>
        <v>0</v>
      </c>
      <c r="O165" s="196">
        <f t="shared" si="2"/>
        <v>18.60400046</v>
      </c>
      <c r="P165" s="112"/>
      <c r="Q165" s="112"/>
      <c r="R165" s="112"/>
    </row>
    <row r="166" ht="17.25" customHeight="1">
      <c r="A166" s="112"/>
      <c r="B166" s="189"/>
      <c r="C166" s="190"/>
      <c r="D166" s="190"/>
      <c r="E166" s="190"/>
      <c r="F166" s="190"/>
      <c r="G166" s="191"/>
      <c r="H166" s="112"/>
      <c r="I166" s="112"/>
      <c r="J166" s="112"/>
      <c r="K166" s="112"/>
      <c r="L166" s="112"/>
      <c r="M166" s="112"/>
      <c r="N166" s="112">
        <f t="shared" si="1"/>
        <v>0</v>
      </c>
      <c r="O166" s="196">
        <f t="shared" si="2"/>
        <v>18.60400046</v>
      </c>
      <c r="P166" s="112"/>
      <c r="Q166" s="112"/>
      <c r="R166" s="112"/>
    </row>
    <row r="167" ht="17.25" customHeight="1">
      <c r="A167" s="112"/>
      <c r="B167" s="189"/>
      <c r="C167" s="190"/>
      <c r="D167" s="190"/>
      <c r="E167" s="190"/>
      <c r="F167" s="190"/>
      <c r="G167" s="191"/>
      <c r="H167" s="112"/>
      <c r="I167" s="112"/>
      <c r="J167" s="112"/>
      <c r="K167" s="112"/>
      <c r="L167" s="112"/>
      <c r="M167" s="112"/>
      <c r="N167" s="112">
        <f t="shared" si="1"/>
        <v>0</v>
      </c>
      <c r="O167" s="196">
        <f t="shared" si="2"/>
        <v>18.60400046</v>
      </c>
      <c r="P167" s="112"/>
      <c r="Q167" s="112"/>
      <c r="R167" s="112"/>
    </row>
    <row r="168" ht="17.25" customHeight="1">
      <c r="A168" s="112"/>
      <c r="B168" s="189"/>
      <c r="C168" s="190"/>
      <c r="D168" s="190"/>
      <c r="E168" s="190"/>
      <c r="F168" s="190"/>
      <c r="G168" s="191"/>
      <c r="H168" s="112"/>
      <c r="I168" s="112"/>
      <c r="J168" s="112"/>
      <c r="K168" s="112"/>
      <c r="L168" s="112"/>
      <c r="M168" s="112"/>
      <c r="N168" s="112">
        <f t="shared" si="1"/>
        <v>0</v>
      </c>
      <c r="O168" s="196">
        <f t="shared" si="2"/>
        <v>18.60400046</v>
      </c>
      <c r="P168" s="112"/>
      <c r="Q168" s="112"/>
      <c r="R168" s="112"/>
    </row>
    <row r="169" ht="17.25" customHeight="1">
      <c r="A169" s="112"/>
      <c r="B169" s="189"/>
      <c r="C169" s="190"/>
      <c r="D169" s="190"/>
      <c r="E169" s="190"/>
      <c r="F169" s="190"/>
      <c r="G169" s="191"/>
      <c r="H169" s="112"/>
      <c r="I169" s="112"/>
      <c r="J169" s="112"/>
      <c r="K169" s="112"/>
      <c r="L169" s="112"/>
      <c r="M169" s="112"/>
      <c r="N169" s="112">
        <f t="shared" si="1"/>
        <v>0</v>
      </c>
      <c r="O169" s="196">
        <f t="shared" si="2"/>
        <v>18.60400046</v>
      </c>
      <c r="P169" s="112"/>
      <c r="Q169" s="112"/>
      <c r="R169" s="112"/>
    </row>
    <row r="170" ht="17.25" customHeight="1">
      <c r="A170" s="112"/>
      <c r="B170" s="189"/>
      <c r="C170" s="190"/>
      <c r="D170" s="190"/>
      <c r="E170" s="190"/>
      <c r="F170" s="190"/>
      <c r="G170" s="191"/>
      <c r="H170" s="112"/>
      <c r="I170" s="112"/>
      <c r="J170" s="112"/>
      <c r="K170" s="112"/>
      <c r="L170" s="112"/>
      <c r="M170" s="112"/>
      <c r="N170" s="112">
        <f t="shared" si="1"/>
        <v>0</v>
      </c>
      <c r="O170" s="196">
        <f t="shared" si="2"/>
        <v>18.60400046</v>
      </c>
      <c r="P170" s="112"/>
      <c r="Q170" s="112"/>
      <c r="R170" s="112"/>
    </row>
    <row r="171" ht="17.25" customHeight="1">
      <c r="A171" s="112"/>
      <c r="B171" s="189"/>
      <c r="C171" s="190"/>
      <c r="D171" s="190"/>
      <c r="E171" s="190"/>
      <c r="F171" s="190"/>
      <c r="G171" s="191"/>
      <c r="H171" s="112"/>
      <c r="I171" s="112"/>
      <c r="J171" s="112"/>
      <c r="K171" s="112"/>
      <c r="L171" s="112"/>
      <c r="M171" s="112"/>
      <c r="N171" s="112">
        <f t="shared" si="1"/>
        <v>0</v>
      </c>
      <c r="O171" s="196">
        <f t="shared" si="2"/>
        <v>18.60400046</v>
      </c>
      <c r="P171" s="112"/>
      <c r="Q171" s="112"/>
      <c r="R171" s="112"/>
    </row>
    <row r="172" ht="17.25" customHeight="1">
      <c r="A172" s="112"/>
      <c r="B172" s="189"/>
      <c r="C172" s="190"/>
      <c r="D172" s="190"/>
      <c r="E172" s="190"/>
      <c r="F172" s="190"/>
      <c r="G172" s="191"/>
      <c r="H172" s="112"/>
      <c r="I172" s="112"/>
      <c r="J172" s="112"/>
      <c r="K172" s="112"/>
      <c r="L172" s="112"/>
      <c r="M172" s="112"/>
      <c r="N172" s="112">
        <f t="shared" si="1"/>
        <v>0</v>
      </c>
      <c r="O172" s="196">
        <f t="shared" si="2"/>
        <v>18.60400046</v>
      </c>
      <c r="P172" s="112"/>
      <c r="Q172" s="112"/>
      <c r="R172" s="112"/>
    </row>
    <row r="173" ht="17.25" customHeight="1">
      <c r="A173" s="112"/>
      <c r="B173" s="189"/>
      <c r="C173" s="190"/>
      <c r="D173" s="190"/>
      <c r="E173" s="190"/>
      <c r="F173" s="190"/>
      <c r="G173" s="191"/>
      <c r="H173" s="112"/>
      <c r="I173" s="112"/>
      <c r="J173" s="112"/>
      <c r="K173" s="112"/>
      <c r="L173" s="112"/>
      <c r="M173" s="112"/>
      <c r="N173" s="112">
        <f t="shared" si="1"/>
        <v>0</v>
      </c>
      <c r="O173" s="196">
        <f t="shared" si="2"/>
        <v>18.60400046</v>
      </c>
      <c r="P173" s="112"/>
      <c r="Q173" s="112"/>
      <c r="R173" s="112"/>
    </row>
    <row r="174" ht="17.25" customHeight="1">
      <c r="A174" s="112"/>
      <c r="B174" s="189"/>
      <c r="C174" s="190"/>
      <c r="D174" s="190"/>
      <c r="E174" s="190"/>
      <c r="F174" s="190"/>
      <c r="G174" s="191"/>
      <c r="H174" s="112"/>
      <c r="I174" s="112"/>
      <c r="J174" s="112"/>
      <c r="K174" s="112"/>
      <c r="L174" s="112"/>
      <c r="M174" s="112"/>
      <c r="N174" s="112">
        <f t="shared" si="1"/>
        <v>0</v>
      </c>
      <c r="O174" s="196">
        <f t="shared" si="2"/>
        <v>18.60400046</v>
      </c>
      <c r="P174" s="112"/>
      <c r="Q174" s="112"/>
      <c r="R174" s="112"/>
    </row>
    <row r="175" ht="17.25" customHeight="1">
      <c r="A175" s="112"/>
      <c r="B175" s="189"/>
      <c r="C175" s="190"/>
      <c r="D175" s="190"/>
      <c r="E175" s="190"/>
      <c r="F175" s="190"/>
      <c r="G175" s="191"/>
      <c r="H175" s="112"/>
      <c r="I175" s="112"/>
      <c r="J175" s="112"/>
      <c r="K175" s="112"/>
      <c r="L175" s="112"/>
      <c r="M175" s="112"/>
      <c r="N175" s="112">
        <f t="shared" si="1"/>
        <v>0</v>
      </c>
      <c r="O175" s="196">
        <f t="shared" si="2"/>
        <v>18.60400046</v>
      </c>
      <c r="P175" s="112"/>
      <c r="Q175" s="112"/>
      <c r="R175" s="112"/>
    </row>
    <row r="176" ht="17.25" customHeight="1">
      <c r="A176" s="112"/>
      <c r="B176" s="189"/>
      <c r="C176" s="190"/>
      <c r="D176" s="190"/>
      <c r="E176" s="190"/>
      <c r="F176" s="190"/>
      <c r="G176" s="191"/>
      <c r="H176" s="112"/>
      <c r="I176" s="112"/>
      <c r="J176" s="112"/>
      <c r="K176" s="112"/>
      <c r="L176" s="112"/>
      <c r="M176" s="112"/>
      <c r="N176" s="112">
        <f t="shared" si="1"/>
        <v>0</v>
      </c>
      <c r="O176" s="196">
        <f t="shared" si="2"/>
        <v>18.60400046</v>
      </c>
      <c r="P176" s="112"/>
      <c r="Q176" s="112"/>
      <c r="R176" s="112"/>
    </row>
    <row r="177" ht="17.25" customHeight="1">
      <c r="A177" s="112"/>
      <c r="B177" s="189"/>
      <c r="C177" s="190"/>
      <c r="D177" s="190"/>
      <c r="E177" s="190"/>
      <c r="F177" s="190"/>
      <c r="G177" s="191"/>
      <c r="H177" s="112"/>
      <c r="I177" s="112"/>
      <c r="J177" s="112"/>
      <c r="K177" s="112"/>
      <c r="L177" s="112"/>
      <c r="M177" s="112"/>
      <c r="N177" s="112">
        <f t="shared" si="1"/>
        <v>0</v>
      </c>
      <c r="O177" s="196">
        <f t="shared" si="2"/>
        <v>18.60400046</v>
      </c>
      <c r="P177" s="112"/>
      <c r="Q177" s="112"/>
      <c r="R177" s="112"/>
    </row>
    <row r="178" ht="17.25" customHeight="1">
      <c r="A178" s="112"/>
      <c r="B178" s="189"/>
      <c r="C178" s="190"/>
      <c r="D178" s="190"/>
      <c r="E178" s="190"/>
      <c r="F178" s="190"/>
      <c r="G178" s="191"/>
      <c r="H178" s="112"/>
      <c r="I178" s="112"/>
      <c r="J178" s="112"/>
      <c r="K178" s="112"/>
      <c r="L178" s="112"/>
      <c r="M178" s="112"/>
      <c r="N178" s="112">
        <f t="shared" si="1"/>
        <v>0</v>
      </c>
      <c r="O178" s="196">
        <f t="shared" si="2"/>
        <v>18.60400046</v>
      </c>
      <c r="P178" s="112"/>
      <c r="Q178" s="112"/>
      <c r="R178" s="112"/>
    </row>
    <row r="179" ht="17.25" customHeight="1">
      <c r="A179" s="112"/>
      <c r="B179" s="189"/>
      <c r="C179" s="190"/>
      <c r="D179" s="190"/>
      <c r="E179" s="190"/>
      <c r="F179" s="190"/>
      <c r="G179" s="191"/>
      <c r="H179" s="112"/>
      <c r="I179" s="112"/>
      <c r="J179" s="112"/>
      <c r="K179" s="112"/>
      <c r="L179" s="112"/>
      <c r="M179" s="112"/>
      <c r="N179" s="112">
        <f t="shared" si="1"/>
        <v>0</v>
      </c>
      <c r="O179" s="196">
        <f t="shared" si="2"/>
        <v>18.60400046</v>
      </c>
      <c r="P179" s="112"/>
      <c r="Q179" s="112"/>
      <c r="R179" s="112"/>
    </row>
    <row r="180" ht="17.25" customHeight="1">
      <c r="A180" s="112"/>
      <c r="B180" s="189"/>
      <c r="C180" s="190"/>
      <c r="D180" s="190"/>
      <c r="E180" s="190"/>
      <c r="F180" s="190"/>
      <c r="G180" s="191"/>
      <c r="H180" s="112"/>
      <c r="I180" s="112"/>
      <c r="J180" s="112"/>
      <c r="K180" s="112"/>
      <c r="L180" s="112"/>
      <c r="M180" s="112"/>
      <c r="N180" s="112">
        <f t="shared" si="1"/>
        <v>0</v>
      </c>
      <c r="O180" s="196">
        <f t="shared" si="2"/>
        <v>18.60400046</v>
      </c>
      <c r="P180" s="112"/>
      <c r="Q180" s="112"/>
      <c r="R180" s="112"/>
    </row>
    <row r="181" ht="17.25" customHeight="1">
      <c r="A181" s="112"/>
      <c r="B181" s="189"/>
      <c r="C181" s="190"/>
      <c r="D181" s="190"/>
      <c r="E181" s="190"/>
      <c r="F181" s="190"/>
      <c r="G181" s="191"/>
      <c r="H181" s="112"/>
      <c r="I181" s="112"/>
      <c r="J181" s="112"/>
      <c r="K181" s="112"/>
      <c r="L181" s="112"/>
      <c r="M181" s="112"/>
      <c r="N181" s="112">
        <f t="shared" si="1"/>
        <v>0</v>
      </c>
      <c r="O181" s="196">
        <f t="shared" si="2"/>
        <v>18.60400046</v>
      </c>
      <c r="P181" s="112"/>
      <c r="Q181" s="112"/>
      <c r="R181" s="112"/>
    </row>
    <row r="182" ht="17.25" customHeight="1">
      <c r="A182" s="112"/>
      <c r="B182" s="189"/>
      <c r="C182" s="190"/>
      <c r="D182" s="190"/>
      <c r="E182" s="190"/>
      <c r="F182" s="190"/>
      <c r="G182" s="191"/>
      <c r="H182" s="112"/>
      <c r="I182" s="112"/>
      <c r="J182" s="112"/>
      <c r="K182" s="112"/>
      <c r="L182" s="112"/>
      <c r="M182" s="112"/>
      <c r="N182" s="112">
        <f t="shared" si="1"/>
        <v>0</v>
      </c>
      <c r="O182" s="196">
        <f t="shared" si="2"/>
        <v>18.60400046</v>
      </c>
      <c r="P182" s="112"/>
      <c r="Q182" s="112"/>
      <c r="R182" s="112"/>
    </row>
    <row r="183" ht="17.25" customHeight="1">
      <c r="A183" s="112"/>
      <c r="B183" s="189"/>
      <c r="C183" s="190"/>
      <c r="D183" s="190"/>
      <c r="E183" s="190"/>
      <c r="F183" s="190"/>
      <c r="G183" s="191"/>
      <c r="H183" s="112"/>
      <c r="I183" s="112"/>
      <c r="J183" s="112"/>
      <c r="K183" s="112"/>
      <c r="L183" s="112"/>
      <c r="M183" s="112"/>
      <c r="N183" s="112">
        <f t="shared" si="1"/>
        <v>0</v>
      </c>
      <c r="O183" s="196">
        <f t="shared" si="2"/>
        <v>18.60400046</v>
      </c>
      <c r="P183" s="112"/>
      <c r="Q183" s="112"/>
      <c r="R183" s="112"/>
    </row>
    <row r="184" ht="17.25" customHeight="1">
      <c r="A184" s="112"/>
      <c r="B184" s="189"/>
      <c r="C184" s="190"/>
      <c r="D184" s="190"/>
      <c r="E184" s="190"/>
      <c r="F184" s="190"/>
      <c r="G184" s="191"/>
      <c r="H184" s="112"/>
      <c r="I184" s="112"/>
      <c r="J184" s="112"/>
      <c r="K184" s="112"/>
      <c r="L184" s="112"/>
      <c r="M184" s="112"/>
      <c r="N184" s="112">
        <f t="shared" si="1"/>
        <v>0</v>
      </c>
      <c r="O184" s="196">
        <f t="shared" si="2"/>
        <v>18.60400046</v>
      </c>
      <c r="P184" s="112"/>
      <c r="Q184" s="112"/>
      <c r="R184" s="112"/>
    </row>
    <row r="185" ht="17.25" customHeight="1">
      <c r="A185" s="112"/>
      <c r="B185" s="189"/>
      <c r="C185" s="190"/>
      <c r="D185" s="190"/>
      <c r="E185" s="190"/>
      <c r="F185" s="190"/>
      <c r="G185" s="191"/>
      <c r="H185" s="112"/>
      <c r="I185" s="112"/>
      <c r="J185" s="112"/>
      <c r="K185" s="112"/>
      <c r="L185" s="112"/>
      <c r="M185" s="112"/>
      <c r="N185" s="112">
        <f t="shared" si="1"/>
        <v>0</v>
      </c>
      <c r="O185" s="196">
        <f t="shared" si="2"/>
        <v>18.60400046</v>
      </c>
      <c r="P185" s="112"/>
      <c r="Q185" s="112"/>
      <c r="R185" s="112"/>
    </row>
    <row r="186" ht="17.25" customHeight="1">
      <c r="A186" s="112"/>
      <c r="B186" s="189"/>
      <c r="C186" s="190"/>
      <c r="D186" s="190"/>
      <c r="E186" s="190"/>
      <c r="F186" s="190"/>
      <c r="G186" s="191"/>
      <c r="H186" s="112"/>
      <c r="I186" s="112"/>
      <c r="J186" s="112"/>
      <c r="K186" s="112"/>
      <c r="L186" s="112"/>
      <c r="M186" s="112"/>
      <c r="N186" s="112">
        <f t="shared" si="1"/>
        <v>0</v>
      </c>
      <c r="O186" s="196">
        <f t="shared" si="2"/>
        <v>18.60400046</v>
      </c>
      <c r="P186" s="112"/>
      <c r="Q186" s="112"/>
      <c r="R186" s="112"/>
    </row>
    <row r="187" ht="17.25" customHeight="1">
      <c r="A187" s="112"/>
      <c r="B187" s="189"/>
      <c r="C187" s="190"/>
      <c r="D187" s="190"/>
      <c r="E187" s="190"/>
      <c r="F187" s="190"/>
      <c r="G187" s="191"/>
      <c r="H187" s="112"/>
      <c r="I187" s="112"/>
      <c r="J187" s="112"/>
      <c r="K187" s="112"/>
      <c r="L187" s="112"/>
      <c r="M187" s="112"/>
      <c r="N187" s="112">
        <f t="shared" si="1"/>
        <v>0</v>
      </c>
      <c r="O187" s="196">
        <f t="shared" si="2"/>
        <v>18.60400046</v>
      </c>
      <c r="P187" s="112"/>
      <c r="Q187" s="112"/>
      <c r="R187" s="112"/>
    </row>
    <row r="188" ht="17.25" customHeight="1">
      <c r="A188" s="112"/>
      <c r="B188" s="189"/>
      <c r="C188" s="190"/>
      <c r="D188" s="190"/>
      <c r="E188" s="190"/>
      <c r="F188" s="190"/>
      <c r="G188" s="191"/>
      <c r="H188" s="112"/>
      <c r="I188" s="112"/>
      <c r="J188" s="112"/>
      <c r="K188" s="112"/>
      <c r="L188" s="112"/>
      <c r="M188" s="112"/>
      <c r="N188" s="112">
        <f t="shared" si="1"/>
        <v>0</v>
      </c>
      <c r="O188" s="196">
        <f t="shared" si="2"/>
        <v>18.60400046</v>
      </c>
      <c r="P188" s="112"/>
      <c r="Q188" s="112"/>
      <c r="R188" s="112"/>
    </row>
    <row r="189" ht="17.25" customHeight="1">
      <c r="A189" s="112"/>
      <c r="B189" s="189"/>
      <c r="C189" s="190"/>
      <c r="D189" s="190"/>
      <c r="E189" s="190"/>
      <c r="F189" s="190"/>
      <c r="G189" s="191"/>
      <c r="H189" s="112"/>
      <c r="I189" s="112"/>
      <c r="J189" s="112"/>
      <c r="K189" s="112"/>
      <c r="L189" s="112"/>
      <c r="M189" s="112"/>
      <c r="N189" s="112">
        <f t="shared" si="1"/>
        <v>0</v>
      </c>
      <c r="O189" s="196">
        <f t="shared" si="2"/>
        <v>18.60400046</v>
      </c>
      <c r="P189" s="112"/>
      <c r="Q189" s="112"/>
      <c r="R189" s="112"/>
    </row>
    <row r="190" ht="17.25" customHeight="1">
      <c r="A190" s="112"/>
      <c r="B190" s="189"/>
      <c r="C190" s="190"/>
      <c r="D190" s="190"/>
      <c r="E190" s="190"/>
      <c r="F190" s="190"/>
      <c r="G190" s="191"/>
      <c r="H190" s="112"/>
      <c r="I190" s="112"/>
      <c r="J190" s="112"/>
      <c r="K190" s="112"/>
      <c r="L190" s="112"/>
      <c r="M190" s="112"/>
      <c r="N190" s="112">
        <f t="shared" si="1"/>
        <v>0</v>
      </c>
      <c r="O190" s="196">
        <f t="shared" si="2"/>
        <v>18.60400046</v>
      </c>
      <c r="P190" s="112"/>
      <c r="Q190" s="112"/>
      <c r="R190" s="112"/>
    </row>
    <row r="191" ht="17.25" customHeight="1">
      <c r="A191" s="112"/>
      <c r="B191" s="189"/>
      <c r="C191" s="190"/>
      <c r="D191" s="190"/>
      <c r="E191" s="190"/>
      <c r="F191" s="190"/>
      <c r="G191" s="191"/>
      <c r="H191" s="112"/>
      <c r="I191" s="112"/>
      <c r="J191" s="112"/>
      <c r="K191" s="112"/>
      <c r="L191" s="112"/>
      <c r="M191" s="112"/>
      <c r="N191" s="112">
        <f t="shared" si="1"/>
        <v>0</v>
      </c>
      <c r="O191" s="196">
        <f t="shared" si="2"/>
        <v>18.60400046</v>
      </c>
      <c r="P191" s="112"/>
      <c r="Q191" s="112"/>
      <c r="R191" s="112"/>
    </row>
    <row r="192" ht="17.25" customHeight="1">
      <c r="A192" s="112"/>
      <c r="B192" s="189"/>
      <c r="C192" s="190"/>
      <c r="D192" s="190"/>
      <c r="E192" s="190"/>
      <c r="F192" s="190"/>
      <c r="G192" s="191"/>
      <c r="H192" s="112"/>
      <c r="I192" s="112"/>
      <c r="J192" s="112"/>
      <c r="K192" s="112"/>
      <c r="L192" s="112"/>
      <c r="M192" s="112"/>
      <c r="N192" s="112">
        <f t="shared" si="1"/>
        <v>0</v>
      </c>
      <c r="O192" s="196">
        <f t="shared" si="2"/>
        <v>18.60400046</v>
      </c>
      <c r="P192" s="112"/>
      <c r="Q192" s="112"/>
      <c r="R192" s="112"/>
    </row>
    <row r="193" ht="17.25" customHeight="1">
      <c r="A193" s="112"/>
      <c r="B193" s="189"/>
      <c r="C193" s="190"/>
      <c r="D193" s="190"/>
      <c r="E193" s="190"/>
      <c r="F193" s="190"/>
      <c r="G193" s="191"/>
      <c r="H193" s="112"/>
      <c r="I193" s="112"/>
      <c r="J193" s="112"/>
      <c r="K193" s="112"/>
      <c r="L193" s="112"/>
      <c r="M193" s="112"/>
      <c r="N193" s="112">
        <f t="shared" si="1"/>
        <v>0</v>
      </c>
      <c r="O193" s="196">
        <f t="shared" si="2"/>
        <v>18.60400046</v>
      </c>
      <c r="P193" s="112"/>
      <c r="Q193" s="112"/>
      <c r="R193" s="112"/>
    </row>
    <row r="194" ht="17.25" customHeight="1">
      <c r="A194" s="112"/>
      <c r="B194" s="189"/>
      <c r="C194" s="190"/>
      <c r="D194" s="190"/>
      <c r="E194" s="190"/>
      <c r="F194" s="190"/>
      <c r="G194" s="191"/>
      <c r="H194" s="112"/>
      <c r="I194" s="112"/>
      <c r="J194" s="112"/>
      <c r="K194" s="112"/>
      <c r="L194" s="112"/>
      <c r="M194" s="112"/>
      <c r="N194" s="112">
        <f t="shared" si="1"/>
        <v>0</v>
      </c>
      <c r="O194" s="196">
        <f t="shared" si="2"/>
        <v>18.60400046</v>
      </c>
      <c r="P194" s="112"/>
      <c r="Q194" s="112"/>
      <c r="R194" s="112"/>
    </row>
    <row r="195" ht="17.25" customHeight="1">
      <c r="A195" s="112"/>
      <c r="B195" s="189"/>
      <c r="C195" s="190"/>
      <c r="D195" s="190"/>
      <c r="E195" s="190"/>
      <c r="F195" s="190"/>
      <c r="G195" s="191"/>
      <c r="H195" s="112"/>
      <c r="I195" s="112"/>
      <c r="J195" s="112"/>
      <c r="K195" s="112"/>
      <c r="L195" s="112"/>
      <c r="M195" s="112"/>
      <c r="N195" s="112">
        <f t="shared" si="1"/>
        <v>0</v>
      </c>
      <c r="O195" s="196">
        <f t="shared" si="2"/>
        <v>18.60400046</v>
      </c>
      <c r="P195" s="112"/>
      <c r="Q195" s="112"/>
      <c r="R195" s="112"/>
    </row>
    <row r="196" ht="17.25" customHeight="1">
      <c r="A196" s="112"/>
      <c r="B196" s="189"/>
      <c r="C196" s="190"/>
      <c r="D196" s="190"/>
      <c r="E196" s="190"/>
      <c r="F196" s="190"/>
      <c r="G196" s="191"/>
      <c r="H196" s="112"/>
      <c r="I196" s="112"/>
      <c r="J196" s="112"/>
      <c r="K196" s="112"/>
      <c r="L196" s="112"/>
      <c r="M196" s="112"/>
      <c r="N196" s="112">
        <f t="shared" si="1"/>
        <v>0</v>
      </c>
      <c r="O196" s="196">
        <f t="shared" si="2"/>
        <v>18.60400046</v>
      </c>
      <c r="P196" s="112"/>
      <c r="Q196" s="112"/>
      <c r="R196" s="112"/>
    </row>
    <row r="197" ht="17.25" customHeight="1">
      <c r="A197" s="112"/>
      <c r="B197" s="189"/>
      <c r="C197" s="190"/>
      <c r="D197" s="190"/>
      <c r="E197" s="190"/>
      <c r="F197" s="190"/>
      <c r="G197" s="191"/>
      <c r="H197" s="112"/>
      <c r="I197" s="112"/>
      <c r="J197" s="112"/>
      <c r="K197" s="112"/>
      <c r="L197" s="112"/>
      <c r="M197" s="112"/>
      <c r="N197" s="112">
        <f t="shared" si="1"/>
        <v>0</v>
      </c>
      <c r="O197" s="196">
        <f t="shared" si="2"/>
        <v>18.60400046</v>
      </c>
      <c r="P197" s="112"/>
      <c r="Q197" s="112"/>
      <c r="R197" s="112"/>
    </row>
    <row r="198" ht="17.25" customHeight="1">
      <c r="A198" s="112"/>
      <c r="B198" s="189"/>
      <c r="C198" s="190"/>
      <c r="D198" s="190"/>
      <c r="E198" s="190"/>
      <c r="F198" s="190"/>
      <c r="G198" s="191"/>
      <c r="H198" s="112"/>
      <c r="I198" s="112"/>
      <c r="J198" s="112"/>
      <c r="K198" s="112"/>
      <c r="L198" s="112"/>
      <c r="M198" s="112"/>
      <c r="N198" s="112">
        <f t="shared" si="1"/>
        <v>0</v>
      </c>
      <c r="O198" s="196">
        <f t="shared" si="2"/>
        <v>18.60400046</v>
      </c>
      <c r="P198" s="112"/>
      <c r="Q198" s="112"/>
      <c r="R198" s="112"/>
    </row>
    <row r="199" ht="17.25" customHeight="1">
      <c r="A199" s="112"/>
      <c r="B199" s="189"/>
      <c r="C199" s="190"/>
      <c r="D199" s="190"/>
      <c r="E199" s="190"/>
      <c r="F199" s="190"/>
      <c r="G199" s="191"/>
      <c r="H199" s="112"/>
      <c r="I199" s="112"/>
      <c r="J199" s="112"/>
      <c r="K199" s="112"/>
      <c r="L199" s="112"/>
      <c r="M199" s="112"/>
      <c r="N199" s="112">
        <f t="shared" si="1"/>
        <v>0</v>
      </c>
      <c r="O199" s="196">
        <f t="shared" si="2"/>
        <v>18.60400046</v>
      </c>
      <c r="P199" s="112"/>
      <c r="Q199" s="112"/>
      <c r="R199" s="112"/>
    </row>
    <row r="200" ht="17.25" customHeight="1">
      <c r="A200" s="112"/>
      <c r="B200" s="189"/>
      <c r="C200" s="190"/>
      <c r="D200" s="190"/>
      <c r="E200" s="190"/>
      <c r="F200" s="190"/>
      <c r="G200" s="191"/>
      <c r="H200" s="112"/>
      <c r="I200" s="112"/>
      <c r="J200" s="112"/>
      <c r="K200" s="112"/>
      <c r="L200" s="112"/>
      <c r="M200" s="112"/>
      <c r="N200" s="112">
        <f t="shared" si="1"/>
        <v>0</v>
      </c>
      <c r="O200" s="196">
        <f t="shared" si="2"/>
        <v>18.60400046</v>
      </c>
      <c r="P200" s="112"/>
      <c r="Q200" s="112"/>
      <c r="R200" s="112"/>
    </row>
    <row r="201" ht="17.25" customHeight="1">
      <c r="A201" s="112"/>
      <c r="B201" s="189"/>
      <c r="C201" s="190"/>
      <c r="D201" s="190"/>
      <c r="E201" s="190"/>
      <c r="F201" s="190"/>
      <c r="G201" s="191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/>
      <c r="C202" s="190"/>
      <c r="D202" s="190"/>
      <c r="E202" s="190"/>
      <c r="F202" s="190"/>
      <c r="G202" s="191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/>
      <c r="C203" s="190"/>
      <c r="D203" s="190"/>
      <c r="E203" s="190"/>
      <c r="F203" s="190"/>
      <c r="G203" s="191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/>
      <c r="C204" s="190"/>
      <c r="D204" s="190"/>
      <c r="E204" s="190"/>
      <c r="F204" s="190"/>
      <c r="G204" s="191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/>
      <c r="C205" s="190"/>
      <c r="D205" s="190"/>
      <c r="E205" s="190"/>
      <c r="F205" s="190"/>
      <c r="G205" s="191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/>
      <c r="C206" s="190"/>
      <c r="D206" s="190"/>
      <c r="E206" s="190"/>
      <c r="F206" s="190"/>
      <c r="G206" s="191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/>
      <c r="C207" s="190"/>
      <c r="D207" s="190"/>
      <c r="E207" s="190"/>
      <c r="F207" s="190"/>
      <c r="G207" s="191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/>
      <c r="C208" s="190"/>
      <c r="D208" s="190"/>
      <c r="E208" s="190"/>
      <c r="F208" s="190"/>
      <c r="G208" s="191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/>
      <c r="C209" s="190"/>
      <c r="D209" s="190"/>
      <c r="E209" s="190"/>
      <c r="F209" s="190"/>
      <c r="G209" s="191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/>
      <c r="C210" s="190"/>
      <c r="D210" s="190"/>
      <c r="E210" s="190"/>
      <c r="F210" s="190"/>
      <c r="G210" s="191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/>
      <c r="C211" s="190"/>
      <c r="D211" s="190"/>
      <c r="E211" s="190"/>
      <c r="F211" s="190"/>
      <c r="G211" s="191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/>
      <c r="C212" s="190"/>
      <c r="D212" s="190"/>
      <c r="E212" s="190"/>
      <c r="F212" s="190"/>
      <c r="G212" s="191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/>
      <c r="C213" s="190"/>
      <c r="D213" s="190"/>
      <c r="E213" s="190"/>
      <c r="F213" s="190"/>
      <c r="G213" s="191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/>
      <c r="C214" s="190"/>
      <c r="D214" s="190"/>
      <c r="E214" s="190"/>
      <c r="F214" s="190"/>
      <c r="G214" s="191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/>
      <c r="C215" s="190"/>
      <c r="D215" s="190"/>
      <c r="E215" s="190"/>
      <c r="F215" s="190"/>
      <c r="G215" s="191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/>
      <c r="C216" s="190"/>
      <c r="D216" s="190"/>
      <c r="E216" s="190"/>
      <c r="F216" s="190"/>
      <c r="G216" s="191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/>
      <c r="C217" s="190"/>
      <c r="D217" s="190"/>
      <c r="E217" s="190"/>
      <c r="F217" s="190"/>
      <c r="G217" s="191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/>
      <c r="C218" s="190"/>
      <c r="D218" s="190"/>
      <c r="E218" s="190"/>
      <c r="F218" s="190"/>
      <c r="G218" s="191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/>
      <c r="C219" s="190"/>
      <c r="D219" s="190"/>
      <c r="E219" s="190"/>
      <c r="F219" s="190"/>
      <c r="G219" s="191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/>
      <c r="C220" s="190"/>
      <c r="D220" s="190"/>
      <c r="E220" s="190"/>
      <c r="F220" s="190"/>
      <c r="G220" s="191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/>
      <c r="C221" s="190"/>
      <c r="D221" s="190"/>
      <c r="E221" s="190"/>
      <c r="F221" s="190"/>
      <c r="G221" s="191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/>
      <c r="C222" s="190"/>
      <c r="D222" s="190"/>
      <c r="E222" s="190"/>
      <c r="F222" s="190"/>
      <c r="G222" s="191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/>
      <c r="C223" s="190"/>
      <c r="D223" s="190"/>
      <c r="E223" s="190"/>
      <c r="F223" s="190"/>
      <c r="G223" s="191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/>
      <c r="C224" s="190"/>
      <c r="D224" s="190"/>
      <c r="E224" s="190"/>
      <c r="F224" s="190"/>
      <c r="G224" s="191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/>
      <c r="C225" s="190"/>
      <c r="D225" s="190"/>
      <c r="E225" s="190"/>
      <c r="F225" s="190"/>
      <c r="G225" s="191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/>
      <c r="C226" s="190"/>
      <c r="D226" s="190"/>
      <c r="E226" s="190"/>
      <c r="F226" s="190"/>
      <c r="G226" s="191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/>
      <c r="C227" s="190"/>
      <c r="D227" s="190"/>
      <c r="E227" s="190"/>
      <c r="F227" s="190"/>
      <c r="G227" s="191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/>
      <c r="C228" s="190"/>
      <c r="D228" s="190"/>
      <c r="E228" s="190"/>
      <c r="F228" s="190"/>
      <c r="G228" s="191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/>
      <c r="C229" s="190"/>
      <c r="D229" s="190"/>
      <c r="E229" s="190"/>
      <c r="F229" s="190"/>
      <c r="G229" s="191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/>
      <c r="C230" s="190"/>
      <c r="D230" s="190"/>
      <c r="E230" s="190"/>
      <c r="F230" s="190"/>
      <c r="G230" s="191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/>
      <c r="C231" s="190"/>
      <c r="D231" s="190"/>
      <c r="E231" s="190"/>
      <c r="F231" s="190"/>
      <c r="G231" s="191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/>
      <c r="C232" s="190"/>
      <c r="D232" s="190"/>
      <c r="E232" s="190"/>
      <c r="F232" s="190"/>
      <c r="G232" s="19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/>
      <c r="C233" s="190"/>
      <c r="D233" s="190"/>
      <c r="E233" s="190"/>
      <c r="F233" s="190"/>
      <c r="G233" s="191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/>
      <c r="C234" s="190"/>
      <c r="D234" s="190"/>
      <c r="E234" s="190"/>
      <c r="F234" s="190"/>
      <c r="G234" s="191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/>
      <c r="C235" s="190"/>
      <c r="D235" s="190"/>
      <c r="E235" s="190"/>
      <c r="F235" s="190"/>
      <c r="G235" s="191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/>
      <c r="C236" s="190"/>
      <c r="D236" s="190"/>
      <c r="E236" s="190"/>
      <c r="F236" s="190"/>
      <c r="G236" s="191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/>
      <c r="C237" s="190"/>
      <c r="D237" s="190"/>
      <c r="E237" s="190"/>
      <c r="F237" s="190"/>
      <c r="G237" s="191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/>
      <c r="C238" s="190"/>
      <c r="D238" s="190"/>
      <c r="E238" s="190"/>
      <c r="F238" s="190"/>
      <c r="G238" s="191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/>
      <c r="C239" s="190"/>
      <c r="D239" s="190"/>
      <c r="E239" s="190"/>
      <c r="F239" s="190"/>
      <c r="G239" s="19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/>
      <c r="C240" s="190"/>
      <c r="D240" s="190"/>
      <c r="E240" s="190"/>
      <c r="F240" s="190"/>
      <c r="G240" s="191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/>
      <c r="C241" s="190"/>
      <c r="D241" s="190"/>
      <c r="E241" s="190"/>
      <c r="F241" s="190"/>
      <c r="G241" s="191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/>
      <c r="C242" s="190"/>
      <c r="D242" s="190"/>
      <c r="E242" s="190"/>
      <c r="F242" s="190"/>
      <c r="G242" s="191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/>
      <c r="C243" s="190"/>
      <c r="D243" s="190"/>
      <c r="E243" s="190"/>
      <c r="F243" s="190"/>
      <c r="G243" s="191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/>
      <c r="C244" s="190"/>
      <c r="D244" s="190"/>
      <c r="E244" s="190"/>
      <c r="F244" s="190"/>
      <c r="G244" s="191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/>
      <c r="C245" s="190"/>
      <c r="D245" s="190"/>
      <c r="E245" s="190"/>
      <c r="F245" s="190"/>
      <c r="G245" s="191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/>
      <c r="C246" s="190"/>
      <c r="D246" s="190"/>
      <c r="E246" s="190"/>
      <c r="F246" s="190"/>
      <c r="G246" s="191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/>
      <c r="C247" s="190"/>
      <c r="D247" s="190"/>
      <c r="E247" s="190"/>
      <c r="F247" s="190"/>
      <c r="G247" s="191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/>
      <c r="C248" s="190"/>
      <c r="D248" s="190"/>
      <c r="E248" s="190"/>
      <c r="F248" s="190"/>
      <c r="G248" s="191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/>
      <c r="C249" s="190"/>
      <c r="D249" s="190"/>
      <c r="E249" s="190"/>
      <c r="F249" s="190"/>
      <c r="G249" s="191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/>
      <c r="C250" s="190"/>
      <c r="D250" s="190"/>
      <c r="E250" s="190"/>
      <c r="F250" s="190"/>
      <c r="G250" s="191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/>
      <c r="C251" s="190"/>
      <c r="D251" s="190"/>
      <c r="E251" s="190"/>
      <c r="F251" s="190"/>
      <c r="G251" s="191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/>
      <c r="C252" s="190"/>
      <c r="D252" s="190"/>
      <c r="E252" s="190"/>
      <c r="F252" s="190"/>
      <c r="G252" s="191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/>
      <c r="C253" s="190"/>
      <c r="D253" s="190"/>
      <c r="E253" s="190"/>
      <c r="F253" s="190"/>
      <c r="G253" s="191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/>
      <c r="C254" s="190"/>
      <c r="D254" s="190"/>
      <c r="E254" s="190"/>
      <c r="F254" s="190"/>
      <c r="G254" s="191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/>
      <c r="C255" s="190"/>
      <c r="D255" s="190"/>
      <c r="E255" s="190"/>
      <c r="F255" s="190"/>
      <c r="G255" s="191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/>
      <c r="C256" s="190"/>
      <c r="D256" s="190"/>
      <c r="E256" s="190"/>
      <c r="F256" s="190"/>
      <c r="G256" s="191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/>
      <c r="C257" s="190"/>
      <c r="D257" s="190"/>
      <c r="E257" s="190"/>
      <c r="F257" s="190"/>
      <c r="G257" s="191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/>
      <c r="C258" s="190"/>
      <c r="D258" s="190"/>
      <c r="E258" s="190"/>
      <c r="F258" s="190"/>
      <c r="G258" s="191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/>
      <c r="C259" s="190"/>
      <c r="D259" s="190"/>
      <c r="E259" s="190"/>
      <c r="F259" s="190"/>
      <c r="G259" s="191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/>
      <c r="C260" s="190"/>
      <c r="D260" s="190"/>
      <c r="E260" s="190"/>
      <c r="F260" s="190"/>
      <c r="G260" s="191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/>
      <c r="C261" s="190"/>
      <c r="D261" s="190"/>
      <c r="E261" s="190"/>
      <c r="F261" s="190"/>
      <c r="G261" s="191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/>
      <c r="C262" s="190"/>
      <c r="D262" s="190"/>
      <c r="E262" s="190"/>
      <c r="F262" s="190"/>
      <c r="G262" s="191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/>
      <c r="C263" s="190"/>
      <c r="D263" s="190"/>
      <c r="E263" s="190"/>
      <c r="F263" s="190"/>
      <c r="G263" s="191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/>
      <c r="C264" s="190"/>
      <c r="D264" s="190"/>
      <c r="E264" s="190"/>
      <c r="F264" s="190"/>
      <c r="G264" s="191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/>
      <c r="C265" s="190"/>
      <c r="D265" s="190"/>
      <c r="E265" s="190"/>
      <c r="F265" s="190"/>
      <c r="G265" s="191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/>
      <c r="C266" s="190"/>
      <c r="D266" s="190"/>
      <c r="E266" s="190"/>
      <c r="F266" s="190"/>
      <c r="G266" s="191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/>
      <c r="C267" s="190"/>
      <c r="D267" s="190"/>
      <c r="E267" s="190"/>
      <c r="F267" s="190"/>
      <c r="G267" s="191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/>
      <c r="C268" s="190"/>
      <c r="D268" s="190"/>
      <c r="E268" s="190"/>
      <c r="F268" s="190"/>
      <c r="G268" s="191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/>
      <c r="C269" s="190"/>
      <c r="D269" s="190"/>
      <c r="E269" s="190"/>
      <c r="F269" s="190"/>
      <c r="G269" s="191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/>
      <c r="C270" s="190"/>
      <c r="D270" s="190"/>
      <c r="E270" s="190"/>
      <c r="F270" s="190"/>
      <c r="G270" s="191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/>
      <c r="C271" s="190"/>
      <c r="D271" s="190"/>
      <c r="E271" s="190"/>
      <c r="F271" s="190"/>
      <c r="G271" s="191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/>
      <c r="C272" s="190"/>
      <c r="D272" s="190"/>
      <c r="E272" s="190"/>
      <c r="F272" s="190"/>
      <c r="G272" s="191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/>
      <c r="C273" s="190"/>
      <c r="D273" s="190"/>
      <c r="E273" s="190"/>
      <c r="F273" s="190"/>
      <c r="G273" s="191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/>
      <c r="C274" s="190"/>
      <c r="D274" s="190"/>
      <c r="E274" s="190"/>
      <c r="F274" s="190"/>
      <c r="G274" s="191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/>
      <c r="C275" s="190"/>
      <c r="D275" s="190"/>
      <c r="E275" s="190"/>
      <c r="F275" s="190"/>
      <c r="G275" s="191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/>
      <c r="C276" s="190"/>
      <c r="D276" s="190"/>
      <c r="E276" s="190"/>
      <c r="F276" s="190"/>
      <c r="G276" s="191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/>
      <c r="C277" s="190"/>
      <c r="D277" s="190"/>
      <c r="E277" s="190"/>
      <c r="F277" s="190"/>
      <c r="G277" s="191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/>
      <c r="C278" s="190"/>
      <c r="D278" s="190"/>
      <c r="E278" s="190"/>
      <c r="F278" s="190"/>
      <c r="G278" s="191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/>
      <c r="C279" s="190"/>
      <c r="D279" s="190"/>
      <c r="E279" s="190"/>
      <c r="F279" s="190"/>
      <c r="G279" s="191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/>
      <c r="C280" s="190"/>
      <c r="D280" s="190"/>
      <c r="E280" s="190"/>
      <c r="F280" s="190"/>
      <c r="G280" s="191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/>
      <c r="C281" s="190"/>
      <c r="D281" s="190"/>
      <c r="E281" s="190"/>
      <c r="F281" s="190"/>
      <c r="G281" s="191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/>
      <c r="C282" s="190"/>
      <c r="D282" s="190"/>
      <c r="E282" s="190"/>
      <c r="F282" s="190"/>
      <c r="G282" s="191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/>
      <c r="C283" s="190"/>
      <c r="D283" s="190"/>
      <c r="E283" s="190"/>
      <c r="F283" s="190"/>
      <c r="G283" s="191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/>
      <c r="C284" s="190"/>
      <c r="D284" s="190"/>
      <c r="E284" s="190"/>
      <c r="F284" s="190"/>
      <c r="G284" s="191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/>
      <c r="C285" s="190"/>
      <c r="D285" s="190"/>
      <c r="E285" s="190"/>
      <c r="F285" s="190"/>
      <c r="G285" s="191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/>
      <c r="C286" s="190"/>
      <c r="D286" s="190"/>
      <c r="E286" s="190"/>
      <c r="F286" s="190"/>
      <c r="G286" s="191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/>
      <c r="C287" s="190"/>
      <c r="D287" s="190"/>
      <c r="E287" s="190"/>
      <c r="F287" s="190"/>
      <c r="G287" s="191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/>
      <c r="C288" s="190"/>
      <c r="D288" s="190"/>
      <c r="E288" s="190"/>
      <c r="F288" s="190"/>
      <c r="G288" s="191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/>
      <c r="C289" s="190"/>
      <c r="D289" s="190"/>
      <c r="E289" s="190"/>
      <c r="F289" s="190"/>
      <c r="G289" s="19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/>
      <c r="C290" s="190"/>
      <c r="D290" s="190"/>
      <c r="E290" s="190"/>
      <c r="F290" s="190"/>
      <c r="G290" s="191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/>
      <c r="C291" s="190"/>
      <c r="D291" s="190"/>
      <c r="E291" s="190"/>
      <c r="F291" s="190"/>
      <c r="G291" s="191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/>
      <c r="C292" s="190"/>
      <c r="D292" s="190"/>
      <c r="E292" s="190"/>
      <c r="F292" s="190"/>
      <c r="G292" s="191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/>
      <c r="C293" s="190"/>
      <c r="D293" s="190"/>
      <c r="E293" s="190"/>
      <c r="F293" s="190"/>
      <c r="G293" s="191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/>
      <c r="C294" s="190"/>
      <c r="D294" s="190"/>
      <c r="E294" s="190"/>
      <c r="F294" s="190"/>
      <c r="G294" s="191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/>
      <c r="C295" s="190"/>
      <c r="D295" s="190"/>
      <c r="E295" s="190"/>
      <c r="F295" s="190"/>
      <c r="G295" s="191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/>
      <c r="C296" s="190"/>
      <c r="D296" s="190"/>
      <c r="E296" s="190"/>
      <c r="F296" s="190"/>
      <c r="G296" s="19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/>
      <c r="C297" s="190"/>
      <c r="D297" s="190"/>
      <c r="E297" s="190"/>
      <c r="F297" s="190"/>
      <c r="G297" s="191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/>
      <c r="C298" s="190"/>
      <c r="D298" s="190"/>
      <c r="E298" s="190"/>
      <c r="F298" s="190"/>
      <c r="G298" s="191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/>
      <c r="C299" s="190"/>
      <c r="D299" s="190"/>
      <c r="E299" s="190"/>
      <c r="F299" s="190"/>
      <c r="G299" s="191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/>
      <c r="C300" s="190"/>
      <c r="D300" s="190"/>
      <c r="E300" s="190"/>
      <c r="F300" s="190"/>
      <c r="G300" s="191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/>
      <c r="C301" s="190"/>
      <c r="D301" s="190"/>
      <c r="E301" s="190"/>
      <c r="F301" s="190"/>
      <c r="G301" s="191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/>
      <c r="C302" s="190"/>
      <c r="D302" s="190"/>
      <c r="E302" s="190"/>
      <c r="F302" s="190"/>
      <c r="G302" s="191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/>
      <c r="C303" s="190"/>
      <c r="D303" s="190"/>
      <c r="E303" s="190"/>
      <c r="F303" s="190"/>
      <c r="G303" s="191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/>
      <c r="C304" s="190"/>
      <c r="D304" s="190"/>
      <c r="E304" s="190"/>
      <c r="F304" s="190"/>
      <c r="G304" s="19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/>
      <c r="C305" s="190"/>
      <c r="D305" s="190"/>
      <c r="E305" s="190"/>
      <c r="F305" s="190"/>
      <c r="G305" s="191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/>
      <c r="C306" s="190"/>
      <c r="D306" s="190"/>
      <c r="E306" s="190"/>
      <c r="F306" s="190"/>
      <c r="G306" s="191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/>
      <c r="C307" s="190"/>
      <c r="D307" s="190"/>
      <c r="E307" s="190"/>
      <c r="F307" s="190"/>
      <c r="G307" s="191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/>
      <c r="C308" s="190"/>
      <c r="D308" s="190"/>
      <c r="E308" s="190"/>
      <c r="F308" s="190"/>
      <c r="G308" s="191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/>
      <c r="C309" s="190"/>
      <c r="D309" s="190"/>
      <c r="E309" s="190"/>
      <c r="F309" s="190"/>
      <c r="G309" s="191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/>
      <c r="C310" s="190"/>
      <c r="D310" s="190"/>
      <c r="E310" s="190"/>
      <c r="F310" s="190"/>
      <c r="G310" s="191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/>
      <c r="C311" s="190"/>
      <c r="D311" s="190"/>
      <c r="E311" s="190"/>
      <c r="F311" s="190"/>
      <c r="G311" s="191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/>
      <c r="C312" s="190"/>
      <c r="D312" s="190"/>
      <c r="E312" s="190"/>
      <c r="F312" s="190"/>
      <c r="G312" s="191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/>
      <c r="C313" s="190"/>
      <c r="D313" s="190"/>
      <c r="E313" s="190"/>
      <c r="F313" s="190"/>
      <c r="G313" s="191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/>
      <c r="C314" s="190"/>
      <c r="D314" s="190"/>
      <c r="E314" s="190"/>
      <c r="F314" s="190"/>
      <c r="G314" s="191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/>
      <c r="C315" s="190"/>
      <c r="D315" s="190"/>
      <c r="E315" s="190"/>
      <c r="F315" s="190"/>
      <c r="G315" s="191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/>
      <c r="C316" s="190"/>
      <c r="D316" s="190"/>
      <c r="E316" s="190"/>
      <c r="F316" s="190"/>
      <c r="G316" s="191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/>
      <c r="C317" s="190"/>
      <c r="D317" s="190"/>
      <c r="E317" s="190"/>
      <c r="F317" s="190"/>
      <c r="G317" s="191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/>
      <c r="C318" s="190"/>
      <c r="D318" s="190"/>
      <c r="E318" s="190"/>
      <c r="F318" s="190"/>
      <c r="G318" s="191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/>
      <c r="C319" s="190"/>
      <c r="D319" s="190"/>
      <c r="E319" s="190"/>
      <c r="F319" s="190"/>
      <c r="G319" s="191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/>
      <c r="C320" s="190"/>
      <c r="D320" s="190"/>
      <c r="E320" s="190"/>
      <c r="F320" s="190"/>
      <c r="G320" s="191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/>
      <c r="C321" s="190"/>
      <c r="D321" s="190"/>
      <c r="E321" s="190"/>
      <c r="F321" s="190"/>
      <c r="G321" s="191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/>
      <c r="C322" s="190"/>
      <c r="D322" s="190"/>
      <c r="E322" s="190"/>
      <c r="F322" s="190"/>
      <c r="G322" s="191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/>
      <c r="C323" s="190"/>
      <c r="D323" s="190"/>
      <c r="E323" s="190"/>
      <c r="F323" s="190"/>
      <c r="G323" s="191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/>
      <c r="C324" s="190"/>
      <c r="D324" s="190"/>
      <c r="E324" s="190"/>
      <c r="F324" s="190"/>
      <c r="G324" s="191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/>
      <c r="C325" s="190"/>
      <c r="D325" s="190"/>
      <c r="E325" s="190"/>
      <c r="F325" s="190"/>
      <c r="G325" s="191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/>
      <c r="C326" s="190"/>
      <c r="D326" s="190"/>
      <c r="E326" s="190"/>
      <c r="F326" s="190"/>
      <c r="G326" s="191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/>
      <c r="C327" s="190"/>
      <c r="D327" s="190"/>
      <c r="E327" s="190"/>
      <c r="F327" s="190"/>
      <c r="G327" s="191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/>
      <c r="C328" s="190"/>
      <c r="D328" s="190"/>
      <c r="E328" s="190"/>
      <c r="F328" s="190"/>
      <c r="G328" s="191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/>
      <c r="C329" s="190"/>
      <c r="D329" s="190"/>
      <c r="E329" s="190"/>
      <c r="F329" s="190"/>
      <c r="G329" s="191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/>
      <c r="C330" s="190"/>
      <c r="D330" s="190"/>
      <c r="E330" s="190"/>
      <c r="F330" s="190"/>
      <c r="G330" s="191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/>
      <c r="C331" s="190"/>
      <c r="D331" s="190"/>
      <c r="E331" s="190"/>
      <c r="F331" s="190"/>
      <c r="G331" s="191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/>
      <c r="C332" s="190"/>
      <c r="D332" s="190"/>
      <c r="E332" s="190"/>
      <c r="F332" s="190"/>
      <c r="G332" s="191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/>
      <c r="C333" s="190"/>
      <c r="D333" s="190"/>
      <c r="E333" s="190"/>
      <c r="F333" s="190"/>
      <c r="G333" s="191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/>
      <c r="C334" s="190"/>
      <c r="D334" s="190"/>
      <c r="E334" s="190"/>
      <c r="F334" s="190"/>
      <c r="G334" s="191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/>
      <c r="C335" s="190"/>
      <c r="D335" s="190"/>
      <c r="E335" s="190"/>
      <c r="F335" s="190"/>
      <c r="G335" s="191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/>
      <c r="C336" s="190"/>
      <c r="D336" s="190"/>
      <c r="E336" s="190"/>
      <c r="F336" s="190"/>
      <c r="G336" s="191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/>
      <c r="C337" s="190"/>
      <c r="D337" s="190"/>
      <c r="E337" s="190"/>
      <c r="F337" s="190"/>
      <c r="G337" s="191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/>
      <c r="C338" s="190"/>
      <c r="D338" s="190"/>
      <c r="E338" s="190"/>
      <c r="F338" s="190"/>
      <c r="G338" s="191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/>
      <c r="C339" s="190"/>
      <c r="D339" s="190"/>
      <c r="E339" s="190"/>
      <c r="F339" s="190"/>
      <c r="G339" s="191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/>
      <c r="C340" s="190"/>
      <c r="D340" s="190"/>
      <c r="E340" s="190"/>
      <c r="F340" s="190"/>
      <c r="G340" s="191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/>
      <c r="C341" s="190"/>
      <c r="D341" s="190"/>
      <c r="E341" s="190"/>
      <c r="F341" s="190"/>
      <c r="G341" s="191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/>
      <c r="C342" s="190"/>
      <c r="D342" s="190"/>
      <c r="E342" s="190"/>
      <c r="F342" s="190"/>
      <c r="G342" s="191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/>
      <c r="C343" s="190"/>
      <c r="D343" s="190"/>
      <c r="E343" s="190"/>
      <c r="F343" s="190"/>
      <c r="G343" s="191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/>
      <c r="C344" s="190"/>
      <c r="D344" s="190"/>
      <c r="E344" s="190"/>
      <c r="F344" s="190"/>
      <c r="G344" s="191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/>
      <c r="C345" s="190"/>
      <c r="D345" s="190"/>
      <c r="E345" s="190"/>
      <c r="F345" s="190"/>
      <c r="G345" s="191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/>
      <c r="C346" s="190"/>
      <c r="D346" s="190"/>
      <c r="E346" s="190"/>
      <c r="F346" s="190"/>
      <c r="G346" s="191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/>
      <c r="C347" s="190"/>
      <c r="D347" s="190"/>
      <c r="E347" s="190"/>
      <c r="F347" s="190"/>
      <c r="G347" s="191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/>
      <c r="C348" s="190"/>
      <c r="D348" s="190"/>
      <c r="E348" s="190"/>
      <c r="F348" s="190"/>
      <c r="G348" s="191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/>
      <c r="C349" s="190"/>
      <c r="D349" s="190"/>
      <c r="E349" s="190"/>
      <c r="F349" s="190"/>
      <c r="G349" s="191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/>
      <c r="C350" s="190"/>
      <c r="D350" s="190"/>
      <c r="E350" s="190"/>
      <c r="F350" s="190"/>
      <c r="G350" s="191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/>
      <c r="C351" s="190"/>
      <c r="D351" s="190"/>
      <c r="E351" s="190"/>
      <c r="F351" s="190"/>
      <c r="G351" s="191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/>
      <c r="C352" s="190"/>
      <c r="D352" s="190"/>
      <c r="E352" s="190"/>
      <c r="F352" s="190"/>
      <c r="G352" s="191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/>
      <c r="C353" s="190"/>
      <c r="D353" s="190"/>
      <c r="E353" s="190"/>
      <c r="F353" s="190"/>
      <c r="G353" s="191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/>
      <c r="C354" s="190"/>
      <c r="D354" s="190"/>
      <c r="E354" s="190"/>
      <c r="F354" s="190"/>
      <c r="G354" s="191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/>
      <c r="C355" s="190"/>
      <c r="D355" s="190"/>
      <c r="E355" s="190"/>
      <c r="F355" s="190"/>
      <c r="G355" s="191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/>
      <c r="C356" s="190"/>
      <c r="D356" s="190"/>
      <c r="E356" s="190"/>
      <c r="F356" s="190"/>
      <c r="G356" s="191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/>
      <c r="C357" s="190"/>
      <c r="D357" s="190"/>
      <c r="E357" s="190"/>
      <c r="F357" s="190"/>
      <c r="G357" s="191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/>
      <c r="C358" s="190"/>
      <c r="D358" s="190"/>
      <c r="E358" s="190"/>
      <c r="F358" s="190"/>
      <c r="G358" s="191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/>
      <c r="C359" s="190"/>
      <c r="D359" s="190"/>
      <c r="E359" s="190"/>
      <c r="F359" s="190"/>
      <c r="G359" s="191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/>
      <c r="C360" s="190"/>
      <c r="D360" s="190"/>
      <c r="E360" s="190"/>
      <c r="F360" s="190"/>
      <c r="G360" s="191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/>
      <c r="C361" s="190"/>
      <c r="D361" s="190"/>
      <c r="E361" s="190"/>
      <c r="F361" s="190"/>
      <c r="G361" s="191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/>
      <c r="C362" s="190"/>
      <c r="D362" s="190"/>
      <c r="E362" s="190"/>
      <c r="F362" s="190"/>
      <c r="G362" s="191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/>
      <c r="C363" s="190"/>
      <c r="D363" s="190"/>
      <c r="E363" s="190"/>
      <c r="F363" s="190"/>
      <c r="G363" s="191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/>
      <c r="C364" s="190"/>
      <c r="D364" s="190"/>
      <c r="E364" s="190"/>
      <c r="F364" s="190"/>
      <c r="G364" s="191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/>
      <c r="C365" s="190"/>
      <c r="D365" s="190"/>
      <c r="E365" s="190"/>
      <c r="F365" s="190"/>
      <c r="G365" s="191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/>
      <c r="C366" s="190"/>
      <c r="D366" s="190"/>
      <c r="E366" s="190"/>
      <c r="F366" s="190"/>
      <c r="G366" s="191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/>
      <c r="C367" s="190"/>
      <c r="D367" s="190"/>
      <c r="E367" s="190"/>
      <c r="F367" s="190"/>
      <c r="G367" s="191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/>
      <c r="C368" s="190"/>
      <c r="D368" s="190"/>
      <c r="E368" s="190"/>
      <c r="F368" s="190"/>
      <c r="G368" s="191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/>
      <c r="C369" s="190"/>
      <c r="D369" s="190"/>
      <c r="E369" s="190"/>
      <c r="F369" s="190"/>
      <c r="G369" s="191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/>
      <c r="C370" s="190"/>
      <c r="D370" s="190"/>
      <c r="E370" s="190"/>
      <c r="F370" s="190"/>
      <c r="G370" s="191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/>
      <c r="C371" s="190"/>
      <c r="D371" s="190"/>
      <c r="E371" s="190"/>
      <c r="F371" s="190"/>
      <c r="G371" s="191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/>
      <c r="C372" s="190"/>
      <c r="D372" s="190"/>
      <c r="E372" s="190"/>
      <c r="F372" s="190"/>
      <c r="G372" s="191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/>
      <c r="C373" s="190"/>
      <c r="D373" s="190"/>
      <c r="E373" s="190"/>
      <c r="F373" s="190"/>
      <c r="G373" s="191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/>
      <c r="C374" s="190"/>
      <c r="D374" s="190"/>
      <c r="E374" s="190"/>
      <c r="F374" s="190"/>
      <c r="G374" s="191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/>
      <c r="C375" s="190"/>
      <c r="D375" s="190"/>
      <c r="E375" s="190"/>
      <c r="F375" s="190"/>
      <c r="G375" s="191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/>
      <c r="C376" s="190"/>
      <c r="D376" s="190"/>
      <c r="E376" s="190"/>
      <c r="F376" s="190"/>
      <c r="G376" s="191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/>
      <c r="C377" s="190"/>
      <c r="D377" s="190"/>
      <c r="E377" s="190"/>
      <c r="F377" s="190"/>
      <c r="G377" s="191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/>
      <c r="C378" s="190"/>
      <c r="D378" s="190"/>
      <c r="E378" s="190"/>
      <c r="F378" s="190"/>
      <c r="G378" s="19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/>
      <c r="C379" s="190"/>
      <c r="D379" s="190"/>
      <c r="E379" s="190"/>
      <c r="F379" s="190"/>
      <c r="G379" s="191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/>
      <c r="C380" s="190"/>
      <c r="D380" s="190"/>
      <c r="E380" s="190"/>
      <c r="F380" s="190"/>
      <c r="G380" s="191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/>
      <c r="C381" s="190"/>
      <c r="D381" s="190"/>
      <c r="E381" s="190"/>
      <c r="F381" s="190"/>
      <c r="G381" s="191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/>
      <c r="C382" s="190"/>
      <c r="D382" s="190"/>
      <c r="E382" s="190"/>
      <c r="F382" s="190"/>
      <c r="G382" s="191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/>
      <c r="C383" s="190"/>
      <c r="D383" s="190"/>
      <c r="E383" s="190"/>
      <c r="F383" s="190"/>
      <c r="G383" s="191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/>
      <c r="C384" s="190"/>
      <c r="D384" s="190"/>
      <c r="E384" s="190"/>
      <c r="F384" s="190"/>
      <c r="G384" s="191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/>
      <c r="C385" s="190"/>
      <c r="D385" s="190"/>
      <c r="E385" s="190"/>
      <c r="F385" s="190"/>
      <c r="G385" s="191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/>
      <c r="C386" s="190"/>
      <c r="D386" s="190"/>
      <c r="E386" s="190"/>
      <c r="F386" s="190"/>
      <c r="G386" s="191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/>
      <c r="C387" s="190"/>
      <c r="D387" s="190"/>
      <c r="E387" s="190"/>
      <c r="F387" s="190"/>
      <c r="G387" s="191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/>
      <c r="C388" s="190"/>
      <c r="D388" s="190"/>
      <c r="E388" s="190"/>
      <c r="F388" s="190"/>
      <c r="G388" s="191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/>
      <c r="C389" s="190"/>
      <c r="D389" s="190"/>
      <c r="E389" s="190"/>
      <c r="F389" s="190"/>
      <c r="G389" s="191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/>
      <c r="C390" s="190"/>
      <c r="D390" s="190"/>
      <c r="E390" s="190"/>
      <c r="F390" s="190"/>
      <c r="G390" s="191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/>
      <c r="C391" s="190"/>
      <c r="D391" s="190"/>
      <c r="E391" s="190"/>
      <c r="F391" s="190"/>
      <c r="G391" s="191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/>
      <c r="C392" s="190"/>
      <c r="D392" s="190"/>
      <c r="E392" s="190"/>
      <c r="F392" s="190"/>
      <c r="G392" s="191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/>
      <c r="C393" s="190"/>
      <c r="D393" s="190"/>
      <c r="E393" s="190"/>
      <c r="F393" s="190"/>
      <c r="G393" s="191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/>
      <c r="C394" s="190"/>
      <c r="D394" s="190"/>
      <c r="E394" s="190"/>
      <c r="F394" s="190"/>
      <c r="G394" s="191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/>
      <c r="C395" s="190"/>
      <c r="D395" s="190"/>
      <c r="E395" s="190"/>
      <c r="F395" s="190"/>
      <c r="G395" s="191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/>
      <c r="C396" s="190"/>
      <c r="D396" s="190"/>
      <c r="E396" s="190"/>
      <c r="F396" s="190"/>
      <c r="G396" s="191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/>
      <c r="C397" s="190"/>
      <c r="D397" s="190"/>
      <c r="E397" s="190"/>
      <c r="F397" s="190"/>
      <c r="G397" s="191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/>
      <c r="C398" s="190"/>
      <c r="D398" s="190"/>
      <c r="E398" s="190"/>
      <c r="F398" s="190"/>
      <c r="G398" s="191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/>
      <c r="C399" s="190"/>
      <c r="D399" s="190"/>
      <c r="E399" s="190"/>
      <c r="F399" s="190"/>
      <c r="G399" s="191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/>
      <c r="C400" s="190"/>
      <c r="D400" s="190"/>
      <c r="E400" s="190"/>
      <c r="F400" s="190"/>
      <c r="G400" s="191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/>
      <c r="C401" s="190"/>
      <c r="D401" s="190"/>
      <c r="E401" s="190"/>
      <c r="F401" s="190"/>
      <c r="G401" s="191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/>
      <c r="C402" s="190"/>
      <c r="D402" s="190"/>
      <c r="E402" s="190"/>
      <c r="F402" s="190"/>
      <c r="G402" s="191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/>
      <c r="C403" s="190"/>
      <c r="D403" s="190"/>
      <c r="E403" s="190"/>
      <c r="F403" s="190"/>
      <c r="G403" s="191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/>
      <c r="C404" s="190"/>
      <c r="D404" s="190"/>
      <c r="E404" s="190"/>
      <c r="F404" s="190"/>
      <c r="G404" s="191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/>
      <c r="C405" s="190"/>
      <c r="D405" s="190"/>
      <c r="E405" s="190"/>
      <c r="F405" s="190"/>
      <c r="G405" s="191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/>
      <c r="C406" s="190"/>
      <c r="D406" s="190"/>
      <c r="E406" s="190"/>
      <c r="F406" s="190"/>
      <c r="G406" s="191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/>
      <c r="C407" s="190"/>
      <c r="D407" s="190"/>
      <c r="E407" s="190"/>
      <c r="F407" s="190"/>
      <c r="G407" s="191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/>
      <c r="C408" s="190"/>
      <c r="D408" s="190"/>
      <c r="E408" s="190"/>
      <c r="F408" s="190"/>
      <c r="G408" s="191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/>
      <c r="C409" s="190"/>
      <c r="D409" s="190"/>
      <c r="E409" s="190"/>
      <c r="F409" s="190"/>
      <c r="G409" s="191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/>
      <c r="C410" s="190"/>
      <c r="D410" s="190"/>
      <c r="E410" s="190"/>
      <c r="F410" s="190"/>
      <c r="G410" s="191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/>
      <c r="C411" s="190"/>
      <c r="D411" s="190"/>
      <c r="E411" s="190"/>
      <c r="F411" s="190"/>
      <c r="G411" s="191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/>
      <c r="C412" s="190"/>
      <c r="D412" s="190"/>
      <c r="E412" s="190"/>
      <c r="F412" s="190"/>
      <c r="G412" s="191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/>
      <c r="C413" s="190"/>
      <c r="D413" s="190"/>
      <c r="E413" s="190"/>
      <c r="F413" s="190"/>
      <c r="G413" s="191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/>
      <c r="C414" s="190"/>
      <c r="D414" s="190"/>
      <c r="E414" s="190"/>
      <c r="F414" s="190"/>
      <c r="G414" s="191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/>
      <c r="C415" s="190"/>
      <c r="D415" s="190"/>
      <c r="E415" s="190"/>
      <c r="F415" s="190"/>
      <c r="G415" s="191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/>
      <c r="C416" s="190"/>
      <c r="D416" s="190"/>
      <c r="E416" s="190"/>
      <c r="F416" s="190"/>
      <c r="G416" s="191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/>
      <c r="C417" s="190"/>
      <c r="D417" s="190"/>
      <c r="E417" s="190"/>
      <c r="F417" s="190"/>
      <c r="G417" s="191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/>
      <c r="C418" s="190"/>
      <c r="D418" s="190"/>
      <c r="E418" s="190"/>
      <c r="F418" s="190"/>
      <c r="G418" s="191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/>
      <c r="C419" s="190"/>
      <c r="D419" s="190"/>
      <c r="E419" s="190"/>
      <c r="F419" s="190"/>
      <c r="G419" s="191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/>
      <c r="C420" s="190"/>
      <c r="D420" s="190"/>
      <c r="E420" s="190"/>
      <c r="F420" s="190"/>
      <c r="G420" s="191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/>
      <c r="C421" s="190"/>
      <c r="D421" s="190"/>
      <c r="E421" s="190"/>
      <c r="F421" s="190"/>
      <c r="G421" s="191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/>
      <c r="C422" s="190"/>
      <c r="D422" s="190"/>
      <c r="E422" s="190"/>
      <c r="F422" s="190"/>
      <c r="G422" s="191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/>
      <c r="C423" s="190"/>
      <c r="D423" s="190"/>
      <c r="E423" s="190"/>
      <c r="F423" s="190"/>
      <c r="G423" s="191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/>
      <c r="C424" s="190"/>
      <c r="D424" s="190"/>
      <c r="E424" s="190"/>
      <c r="F424" s="190"/>
      <c r="G424" s="191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/>
      <c r="C425" s="190"/>
      <c r="D425" s="190"/>
      <c r="E425" s="190"/>
      <c r="F425" s="190"/>
      <c r="G425" s="191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/>
      <c r="C426" s="190"/>
      <c r="D426" s="190"/>
      <c r="E426" s="190"/>
      <c r="F426" s="190"/>
      <c r="G426" s="191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/>
      <c r="C427" s="190"/>
      <c r="D427" s="190"/>
      <c r="E427" s="190"/>
      <c r="F427" s="190"/>
      <c r="G427" s="191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/>
      <c r="C428" s="190"/>
      <c r="D428" s="190"/>
      <c r="E428" s="190"/>
      <c r="F428" s="190"/>
      <c r="G428" s="191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/>
      <c r="C429" s="190"/>
      <c r="D429" s="190"/>
      <c r="E429" s="190"/>
      <c r="F429" s="190"/>
      <c r="G429" s="191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/>
      <c r="C430" s="190"/>
      <c r="D430" s="190"/>
      <c r="E430" s="190"/>
      <c r="F430" s="190"/>
      <c r="G430" s="191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/>
      <c r="C431" s="190"/>
      <c r="D431" s="190"/>
      <c r="E431" s="190"/>
      <c r="F431" s="190"/>
      <c r="G431" s="191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/>
      <c r="C432" s="190"/>
      <c r="D432" s="190"/>
      <c r="E432" s="190"/>
      <c r="F432" s="190"/>
      <c r="G432" s="191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/>
      <c r="C433" s="190"/>
      <c r="D433" s="190"/>
      <c r="E433" s="190"/>
      <c r="F433" s="190"/>
      <c r="G433" s="191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/>
      <c r="C434" s="190"/>
      <c r="D434" s="190"/>
      <c r="E434" s="190"/>
      <c r="F434" s="190"/>
      <c r="G434" s="191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/>
      <c r="C435" s="190"/>
      <c r="D435" s="190"/>
      <c r="E435" s="190"/>
      <c r="F435" s="190"/>
      <c r="G435" s="191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/>
      <c r="C436" s="190"/>
      <c r="D436" s="190"/>
      <c r="E436" s="190"/>
      <c r="F436" s="190"/>
      <c r="G436" s="191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/>
      <c r="C437" s="190"/>
      <c r="D437" s="190"/>
      <c r="E437" s="190"/>
      <c r="F437" s="190"/>
      <c r="G437" s="191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/>
      <c r="C438" s="190"/>
      <c r="D438" s="190"/>
      <c r="E438" s="190"/>
      <c r="F438" s="190"/>
      <c r="G438" s="191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/>
      <c r="C439" s="190"/>
      <c r="D439" s="190"/>
      <c r="E439" s="190"/>
      <c r="F439" s="190"/>
      <c r="G439" s="191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/>
      <c r="C440" s="190"/>
      <c r="D440" s="190"/>
      <c r="E440" s="190"/>
      <c r="F440" s="190"/>
      <c r="G440" s="191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/>
      <c r="C441" s="190"/>
      <c r="D441" s="190"/>
      <c r="E441" s="190"/>
      <c r="F441" s="190"/>
      <c r="G441" s="191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/>
      <c r="C442" s="190"/>
      <c r="D442" s="190"/>
      <c r="E442" s="190"/>
      <c r="F442" s="190"/>
      <c r="G442" s="191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/>
      <c r="C443" s="190"/>
      <c r="D443" s="190"/>
      <c r="E443" s="190"/>
      <c r="F443" s="190"/>
      <c r="G443" s="191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/>
      <c r="C444" s="190"/>
      <c r="D444" s="190"/>
      <c r="E444" s="190"/>
      <c r="F444" s="190"/>
      <c r="G444" s="191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/>
      <c r="C445" s="190"/>
      <c r="D445" s="190"/>
      <c r="E445" s="190"/>
      <c r="F445" s="190"/>
      <c r="G445" s="191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/>
      <c r="C446" s="190"/>
      <c r="D446" s="190"/>
      <c r="E446" s="190"/>
      <c r="F446" s="190"/>
      <c r="G446" s="191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/>
      <c r="C447" s="190"/>
      <c r="D447" s="190"/>
      <c r="E447" s="190"/>
      <c r="F447" s="190"/>
      <c r="G447" s="191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/>
      <c r="C448" s="190"/>
      <c r="D448" s="190"/>
      <c r="E448" s="190"/>
      <c r="F448" s="190"/>
      <c r="G448" s="191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/>
      <c r="C449" s="190"/>
      <c r="D449" s="190"/>
      <c r="E449" s="190"/>
      <c r="F449" s="190"/>
      <c r="G449" s="191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/>
      <c r="C450" s="190"/>
      <c r="D450" s="190"/>
      <c r="E450" s="190"/>
      <c r="F450" s="190"/>
      <c r="G450" s="191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/>
      <c r="C451" s="190"/>
      <c r="D451" s="190"/>
      <c r="E451" s="190"/>
      <c r="F451" s="190"/>
      <c r="G451" s="191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/>
      <c r="C452" s="190"/>
      <c r="D452" s="190"/>
      <c r="E452" s="190"/>
      <c r="F452" s="190"/>
      <c r="G452" s="191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/>
      <c r="C453" s="190"/>
      <c r="D453" s="190"/>
      <c r="E453" s="190"/>
      <c r="F453" s="190"/>
      <c r="G453" s="191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/>
      <c r="C454" s="190"/>
      <c r="D454" s="190"/>
      <c r="E454" s="190"/>
      <c r="F454" s="190"/>
      <c r="G454" s="191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/>
      <c r="C455" s="190"/>
      <c r="D455" s="190"/>
      <c r="E455" s="190"/>
      <c r="F455" s="190"/>
      <c r="G455" s="191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/>
      <c r="C456" s="190"/>
      <c r="D456" s="190"/>
      <c r="E456" s="190"/>
      <c r="F456" s="190"/>
      <c r="G456" s="191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/>
      <c r="C457" s="190"/>
      <c r="D457" s="190"/>
      <c r="E457" s="190"/>
      <c r="F457" s="190"/>
      <c r="G457" s="191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/>
      <c r="C458" s="190"/>
      <c r="D458" s="190"/>
      <c r="E458" s="190"/>
      <c r="F458" s="190"/>
      <c r="G458" s="191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/>
      <c r="C459" s="190"/>
      <c r="D459" s="190"/>
      <c r="E459" s="190"/>
      <c r="F459" s="190"/>
      <c r="G459" s="191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/>
      <c r="C460" s="190"/>
      <c r="D460" s="190"/>
      <c r="E460" s="190"/>
      <c r="F460" s="190"/>
      <c r="G460" s="191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/>
      <c r="C461" s="190"/>
      <c r="D461" s="190"/>
      <c r="E461" s="190"/>
      <c r="F461" s="190"/>
      <c r="G461" s="191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/>
      <c r="C462" s="190"/>
      <c r="D462" s="190"/>
      <c r="E462" s="190"/>
      <c r="F462" s="190"/>
      <c r="G462" s="191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/>
      <c r="C463" s="190"/>
      <c r="D463" s="190"/>
      <c r="E463" s="190"/>
      <c r="F463" s="190"/>
      <c r="G463" s="191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/>
      <c r="C464" s="190"/>
      <c r="D464" s="190"/>
      <c r="E464" s="190"/>
      <c r="F464" s="190"/>
      <c r="G464" s="191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/>
      <c r="C465" s="190"/>
      <c r="D465" s="190"/>
      <c r="E465" s="190"/>
      <c r="F465" s="190"/>
      <c r="G465" s="191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/>
      <c r="C466" s="190"/>
      <c r="D466" s="190"/>
      <c r="E466" s="190"/>
      <c r="F466" s="190"/>
      <c r="G466" s="191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/>
      <c r="C467" s="190"/>
      <c r="D467" s="190"/>
      <c r="E467" s="190"/>
      <c r="F467" s="190"/>
      <c r="G467" s="191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/>
      <c r="C468" s="190"/>
      <c r="D468" s="190"/>
      <c r="E468" s="190"/>
      <c r="F468" s="190"/>
      <c r="G468" s="191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/>
      <c r="C469" s="190"/>
      <c r="D469" s="190"/>
      <c r="E469" s="190"/>
      <c r="F469" s="190"/>
      <c r="G469" s="191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/>
      <c r="C470" s="190"/>
      <c r="D470" s="190"/>
      <c r="E470" s="190"/>
      <c r="F470" s="190"/>
      <c r="G470" s="191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/>
      <c r="C471" s="190"/>
      <c r="D471" s="190"/>
      <c r="E471" s="190"/>
      <c r="F471" s="190"/>
      <c r="G471" s="191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/>
      <c r="C472" s="190"/>
      <c r="D472" s="190"/>
      <c r="E472" s="190"/>
      <c r="F472" s="190"/>
      <c r="G472" s="191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/>
      <c r="C473" s="190"/>
      <c r="D473" s="190"/>
      <c r="E473" s="190"/>
      <c r="F473" s="190"/>
      <c r="G473" s="191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/>
      <c r="C474" s="190"/>
      <c r="D474" s="190"/>
      <c r="E474" s="190"/>
      <c r="F474" s="190"/>
      <c r="G474" s="191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/>
      <c r="C475" s="190"/>
      <c r="D475" s="190"/>
      <c r="E475" s="190"/>
      <c r="F475" s="190"/>
      <c r="G475" s="191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/>
      <c r="C476" s="190"/>
      <c r="D476" s="190"/>
      <c r="E476" s="190"/>
      <c r="F476" s="190"/>
      <c r="G476" s="191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/>
      <c r="C477" s="190"/>
      <c r="D477" s="190"/>
      <c r="E477" s="190"/>
      <c r="F477" s="190"/>
      <c r="G477" s="191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/>
      <c r="C478" s="190"/>
      <c r="D478" s="190"/>
      <c r="E478" s="190"/>
      <c r="F478" s="190"/>
      <c r="G478" s="191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/>
      <c r="C479" s="190"/>
      <c r="D479" s="190"/>
      <c r="E479" s="190"/>
      <c r="F479" s="190"/>
      <c r="G479" s="191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/>
      <c r="C480" s="190"/>
      <c r="D480" s="190"/>
      <c r="E480" s="190"/>
      <c r="F480" s="190"/>
      <c r="G480" s="191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/>
      <c r="C481" s="190"/>
      <c r="D481" s="190"/>
      <c r="E481" s="190"/>
      <c r="F481" s="190"/>
      <c r="G481" s="191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/>
      <c r="C482" s="190"/>
      <c r="D482" s="190"/>
      <c r="E482" s="190"/>
      <c r="F482" s="190"/>
      <c r="G482" s="191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/>
      <c r="C483" s="190"/>
      <c r="D483" s="190"/>
      <c r="E483" s="190"/>
      <c r="F483" s="190"/>
      <c r="G483" s="191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/>
      <c r="C484" s="190"/>
      <c r="D484" s="190"/>
      <c r="E484" s="190"/>
      <c r="F484" s="190"/>
      <c r="G484" s="191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/>
      <c r="C485" s="190"/>
      <c r="D485" s="190"/>
      <c r="E485" s="190"/>
      <c r="F485" s="190"/>
      <c r="G485" s="191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/>
      <c r="C486" s="190"/>
      <c r="D486" s="190"/>
      <c r="E486" s="190"/>
      <c r="F486" s="190"/>
      <c r="G486" s="191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/>
      <c r="C487" s="190"/>
      <c r="D487" s="190"/>
      <c r="E487" s="190"/>
      <c r="F487" s="190"/>
      <c r="G487" s="191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/>
      <c r="C488" s="190"/>
      <c r="D488" s="190"/>
      <c r="E488" s="190"/>
      <c r="F488" s="190"/>
      <c r="G488" s="191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/>
      <c r="C489" s="190"/>
      <c r="D489" s="190"/>
      <c r="E489" s="190"/>
      <c r="F489" s="190"/>
      <c r="G489" s="191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/>
      <c r="C490" s="190"/>
      <c r="D490" s="190"/>
      <c r="E490" s="190"/>
      <c r="F490" s="190"/>
      <c r="G490" s="191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/>
      <c r="C491" s="190"/>
      <c r="D491" s="190"/>
      <c r="E491" s="190"/>
      <c r="F491" s="190"/>
      <c r="G491" s="191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/>
      <c r="C492" s="190"/>
      <c r="D492" s="190"/>
      <c r="E492" s="190"/>
      <c r="F492" s="190"/>
      <c r="G492" s="191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/>
      <c r="C493" s="190"/>
      <c r="D493" s="190"/>
      <c r="E493" s="190"/>
      <c r="F493" s="190"/>
      <c r="G493" s="191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/>
      <c r="C494" s="190"/>
      <c r="D494" s="190"/>
      <c r="E494" s="190"/>
      <c r="F494" s="190"/>
      <c r="G494" s="191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/>
      <c r="C495" s="190"/>
      <c r="D495" s="190"/>
      <c r="E495" s="190"/>
      <c r="F495" s="190"/>
      <c r="G495" s="191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/>
      <c r="C496" s="190"/>
      <c r="D496" s="190"/>
      <c r="E496" s="190"/>
      <c r="F496" s="190"/>
      <c r="G496" s="191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/>
      <c r="C497" s="190"/>
      <c r="D497" s="190"/>
      <c r="E497" s="190"/>
      <c r="F497" s="190"/>
      <c r="G497" s="191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/>
      <c r="C498" s="190"/>
      <c r="D498" s="190"/>
      <c r="E498" s="190"/>
      <c r="F498" s="190"/>
      <c r="G498" s="191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/>
      <c r="C499" s="190"/>
      <c r="D499" s="190"/>
      <c r="E499" s="190"/>
      <c r="F499" s="190"/>
      <c r="G499" s="191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/>
      <c r="C500" s="190"/>
      <c r="D500" s="190"/>
      <c r="E500" s="190"/>
      <c r="F500" s="190"/>
      <c r="G500" s="191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/>
      <c r="C501" s="190"/>
      <c r="D501" s="190"/>
      <c r="E501" s="190"/>
      <c r="F501" s="190"/>
      <c r="G501" s="191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/>
      <c r="C502" s="190"/>
      <c r="D502" s="190"/>
      <c r="E502" s="190"/>
      <c r="F502" s="190"/>
      <c r="G502" s="191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/>
      <c r="C503" s="190"/>
      <c r="D503" s="190"/>
      <c r="E503" s="190"/>
      <c r="F503" s="190"/>
      <c r="G503" s="191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/>
      <c r="C504" s="190"/>
      <c r="D504" s="190"/>
      <c r="E504" s="190"/>
      <c r="F504" s="190"/>
      <c r="G504" s="191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/>
      <c r="C505" s="190"/>
      <c r="D505" s="190"/>
      <c r="E505" s="190"/>
      <c r="F505" s="190"/>
      <c r="G505" s="191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/>
      <c r="C506" s="190"/>
      <c r="D506" s="190"/>
      <c r="E506" s="190"/>
      <c r="F506" s="190"/>
      <c r="G506" s="191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/>
      <c r="C507" s="190"/>
      <c r="D507" s="190"/>
      <c r="E507" s="190"/>
      <c r="F507" s="190"/>
      <c r="G507" s="191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/>
      <c r="C508" s="190"/>
      <c r="D508" s="190"/>
      <c r="E508" s="190"/>
      <c r="F508" s="190"/>
      <c r="G508" s="191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/>
      <c r="C509" s="190"/>
      <c r="D509" s="190"/>
      <c r="E509" s="190"/>
      <c r="F509" s="190"/>
      <c r="G509" s="191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/>
      <c r="C510" s="190"/>
      <c r="D510" s="190"/>
      <c r="E510" s="190"/>
      <c r="F510" s="190"/>
      <c r="G510" s="191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/>
      <c r="C511" s="190"/>
      <c r="D511" s="190"/>
      <c r="E511" s="190"/>
      <c r="F511" s="190"/>
      <c r="G511" s="191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/>
      <c r="C512" s="190"/>
      <c r="D512" s="190"/>
      <c r="E512" s="190"/>
      <c r="F512" s="190"/>
      <c r="G512" s="191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/>
      <c r="C513" s="190"/>
      <c r="D513" s="190"/>
      <c r="E513" s="190"/>
      <c r="F513" s="190"/>
      <c r="G513" s="191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/>
      <c r="C514" s="190"/>
      <c r="D514" s="190"/>
      <c r="E514" s="190"/>
      <c r="F514" s="190"/>
      <c r="G514" s="191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/>
      <c r="C515" s="190"/>
      <c r="D515" s="190"/>
      <c r="E515" s="190"/>
      <c r="F515" s="190"/>
      <c r="G515" s="191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/>
      <c r="C516" s="190"/>
      <c r="D516" s="190"/>
      <c r="E516" s="190"/>
      <c r="F516" s="190"/>
      <c r="G516" s="191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/>
      <c r="C517" s="190"/>
      <c r="D517" s="190"/>
      <c r="E517" s="190"/>
      <c r="F517" s="190"/>
      <c r="G517" s="191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/>
      <c r="C518" s="190"/>
      <c r="D518" s="190"/>
      <c r="E518" s="190"/>
      <c r="F518" s="190"/>
      <c r="G518" s="191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/>
      <c r="C519" s="190"/>
      <c r="D519" s="190"/>
      <c r="E519" s="190"/>
      <c r="F519" s="190"/>
      <c r="G519" s="191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/>
      <c r="C520" s="190"/>
      <c r="D520" s="190"/>
      <c r="E520" s="190"/>
      <c r="F520" s="190"/>
      <c r="G520" s="191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/>
      <c r="C521" s="190"/>
      <c r="D521" s="190"/>
      <c r="E521" s="190"/>
      <c r="F521" s="190"/>
      <c r="G521" s="191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/>
      <c r="C522" s="190"/>
      <c r="D522" s="190"/>
      <c r="E522" s="190"/>
      <c r="F522" s="190"/>
      <c r="G522" s="191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/>
      <c r="C523" s="190"/>
      <c r="D523" s="190"/>
      <c r="E523" s="190"/>
      <c r="F523" s="190"/>
      <c r="G523" s="191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/>
      <c r="C524" s="190"/>
      <c r="D524" s="190"/>
      <c r="E524" s="190"/>
      <c r="F524" s="190"/>
      <c r="G524" s="191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/>
      <c r="C525" s="190"/>
      <c r="D525" s="190"/>
      <c r="E525" s="190"/>
      <c r="F525" s="190"/>
      <c r="G525" s="191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/>
      <c r="C526" s="190"/>
      <c r="D526" s="190"/>
      <c r="E526" s="190"/>
      <c r="F526" s="190"/>
      <c r="G526" s="191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/>
      <c r="C527" s="190"/>
      <c r="D527" s="190"/>
      <c r="E527" s="190"/>
      <c r="F527" s="190"/>
      <c r="G527" s="191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/>
      <c r="C528" s="190"/>
      <c r="D528" s="190"/>
      <c r="E528" s="190"/>
      <c r="F528" s="190"/>
      <c r="G528" s="191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/>
      <c r="C529" s="190"/>
      <c r="D529" s="190"/>
      <c r="E529" s="190"/>
      <c r="F529" s="190"/>
      <c r="G529" s="191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/>
      <c r="C530" s="190"/>
      <c r="D530" s="190"/>
      <c r="E530" s="190"/>
      <c r="F530" s="190"/>
      <c r="G530" s="191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/>
      <c r="C531" s="190"/>
      <c r="D531" s="190"/>
      <c r="E531" s="190"/>
      <c r="F531" s="190"/>
      <c r="G531" s="191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/>
      <c r="C532" s="190"/>
      <c r="D532" s="190"/>
      <c r="E532" s="190"/>
      <c r="F532" s="190"/>
      <c r="G532" s="191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/>
      <c r="C533" s="190"/>
      <c r="D533" s="190"/>
      <c r="E533" s="190"/>
      <c r="F533" s="190"/>
      <c r="G533" s="191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/>
      <c r="C534" s="190"/>
      <c r="D534" s="190"/>
      <c r="E534" s="190"/>
      <c r="F534" s="190"/>
      <c r="G534" s="191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/>
      <c r="C535" s="190"/>
      <c r="D535" s="190"/>
      <c r="E535" s="190"/>
      <c r="F535" s="190"/>
      <c r="G535" s="191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/>
      <c r="C536" s="190"/>
      <c r="D536" s="190"/>
      <c r="E536" s="190"/>
      <c r="F536" s="190"/>
      <c r="G536" s="191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/>
      <c r="C537" s="190"/>
      <c r="D537" s="190"/>
      <c r="E537" s="190"/>
      <c r="F537" s="190"/>
      <c r="G537" s="191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/>
      <c r="C538" s="190"/>
      <c r="D538" s="190"/>
      <c r="E538" s="190"/>
      <c r="F538" s="190"/>
      <c r="G538" s="191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/>
      <c r="C539" s="190"/>
      <c r="D539" s="190"/>
      <c r="E539" s="190"/>
      <c r="F539" s="190"/>
      <c r="G539" s="191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/>
      <c r="C540" s="190"/>
      <c r="D540" s="190"/>
      <c r="E540" s="190"/>
      <c r="F540" s="190"/>
      <c r="G540" s="191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/>
      <c r="C541" s="190"/>
      <c r="D541" s="190"/>
      <c r="E541" s="190"/>
      <c r="F541" s="190"/>
      <c r="G541" s="191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/>
      <c r="C542" s="190"/>
      <c r="D542" s="190"/>
      <c r="E542" s="190"/>
      <c r="F542" s="190"/>
      <c r="G542" s="191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/>
      <c r="C543" s="190"/>
      <c r="D543" s="190"/>
      <c r="E543" s="190"/>
      <c r="F543" s="190"/>
      <c r="G543" s="191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/>
      <c r="C544" s="190"/>
      <c r="D544" s="190"/>
      <c r="E544" s="190"/>
      <c r="F544" s="190"/>
      <c r="G544" s="191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/>
      <c r="C545" s="190"/>
      <c r="D545" s="190"/>
      <c r="E545" s="190"/>
      <c r="F545" s="190"/>
      <c r="G545" s="191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/>
      <c r="C546" s="190"/>
      <c r="D546" s="190"/>
      <c r="E546" s="190"/>
      <c r="F546" s="190"/>
      <c r="G546" s="191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/>
      <c r="C547" s="190"/>
      <c r="D547" s="190"/>
      <c r="E547" s="190"/>
      <c r="F547" s="190"/>
      <c r="G547" s="191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/>
      <c r="C548" s="190"/>
      <c r="D548" s="190"/>
      <c r="E548" s="190"/>
      <c r="F548" s="190"/>
      <c r="G548" s="191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/>
      <c r="C549" s="190"/>
      <c r="D549" s="190"/>
      <c r="E549" s="190"/>
      <c r="F549" s="190"/>
      <c r="G549" s="191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/>
      <c r="C550" s="190"/>
      <c r="D550" s="190"/>
      <c r="E550" s="190"/>
      <c r="F550" s="190"/>
      <c r="G550" s="191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/>
      <c r="C551" s="190"/>
      <c r="D551" s="190"/>
      <c r="E551" s="190"/>
      <c r="F551" s="190"/>
      <c r="G551" s="191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/>
      <c r="C552" s="190"/>
      <c r="D552" s="190"/>
      <c r="E552" s="190"/>
      <c r="F552" s="190"/>
      <c r="G552" s="191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/>
      <c r="C553" s="190"/>
      <c r="D553" s="190"/>
      <c r="E553" s="190"/>
      <c r="F553" s="190"/>
      <c r="G553" s="191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/>
      <c r="C554" s="190"/>
      <c r="D554" s="190"/>
      <c r="E554" s="190"/>
      <c r="F554" s="190"/>
      <c r="G554" s="191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/>
      <c r="C555" s="190"/>
      <c r="D555" s="190"/>
      <c r="E555" s="190"/>
      <c r="F555" s="190"/>
      <c r="G555" s="191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/>
      <c r="C556" s="190"/>
      <c r="D556" s="190"/>
      <c r="E556" s="190"/>
      <c r="F556" s="190"/>
      <c r="G556" s="191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/>
      <c r="C557" s="190"/>
      <c r="D557" s="190"/>
      <c r="E557" s="190"/>
      <c r="F557" s="190"/>
      <c r="G557" s="191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/>
      <c r="C558" s="190"/>
      <c r="D558" s="190"/>
      <c r="E558" s="190"/>
      <c r="F558" s="190"/>
      <c r="G558" s="191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/>
      <c r="C559" s="190"/>
      <c r="D559" s="190"/>
      <c r="E559" s="190"/>
      <c r="F559" s="190"/>
      <c r="G559" s="191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/>
      <c r="C560" s="190"/>
      <c r="D560" s="190"/>
      <c r="E560" s="190"/>
      <c r="F560" s="190"/>
      <c r="G560" s="191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/>
      <c r="C561" s="190"/>
      <c r="D561" s="190"/>
      <c r="E561" s="190"/>
      <c r="F561" s="190"/>
      <c r="G561" s="191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/>
      <c r="C562" s="190"/>
      <c r="D562" s="190"/>
      <c r="E562" s="190"/>
      <c r="F562" s="190"/>
      <c r="G562" s="191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/>
      <c r="C563" s="190"/>
      <c r="D563" s="190"/>
      <c r="E563" s="190"/>
      <c r="F563" s="190"/>
      <c r="G563" s="191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/>
      <c r="C564" s="190"/>
      <c r="D564" s="190"/>
      <c r="E564" s="190"/>
      <c r="F564" s="190"/>
      <c r="G564" s="191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/>
      <c r="C565" s="190"/>
      <c r="D565" s="190"/>
      <c r="E565" s="190"/>
      <c r="F565" s="190"/>
      <c r="G565" s="191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/>
      <c r="C566" s="190"/>
      <c r="D566" s="190"/>
      <c r="E566" s="190"/>
      <c r="F566" s="190"/>
      <c r="G566" s="191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/>
      <c r="C567" s="190"/>
      <c r="D567" s="190"/>
      <c r="E567" s="190"/>
      <c r="F567" s="190"/>
      <c r="G567" s="191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/>
      <c r="C568" s="190"/>
      <c r="D568" s="190"/>
      <c r="E568" s="190"/>
      <c r="F568" s="190"/>
      <c r="G568" s="191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/>
      <c r="C569" s="190"/>
      <c r="D569" s="190"/>
      <c r="E569" s="190"/>
      <c r="F569" s="190"/>
      <c r="G569" s="191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/>
      <c r="C570" s="190"/>
      <c r="D570" s="190"/>
      <c r="E570" s="190"/>
      <c r="F570" s="190"/>
      <c r="G570" s="191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/>
      <c r="C571" s="190"/>
      <c r="D571" s="190"/>
      <c r="E571" s="190"/>
      <c r="F571" s="190"/>
      <c r="G571" s="191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/>
      <c r="C572" s="190"/>
      <c r="D572" s="190"/>
      <c r="E572" s="190"/>
      <c r="F572" s="190"/>
      <c r="G572" s="191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/>
      <c r="C573" s="190"/>
      <c r="D573" s="190"/>
      <c r="E573" s="190"/>
      <c r="F573" s="190"/>
      <c r="G573" s="191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/>
      <c r="C574" s="190"/>
      <c r="D574" s="190"/>
      <c r="E574" s="190"/>
      <c r="F574" s="190"/>
      <c r="G574" s="191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/>
      <c r="C575" s="190"/>
      <c r="D575" s="190"/>
      <c r="E575" s="190"/>
      <c r="F575" s="190"/>
      <c r="G575" s="191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/>
      <c r="C576" s="190"/>
      <c r="D576" s="190"/>
      <c r="E576" s="190"/>
      <c r="F576" s="190"/>
      <c r="G576" s="191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/>
      <c r="C577" s="190"/>
      <c r="D577" s="190"/>
      <c r="E577" s="190"/>
      <c r="F577" s="190"/>
      <c r="G577" s="191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/>
      <c r="C578" s="190"/>
      <c r="D578" s="190"/>
      <c r="E578" s="190"/>
      <c r="F578" s="190"/>
      <c r="G578" s="191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/>
      <c r="C579" s="190"/>
      <c r="D579" s="190"/>
      <c r="E579" s="190"/>
      <c r="F579" s="190"/>
      <c r="G579" s="191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/>
      <c r="C580" s="190"/>
      <c r="D580" s="190"/>
      <c r="E580" s="190"/>
      <c r="F580" s="190"/>
      <c r="G580" s="191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/>
      <c r="C581" s="190"/>
      <c r="D581" s="190"/>
      <c r="E581" s="190"/>
      <c r="F581" s="190"/>
      <c r="G581" s="191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/>
      <c r="C582" s="190"/>
      <c r="D582" s="190"/>
      <c r="E582" s="190"/>
      <c r="F582" s="190"/>
      <c r="G582" s="191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/>
      <c r="C583" s="190"/>
      <c r="D583" s="190"/>
      <c r="E583" s="190"/>
      <c r="F583" s="190"/>
      <c r="G583" s="191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/>
      <c r="C584" s="190"/>
      <c r="D584" s="190"/>
      <c r="E584" s="190"/>
      <c r="F584" s="190"/>
      <c r="G584" s="191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/>
      <c r="C585" s="190"/>
      <c r="D585" s="190"/>
      <c r="E585" s="190"/>
      <c r="F585" s="190"/>
      <c r="G585" s="191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/>
      <c r="C586" s="190"/>
      <c r="D586" s="190"/>
      <c r="E586" s="190"/>
      <c r="F586" s="190"/>
      <c r="G586" s="191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/>
      <c r="C587" s="190"/>
      <c r="D587" s="190"/>
      <c r="E587" s="190"/>
      <c r="F587" s="190"/>
      <c r="G587" s="191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/>
      <c r="C588" s="190"/>
      <c r="D588" s="190"/>
      <c r="E588" s="190"/>
      <c r="F588" s="190"/>
      <c r="G588" s="191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/>
      <c r="C589" s="190"/>
      <c r="D589" s="190"/>
      <c r="E589" s="190"/>
      <c r="F589" s="190"/>
      <c r="G589" s="191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/>
      <c r="C590" s="190"/>
      <c r="D590" s="190"/>
      <c r="E590" s="190"/>
      <c r="F590" s="190"/>
      <c r="G590" s="191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/>
      <c r="C591" s="190"/>
      <c r="D591" s="190"/>
      <c r="E591" s="190"/>
      <c r="F591" s="190"/>
      <c r="G591" s="191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/>
      <c r="C592" s="190"/>
      <c r="D592" s="190"/>
      <c r="E592" s="190"/>
      <c r="F592" s="190"/>
      <c r="G592" s="191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/>
      <c r="C593" s="190"/>
      <c r="D593" s="190"/>
      <c r="E593" s="190"/>
      <c r="F593" s="190"/>
      <c r="G593" s="191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/>
      <c r="C594" s="190"/>
      <c r="D594" s="190"/>
      <c r="E594" s="190"/>
      <c r="F594" s="190"/>
      <c r="G594" s="191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/>
      <c r="C595" s="190"/>
      <c r="D595" s="190"/>
      <c r="E595" s="190"/>
      <c r="F595" s="190"/>
      <c r="G595" s="191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/>
      <c r="C596" s="190"/>
      <c r="D596" s="190"/>
      <c r="E596" s="190"/>
      <c r="F596" s="190"/>
      <c r="G596" s="191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/>
      <c r="C597" s="190"/>
      <c r="D597" s="190"/>
      <c r="E597" s="190"/>
      <c r="F597" s="190"/>
      <c r="G597" s="191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/>
      <c r="C598" s="190"/>
      <c r="D598" s="190"/>
      <c r="E598" s="190"/>
      <c r="F598" s="190"/>
      <c r="G598" s="191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/>
      <c r="C599" s="190"/>
      <c r="D599" s="190"/>
      <c r="E599" s="190"/>
      <c r="F599" s="190"/>
      <c r="G599" s="191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/>
      <c r="C600" s="190"/>
      <c r="D600" s="190"/>
      <c r="E600" s="190"/>
      <c r="F600" s="190"/>
      <c r="G600" s="191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/>
      <c r="C601" s="190"/>
      <c r="D601" s="190"/>
      <c r="E601" s="190"/>
      <c r="F601" s="190"/>
      <c r="G601" s="191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/>
      <c r="C602" s="190"/>
      <c r="D602" s="190"/>
      <c r="E602" s="190"/>
      <c r="F602" s="190"/>
      <c r="G602" s="191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/>
      <c r="C603" s="190"/>
      <c r="D603" s="190"/>
      <c r="E603" s="190"/>
      <c r="F603" s="190"/>
      <c r="G603" s="191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/>
      <c r="C604" s="190"/>
      <c r="D604" s="190"/>
      <c r="E604" s="190"/>
      <c r="F604" s="190"/>
      <c r="G604" s="191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/>
      <c r="C605" s="190"/>
      <c r="D605" s="190"/>
      <c r="E605" s="190"/>
      <c r="F605" s="190"/>
      <c r="G605" s="191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/>
      <c r="C606" s="190"/>
      <c r="D606" s="190"/>
      <c r="E606" s="190"/>
      <c r="F606" s="190"/>
      <c r="G606" s="191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/>
      <c r="C607" s="190"/>
      <c r="D607" s="190"/>
      <c r="E607" s="190"/>
      <c r="F607" s="190"/>
      <c r="G607" s="191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/>
      <c r="C608" s="190"/>
      <c r="D608" s="190"/>
      <c r="E608" s="190"/>
      <c r="F608" s="190"/>
      <c r="G608" s="191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/>
      <c r="C609" s="190"/>
      <c r="D609" s="190"/>
      <c r="E609" s="190"/>
      <c r="F609" s="190"/>
      <c r="G609" s="191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/>
      <c r="C610" s="190"/>
      <c r="D610" s="190"/>
      <c r="E610" s="190"/>
      <c r="F610" s="190"/>
      <c r="G610" s="191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/>
      <c r="C611" s="190"/>
      <c r="D611" s="190"/>
      <c r="E611" s="190"/>
      <c r="F611" s="190"/>
      <c r="G611" s="191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/>
      <c r="C612" s="190"/>
      <c r="D612" s="190"/>
      <c r="E612" s="190"/>
      <c r="F612" s="190"/>
      <c r="G612" s="191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/>
      <c r="C613" s="190"/>
      <c r="D613" s="190"/>
      <c r="E613" s="190"/>
      <c r="F613" s="190"/>
      <c r="G613" s="191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/>
      <c r="C614" s="190"/>
      <c r="D614" s="190"/>
      <c r="E614" s="190"/>
      <c r="F614" s="190"/>
      <c r="G614" s="191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/>
      <c r="C615" s="190"/>
      <c r="D615" s="190"/>
      <c r="E615" s="190"/>
      <c r="F615" s="190"/>
      <c r="G615" s="191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/>
      <c r="C616" s="190"/>
      <c r="D616" s="190"/>
      <c r="E616" s="190"/>
      <c r="F616" s="190"/>
      <c r="G616" s="191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/>
      <c r="C617" s="190"/>
      <c r="D617" s="190"/>
      <c r="E617" s="190"/>
      <c r="F617" s="190"/>
      <c r="G617" s="191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/>
      <c r="C618" s="190"/>
      <c r="D618" s="190"/>
      <c r="E618" s="190"/>
      <c r="F618" s="190"/>
      <c r="G618" s="191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/>
      <c r="C619" s="190"/>
      <c r="D619" s="190"/>
      <c r="E619" s="190"/>
      <c r="F619" s="190"/>
      <c r="G619" s="191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/>
      <c r="C620" s="190"/>
      <c r="D620" s="190"/>
      <c r="E620" s="190"/>
      <c r="F620" s="190"/>
      <c r="G620" s="191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/>
      <c r="C621" s="190"/>
      <c r="D621" s="190"/>
      <c r="E621" s="190"/>
      <c r="F621" s="190"/>
      <c r="G621" s="191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/>
      <c r="C622" s="190"/>
      <c r="D622" s="190"/>
      <c r="E622" s="190"/>
      <c r="F622" s="190"/>
      <c r="G622" s="191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/>
      <c r="C623" s="190"/>
      <c r="D623" s="190"/>
      <c r="E623" s="190"/>
      <c r="F623" s="190"/>
      <c r="G623" s="191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/>
      <c r="C624" s="190"/>
      <c r="D624" s="190"/>
      <c r="E624" s="190"/>
      <c r="F624" s="190"/>
      <c r="G624" s="191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/>
      <c r="C625" s="190"/>
      <c r="D625" s="190"/>
      <c r="E625" s="190"/>
      <c r="F625" s="190"/>
      <c r="G625" s="191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/>
      <c r="C626" s="190"/>
      <c r="D626" s="190"/>
      <c r="E626" s="190"/>
      <c r="F626" s="190"/>
      <c r="G626" s="191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/>
      <c r="C627" s="190"/>
      <c r="D627" s="190"/>
      <c r="E627" s="190"/>
      <c r="F627" s="190"/>
      <c r="G627" s="191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/>
      <c r="C628" s="190"/>
      <c r="D628" s="190"/>
      <c r="E628" s="190"/>
      <c r="F628" s="190"/>
      <c r="G628" s="191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/>
      <c r="C629" s="190"/>
      <c r="D629" s="190"/>
      <c r="E629" s="190"/>
      <c r="F629" s="190"/>
      <c r="G629" s="191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/>
      <c r="C630" s="190"/>
      <c r="D630" s="190"/>
      <c r="E630" s="190"/>
      <c r="F630" s="190"/>
      <c r="G630" s="191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/>
      <c r="C631" s="190"/>
      <c r="D631" s="190"/>
      <c r="E631" s="190"/>
      <c r="F631" s="190"/>
      <c r="G631" s="191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/>
      <c r="C632" s="190"/>
      <c r="D632" s="190"/>
      <c r="E632" s="190"/>
      <c r="F632" s="190"/>
      <c r="G632" s="191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/>
      <c r="C633" s="190"/>
      <c r="D633" s="190"/>
      <c r="E633" s="190"/>
      <c r="F633" s="190"/>
      <c r="G633" s="191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/>
      <c r="C634" s="190"/>
      <c r="D634" s="190"/>
      <c r="E634" s="190"/>
      <c r="F634" s="190"/>
      <c r="G634" s="191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/>
      <c r="C635" s="190"/>
      <c r="D635" s="190"/>
      <c r="E635" s="190"/>
      <c r="F635" s="190"/>
      <c r="G635" s="191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/>
      <c r="C636" s="190"/>
      <c r="D636" s="190"/>
      <c r="E636" s="190"/>
      <c r="F636" s="190"/>
      <c r="G636" s="191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/>
      <c r="C637" s="190"/>
      <c r="D637" s="190"/>
      <c r="E637" s="190"/>
      <c r="F637" s="190"/>
      <c r="G637" s="191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/>
      <c r="C638" s="190"/>
      <c r="D638" s="190"/>
      <c r="E638" s="190"/>
      <c r="F638" s="190"/>
      <c r="G638" s="191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/>
      <c r="C639" s="190"/>
      <c r="D639" s="190"/>
      <c r="E639" s="190"/>
      <c r="F639" s="190"/>
      <c r="G639" s="191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/>
      <c r="C640" s="190"/>
      <c r="D640" s="190"/>
      <c r="E640" s="190"/>
      <c r="F640" s="190"/>
      <c r="G640" s="191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/>
      <c r="C641" s="190"/>
      <c r="D641" s="190"/>
      <c r="E641" s="190"/>
      <c r="F641" s="190"/>
      <c r="G641" s="191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/>
      <c r="C642" s="190"/>
      <c r="D642" s="190"/>
      <c r="E642" s="190"/>
      <c r="F642" s="190"/>
      <c r="G642" s="191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/>
      <c r="C643" s="190"/>
      <c r="D643" s="190"/>
      <c r="E643" s="190"/>
      <c r="F643" s="190"/>
      <c r="G643" s="191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/>
      <c r="C644" s="190"/>
      <c r="D644" s="190"/>
      <c r="E644" s="190"/>
      <c r="F644" s="190"/>
      <c r="G644" s="191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/>
      <c r="C645" s="190"/>
      <c r="D645" s="190"/>
      <c r="E645" s="190"/>
      <c r="F645" s="190"/>
      <c r="G645" s="191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/>
      <c r="C646" s="190"/>
      <c r="D646" s="190"/>
      <c r="E646" s="190"/>
      <c r="F646" s="190"/>
      <c r="G646" s="191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/>
      <c r="C647" s="190"/>
      <c r="D647" s="190"/>
      <c r="E647" s="190"/>
      <c r="F647" s="190"/>
      <c r="G647" s="191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/>
      <c r="C648" s="190"/>
      <c r="D648" s="190"/>
      <c r="E648" s="190"/>
      <c r="F648" s="190"/>
      <c r="G648" s="191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/>
      <c r="C649" s="190"/>
      <c r="D649" s="190"/>
      <c r="E649" s="190"/>
      <c r="F649" s="190"/>
      <c r="G649" s="191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/>
      <c r="C650" s="190"/>
      <c r="D650" s="190"/>
      <c r="E650" s="190"/>
      <c r="F650" s="190"/>
      <c r="G650" s="191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/>
      <c r="C651" s="190"/>
      <c r="D651" s="190"/>
      <c r="E651" s="190"/>
      <c r="F651" s="190"/>
      <c r="G651" s="191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/>
      <c r="C652" s="190"/>
      <c r="D652" s="190"/>
      <c r="E652" s="190"/>
      <c r="F652" s="190"/>
      <c r="G652" s="191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/>
      <c r="C653" s="190"/>
      <c r="D653" s="190"/>
      <c r="E653" s="190"/>
      <c r="F653" s="190"/>
      <c r="G653" s="191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/>
      <c r="C654" s="190"/>
      <c r="D654" s="190"/>
      <c r="E654" s="190"/>
      <c r="F654" s="190"/>
      <c r="G654" s="191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/>
      <c r="C655" s="190"/>
      <c r="D655" s="190"/>
      <c r="E655" s="190"/>
      <c r="F655" s="190"/>
      <c r="G655" s="191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/>
      <c r="C656" s="190"/>
      <c r="D656" s="190"/>
      <c r="E656" s="190"/>
      <c r="F656" s="190"/>
      <c r="G656" s="191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/>
      <c r="C657" s="190"/>
      <c r="D657" s="190"/>
      <c r="E657" s="190"/>
      <c r="F657" s="190"/>
      <c r="G657" s="191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/>
      <c r="C658" s="190"/>
      <c r="D658" s="190"/>
      <c r="E658" s="190"/>
      <c r="F658" s="190"/>
      <c r="G658" s="191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/>
      <c r="C659" s="190"/>
      <c r="D659" s="190"/>
      <c r="E659" s="190"/>
      <c r="F659" s="190"/>
      <c r="G659" s="191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/>
      <c r="C660" s="190"/>
      <c r="D660" s="190"/>
      <c r="E660" s="190"/>
      <c r="F660" s="190"/>
      <c r="G660" s="191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/>
      <c r="C661" s="190"/>
      <c r="D661" s="190"/>
      <c r="E661" s="190"/>
      <c r="F661" s="190"/>
      <c r="G661" s="191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/>
      <c r="C662" s="190"/>
      <c r="D662" s="190"/>
      <c r="E662" s="190"/>
      <c r="F662" s="190"/>
      <c r="G662" s="191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/>
      <c r="C663" s="190"/>
      <c r="D663" s="190"/>
      <c r="E663" s="190"/>
      <c r="F663" s="190"/>
      <c r="G663" s="191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/>
      <c r="C664" s="190"/>
      <c r="D664" s="190"/>
      <c r="E664" s="190"/>
      <c r="F664" s="190"/>
      <c r="G664" s="191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/>
      <c r="C665" s="190"/>
      <c r="D665" s="190"/>
      <c r="E665" s="190"/>
      <c r="F665" s="190"/>
      <c r="G665" s="191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/>
      <c r="C666" s="190"/>
      <c r="D666" s="190"/>
      <c r="E666" s="190"/>
      <c r="F666" s="190"/>
      <c r="G666" s="191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/>
      <c r="C667" s="190"/>
      <c r="D667" s="190"/>
      <c r="E667" s="190"/>
      <c r="F667" s="190"/>
      <c r="G667" s="191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/>
      <c r="C668" s="190"/>
      <c r="D668" s="190"/>
      <c r="E668" s="190"/>
      <c r="F668" s="190"/>
      <c r="G668" s="191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/>
      <c r="C669" s="190"/>
      <c r="D669" s="190"/>
      <c r="E669" s="190"/>
      <c r="F669" s="190"/>
      <c r="G669" s="191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/>
      <c r="C670" s="190"/>
      <c r="D670" s="190"/>
      <c r="E670" s="190"/>
      <c r="F670" s="190"/>
      <c r="G670" s="191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/>
      <c r="C671" s="190"/>
      <c r="D671" s="190"/>
      <c r="E671" s="190"/>
      <c r="F671" s="190"/>
      <c r="G671" s="191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/>
      <c r="C672" s="190"/>
      <c r="D672" s="190"/>
      <c r="E672" s="190"/>
      <c r="F672" s="190"/>
      <c r="G672" s="191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/>
      <c r="C673" s="190"/>
      <c r="D673" s="190"/>
      <c r="E673" s="190"/>
      <c r="F673" s="190"/>
      <c r="G673" s="191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/>
      <c r="C674" s="190"/>
      <c r="D674" s="190"/>
      <c r="E674" s="190"/>
      <c r="F674" s="190"/>
      <c r="G674" s="191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/>
      <c r="C675" s="190"/>
      <c r="D675" s="190"/>
      <c r="E675" s="190"/>
      <c r="F675" s="190"/>
      <c r="G675" s="191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/>
      <c r="C676" s="190"/>
      <c r="D676" s="190"/>
      <c r="E676" s="190"/>
      <c r="F676" s="190"/>
      <c r="G676" s="191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/>
      <c r="C678" s="190"/>
      <c r="D678" s="190"/>
      <c r="E678" s="190"/>
      <c r="F678" s="190"/>
      <c r="G678" s="191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/>
      <c r="C679" s="190"/>
      <c r="D679" s="190"/>
      <c r="E679" s="190"/>
      <c r="F679" s="190"/>
      <c r="G679" s="191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/>
      <c r="C680" s="190"/>
      <c r="D680" s="190"/>
      <c r="E680" s="190"/>
      <c r="F680" s="190"/>
      <c r="G680" s="191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/>
      <c r="C681" s="190"/>
      <c r="D681" s="190"/>
      <c r="E681" s="190"/>
      <c r="F681" s="190"/>
      <c r="G681" s="191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/>
      <c r="C682" s="190"/>
      <c r="D682" s="190"/>
      <c r="E682" s="190"/>
      <c r="F682" s="190"/>
      <c r="G682" s="191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/>
      <c r="C683" s="190"/>
      <c r="D683" s="190"/>
      <c r="E683" s="190"/>
      <c r="F683" s="190"/>
      <c r="G683" s="191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/>
      <c r="C684" s="190"/>
      <c r="D684" s="190"/>
      <c r="E684" s="190"/>
      <c r="F684" s="190"/>
      <c r="G684" s="191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/>
      <c r="C685" s="190"/>
      <c r="D685" s="190"/>
      <c r="E685" s="190"/>
      <c r="F685" s="190"/>
      <c r="G685" s="191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/>
      <c r="C686" s="190"/>
      <c r="D686" s="190"/>
      <c r="E686" s="190"/>
      <c r="F686" s="190"/>
      <c r="G686" s="191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/>
      <c r="C687" s="190"/>
      <c r="D687" s="190"/>
      <c r="E687" s="190"/>
      <c r="F687" s="190"/>
      <c r="G687" s="191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/>
      <c r="C688" s="190"/>
      <c r="D688" s="190"/>
      <c r="E688" s="190"/>
      <c r="F688" s="190"/>
      <c r="G688" s="191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/>
      <c r="C689" s="190"/>
      <c r="D689" s="190"/>
      <c r="E689" s="190"/>
      <c r="F689" s="190"/>
      <c r="G689" s="191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/>
      <c r="C690" s="190"/>
      <c r="D690" s="190"/>
      <c r="E690" s="190"/>
      <c r="F690" s="190"/>
      <c r="G690" s="191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/>
      <c r="C691" s="190"/>
      <c r="D691" s="190"/>
      <c r="E691" s="190"/>
      <c r="F691" s="190"/>
      <c r="G691" s="191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/>
      <c r="C692" s="190"/>
      <c r="D692" s="190"/>
      <c r="E692" s="190"/>
      <c r="F692" s="190"/>
      <c r="G692" s="191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/>
      <c r="C693" s="190"/>
      <c r="D693" s="190"/>
      <c r="E693" s="190"/>
      <c r="F693" s="190"/>
      <c r="G693" s="191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/>
      <c r="C694" s="190"/>
      <c r="D694" s="190"/>
      <c r="E694" s="190"/>
      <c r="F694" s="190"/>
      <c r="G694" s="191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/>
      <c r="C695" s="190"/>
      <c r="D695" s="190"/>
      <c r="E695" s="190"/>
      <c r="F695" s="190"/>
      <c r="G695" s="191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/>
      <c r="C696" s="190"/>
      <c r="D696" s="190"/>
      <c r="E696" s="190"/>
      <c r="F696" s="190"/>
      <c r="G696" s="191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/>
      <c r="C697" s="190"/>
      <c r="D697" s="190"/>
      <c r="E697" s="190"/>
      <c r="F697" s="190"/>
      <c r="G697" s="191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/>
      <c r="C698" s="190"/>
      <c r="D698" s="190"/>
      <c r="E698" s="190"/>
      <c r="F698" s="190"/>
      <c r="G698" s="191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/>
      <c r="C699" s="190"/>
      <c r="D699" s="190"/>
      <c r="E699" s="190"/>
      <c r="F699" s="190"/>
      <c r="G699" s="191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/>
      <c r="C700" s="190"/>
      <c r="D700" s="190"/>
      <c r="E700" s="190"/>
      <c r="F700" s="190"/>
      <c r="G700" s="191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/>
      <c r="C701" s="190"/>
      <c r="D701" s="190"/>
      <c r="E701" s="190"/>
      <c r="F701" s="190"/>
      <c r="G701" s="191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/>
      <c r="C702" s="190"/>
      <c r="D702" s="190"/>
      <c r="E702" s="190"/>
      <c r="F702" s="190"/>
      <c r="G702" s="191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/>
      <c r="C703" s="190"/>
      <c r="D703" s="190"/>
      <c r="E703" s="190"/>
      <c r="F703" s="190"/>
      <c r="G703" s="191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/>
      <c r="C704" s="190"/>
      <c r="D704" s="190"/>
      <c r="E704" s="190"/>
      <c r="F704" s="190"/>
      <c r="G704" s="191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/>
      <c r="C705" s="190"/>
      <c r="D705" s="190"/>
      <c r="E705" s="190"/>
      <c r="F705" s="190"/>
      <c r="G705" s="191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/>
      <c r="C706" s="190"/>
      <c r="D706" s="190"/>
      <c r="E706" s="190"/>
      <c r="F706" s="190"/>
      <c r="G706" s="191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/>
      <c r="C707" s="190"/>
      <c r="D707" s="190"/>
      <c r="E707" s="190"/>
      <c r="F707" s="190"/>
      <c r="G707" s="191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/>
      <c r="C708" s="190"/>
      <c r="D708" s="190"/>
      <c r="E708" s="190"/>
      <c r="F708" s="190"/>
      <c r="G708" s="191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/>
      <c r="C709" s="190"/>
      <c r="D709" s="190"/>
      <c r="E709" s="190"/>
      <c r="F709" s="190"/>
      <c r="G709" s="191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/>
      <c r="C710" s="190"/>
      <c r="D710" s="190"/>
      <c r="E710" s="190"/>
      <c r="F710" s="190"/>
      <c r="G710" s="191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/>
      <c r="C711" s="190"/>
      <c r="D711" s="190"/>
      <c r="E711" s="190"/>
      <c r="F711" s="190"/>
      <c r="G711" s="191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/>
      <c r="C712" s="190"/>
      <c r="D712" s="190"/>
      <c r="E712" s="190"/>
      <c r="F712" s="190"/>
      <c r="G712" s="191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/>
      <c r="C713" s="190"/>
      <c r="D713" s="190"/>
      <c r="E713" s="190"/>
      <c r="F713" s="190"/>
      <c r="G713" s="191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/>
      <c r="C714" s="190"/>
      <c r="D714" s="190"/>
      <c r="E714" s="190"/>
      <c r="F714" s="190"/>
      <c r="G714" s="191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/>
      <c r="C715" s="190"/>
      <c r="D715" s="190"/>
      <c r="E715" s="190"/>
      <c r="F715" s="190"/>
      <c r="G715" s="191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/>
      <c r="C716" s="190"/>
      <c r="D716" s="190"/>
      <c r="E716" s="190"/>
      <c r="F716" s="190"/>
      <c r="G716" s="191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/>
      <c r="C717" s="190"/>
      <c r="D717" s="190"/>
      <c r="E717" s="190"/>
      <c r="F717" s="190"/>
      <c r="G717" s="191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/>
      <c r="C718" s="190"/>
      <c r="D718" s="190"/>
      <c r="E718" s="190"/>
      <c r="F718" s="190"/>
      <c r="G718" s="191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/>
      <c r="C719" s="190"/>
      <c r="D719" s="190"/>
      <c r="E719" s="190"/>
      <c r="F719" s="190"/>
      <c r="G719" s="191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/>
      <c r="C720" s="190"/>
      <c r="D720" s="190"/>
      <c r="E720" s="190"/>
      <c r="F720" s="190"/>
      <c r="G720" s="191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/>
      <c r="C721" s="190"/>
      <c r="D721" s="190"/>
      <c r="E721" s="190"/>
      <c r="F721" s="190"/>
      <c r="G721" s="191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/>
      <c r="C722" s="190"/>
      <c r="D722" s="190"/>
      <c r="E722" s="190"/>
      <c r="F722" s="190"/>
      <c r="G722" s="191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/>
      <c r="C723" s="190"/>
      <c r="D723" s="190"/>
      <c r="E723" s="190"/>
      <c r="F723" s="190"/>
      <c r="G723" s="191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/>
      <c r="C724" s="190"/>
      <c r="D724" s="190"/>
      <c r="E724" s="190"/>
      <c r="F724" s="190"/>
      <c r="G724" s="191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/>
      <c r="C725" s="190"/>
      <c r="D725" s="190"/>
      <c r="E725" s="190"/>
      <c r="F725" s="190"/>
      <c r="G725" s="191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/>
      <c r="C726" s="190"/>
      <c r="D726" s="190"/>
      <c r="E726" s="190"/>
      <c r="F726" s="190"/>
      <c r="G726" s="191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/>
      <c r="C727" s="190"/>
      <c r="D727" s="190"/>
      <c r="E727" s="190"/>
      <c r="F727" s="190"/>
      <c r="G727" s="191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/>
      <c r="C728" s="190"/>
      <c r="D728" s="190"/>
      <c r="E728" s="190"/>
      <c r="F728" s="190"/>
      <c r="G728" s="191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/>
      <c r="C729" s="190"/>
      <c r="D729" s="190"/>
      <c r="E729" s="190"/>
      <c r="F729" s="190"/>
      <c r="G729" s="191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/>
      <c r="C730" s="190"/>
      <c r="D730" s="190"/>
      <c r="E730" s="190"/>
      <c r="F730" s="190"/>
      <c r="G730" s="191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/>
      <c r="C731" s="190"/>
      <c r="D731" s="190"/>
      <c r="E731" s="190"/>
      <c r="F731" s="190"/>
      <c r="G731" s="191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/>
      <c r="C732" s="190"/>
      <c r="D732" s="190"/>
      <c r="E732" s="190"/>
      <c r="F732" s="190"/>
      <c r="G732" s="191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/>
      <c r="C733" s="190"/>
      <c r="D733" s="190"/>
      <c r="E733" s="190"/>
      <c r="F733" s="190"/>
      <c r="G733" s="191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/>
      <c r="C734" s="190"/>
      <c r="D734" s="190"/>
      <c r="E734" s="190"/>
      <c r="F734" s="190"/>
      <c r="G734" s="191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/>
      <c r="C735" s="190"/>
      <c r="D735" s="190"/>
      <c r="E735" s="190"/>
      <c r="F735" s="190"/>
      <c r="G735" s="191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/>
      <c r="C736" s="190"/>
      <c r="D736" s="190"/>
      <c r="E736" s="190"/>
      <c r="F736" s="190"/>
      <c r="G736" s="191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/>
      <c r="C737" s="190"/>
      <c r="D737" s="190"/>
      <c r="E737" s="190"/>
      <c r="F737" s="190"/>
      <c r="G737" s="191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/>
      <c r="C738" s="190"/>
      <c r="D738" s="190"/>
      <c r="E738" s="190"/>
      <c r="F738" s="190"/>
      <c r="G738" s="191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/>
      <c r="C739" s="190"/>
      <c r="D739" s="190"/>
      <c r="E739" s="190"/>
      <c r="F739" s="190"/>
      <c r="G739" s="191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/>
      <c r="C740" s="190"/>
      <c r="D740" s="190"/>
      <c r="E740" s="190"/>
      <c r="F740" s="190"/>
      <c r="G740" s="191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/>
      <c r="C741" s="190"/>
      <c r="D741" s="190"/>
      <c r="E741" s="190"/>
      <c r="F741" s="190"/>
      <c r="G741" s="191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/>
      <c r="C742" s="190"/>
      <c r="D742" s="190"/>
      <c r="E742" s="190"/>
      <c r="F742" s="190"/>
      <c r="G742" s="191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/>
      <c r="C743" s="190"/>
      <c r="D743" s="190"/>
      <c r="E743" s="190"/>
      <c r="F743" s="190"/>
      <c r="G743" s="191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/>
      <c r="C744" s="190"/>
      <c r="D744" s="190"/>
      <c r="E744" s="190"/>
      <c r="F744" s="190"/>
      <c r="G744" s="191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/>
      <c r="C745" s="190"/>
      <c r="D745" s="190"/>
      <c r="E745" s="190"/>
      <c r="F745" s="190"/>
      <c r="G745" s="191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/>
      <c r="C746" s="190"/>
      <c r="D746" s="190"/>
      <c r="E746" s="190"/>
      <c r="F746" s="190"/>
      <c r="G746" s="191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/>
      <c r="C747" s="190"/>
      <c r="D747" s="190"/>
      <c r="E747" s="190"/>
      <c r="F747" s="190"/>
      <c r="G747" s="191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/>
      <c r="C748" s="190"/>
      <c r="D748" s="190"/>
      <c r="E748" s="190"/>
      <c r="F748" s="190"/>
      <c r="G748" s="191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/>
      <c r="C749" s="190"/>
      <c r="D749" s="190"/>
      <c r="E749" s="190"/>
      <c r="F749" s="190"/>
      <c r="G749" s="191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/>
      <c r="C750" s="190"/>
      <c r="D750" s="190"/>
      <c r="E750" s="190"/>
      <c r="F750" s="190"/>
      <c r="G750" s="191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/>
      <c r="C751" s="190"/>
      <c r="D751" s="190"/>
      <c r="E751" s="190"/>
      <c r="F751" s="190"/>
      <c r="G751" s="191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/>
      <c r="C752" s="190"/>
      <c r="D752" s="190"/>
      <c r="E752" s="190"/>
      <c r="F752" s="190"/>
      <c r="G752" s="191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/>
      <c r="C753" s="190"/>
      <c r="D753" s="190"/>
      <c r="E753" s="190"/>
      <c r="F753" s="190"/>
      <c r="G753" s="191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134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IFERROR(__xludf.DUMMYFUNCTION("GOOGLEFINANCE(B16,""name"")"),"TS Financial Holding Co Ltd")</f>
        <v>TS Financial Holding Co Ltd</v>
      </c>
      <c r="H5" s="64"/>
      <c r="I5" s="64"/>
      <c r="J5" s="157"/>
      <c r="K5" s="64"/>
      <c r="L5" s="64"/>
      <c r="M5" s="64"/>
      <c r="N5" s="64"/>
      <c r="O5" s="263" t="s">
        <v>317</v>
      </c>
      <c r="P5" s="64"/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IFERROR(__xludf.DUMMYFUNCTION("GOOGLEFINANCE(B16,""price"")"),23.35)</f>
        <v>23.35</v>
      </c>
      <c r="D8" s="171">
        <f>IFERROR(__xludf.DUMMYFUNCTION("IFERROR(GOOGLEFINANCE(B16,""change""),""-"")"),0.35)</f>
        <v>0.35</v>
      </c>
      <c r="E8" s="172">
        <f>IFERROR(__xludf.DUMMYFUNCTION("IFERROR(GOOGLEFINANCE(B16,""changepct"")/100,""-"")"),0.0152)</f>
        <v>0.0152</v>
      </c>
      <c r="F8" s="64"/>
      <c r="G8" s="64"/>
      <c r="H8" s="64"/>
      <c r="I8" s="64"/>
      <c r="J8" s="202">
        <f>SUM(K26:K100)</f>
        <v>5000</v>
      </c>
      <c r="K8" s="203">
        <f>SUM(N26:N100)</f>
        <v>55047.9</v>
      </c>
      <c r="L8" s="175">
        <f>K8/J8</f>
        <v>11.00958</v>
      </c>
      <c r="M8" s="64"/>
      <c r="N8" s="176" t="s">
        <v>158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>
        <f>IFERROR(__xludf.DUMMYFUNCTION("IFERROR(GOOGLEFINANCE(B16,""marketcap""),""-"")"),6.67881228411E11)</f>
        <v>667881228411</v>
      </c>
      <c r="C12" s="181">
        <f>IFERROR(__xludf.DUMMYFUNCTION("IFERROR(GOOGLEFINANCE(B16,""pe""),""-"")"),12.22)</f>
        <v>12.22</v>
      </c>
      <c r="D12" s="181" t="str">
        <f>IFERROR(__xludf.DUMMYFUNCTION("IFERROR(GOOGLEFINANCE(B16,""beta""),""-"")"),"-")</f>
        <v>-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246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TPE:2887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IFERROR(__xludf.DUMMYFUNCTION("""COMPUTED_VALUE"""),45992.5625)</f>
        <v>45992.5625</v>
      </c>
      <c r="C26" s="190">
        <f>IFERROR(__xludf.DUMMYFUNCTION("""COMPUTED_VALUE"""),18.1)</f>
        <v>18.1</v>
      </c>
      <c r="D26" s="190">
        <f>IFERROR(__xludf.DUMMYFUNCTION("""COMPUTED_VALUE"""),18.5)</f>
        <v>18.5</v>
      </c>
      <c r="E26" s="190">
        <f>IFERROR(__xludf.DUMMYFUNCTION("""COMPUTED_VALUE"""),18.1)</f>
        <v>18.1</v>
      </c>
      <c r="F26" s="190">
        <f>IFERROR(__xludf.DUMMYFUNCTION("""COMPUTED_VALUE"""),18.35)</f>
        <v>18.35</v>
      </c>
      <c r="G26" s="191">
        <f>IFERROR(__xludf.DUMMYFUNCTION("""COMPUTED_VALUE"""),6.512236E7)</f>
        <v>65122360</v>
      </c>
      <c r="H26" s="112"/>
      <c r="I26" s="112"/>
      <c r="J26" s="192">
        <v>44403.0</v>
      </c>
      <c r="K26" s="204">
        <v>1000.0</v>
      </c>
      <c r="L26" s="194">
        <v>17.25</v>
      </c>
      <c r="M26" s="94">
        <v>20.0</v>
      </c>
      <c r="N26" s="112">
        <f t="shared" ref="N26:N73" si="1">K26*L26+M26</f>
        <v>17270</v>
      </c>
      <c r="O26" s="112">
        <f>N26/K26</f>
        <v>17.27</v>
      </c>
      <c r="P26" s="112"/>
      <c r="Q26" s="112"/>
      <c r="R26" s="112"/>
    </row>
    <row r="27" ht="17.25" customHeight="1">
      <c r="A27" s="112"/>
      <c r="B27" s="189">
        <f>IFERROR(__xludf.DUMMYFUNCTION("""COMPUTED_VALUE"""),45993.5625)</f>
        <v>45993.5625</v>
      </c>
      <c r="C27" s="190">
        <f>IFERROR(__xludf.DUMMYFUNCTION("""COMPUTED_VALUE"""),18.4)</f>
        <v>18.4</v>
      </c>
      <c r="D27" s="190">
        <f>IFERROR(__xludf.DUMMYFUNCTION("""COMPUTED_VALUE"""),19.0)</f>
        <v>19</v>
      </c>
      <c r="E27" s="190">
        <f>IFERROR(__xludf.DUMMYFUNCTION("""COMPUTED_VALUE"""),18.4)</f>
        <v>18.4</v>
      </c>
      <c r="F27" s="190">
        <f>IFERROR(__xludf.DUMMYFUNCTION("""COMPUTED_VALUE"""),18.8)</f>
        <v>18.8</v>
      </c>
      <c r="G27" s="191">
        <f>IFERROR(__xludf.DUMMYFUNCTION("""COMPUTED_VALUE"""),1.15733146E8)</f>
        <v>115733146</v>
      </c>
      <c r="H27" s="112"/>
      <c r="I27" s="112"/>
      <c r="J27" s="192">
        <v>44411.0</v>
      </c>
      <c r="K27" s="204">
        <v>1000.0</v>
      </c>
      <c r="L27" s="194">
        <v>16.95</v>
      </c>
      <c r="M27" s="94">
        <v>20.0</v>
      </c>
      <c r="N27" s="112">
        <f t="shared" si="1"/>
        <v>16970</v>
      </c>
      <c r="O27" s="112">
        <f t="shared" ref="O27:O73" si="2">SUM($N$26:N27)/SUM($K$26:K27)</f>
        <v>17.12</v>
      </c>
      <c r="P27" s="112"/>
      <c r="Q27" s="112"/>
      <c r="R27" s="112"/>
    </row>
    <row r="28" ht="17.25" customHeight="1">
      <c r="A28" s="112"/>
      <c r="B28" s="189">
        <f>IFERROR(__xludf.DUMMYFUNCTION("""COMPUTED_VALUE"""),45994.5625)</f>
        <v>45994.5625</v>
      </c>
      <c r="C28" s="190">
        <f>IFERROR(__xludf.DUMMYFUNCTION("""COMPUTED_VALUE"""),18.8)</f>
        <v>18.8</v>
      </c>
      <c r="D28" s="190">
        <f>IFERROR(__xludf.DUMMYFUNCTION("""COMPUTED_VALUE"""),18.85)</f>
        <v>18.85</v>
      </c>
      <c r="E28" s="190">
        <f>IFERROR(__xludf.DUMMYFUNCTION("""COMPUTED_VALUE"""),18.65)</f>
        <v>18.65</v>
      </c>
      <c r="F28" s="190">
        <f>IFERROR(__xludf.DUMMYFUNCTION("""COMPUTED_VALUE"""),18.75)</f>
        <v>18.75</v>
      </c>
      <c r="G28" s="191">
        <f>IFERROR(__xludf.DUMMYFUNCTION("""COMPUTED_VALUE"""),4.0796842E7)</f>
        <v>40796842</v>
      </c>
      <c r="H28" s="112"/>
      <c r="I28" s="112"/>
      <c r="J28" s="192">
        <v>44447.0</v>
      </c>
      <c r="K28" s="194">
        <v>300.0</v>
      </c>
      <c r="L28" s="194">
        <v>17.85</v>
      </c>
      <c r="M28" s="94">
        <v>20.0</v>
      </c>
      <c r="N28" s="112">
        <f t="shared" si="1"/>
        <v>5375</v>
      </c>
      <c r="O28" s="196">
        <f t="shared" si="2"/>
        <v>17.22391304</v>
      </c>
      <c r="P28" s="112"/>
      <c r="Q28" s="112"/>
      <c r="R28" s="112"/>
    </row>
    <row r="29" ht="17.25" customHeight="1">
      <c r="A29" s="112"/>
      <c r="B29" s="189">
        <f>IFERROR(__xludf.DUMMYFUNCTION("""COMPUTED_VALUE"""),45995.5625)</f>
        <v>45995.5625</v>
      </c>
      <c r="C29" s="190">
        <f>IFERROR(__xludf.DUMMYFUNCTION("""COMPUTED_VALUE"""),18.85)</f>
        <v>18.85</v>
      </c>
      <c r="D29" s="190">
        <f>IFERROR(__xludf.DUMMYFUNCTION("""COMPUTED_VALUE"""),19.15)</f>
        <v>19.15</v>
      </c>
      <c r="E29" s="190">
        <f>IFERROR(__xludf.DUMMYFUNCTION("""COMPUTED_VALUE"""),18.8)</f>
        <v>18.8</v>
      </c>
      <c r="F29" s="190">
        <f>IFERROR(__xludf.DUMMYFUNCTION("""COMPUTED_VALUE"""),19.15)</f>
        <v>19.15</v>
      </c>
      <c r="G29" s="191">
        <f>IFERROR(__xludf.DUMMYFUNCTION("""COMPUTED_VALUE"""),1.11062504E8)</f>
        <v>111062504</v>
      </c>
      <c r="H29" s="112"/>
      <c r="I29" s="112"/>
      <c r="J29" s="192">
        <v>44453.0</v>
      </c>
      <c r="K29" s="204">
        <v>1000.0</v>
      </c>
      <c r="L29" s="194">
        <v>18.5</v>
      </c>
      <c r="M29" s="94">
        <v>20.0</v>
      </c>
      <c r="N29" s="112">
        <f t="shared" si="1"/>
        <v>18520</v>
      </c>
      <c r="O29" s="196">
        <f t="shared" si="2"/>
        <v>17.61666667</v>
      </c>
      <c r="P29" s="112"/>
      <c r="Q29" s="112"/>
      <c r="R29" s="112"/>
    </row>
    <row r="30" ht="17.25" customHeight="1">
      <c r="A30" s="112"/>
      <c r="B30" s="189">
        <f>IFERROR(__xludf.DUMMYFUNCTION("""COMPUTED_VALUE"""),45996.5625)</f>
        <v>45996.5625</v>
      </c>
      <c r="C30" s="190">
        <f>IFERROR(__xludf.DUMMYFUNCTION("""COMPUTED_VALUE"""),19.15)</f>
        <v>19.15</v>
      </c>
      <c r="D30" s="190">
        <f>IFERROR(__xludf.DUMMYFUNCTION("""COMPUTED_VALUE"""),19.25)</f>
        <v>19.25</v>
      </c>
      <c r="E30" s="190">
        <f>IFERROR(__xludf.DUMMYFUNCTION("""COMPUTED_VALUE"""),19.1)</f>
        <v>19.1</v>
      </c>
      <c r="F30" s="190">
        <f>IFERROR(__xludf.DUMMYFUNCTION("""COMPUTED_VALUE"""),19.25)</f>
        <v>19.25</v>
      </c>
      <c r="G30" s="191">
        <f>IFERROR(__xludf.DUMMYFUNCTION("""COMPUTED_VALUE"""),5.372179E7)</f>
        <v>53721790</v>
      </c>
      <c r="H30" s="112"/>
      <c r="I30" s="112"/>
      <c r="J30" s="192">
        <v>44468.0</v>
      </c>
      <c r="K30" s="194">
        <v>300.0</v>
      </c>
      <c r="L30" s="194">
        <v>17.9</v>
      </c>
      <c r="M30" s="94">
        <v>20.0</v>
      </c>
      <c r="N30" s="112">
        <f t="shared" si="1"/>
        <v>5390</v>
      </c>
      <c r="O30" s="196">
        <f t="shared" si="2"/>
        <v>17.64583333</v>
      </c>
      <c r="P30" s="112"/>
      <c r="Q30" s="112"/>
      <c r="R30" s="112"/>
    </row>
    <row r="31" ht="17.25" customHeight="1">
      <c r="A31" s="112"/>
      <c r="B31" s="189">
        <f>IFERROR(__xludf.DUMMYFUNCTION("""COMPUTED_VALUE"""),45999.5625)</f>
        <v>45999.5625</v>
      </c>
      <c r="C31" s="190">
        <f>IFERROR(__xludf.DUMMYFUNCTION("""COMPUTED_VALUE"""),19.25)</f>
        <v>19.25</v>
      </c>
      <c r="D31" s="190">
        <f>IFERROR(__xludf.DUMMYFUNCTION("""COMPUTED_VALUE"""),19.35)</f>
        <v>19.35</v>
      </c>
      <c r="E31" s="190">
        <f>IFERROR(__xludf.DUMMYFUNCTION("""COMPUTED_VALUE"""),19.1)</f>
        <v>19.1</v>
      </c>
      <c r="F31" s="190">
        <f>IFERROR(__xludf.DUMMYFUNCTION("""COMPUTED_VALUE"""),19.1)</f>
        <v>19.1</v>
      </c>
      <c r="G31" s="191">
        <f>IFERROR(__xludf.DUMMYFUNCTION("""COMPUTED_VALUE"""),4.4297477E7)</f>
        <v>44297477</v>
      </c>
      <c r="H31" s="112"/>
      <c r="I31" s="112"/>
      <c r="J31" s="192">
        <v>44470.0</v>
      </c>
      <c r="K31" s="204">
        <v>1000.0</v>
      </c>
      <c r="L31" s="194">
        <v>17.7</v>
      </c>
      <c r="M31" s="94">
        <v>20.0</v>
      </c>
      <c r="N31" s="112">
        <f t="shared" si="1"/>
        <v>17720</v>
      </c>
      <c r="O31" s="196">
        <f t="shared" si="2"/>
        <v>17.66195652</v>
      </c>
      <c r="P31" s="112"/>
      <c r="Q31" s="112"/>
      <c r="R31" s="112"/>
    </row>
    <row r="32" ht="17.25" customHeight="1">
      <c r="A32" s="112"/>
      <c r="B32" s="189">
        <f>IFERROR(__xludf.DUMMYFUNCTION("""COMPUTED_VALUE"""),46000.5625)</f>
        <v>46000.5625</v>
      </c>
      <c r="C32" s="190">
        <f>IFERROR(__xludf.DUMMYFUNCTION("""COMPUTED_VALUE"""),19.1)</f>
        <v>19.1</v>
      </c>
      <c r="D32" s="190">
        <f>IFERROR(__xludf.DUMMYFUNCTION("""COMPUTED_VALUE"""),19.25)</f>
        <v>19.25</v>
      </c>
      <c r="E32" s="190">
        <f>IFERROR(__xludf.DUMMYFUNCTION("""COMPUTED_VALUE"""),19.05)</f>
        <v>19.05</v>
      </c>
      <c r="F32" s="190">
        <f>IFERROR(__xludf.DUMMYFUNCTION("""COMPUTED_VALUE"""),19.25)</f>
        <v>19.25</v>
      </c>
      <c r="G32" s="191">
        <f>IFERROR(__xludf.DUMMYFUNCTION("""COMPUTED_VALUE"""),4.9006333E7)</f>
        <v>49006333</v>
      </c>
      <c r="H32" s="112"/>
      <c r="I32" s="112"/>
      <c r="J32" s="192">
        <v>44474.0</v>
      </c>
      <c r="K32" s="194">
        <v>90.0</v>
      </c>
      <c r="L32" s="194">
        <v>0.0</v>
      </c>
      <c r="M32" s="94">
        <v>0.0</v>
      </c>
      <c r="N32" s="112">
        <f t="shared" si="1"/>
        <v>0</v>
      </c>
      <c r="O32" s="196">
        <f t="shared" si="2"/>
        <v>17.32302772</v>
      </c>
      <c r="P32" s="94" t="s">
        <v>318</v>
      </c>
      <c r="Q32" s="112"/>
      <c r="R32" s="112"/>
    </row>
    <row r="33" ht="17.25" customHeight="1">
      <c r="A33" s="112"/>
      <c r="B33" s="189">
        <f>IFERROR(__xludf.DUMMYFUNCTION("""COMPUTED_VALUE"""),46001.5625)</f>
        <v>46001.5625</v>
      </c>
      <c r="C33" s="190">
        <f>IFERROR(__xludf.DUMMYFUNCTION("""COMPUTED_VALUE"""),19.15)</f>
        <v>19.15</v>
      </c>
      <c r="D33" s="190">
        <f>IFERROR(__xludf.DUMMYFUNCTION("""COMPUTED_VALUE"""),19.25)</f>
        <v>19.25</v>
      </c>
      <c r="E33" s="190">
        <f>IFERROR(__xludf.DUMMYFUNCTION("""COMPUTED_VALUE"""),19.15)</f>
        <v>19.15</v>
      </c>
      <c r="F33" s="190">
        <f>IFERROR(__xludf.DUMMYFUNCTION("""COMPUTED_VALUE"""),19.15)</f>
        <v>19.15</v>
      </c>
      <c r="G33" s="191">
        <f>IFERROR(__xludf.DUMMYFUNCTION("""COMPUTED_VALUE"""),3.453582E7)</f>
        <v>34535820</v>
      </c>
      <c r="H33" s="112"/>
      <c r="I33" s="112"/>
      <c r="J33" s="197">
        <v>44494.0</v>
      </c>
      <c r="K33" s="194">
        <v>310.0</v>
      </c>
      <c r="L33" s="194">
        <v>18.5</v>
      </c>
      <c r="M33" s="94">
        <v>20.0</v>
      </c>
      <c r="N33" s="112">
        <f t="shared" si="1"/>
        <v>5755</v>
      </c>
      <c r="O33" s="196">
        <f t="shared" si="2"/>
        <v>17.4</v>
      </c>
      <c r="P33" s="112"/>
      <c r="Q33" s="112"/>
      <c r="R33" s="112"/>
    </row>
    <row r="34" ht="17.25" customHeight="1">
      <c r="A34" s="112"/>
      <c r="B34" s="189">
        <f>IFERROR(__xludf.DUMMYFUNCTION("""COMPUTED_VALUE"""),46002.5625)</f>
        <v>46002.5625</v>
      </c>
      <c r="C34" s="190">
        <f>IFERROR(__xludf.DUMMYFUNCTION("""COMPUTED_VALUE"""),19.3)</f>
        <v>19.3</v>
      </c>
      <c r="D34" s="190">
        <f>IFERROR(__xludf.DUMMYFUNCTION("""COMPUTED_VALUE"""),19.35)</f>
        <v>19.35</v>
      </c>
      <c r="E34" s="190">
        <f>IFERROR(__xludf.DUMMYFUNCTION("""COMPUTED_VALUE"""),19.15)</f>
        <v>19.15</v>
      </c>
      <c r="F34" s="190">
        <f>IFERROR(__xludf.DUMMYFUNCTION("""COMPUTED_VALUE"""),19.25)</f>
        <v>19.25</v>
      </c>
      <c r="G34" s="191">
        <f>IFERROR(__xludf.DUMMYFUNCTION("""COMPUTED_VALUE"""),5.4351718E7)</f>
        <v>54351718</v>
      </c>
      <c r="H34" s="112"/>
      <c r="I34" s="112"/>
      <c r="J34" s="197">
        <v>44526.0</v>
      </c>
      <c r="K34" s="204">
        <v>1000.0</v>
      </c>
      <c r="L34" s="194">
        <v>18.5</v>
      </c>
      <c r="M34" s="94">
        <v>20.0</v>
      </c>
      <c r="N34" s="112">
        <f t="shared" si="1"/>
        <v>18520</v>
      </c>
      <c r="O34" s="196">
        <f t="shared" si="2"/>
        <v>17.58666667</v>
      </c>
      <c r="P34" s="112"/>
      <c r="Q34" s="112"/>
      <c r="R34" s="112"/>
    </row>
    <row r="35" ht="17.25" customHeight="1">
      <c r="A35" s="112"/>
      <c r="B35" s="189">
        <f>IFERROR(__xludf.DUMMYFUNCTION("""COMPUTED_VALUE"""),46003.5625)</f>
        <v>46003.5625</v>
      </c>
      <c r="C35" s="190">
        <f>IFERROR(__xludf.DUMMYFUNCTION("""COMPUTED_VALUE"""),19.3)</f>
        <v>19.3</v>
      </c>
      <c r="D35" s="190">
        <f>IFERROR(__xludf.DUMMYFUNCTION("""COMPUTED_VALUE"""),19.5)</f>
        <v>19.5</v>
      </c>
      <c r="E35" s="190">
        <f>IFERROR(__xludf.DUMMYFUNCTION("""COMPUTED_VALUE"""),19.25)</f>
        <v>19.25</v>
      </c>
      <c r="F35" s="190">
        <f>IFERROR(__xludf.DUMMYFUNCTION("""COMPUTED_VALUE"""),19.4)</f>
        <v>19.4</v>
      </c>
      <c r="G35" s="191">
        <f>IFERROR(__xludf.DUMMYFUNCTION("""COMPUTED_VALUE"""),8.5156221E7)</f>
        <v>85156221</v>
      </c>
      <c r="H35" s="112"/>
      <c r="I35" s="112"/>
      <c r="J35" s="197">
        <v>44530.0</v>
      </c>
      <c r="K35" s="194">
        <v>300.0</v>
      </c>
      <c r="L35" s="194">
        <v>18.2</v>
      </c>
      <c r="M35" s="94">
        <v>20.0</v>
      </c>
      <c r="N35" s="112">
        <f t="shared" si="1"/>
        <v>5480</v>
      </c>
      <c r="O35" s="196">
        <f t="shared" si="2"/>
        <v>17.61904762</v>
      </c>
      <c r="P35" s="112"/>
      <c r="Q35" s="112"/>
      <c r="R35" s="112"/>
    </row>
    <row r="36" ht="17.25" customHeight="1">
      <c r="A36" s="112"/>
      <c r="B36" s="189">
        <f>IFERROR(__xludf.DUMMYFUNCTION("""COMPUTED_VALUE"""),46006.5625)</f>
        <v>46006.5625</v>
      </c>
      <c r="C36" s="190">
        <f>IFERROR(__xludf.DUMMYFUNCTION("""COMPUTED_VALUE"""),19.3)</f>
        <v>19.3</v>
      </c>
      <c r="D36" s="190">
        <f>IFERROR(__xludf.DUMMYFUNCTION("""COMPUTED_VALUE"""),19.5)</f>
        <v>19.5</v>
      </c>
      <c r="E36" s="190">
        <f>IFERROR(__xludf.DUMMYFUNCTION("""COMPUTED_VALUE"""),19.15)</f>
        <v>19.15</v>
      </c>
      <c r="F36" s="190">
        <f>IFERROR(__xludf.DUMMYFUNCTION("""COMPUTED_VALUE"""),19.35)</f>
        <v>19.35</v>
      </c>
      <c r="G36" s="191">
        <f>IFERROR(__xludf.DUMMYFUNCTION("""COMPUTED_VALUE"""),7.3495135E7)</f>
        <v>73495135</v>
      </c>
      <c r="H36" s="112"/>
      <c r="I36" s="112"/>
      <c r="J36" s="197">
        <v>44544.0</v>
      </c>
      <c r="K36" s="194">
        <v>400.0</v>
      </c>
      <c r="L36" s="194">
        <v>18.7</v>
      </c>
      <c r="M36" s="94">
        <v>20.0</v>
      </c>
      <c r="N36" s="112">
        <f t="shared" si="1"/>
        <v>7500</v>
      </c>
      <c r="O36" s="196">
        <f t="shared" si="2"/>
        <v>17.68656716</v>
      </c>
      <c r="P36" s="112"/>
      <c r="Q36" s="112"/>
      <c r="R36" s="112"/>
    </row>
    <row r="37" ht="17.25" customHeight="1">
      <c r="A37" s="112"/>
      <c r="B37" s="189">
        <f>IFERROR(__xludf.DUMMYFUNCTION("""COMPUTED_VALUE"""),46007.5625)</f>
        <v>46007.5625</v>
      </c>
      <c r="C37" s="190">
        <f>IFERROR(__xludf.DUMMYFUNCTION("""COMPUTED_VALUE"""),19.25)</f>
        <v>19.25</v>
      </c>
      <c r="D37" s="190">
        <f>IFERROR(__xludf.DUMMYFUNCTION("""COMPUTED_VALUE"""),20.15)</f>
        <v>20.15</v>
      </c>
      <c r="E37" s="190">
        <f>IFERROR(__xludf.DUMMYFUNCTION("""COMPUTED_VALUE"""),19.2)</f>
        <v>19.2</v>
      </c>
      <c r="F37" s="190">
        <f>IFERROR(__xludf.DUMMYFUNCTION("""COMPUTED_VALUE"""),20.05)</f>
        <v>20.05</v>
      </c>
      <c r="G37" s="191">
        <f>IFERROR(__xludf.DUMMYFUNCTION("""COMPUTED_VALUE"""),4.31426855E8)</f>
        <v>431426855</v>
      </c>
      <c r="H37" s="112"/>
      <c r="I37" s="112"/>
      <c r="J37" s="192">
        <v>44575.0</v>
      </c>
      <c r="K37" s="194">
        <v>300.0</v>
      </c>
      <c r="L37" s="194">
        <v>20.4</v>
      </c>
      <c r="M37" s="94">
        <v>20.0</v>
      </c>
      <c r="N37" s="112">
        <f t="shared" si="1"/>
        <v>6140</v>
      </c>
      <c r="O37" s="196">
        <f t="shared" si="2"/>
        <v>17.80571429</v>
      </c>
      <c r="P37" s="112"/>
      <c r="Q37" s="112"/>
      <c r="R37" s="112"/>
    </row>
    <row r="38" ht="17.25" customHeight="1">
      <c r="A38" s="112"/>
      <c r="B38" s="189">
        <f>IFERROR(__xludf.DUMMYFUNCTION("""COMPUTED_VALUE"""),46008.5625)</f>
        <v>46008.5625</v>
      </c>
      <c r="C38" s="190">
        <f>IFERROR(__xludf.DUMMYFUNCTION("""COMPUTED_VALUE"""),20.2)</f>
        <v>20.2</v>
      </c>
      <c r="D38" s="190">
        <f>IFERROR(__xludf.DUMMYFUNCTION("""COMPUTED_VALUE"""),21.6)</f>
        <v>21.6</v>
      </c>
      <c r="E38" s="190">
        <f>IFERROR(__xludf.DUMMYFUNCTION("""COMPUTED_VALUE"""),20.15)</f>
        <v>20.15</v>
      </c>
      <c r="F38" s="190">
        <f>IFERROR(__xludf.DUMMYFUNCTION("""COMPUTED_VALUE"""),21.25)</f>
        <v>21.25</v>
      </c>
      <c r="G38" s="191">
        <f>IFERROR(__xludf.DUMMYFUNCTION("""COMPUTED_VALUE"""),6.3816656E8)</f>
        <v>638166560</v>
      </c>
      <c r="H38" s="112"/>
      <c r="I38" s="112"/>
      <c r="J38" s="192">
        <v>44581.0</v>
      </c>
      <c r="K38" s="204">
        <v>1000.0</v>
      </c>
      <c r="L38" s="194">
        <v>20.2</v>
      </c>
      <c r="M38" s="94">
        <v>20.0</v>
      </c>
      <c r="N38" s="112">
        <f t="shared" si="1"/>
        <v>20220</v>
      </c>
      <c r="O38" s="196">
        <f t="shared" si="2"/>
        <v>18.1075</v>
      </c>
      <c r="P38" s="112"/>
      <c r="Q38" s="112"/>
      <c r="R38" s="112"/>
    </row>
    <row r="39" ht="17.25" customHeight="1">
      <c r="A39" s="112"/>
      <c r="B39" s="189">
        <f>IFERROR(__xludf.DUMMYFUNCTION("""COMPUTED_VALUE"""),46009.5625)</f>
        <v>46009.5625</v>
      </c>
      <c r="C39" s="190">
        <f>IFERROR(__xludf.DUMMYFUNCTION("""COMPUTED_VALUE"""),21.65)</f>
        <v>21.65</v>
      </c>
      <c r="D39" s="190">
        <f>IFERROR(__xludf.DUMMYFUNCTION("""COMPUTED_VALUE"""),21.7)</f>
        <v>21.7</v>
      </c>
      <c r="E39" s="190">
        <f>IFERROR(__xludf.DUMMYFUNCTION("""COMPUTED_VALUE"""),21.2)</f>
        <v>21.2</v>
      </c>
      <c r="F39" s="190">
        <f>IFERROR(__xludf.DUMMYFUNCTION("""COMPUTED_VALUE"""),21.3)</f>
        <v>21.3</v>
      </c>
      <c r="G39" s="191">
        <f>IFERROR(__xludf.DUMMYFUNCTION("""COMPUTED_VALUE"""),5.51299847E8)</f>
        <v>551299847</v>
      </c>
      <c r="H39" s="112"/>
      <c r="I39" s="112"/>
      <c r="J39" s="192">
        <v>44614.0</v>
      </c>
      <c r="K39" s="204">
        <v>1000.0</v>
      </c>
      <c r="L39" s="194">
        <v>19.65</v>
      </c>
      <c r="M39" s="94">
        <v>20.0</v>
      </c>
      <c r="N39" s="112">
        <f t="shared" si="1"/>
        <v>19670</v>
      </c>
      <c r="O39" s="196">
        <f t="shared" si="2"/>
        <v>18.28111111</v>
      </c>
      <c r="P39" s="112"/>
      <c r="Q39" s="112"/>
      <c r="R39" s="112"/>
    </row>
    <row r="40" ht="17.25" customHeight="1">
      <c r="A40" s="112"/>
      <c r="B40" s="189">
        <f>IFERROR(__xludf.DUMMYFUNCTION("""COMPUTED_VALUE"""),46010.5625)</f>
        <v>46010.5625</v>
      </c>
      <c r="C40" s="190">
        <f>IFERROR(__xludf.DUMMYFUNCTION("""COMPUTED_VALUE"""),21.1)</f>
        <v>21.1</v>
      </c>
      <c r="D40" s="190">
        <f>IFERROR(__xludf.DUMMYFUNCTION("""COMPUTED_VALUE"""),21.9)</f>
        <v>21.9</v>
      </c>
      <c r="E40" s="190">
        <f>IFERROR(__xludf.DUMMYFUNCTION("""COMPUTED_VALUE"""),21.1)</f>
        <v>21.1</v>
      </c>
      <c r="F40" s="190">
        <f>IFERROR(__xludf.DUMMYFUNCTION("""COMPUTED_VALUE"""),21.4)</f>
        <v>21.4</v>
      </c>
      <c r="G40" s="191">
        <f>IFERROR(__xludf.DUMMYFUNCTION("""COMPUTED_VALUE"""),4.89343477E8)</f>
        <v>489343477</v>
      </c>
      <c r="H40" s="112"/>
      <c r="I40" s="112"/>
      <c r="J40" s="192">
        <v>44662.0</v>
      </c>
      <c r="K40" s="204">
        <v>1000.0</v>
      </c>
      <c r="L40" s="194">
        <v>20.6</v>
      </c>
      <c r="M40" s="94">
        <v>20.0</v>
      </c>
      <c r="N40" s="112">
        <f t="shared" si="1"/>
        <v>20620</v>
      </c>
      <c r="O40" s="196">
        <f t="shared" si="2"/>
        <v>18.515</v>
      </c>
      <c r="P40" s="112"/>
      <c r="Q40" s="112"/>
      <c r="R40" s="112"/>
    </row>
    <row r="41" ht="17.25" customHeight="1">
      <c r="A41" s="112"/>
      <c r="B41" s="189">
        <f>IFERROR(__xludf.DUMMYFUNCTION("""COMPUTED_VALUE"""),46013.5625)</f>
        <v>46013.5625</v>
      </c>
      <c r="C41" s="190">
        <f>IFERROR(__xludf.DUMMYFUNCTION("""COMPUTED_VALUE"""),21.45)</f>
        <v>21.45</v>
      </c>
      <c r="D41" s="190">
        <f>IFERROR(__xludf.DUMMYFUNCTION("""COMPUTED_VALUE"""),21.65)</f>
        <v>21.65</v>
      </c>
      <c r="E41" s="190">
        <f>IFERROR(__xludf.DUMMYFUNCTION("""COMPUTED_VALUE"""),21.2)</f>
        <v>21.2</v>
      </c>
      <c r="F41" s="190">
        <f>IFERROR(__xludf.DUMMYFUNCTION("""COMPUTED_VALUE"""),21.2)</f>
        <v>21.2</v>
      </c>
      <c r="G41" s="191">
        <f>IFERROR(__xludf.DUMMYFUNCTION("""COMPUTED_VALUE"""),4.84812723E8)</f>
        <v>484812723</v>
      </c>
      <c r="H41" s="112"/>
      <c r="I41" s="112"/>
      <c r="J41" s="192">
        <v>44748.0</v>
      </c>
      <c r="K41" s="194">
        <v>500.0</v>
      </c>
      <c r="L41" s="194">
        <v>15.9</v>
      </c>
      <c r="M41" s="94">
        <v>20.0</v>
      </c>
      <c r="N41" s="112">
        <f t="shared" si="1"/>
        <v>7970</v>
      </c>
      <c r="O41" s="196">
        <f t="shared" si="2"/>
        <v>18.39238095</v>
      </c>
      <c r="P41" s="112"/>
      <c r="Q41" s="112"/>
      <c r="R41" s="112"/>
    </row>
    <row r="42" ht="17.25" customHeight="1">
      <c r="A42" s="112"/>
      <c r="B42" s="189">
        <f>IFERROR(__xludf.DUMMYFUNCTION("""COMPUTED_VALUE"""),46014.5625)</f>
        <v>46014.5625</v>
      </c>
      <c r="C42" s="190">
        <f>IFERROR(__xludf.DUMMYFUNCTION("""COMPUTED_VALUE"""),21.2)</f>
        <v>21.2</v>
      </c>
      <c r="D42" s="190">
        <f>IFERROR(__xludf.DUMMYFUNCTION("""COMPUTED_VALUE"""),21.25)</f>
        <v>21.25</v>
      </c>
      <c r="E42" s="190">
        <f>IFERROR(__xludf.DUMMYFUNCTION("""COMPUTED_VALUE"""),20.9)</f>
        <v>20.9</v>
      </c>
      <c r="F42" s="190">
        <f>IFERROR(__xludf.DUMMYFUNCTION("""COMPUTED_VALUE"""),20.9)</f>
        <v>20.9</v>
      </c>
      <c r="G42" s="191">
        <f>IFERROR(__xludf.DUMMYFUNCTION("""COMPUTED_VALUE"""),3.59009839E8)</f>
        <v>359009839</v>
      </c>
      <c r="H42" s="112"/>
      <c r="I42" s="112"/>
      <c r="J42" s="192">
        <v>44762.0</v>
      </c>
      <c r="K42" s="194">
        <v>1000.0</v>
      </c>
      <c r="L42" s="194">
        <v>15.25</v>
      </c>
      <c r="M42" s="94">
        <v>20.0</v>
      </c>
      <c r="N42" s="112">
        <f t="shared" si="1"/>
        <v>15270</v>
      </c>
      <c r="O42" s="196">
        <f t="shared" si="2"/>
        <v>18.12086957</v>
      </c>
      <c r="P42" s="112"/>
      <c r="Q42" s="112"/>
      <c r="R42" s="112"/>
    </row>
    <row r="43" ht="17.25" customHeight="1">
      <c r="A43" s="112"/>
      <c r="B43" s="189">
        <f>IFERROR(__xludf.DUMMYFUNCTION("""COMPUTED_VALUE"""),46015.5625)</f>
        <v>46015.5625</v>
      </c>
      <c r="C43" s="190">
        <f>IFERROR(__xludf.DUMMYFUNCTION("""COMPUTED_VALUE"""),21.05)</f>
        <v>21.05</v>
      </c>
      <c r="D43" s="190">
        <f>IFERROR(__xludf.DUMMYFUNCTION("""COMPUTED_VALUE"""),21.25)</f>
        <v>21.25</v>
      </c>
      <c r="E43" s="190">
        <f>IFERROR(__xludf.DUMMYFUNCTION("""COMPUTED_VALUE"""),20.75)</f>
        <v>20.75</v>
      </c>
      <c r="F43" s="190">
        <f>IFERROR(__xludf.DUMMYFUNCTION("""COMPUTED_VALUE"""),20.75)</f>
        <v>20.75</v>
      </c>
      <c r="G43" s="191">
        <f>IFERROR(__xludf.DUMMYFUNCTION("""COMPUTED_VALUE"""),3.22561736E8)</f>
        <v>322561736</v>
      </c>
      <c r="H43" s="112"/>
      <c r="I43" s="112"/>
      <c r="J43" s="192">
        <v>44768.0</v>
      </c>
      <c r="K43" s="194">
        <v>500.0</v>
      </c>
      <c r="L43" s="194">
        <v>15.55</v>
      </c>
      <c r="M43" s="94">
        <v>6.0</v>
      </c>
      <c r="N43" s="112">
        <f t="shared" si="1"/>
        <v>7781</v>
      </c>
      <c r="O43" s="196">
        <f t="shared" si="2"/>
        <v>18.01425</v>
      </c>
      <c r="P43" s="112"/>
      <c r="Q43" s="112"/>
      <c r="R43" s="112"/>
    </row>
    <row r="44" ht="17.25" customHeight="1">
      <c r="A44" s="112"/>
      <c r="B44" s="189">
        <f>IFERROR(__xludf.DUMMYFUNCTION("""COMPUTED_VALUE"""),46017.5625)</f>
        <v>46017.5625</v>
      </c>
      <c r="C44" s="190">
        <f>IFERROR(__xludf.DUMMYFUNCTION("""COMPUTED_VALUE"""),20.8)</f>
        <v>20.8</v>
      </c>
      <c r="D44" s="190">
        <f>IFERROR(__xludf.DUMMYFUNCTION("""COMPUTED_VALUE"""),20.95)</f>
        <v>20.95</v>
      </c>
      <c r="E44" s="190">
        <f>IFERROR(__xludf.DUMMYFUNCTION("""COMPUTED_VALUE"""),20.6)</f>
        <v>20.6</v>
      </c>
      <c r="F44" s="190">
        <f>IFERROR(__xludf.DUMMYFUNCTION("""COMPUTED_VALUE"""),20.6)</f>
        <v>20.6</v>
      </c>
      <c r="G44" s="191">
        <f>IFERROR(__xludf.DUMMYFUNCTION("""COMPUTED_VALUE"""),2.71843496E8)</f>
        <v>271843496</v>
      </c>
      <c r="H44" s="112"/>
      <c r="I44" s="112"/>
      <c r="J44" s="205">
        <v>44802.0</v>
      </c>
      <c r="K44" s="94">
        <v>1000.0</v>
      </c>
      <c r="L44" s="194">
        <v>15.25</v>
      </c>
      <c r="M44" s="94">
        <v>20.0</v>
      </c>
      <c r="N44" s="112">
        <f t="shared" si="1"/>
        <v>15270</v>
      </c>
      <c r="O44" s="196">
        <f t="shared" si="2"/>
        <v>17.80315385</v>
      </c>
      <c r="P44" s="112"/>
      <c r="Q44" s="112"/>
      <c r="R44" s="112"/>
    </row>
    <row r="45" ht="17.25" customHeight="1">
      <c r="A45" s="112"/>
      <c r="B45" s="189">
        <f>IFERROR(__xludf.DUMMYFUNCTION("""COMPUTED_VALUE"""),46020.5625)</f>
        <v>46020.5625</v>
      </c>
      <c r="C45" s="190">
        <f>IFERROR(__xludf.DUMMYFUNCTION("""COMPUTED_VALUE"""),20.6)</f>
        <v>20.6</v>
      </c>
      <c r="D45" s="190">
        <f>IFERROR(__xludf.DUMMYFUNCTION("""COMPUTED_VALUE"""),20.8)</f>
        <v>20.8</v>
      </c>
      <c r="E45" s="190">
        <f>IFERROR(__xludf.DUMMYFUNCTION("""COMPUTED_VALUE"""),20.2)</f>
        <v>20.2</v>
      </c>
      <c r="F45" s="190">
        <f>IFERROR(__xludf.DUMMYFUNCTION("""COMPUTED_VALUE"""),20.4)</f>
        <v>20.4</v>
      </c>
      <c r="G45" s="191">
        <f>IFERROR(__xludf.DUMMYFUNCTION("""COMPUTED_VALUE"""),8.6514344E7)</f>
        <v>86514344</v>
      </c>
      <c r="H45" s="112"/>
      <c r="I45" s="112"/>
      <c r="J45" s="205">
        <v>44824.0</v>
      </c>
      <c r="K45" s="94">
        <v>594.0</v>
      </c>
      <c r="L45" s="94">
        <v>0.0</v>
      </c>
      <c r="M45" s="94">
        <v>0.0</v>
      </c>
      <c r="N45" s="112">
        <f t="shared" si="1"/>
        <v>0</v>
      </c>
      <c r="O45" s="196">
        <f t="shared" si="2"/>
        <v>17.02523172</v>
      </c>
      <c r="P45" s="112"/>
      <c r="Q45" s="112"/>
      <c r="R45" s="112"/>
    </row>
    <row r="46" ht="17.25" customHeight="1">
      <c r="A46" s="112"/>
      <c r="B46" s="189">
        <f>IFERROR(__xludf.DUMMYFUNCTION("""COMPUTED_VALUE"""),46021.5625)</f>
        <v>46021.5625</v>
      </c>
      <c r="C46" s="190">
        <f>IFERROR(__xludf.DUMMYFUNCTION("""COMPUTED_VALUE"""),20.3)</f>
        <v>20.3</v>
      </c>
      <c r="D46" s="190">
        <f>IFERROR(__xludf.DUMMYFUNCTION("""COMPUTED_VALUE"""),20.7)</f>
        <v>20.7</v>
      </c>
      <c r="E46" s="190">
        <f>IFERROR(__xludf.DUMMYFUNCTION("""COMPUTED_VALUE"""),20.3)</f>
        <v>20.3</v>
      </c>
      <c r="F46" s="190">
        <f>IFERROR(__xludf.DUMMYFUNCTION("""COMPUTED_VALUE"""),20.55)</f>
        <v>20.55</v>
      </c>
      <c r="G46" s="191">
        <f>IFERROR(__xludf.DUMMYFUNCTION("""COMPUTED_VALUE"""),4.495506E7)</f>
        <v>44955060</v>
      </c>
      <c r="H46" s="112"/>
      <c r="I46" s="112"/>
      <c r="J46" s="205">
        <v>44825.0</v>
      </c>
      <c r="K46" s="94">
        <v>406.0</v>
      </c>
      <c r="L46" s="94">
        <v>14.75</v>
      </c>
      <c r="M46" s="94">
        <v>20.0</v>
      </c>
      <c r="N46" s="112">
        <f t="shared" si="1"/>
        <v>6008.5</v>
      </c>
      <c r="O46" s="196">
        <f t="shared" si="2"/>
        <v>16.96067857</v>
      </c>
      <c r="P46" s="112"/>
      <c r="Q46" s="112"/>
      <c r="R46" s="112"/>
    </row>
    <row r="47" ht="17.25" customHeight="1">
      <c r="A47" s="112"/>
      <c r="B47" s="189">
        <f>IFERROR(__xludf.DUMMYFUNCTION("""COMPUTED_VALUE"""),46022.5625)</f>
        <v>46022.5625</v>
      </c>
      <c r="C47" s="190">
        <f>IFERROR(__xludf.DUMMYFUNCTION("""COMPUTED_VALUE"""),20.6)</f>
        <v>20.6</v>
      </c>
      <c r="D47" s="190">
        <f>IFERROR(__xludf.DUMMYFUNCTION("""COMPUTED_VALUE"""),20.75)</f>
        <v>20.75</v>
      </c>
      <c r="E47" s="190">
        <f>IFERROR(__xludf.DUMMYFUNCTION("""COMPUTED_VALUE"""),20.4)</f>
        <v>20.4</v>
      </c>
      <c r="F47" s="190">
        <f>IFERROR(__xludf.DUMMYFUNCTION("""COMPUTED_VALUE"""),20.4)</f>
        <v>20.4</v>
      </c>
      <c r="G47" s="191">
        <f>IFERROR(__xludf.DUMMYFUNCTION("""COMPUTED_VALUE"""),5.8941826E7)</f>
        <v>58941826</v>
      </c>
      <c r="H47" s="112"/>
      <c r="I47" s="112"/>
      <c r="J47" s="262">
        <v>44858.0</v>
      </c>
      <c r="K47" s="94">
        <v>1000.0</v>
      </c>
      <c r="L47" s="94">
        <v>13.0</v>
      </c>
      <c r="M47" s="94">
        <v>20.0</v>
      </c>
      <c r="N47" s="112">
        <f t="shared" si="1"/>
        <v>13020</v>
      </c>
      <c r="O47" s="196">
        <f t="shared" si="2"/>
        <v>16.69796667</v>
      </c>
      <c r="P47" s="112"/>
      <c r="Q47" s="112"/>
      <c r="R47" s="112"/>
    </row>
    <row r="48" ht="17.25" customHeight="1">
      <c r="A48" s="112"/>
      <c r="B48" s="189">
        <f>IFERROR(__xludf.DUMMYFUNCTION("""COMPUTED_VALUE"""),46024.5625)</f>
        <v>46024.5625</v>
      </c>
      <c r="C48" s="190">
        <f>IFERROR(__xludf.DUMMYFUNCTION("""COMPUTED_VALUE"""),20.4)</f>
        <v>20.4</v>
      </c>
      <c r="D48" s="190">
        <f>IFERROR(__xludf.DUMMYFUNCTION("""COMPUTED_VALUE"""),20.65)</f>
        <v>20.65</v>
      </c>
      <c r="E48" s="190">
        <f>IFERROR(__xludf.DUMMYFUNCTION("""COMPUTED_VALUE"""),20.35)</f>
        <v>20.35</v>
      </c>
      <c r="F48" s="190">
        <f>IFERROR(__xludf.DUMMYFUNCTION("""COMPUTED_VALUE"""),20.4)</f>
        <v>20.4</v>
      </c>
      <c r="G48" s="191">
        <f>IFERROR(__xludf.DUMMYFUNCTION("""COMPUTED_VALUE"""),4.5590142E7)</f>
        <v>45590142</v>
      </c>
      <c r="H48" s="112"/>
      <c r="I48" s="112"/>
      <c r="J48" s="262">
        <v>44865.0</v>
      </c>
      <c r="K48" s="94">
        <v>1000.0</v>
      </c>
      <c r="L48" s="94">
        <v>13.25</v>
      </c>
      <c r="M48" s="94">
        <v>20.0</v>
      </c>
      <c r="N48" s="112">
        <f t="shared" si="1"/>
        <v>13270</v>
      </c>
      <c r="O48" s="196">
        <f t="shared" si="2"/>
        <v>16.48371875</v>
      </c>
      <c r="P48" s="112"/>
      <c r="Q48" s="112"/>
      <c r="R48" s="112"/>
    </row>
    <row r="49" ht="17.25" customHeight="1">
      <c r="A49" s="112"/>
      <c r="B49" s="189">
        <f>IFERROR(__xludf.DUMMYFUNCTION("""COMPUTED_VALUE"""),46027.5625)</f>
        <v>46027.5625</v>
      </c>
      <c r="C49" s="190">
        <f>IFERROR(__xludf.DUMMYFUNCTION("""COMPUTED_VALUE"""),20.4)</f>
        <v>20.4</v>
      </c>
      <c r="D49" s="190">
        <f>IFERROR(__xludf.DUMMYFUNCTION("""COMPUTED_VALUE"""),21.25)</f>
        <v>21.25</v>
      </c>
      <c r="E49" s="190">
        <f>IFERROR(__xludf.DUMMYFUNCTION("""COMPUTED_VALUE"""),20.4)</f>
        <v>20.4</v>
      </c>
      <c r="F49" s="190">
        <f>IFERROR(__xludf.DUMMYFUNCTION("""COMPUTED_VALUE"""),21.0)</f>
        <v>21</v>
      </c>
      <c r="G49" s="191">
        <f>IFERROR(__xludf.DUMMYFUNCTION("""COMPUTED_VALUE"""),1.01763562E8)</f>
        <v>101763562</v>
      </c>
      <c r="H49" s="112"/>
      <c r="I49" s="112"/>
      <c r="J49" s="205">
        <v>45133.0</v>
      </c>
      <c r="K49" s="94">
        <v>672.0</v>
      </c>
      <c r="L49" s="94">
        <v>0.0</v>
      </c>
      <c r="M49" s="94">
        <v>0.0</v>
      </c>
      <c r="N49" s="112">
        <f t="shared" si="1"/>
        <v>0</v>
      </c>
      <c r="O49" s="196">
        <f t="shared" si="2"/>
        <v>15.81930782</v>
      </c>
      <c r="P49" s="112"/>
      <c r="Q49" s="112"/>
      <c r="R49" s="112"/>
    </row>
    <row r="50" ht="17.25" customHeight="1">
      <c r="A50" s="112"/>
      <c r="B50" s="189">
        <f>IFERROR(__xludf.DUMMYFUNCTION("""COMPUTED_VALUE"""),46028.5625)</f>
        <v>46028.5625</v>
      </c>
      <c r="C50" s="190">
        <f>IFERROR(__xludf.DUMMYFUNCTION("""COMPUTED_VALUE"""),21.2)</f>
        <v>21.2</v>
      </c>
      <c r="D50" s="190">
        <f>IFERROR(__xludf.DUMMYFUNCTION("""COMPUTED_VALUE"""),21.25)</f>
        <v>21.25</v>
      </c>
      <c r="E50" s="190">
        <f>IFERROR(__xludf.DUMMYFUNCTION("""COMPUTED_VALUE"""),20.9)</f>
        <v>20.9</v>
      </c>
      <c r="F50" s="190">
        <f>IFERROR(__xludf.DUMMYFUNCTION("""COMPUTED_VALUE"""),20.9)</f>
        <v>20.9</v>
      </c>
      <c r="G50" s="191">
        <f>IFERROR(__xludf.DUMMYFUNCTION("""COMPUTED_VALUE"""),6.4682087E7)</f>
        <v>64682087</v>
      </c>
      <c r="H50" s="112"/>
      <c r="I50" s="112"/>
      <c r="J50" s="205">
        <v>45133.0</v>
      </c>
      <c r="K50" s="94">
        <v>1000.0</v>
      </c>
      <c r="L50" s="94">
        <v>18.4</v>
      </c>
      <c r="M50" s="94">
        <v>20.0</v>
      </c>
      <c r="N50" s="112">
        <f t="shared" si="1"/>
        <v>18420</v>
      </c>
      <c r="O50" s="196">
        <f t="shared" si="2"/>
        <v>15.96647239</v>
      </c>
      <c r="P50" s="112"/>
      <c r="Q50" s="112"/>
      <c r="R50" s="112"/>
    </row>
    <row r="51" ht="17.25" customHeight="1">
      <c r="A51" s="112"/>
      <c r="B51" s="189">
        <f>IFERROR(__xludf.DUMMYFUNCTION("""COMPUTED_VALUE"""),46029.5625)</f>
        <v>46029.5625</v>
      </c>
      <c r="C51" s="190">
        <f>IFERROR(__xludf.DUMMYFUNCTION("""COMPUTED_VALUE"""),20.8)</f>
        <v>20.8</v>
      </c>
      <c r="D51" s="190">
        <f>IFERROR(__xludf.DUMMYFUNCTION("""COMPUTED_VALUE"""),20.95)</f>
        <v>20.95</v>
      </c>
      <c r="E51" s="190">
        <f>IFERROR(__xludf.DUMMYFUNCTION("""COMPUTED_VALUE"""),20.7)</f>
        <v>20.7</v>
      </c>
      <c r="F51" s="190">
        <f>IFERROR(__xludf.DUMMYFUNCTION("""COMPUTED_VALUE"""),20.85)</f>
        <v>20.85</v>
      </c>
      <c r="G51" s="191">
        <f>IFERROR(__xludf.DUMMYFUNCTION("""COMPUTED_VALUE"""),5.6999947E7)</f>
        <v>56999947</v>
      </c>
      <c r="H51" s="112"/>
      <c r="I51" s="112"/>
      <c r="J51" s="205">
        <v>45147.0</v>
      </c>
      <c r="K51" s="94">
        <v>328.0</v>
      </c>
      <c r="L51" s="94">
        <v>18.3</v>
      </c>
      <c r="M51" s="94">
        <v>4.0</v>
      </c>
      <c r="N51" s="112">
        <f t="shared" si="1"/>
        <v>6006.4</v>
      </c>
      <c r="O51" s="196">
        <f t="shared" si="2"/>
        <v>16.00921667</v>
      </c>
      <c r="P51" s="112"/>
      <c r="Q51" s="112"/>
      <c r="R51" s="112"/>
    </row>
    <row r="52" ht="17.25" customHeight="1">
      <c r="A52" s="112"/>
      <c r="B52" s="189">
        <f>IFERROR(__xludf.DUMMYFUNCTION("""COMPUTED_VALUE"""),46030.5625)</f>
        <v>46030.5625</v>
      </c>
      <c r="C52" s="190">
        <f>IFERROR(__xludf.DUMMYFUNCTION("""COMPUTED_VALUE"""),20.9)</f>
        <v>20.9</v>
      </c>
      <c r="D52" s="190">
        <f>IFERROR(__xludf.DUMMYFUNCTION("""COMPUTED_VALUE"""),21.0)</f>
        <v>21</v>
      </c>
      <c r="E52" s="190">
        <f>IFERROR(__xludf.DUMMYFUNCTION("""COMPUTED_VALUE"""),20.65)</f>
        <v>20.65</v>
      </c>
      <c r="F52" s="190">
        <f>IFERROR(__xludf.DUMMYFUNCTION("""COMPUTED_VALUE"""),20.75)</f>
        <v>20.75</v>
      </c>
      <c r="G52" s="191">
        <f>IFERROR(__xludf.DUMMYFUNCTION("""COMPUTED_VALUE"""),5.5372448E7)</f>
        <v>55372448</v>
      </c>
      <c r="H52" s="112"/>
      <c r="I52" s="112"/>
      <c r="J52" s="205">
        <v>45175.0</v>
      </c>
      <c r="K52" s="94">
        <v>1000.0</v>
      </c>
      <c r="L52" s="94">
        <v>17.85</v>
      </c>
      <c r="M52" s="94">
        <v>20.0</v>
      </c>
      <c r="N52" s="112">
        <f t="shared" si="1"/>
        <v>17870</v>
      </c>
      <c r="O52" s="196">
        <f t="shared" si="2"/>
        <v>16.10715263</v>
      </c>
      <c r="P52" s="112"/>
      <c r="Q52" s="112"/>
      <c r="R52" s="112"/>
    </row>
    <row r="53" ht="17.25" customHeight="1">
      <c r="A53" s="112"/>
      <c r="B53" s="189">
        <f>IFERROR(__xludf.DUMMYFUNCTION("""COMPUTED_VALUE"""),46031.5625)</f>
        <v>46031.5625</v>
      </c>
      <c r="C53" s="190">
        <f>IFERROR(__xludf.DUMMYFUNCTION("""COMPUTED_VALUE"""),20.75)</f>
        <v>20.75</v>
      </c>
      <c r="D53" s="190">
        <f>IFERROR(__xludf.DUMMYFUNCTION("""COMPUTED_VALUE"""),20.95)</f>
        <v>20.95</v>
      </c>
      <c r="E53" s="190">
        <f>IFERROR(__xludf.DUMMYFUNCTION("""COMPUTED_VALUE"""),20.55)</f>
        <v>20.55</v>
      </c>
      <c r="F53" s="190">
        <f>IFERROR(__xludf.DUMMYFUNCTION("""COMPUTED_VALUE"""),20.85)</f>
        <v>20.85</v>
      </c>
      <c r="G53" s="191">
        <f>IFERROR(__xludf.DUMMYFUNCTION("""COMPUTED_VALUE"""),3.2019223E7)</f>
        <v>32019223</v>
      </c>
      <c r="H53" s="112"/>
      <c r="I53" s="112"/>
      <c r="J53" s="262">
        <v>45242.0</v>
      </c>
      <c r="K53" s="94">
        <v>500.0</v>
      </c>
      <c r="L53" s="94">
        <v>17.75</v>
      </c>
      <c r="M53" s="94">
        <v>7.0</v>
      </c>
      <c r="N53" s="112">
        <f t="shared" si="1"/>
        <v>8882</v>
      </c>
      <c r="O53" s="196">
        <f t="shared" si="2"/>
        <v>16.1496359</v>
      </c>
      <c r="P53" s="112"/>
      <c r="Q53" s="112"/>
      <c r="R53" s="112"/>
    </row>
    <row r="54" ht="17.25" customHeight="1">
      <c r="A54" s="112"/>
      <c r="B54" s="189">
        <f>IFERROR(__xludf.DUMMYFUNCTION("""COMPUTED_VALUE"""),46034.5625)</f>
        <v>46034.5625</v>
      </c>
      <c r="C54" s="190">
        <f>IFERROR(__xludf.DUMMYFUNCTION("""COMPUTED_VALUE"""),20.95)</f>
        <v>20.95</v>
      </c>
      <c r="D54" s="190">
        <f>IFERROR(__xludf.DUMMYFUNCTION("""COMPUTED_VALUE"""),21.05)</f>
        <v>21.05</v>
      </c>
      <c r="E54" s="190">
        <f>IFERROR(__xludf.DUMMYFUNCTION("""COMPUTED_VALUE"""),20.8)</f>
        <v>20.8</v>
      </c>
      <c r="F54" s="190">
        <f>IFERROR(__xludf.DUMMYFUNCTION("""COMPUTED_VALUE"""),20.9)</f>
        <v>20.9</v>
      </c>
      <c r="G54" s="191">
        <f>IFERROR(__xludf.DUMMYFUNCTION("""COMPUTED_VALUE"""),3.9674173E7)</f>
        <v>39674173</v>
      </c>
      <c r="H54" s="112"/>
      <c r="I54" s="112"/>
      <c r="J54" s="262">
        <v>45257.0</v>
      </c>
      <c r="K54" s="94">
        <v>500.0</v>
      </c>
      <c r="L54" s="94">
        <v>18.2</v>
      </c>
      <c r="M54" s="94">
        <v>20.0</v>
      </c>
      <c r="N54" s="112">
        <f t="shared" si="1"/>
        <v>9120</v>
      </c>
      <c r="O54" s="196">
        <f t="shared" si="2"/>
        <v>16.201895</v>
      </c>
      <c r="P54" s="112"/>
      <c r="Q54" s="112"/>
      <c r="R54" s="112"/>
    </row>
    <row r="55" ht="17.25" customHeight="1">
      <c r="A55" s="112"/>
      <c r="B55" s="189">
        <f>IFERROR(__xludf.DUMMYFUNCTION("""COMPUTED_VALUE"""),46035.5625)</f>
        <v>46035.5625</v>
      </c>
      <c r="C55" s="190">
        <f>IFERROR(__xludf.DUMMYFUNCTION("""COMPUTED_VALUE"""),20.85)</f>
        <v>20.85</v>
      </c>
      <c r="D55" s="190">
        <f>IFERROR(__xludf.DUMMYFUNCTION("""COMPUTED_VALUE"""),21.1)</f>
        <v>21.1</v>
      </c>
      <c r="E55" s="190">
        <f>IFERROR(__xludf.DUMMYFUNCTION("""COMPUTED_VALUE"""),20.8)</f>
        <v>20.8</v>
      </c>
      <c r="F55" s="190">
        <f>IFERROR(__xludf.DUMMYFUNCTION("""COMPUTED_VALUE"""),21.05)</f>
        <v>21.05</v>
      </c>
      <c r="G55" s="191">
        <f>IFERROR(__xludf.DUMMYFUNCTION("""COMPUTED_VALUE"""),7.6403451E7)</f>
        <v>76403451</v>
      </c>
      <c r="H55" s="112"/>
      <c r="I55" s="112"/>
      <c r="J55" s="262">
        <v>45510.0</v>
      </c>
      <c r="K55" s="94">
        <v>800.0</v>
      </c>
      <c r="L55" s="94">
        <v>0.0</v>
      </c>
      <c r="M55" s="94">
        <v>0.0</v>
      </c>
      <c r="N55" s="112">
        <f t="shared" si="1"/>
        <v>0</v>
      </c>
      <c r="O55" s="196">
        <f t="shared" si="2"/>
        <v>15.57874519</v>
      </c>
      <c r="P55" s="94" t="s">
        <v>319</v>
      </c>
      <c r="Q55" s="112"/>
      <c r="R55" s="112"/>
    </row>
    <row r="56" ht="17.25" customHeight="1">
      <c r="A56" s="112"/>
      <c r="B56" s="189">
        <f>IFERROR(__xludf.DUMMYFUNCTION("""COMPUTED_VALUE"""),46036.5625)</f>
        <v>46036.5625</v>
      </c>
      <c r="C56" s="190">
        <f>IFERROR(__xludf.DUMMYFUNCTION("""COMPUTED_VALUE"""),21.1)</f>
        <v>21.1</v>
      </c>
      <c r="D56" s="190">
        <f>IFERROR(__xludf.DUMMYFUNCTION("""COMPUTED_VALUE"""),21.25)</f>
        <v>21.25</v>
      </c>
      <c r="E56" s="190">
        <f>IFERROR(__xludf.DUMMYFUNCTION("""COMPUTED_VALUE"""),21.0)</f>
        <v>21</v>
      </c>
      <c r="F56" s="190">
        <f>IFERROR(__xludf.DUMMYFUNCTION("""COMPUTED_VALUE"""),21.25)</f>
        <v>21.25</v>
      </c>
      <c r="G56" s="191">
        <f>IFERROR(__xludf.DUMMYFUNCTION("""COMPUTED_VALUE"""),7.7868806E7)</f>
        <v>77868806</v>
      </c>
      <c r="H56" s="112"/>
      <c r="I56" s="112"/>
      <c r="J56" s="205">
        <v>45597.0</v>
      </c>
      <c r="K56" s="94">
        <v>-800.0</v>
      </c>
      <c r="L56" s="94">
        <v>17.05</v>
      </c>
      <c r="M56" s="94">
        <v>60.0</v>
      </c>
      <c r="N56" s="112">
        <f t="shared" si="1"/>
        <v>-13580</v>
      </c>
      <c r="O56" s="196">
        <f t="shared" si="2"/>
        <v>15.522895</v>
      </c>
      <c r="P56" s="112"/>
      <c r="Q56" s="112"/>
      <c r="R56" s="112"/>
    </row>
    <row r="57" ht="17.25" customHeight="1">
      <c r="A57" s="112"/>
      <c r="B57" s="189">
        <f>IFERROR(__xludf.DUMMYFUNCTION("""COMPUTED_VALUE"""),46037.5625)</f>
        <v>46037.5625</v>
      </c>
      <c r="C57" s="190">
        <f>IFERROR(__xludf.DUMMYFUNCTION("""COMPUTED_VALUE"""),21.25)</f>
        <v>21.25</v>
      </c>
      <c r="D57" s="190">
        <f>IFERROR(__xludf.DUMMYFUNCTION("""COMPUTED_VALUE"""),21.65)</f>
        <v>21.65</v>
      </c>
      <c r="E57" s="190">
        <f>IFERROR(__xludf.DUMMYFUNCTION("""COMPUTED_VALUE"""),21.25)</f>
        <v>21.25</v>
      </c>
      <c r="F57" s="190">
        <f>IFERROR(__xludf.DUMMYFUNCTION("""COMPUTED_VALUE"""),21.6)</f>
        <v>21.6</v>
      </c>
      <c r="G57" s="191">
        <f>IFERROR(__xludf.DUMMYFUNCTION("""COMPUTED_VALUE"""),9.8343532E7)</f>
        <v>98343532</v>
      </c>
      <c r="H57" s="112"/>
      <c r="I57" s="112"/>
      <c r="J57" s="205">
        <v>45597.0</v>
      </c>
      <c r="K57" s="94">
        <v>-2000.0</v>
      </c>
      <c r="L57" s="94">
        <v>17.0</v>
      </c>
      <c r="M57" s="94">
        <v>129.0</v>
      </c>
      <c r="N57" s="112">
        <f t="shared" si="1"/>
        <v>-33871</v>
      </c>
      <c r="O57" s="196">
        <f t="shared" si="2"/>
        <v>15.36593889</v>
      </c>
      <c r="P57" s="112"/>
      <c r="Q57" s="112"/>
      <c r="R57" s="112"/>
    </row>
    <row r="58" ht="17.25" customHeight="1">
      <c r="A58" s="112"/>
      <c r="B58" s="189">
        <f>IFERROR(__xludf.DUMMYFUNCTION("""COMPUTED_VALUE"""),46038.5625)</f>
        <v>46038.5625</v>
      </c>
      <c r="C58" s="190">
        <f>IFERROR(__xludf.DUMMYFUNCTION("""COMPUTED_VALUE"""),21.75)</f>
        <v>21.75</v>
      </c>
      <c r="D58" s="190">
        <f>IFERROR(__xludf.DUMMYFUNCTION("""COMPUTED_VALUE"""),21.9)</f>
        <v>21.9</v>
      </c>
      <c r="E58" s="190">
        <f>IFERROR(__xludf.DUMMYFUNCTION("""COMPUTED_VALUE"""),21.65)</f>
        <v>21.65</v>
      </c>
      <c r="F58" s="190">
        <f>IFERROR(__xludf.DUMMYFUNCTION("""COMPUTED_VALUE"""),21.85)</f>
        <v>21.85</v>
      </c>
      <c r="G58" s="191">
        <f>IFERROR(__xludf.DUMMYFUNCTION("""COMPUTED_VALUE"""),7.5806206E7)</f>
        <v>75806206</v>
      </c>
      <c r="H58" s="112"/>
      <c r="I58" s="112"/>
      <c r="J58" s="205">
        <v>45789.0</v>
      </c>
      <c r="K58" s="94">
        <v>-2000.0</v>
      </c>
      <c r="L58" s="112">
        <f>16.25</f>
        <v>16.25</v>
      </c>
      <c r="M58" s="112">
        <f>26+97</f>
        <v>123</v>
      </c>
      <c r="N58" s="112">
        <f t="shared" si="1"/>
        <v>-32377</v>
      </c>
      <c r="O58" s="196">
        <f t="shared" si="2"/>
        <v>15.26311875</v>
      </c>
      <c r="P58" s="112"/>
      <c r="Q58" s="112"/>
      <c r="R58" s="112"/>
    </row>
    <row r="59" ht="17.25" customHeight="1">
      <c r="A59" s="112"/>
      <c r="B59" s="189">
        <f>IFERROR(__xludf.DUMMYFUNCTION("""COMPUTED_VALUE"""),46041.5625)</f>
        <v>46041.5625</v>
      </c>
      <c r="C59" s="190">
        <f>IFERROR(__xludf.DUMMYFUNCTION("""COMPUTED_VALUE"""),21.85)</f>
        <v>21.85</v>
      </c>
      <c r="D59" s="190">
        <f>IFERROR(__xludf.DUMMYFUNCTION("""COMPUTED_VALUE"""),22.9)</f>
        <v>22.9</v>
      </c>
      <c r="E59" s="190">
        <f>IFERROR(__xludf.DUMMYFUNCTION("""COMPUTED_VALUE"""),21.65)</f>
        <v>21.65</v>
      </c>
      <c r="F59" s="190">
        <f>IFERROR(__xludf.DUMMYFUNCTION("""COMPUTED_VALUE"""),22.85)</f>
        <v>22.85</v>
      </c>
      <c r="G59" s="191">
        <f>IFERROR(__xludf.DUMMYFUNCTION("""COMPUTED_VALUE"""),1.48633116E8)</f>
        <v>148633116</v>
      </c>
      <c r="H59" s="112"/>
      <c r="I59" s="112"/>
      <c r="J59" s="205">
        <v>45789.0</v>
      </c>
      <c r="K59" s="94">
        <v>-1000.0</v>
      </c>
      <c r="L59" s="112">
        <f>16.3</f>
        <v>16.3</v>
      </c>
      <c r="M59" s="112">
        <f>20+48</f>
        <v>68</v>
      </c>
      <c r="N59" s="112">
        <f t="shared" si="1"/>
        <v>-16232</v>
      </c>
      <c r="O59" s="196">
        <f t="shared" si="2"/>
        <v>15.19852667</v>
      </c>
      <c r="P59" s="112"/>
      <c r="Q59" s="112"/>
      <c r="R59" s="112"/>
    </row>
    <row r="60" ht="17.25" customHeight="1">
      <c r="A60" s="112"/>
      <c r="B60" s="189">
        <f>IFERROR(__xludf.DUMMYFUNCTION("""COMPUTED_VALUE"""),46042.5625)</f>
        <v>46042.5625</v>
      </c>
      <c r="C60" s="190">
        <f>IFERROR(__xludf.DUMMYFUNCTION("""COMPUTED_VALUE"""),22.95)</f>
        <v>22.95</v>
      </c>
      <c r="D60" s="190">
        <f>IFERROR(__xludf.DUMMYFUNCTION("""COMPUTED_VALUE"""),23.1)</f>
        <v>23.1</v>
      </c>
      <c r="E60" s="190">
        <f>IFERROR(__xludf.DUMMYFUNCTION("""COMPUTED_VALUE"""),22.75)</f>
        <v>22.75</v>
      </c>
      <c r="F60" s="190">
        <f>IFERROR(__xludf.DUMMYFUNCTION("""COMPUTED_VALUE"""),22.9)</f>
        <v>22.9</v>
      </c>
      <c r="G60" s="191">
        <f>IFERROR(__xludf.DUMMYFUNCTION("""COMPUTED_VALUE"""),7.4849001E7)</f>
        <v>74849001</v>
      </c>
      <c r="H60" s="112"/>
      <c r="I60" s="112"/>
      <c r="J60" s="205">
        <v>45798.0</v>
      </c>
      <c r="K60" s="94">
        <v>-3000.0</v>
      </c>
      <c r="L60" s="94">
        <v>16.8</v>
      </c>
      <c r="M60" s="94">
        <v>191.0</v>
      </c>
      <c r="N60" s="112">
        <f t="shared" si="1"/>
        <v>-50209</v>
      </c>
      <c r="O60" s="196">
        <f t="shared" si="2"/>
        <v>14.814075</v>
      </c>
      <c r="P60" s="112"/>
      <c r="Q60" s="112"/>
      <c r="R60" s="112"/>
    </row>
    <row r="61" ht="17.25" customHeight="1">
      <c r="A61" s="112"/>
      <c r="B61" s="189">
        <f>IFERROR(__xludf.DUMMYFUNCTION("""COMPUTED_VALUE"""),46043.5625)</f>
        <v>46043.5625</v>
      </c>
      <c r="C61" s="190">
        <f>IFERROR(__xludf.DUMMYFUNCTION("""COMPUTED_VALUE"""),22.7)</f>
        <v>22.7</v>
      </c>
      <c r="D61" s="190">
        <f>IFERROR(__xludf.DUMMYFUNCTION("""COMPUTED_VALUE"""),22.8)</f>
        <v>22.8</v>
      </c>
      <c r="E61" s="190">
        <f>IFERROR(__xludf.DUMMYFUNCTION("""COMPUTED_VALUE"""),22.05)</f>
        <v>22.05</v>
      </c>
      <c r="F61" s="190">
        <f>IFERROR(__xludf.DUMMYFUNCTION("""COMPUTED_VALUE"""),22.1)</f>
        <v>22.1</v>
      </c>
      <c r="G61" s="191">
        <f>IFERROR(__xludf.DUMMYFUNCTION("""COMPUTED_VALUE"""),1.56734045E8)</f>
        <v>156734045</v>
      </c>
      <c r="H61" s="112"/>
      <c r="I61" s="112"/>
      <c r="J61" s="205">
        <v>45845.0</v>
      </c>
      <c r="K61" s="94">
        <v>-1000.0</v>
      </c>
      <c r="L61" s="94">
        <v>16.05</v>
      </c>
      <c r="M61" s="94">
        <v>68.0</v>
      </c>
      <c r="N61" s="112">
        <f t="shared" si="1"/>
        <v>-15982</v>
      </c>
      <c r="O61" s="196">
        <f t="shared" si="2"/>
        <v>14.7079</v>
      </c>
      <c r="P61" s="112"/>
      <c r="Q61" s="112"/>
      <c r="R61" s="112"/>
    </row>
    <row r="62" ht="17.25" customHeight="1">
      <c r="A62" s="112"/>
      <c r="B62" s="189">
        <f>IFERROR(__xludf.DUMMYFUNCTION("""COMPUTED_VALUE"""),46044.5625)</f>
        <v>46044.5625</v>
      </c>
      <c r="C62" s="190">
        <f>IFERROR(__xludf.DUMMYFUNCTION("""COMPUTED_VALUE"""),22.4)</f>
        <v>22.4</v>
      </c>
      <c r="D62" s="190">
        <f>IFERROR(__xludf.DUMMYFUNCTION("""COMPUTED_VALUE"""),22.5)</f>
        <v>22.5</v>
      </c>
      <c r="E62" s="190">
        <f>IFERROR(__xludf.DUMMYFUNCTION("""COMPUTED_VALUE"""),22.05)</f>
        <v>22.05</v>
      </c>
      <c r="F62" s="190">
        <f>IFERROR(__xludf.DUMMYFUNCTION("""COMPUTED_VALUE"""),22.1)</f>
        <v>22.1</v>
      </c>
      <c r="G62" s="191">
        <f>IFERROR(__xludf.DUMMYFUNCTION("""COMPUTED_VALUE"""),7.8428641E7)</f>
        <v>78428641</v>
      </c>
      <c r="H62" s="112"/>
      <c r="I62" s="112"/>
      <c r="J62" s="205">
        <v>45846.0</v>
      </c>
      <c r="K62" s="94">
        <v>-1000.0</v>
      </c>
      <c r="L62" s="94">
        <v>16.2</v>
      </c>
      <c r="M62" s="94">
        <v>68.0</v>
      </c>
      <c r="N62" s="112">
        <f t="shared" si="1"/>
        <v>-16132</v>
      </c>
      <c r="O62" s="196">
        <f t="shared" si="2"/>
        <v>14.56549</v>
      </c>
      <c r="P62" s="112"/>
      <c r="Q62" s="112"/>
      <c r="R62" s="112"/>
    </row>
    <row r="63" ht="17.25" customHeight="1">
      <c r="A63" s="112"/>
      <c r="B63" s="189">
        <f>IFERROR(__xludf.DUMMYFUNCTION("""COMPUTED_VALUE"""),46045.5625)</f>
        <v>46045.5625</v>
      </c>
      <c r="C63" s="190">
        <f>IFERROR(__xludf.DUMMYFUNCTION("""COMPUTED_VALUE"""),22.3)</f>
        <v>22.3</v>
      </c>
      <c r="D63" s="190">
        <f>IFERROR(__xludf.DUMMYFUNCTION("""COMPUTED_VALUE"""),22.4)</f>
        <v>22.4</v>
      </c>
      <c r="E63" s="190">
        <f>IFERROR(__xludf.DUMMYFUNCTION("""COMPUTED_VALUE"""),22.1)</f>
        <v>22.1</v>
      </c>
      <c r="F63" s="190">
        <f>IFERROR(__xludf.DUMMYFUNCTION("""COMPUTED_VALUE"""),22.15)</f>
        <v>22.15</v>
      </c>
      <c r="G63" s="191">
        <f>IFERROR(__xludf.DUMMYFUNCTION("""COMPUTED_VALUE"""),4.1920843E7)</f>
        <v>41920843</v>
      </c>
      <c r="H63" s="112"/>
      <c r="I63" s="112"/>
      <c r="J63" s="205">
        <v>45875.0</v>
      </c>
      <c r="K63" s="94">
        <v>-2000.0</v>
      </c>
      <c r="L63" s="94">
        <v>16.7</v>
      </c>
      <c r="M63" s="94">
        <v>123.0</v>
      </c>
      <c r="N63" s="112">
        <f t="shared" si="1"/>
        <v>-33277</v>
      </c>
      <c r="O63" s="196">
        <f t="shared" si="2"/>
        <v>14.0472375</v>
      </c>
      <c r="P63" s="112"/>
      <c r="Q63" s="112"/>
      <c r="R63" s="112"/>
    </row>
    <row r="64" ht="17.25" customHeight="1">
      <c r="A64" s="112"/>
      <c r="B64" s="189">
        <f>IFERROR(__xludf.DUMMYFUNCTION("""COMPUTED_VALUE"""),46048.5625)</f>
        <v>46048.5625</v>
      </c>
      <c r="C64" s="190">
        <f>IFERROR(__xludf.DUMMYFUNCTION("""COMPUTED_VALUE"""),22.2)</f>
        <v>22.2</v>
      </c>
      <c r="D64" s="190">
        <f>IFERROR(__xludf.DUMMYFUNCTION("""COMPUTED_VALUE"""),23.0)</f>
        <v>23</v>
      </c>
      <c r="E64" s="190">
        <f>IFERROR(__xludf.DUMMYFUNCTION("""COMPUTED_VALUE"""),22.1)</f>
        <v>22.1</v>
      </c>
      <c r="F64" s="190">
        <f>IFERROR(__xludf.DUMMYFUNCTION("""COMPUTED_VALUE"""),22.9)</f>
        <v>22.9</v>
      </c>
      <c r="G64" s="191">
        <f>IFERROR(__xludf.DUMMYFUNCTION("""COMPUTED_VALUE"""),7.9779506E7)</f>
        <v>79779506</v>
      </c>
      <c r="H64" s="112"/>
      <c r="I64" s="112"/>
      <c r="J64" s="262">
        <v>45989.0</v>
      </c>
      <c r="K64" s="94">
        <v>-2000.0</v>
      </c>
      <c r="L64" s="94">
        <v>18.1</v>
      </c>
      <c r="M64" s="112">
        <f>28+108</f>
        <v>136</v>
      </c>
      <c r="N64" s="112">
        <f t="shared" si="1"/>
        <v>-36064</v>
      </c>
      <c r="O64" s="196">
        <f t="shared" si="2"/>
        <v>12.71898333</v>
      </c>
      <c r="P64" s="112"/>
      <c r="Q64" s="112"/>
      <c r="R64" s="112"/>
    </row>
    <row r="65" ht="17.25" customHeight="1">
      <c r="A65" s="112"/>
      <c r="B65" s="189">
        <f>IFERROR(__xludf.DUMMYFUNCTION("""COMPUTED_VALUE"""),46049.5625)</f>
        <v>46049.5625</v>
      </c>
      <c r="C65" s="190">
        <f>IFERROR(__xludf.DUMMYFUNCTION("""COMPUTED_VALUE"""),22.9)</f>
        <v>22.9</v>
      </c>
      <c r="D65" s="190">
        <f>IFERROR(__xludf.DUMMYFUNCTION("""COMPUTED_VALUE"""),23.35)</f>
        <v>23.35</v>
      </c>
      <c r="E65" s="190">
        <f>IFERROR(__xludf.DUMMYFUNCTION("""COMPUTED_VALUE"""),22.9)</f>
        <v>22.9</v>
      </c>
      <c r="F65" s="190">
        <f>IFERROR(__xludf.DUMMYFUNCTION("""COMPUTED_VALUE"""),23.2)</f>
        <v>23.2</v>
      </c>
      <c r="G65" s="191">
        <f>IFERROR(__xludf.DUMMYFUNCTION("""COMPUTED_VALUE"""),8.5495365E7)</f>
        <v>85495365</v>
      </c>
      <c r="H65" s="112"/>
      <c r="I65" s="112"/>
      <c r="J65" s="262">
        <v>46008.0</v>
      </c>
      <c r="K65" s="94">
        <v>-1000.0</v>
      </c>
      <c r="L65" s="94">
        <v>21.35</v>
      </c>
      <c r="M65" s="94">
        <v>84.0</v>
      </c>
      <c r="N65" s="112">
        <f t="shared" si="1"/>
        <v>-21266</v>
      </c>
      <c r="O65" s="196">
        <f t="shared" si="2"/>
        <v>11.00958</v>
      </c>
      <c r="P65" s="112"/>
      <c r="Q65" s="112"/>
      <c r="R65" s="112"/>
    </row>
    <row r="66" ht="17.25" customHeight="1">
      <c r="A66" s="112"/>
      <c r="B66" s="189">
        <f>IFERROR(__xludf.DUMMYFUNCTION("""COMPUTED_VALUE"""),46050.5625)</f>
        <v>46050.5625</v>
      </c>
      <c r="C66" s="190">
        <f>IFERROR(__xludf.DUMMYFUNCTION("""COMPUTED_VALUE"""),23.35)</f>
        <v>23.35</v>
      </c>
      <c r="D66" s="190">
        <f>IFERROR(__xludf.DUMMYFUNCTION("""COMPUTED_VALUE"""),23.4)</f>
        <v>23.4</v>
      </c>
      <c r="E66" s="190">
        <f>IFERROR(__xludf.DUMMYFUNCTION("""COMPUTED_VALUE"""),22.7)</f>
        <v>22.7</v>
      </c>
      <c r="F66" s="190">
        <f>IFERROR(__xludf.DUMMYFUNCTION("""COMPUTED_VALUE"""),22.85)</f>
        <v>22.85</v>
      </c>
      <c r="G66" s="191">
        <f>IFERROR(__xludf.DUMMYFUNCTION("""COMPUTED_VALUE"""),6.0623816E7)</f>
        <v>60623816</v>
      </c>
      <c r="H66" s="112"/>
      <c r="I66" s="112"/>
      <c r="J66" s="112"/>
      <c r="K66" s="112"/>
      <c r="L66" s="112"/>
      <c r="M66" s="112"/>
      <c r="N66" s="112">
        <f t="shared" si="1"/>
        <v>0</v>
      </c>
      <c r="O66" s="196">
        <f t="shared" si="2"/>
        <v>11.00958</v>
      </c>
      <c r="P66" s="112"/>
      <c r="Q66" s="112"/>
      <c r="R66" s="112"/>
    </row>
    <row r="67" ht="17.25" customHeight="1">
      <c r="A67" s="112"/>
      <c r="B67" s="189">
        <f>IFERROR(__xludf.DUMMYFUNCTION("""COMPUTED_VALUE"""),46051.5625)</f>
        <v>46051.5625</v>
      </c>
      <c r="C67" s="190">
        <f>IFERROR(__xludf.DUMMYFUNCTION("""COMPUTED_VALUE"""),22.85)</f>
        <v>22.85</v>
      </c>
      <c r="D67" s="190">
        <f>IFERROR(__xludf.DUMMYFUNCTION("""COMPUTED_VALUE"""),23.1)</f>
        <v>23.1</v>
      </c>
      <c r="E67" s="190">
        <f>IFERROR(__xludf.DUMMYFUNCTION("""COMPUTED_VALUE"""),22.6)</f>
        <v>22.6</v>
      </c>
      <c r="F67" s="190">
        <f>IFERROR(__xludf.DUMMYFUNCTION("""COMPUTED_VALUE"""),22.85)</f>
        <v>22.85</v>
      </c>
      <c r="G67" s="191">
        <f>IFERROR(__xludf.DUMMYFUNCTION("""COMPUTED_VALUE"""),5.276748E7)</f>
        <v>52767480</v>
      </c>
      <c r="H67" s="112"/>
      <c r="I67" s="112"/>
      <c r="J67" s="112"/>
      <c r="K67" s="112"/>
      <c r="L67" s="112"/>
      <c r="M67" s="112"/>
      <c r="N67" s="112">
        <f t="shared" si="1"/>
        <v>0</v>
      </c>
      <c r="O67" s="196">
        <f t="shared" si="2"/>
        <v>11.00958</v>
      </c>
      <c r="P67" s="112"/>
      <c r="Q67" s="112"/>
      <c r="R67" s="112"/>
    </row>
    <row r="68" ht="17.25" customHeight="1">
      <c r="A68" s="112"/>
      <c r="B68" s="189">
        <f>IFERROR(__xludf.DUMMYFUNCTION("""COMPUTED_VALUE"""),46052.5625)</f>
        <v>46052.5625</v>
      </c>
      <c r="C68" s="190">
        <f>IFERROR(__xludf.DUMMYFUNCTION("""COMPUTED_VALUE"""),22.95)</f>
        <v>22.95</v>
      </c>
      <c r="D68" s="190">
        <f>IFERROR(__xludf.DUMMYFUNCTION("""COMPUTED_VALUE"""),23.05)</f>
        <v>23.05</v>
      </c>
      <c r="E68" s="190">
        <f>IFERROR(__xludf.DUMMYFUNCTION("""COMPUTED_VALUE"""),22.55)</f>
        <v>22.55</v>
      </c>
      <c r="F68" s="190">
        <f>IFERROR(__xludf.DUMMYFUNCTION("""COMPUTED_VALUE"""),22.7)</f>
        <v>22.7</v>
      </c>
      <c r="G68" s="191">
        <f>IFERROR(__xludf.DUMMYFUNCTION("""COMPUTED_VALUE"""),5.8011157E7)</f>
        <v>58011157</v>
      </c>
      <c r="H68" s="112"/>
      <c r="I68" s="112"/>
      <c r="J68" s="112"/>
      <c r="K68" s="112"/>
      <c r="L68" s="112"/>
      <c r="M68" s="112"/>
      <c r="N68" s="112">
        <f t="shared" si="1"/>
        <v>0</v>
      </c>
      <c r="O68" s="196">
        <f t="shared" si="2"/>
        <v>11.00958</v>
      </c>
      <c r="P68" s="112"/>
      <c r="Q68" s="112"/>
      <c r="R68" s="112"/>
    </row>
    <row r="69" ht="17.25" customHeight="1">
      <c r="A69" s="112"/>
      <c r="B69" s="189">
        <f>IFERROR(__xludf.DUMMYFUNCTION("""COMPUTED_VALUE"""),46055.5625)</f>
        <v>46055.5625</v>
      </c>
      <c r="C69" s="190">
        <f>IFERROR(__xludf.DUMMYFUNCTION("""COMPUTED_VALUE"""),22.65)</f>
        <v>22.65</v>
      </c>
      <c r="D69" s="190">
        <f>IFERROR(__xludf.DUMMYFUNCTION("""COMPUTED_VALUE"""),22.7)</f>
        <v>22.7</v>
      </c>
      <c r="E69" s="190">
        <f>IFERROR(__xludf.DUMMYFUNCTION("""COMPUTED_VALUE"""),22.2)</f>
        <v>22.2</v>
      </c>
      <c r="F69" s="190">
        <f>IFERROR(__xludf.DUMMYFUNCTION("""COMPUTED_VALUE"""),22.35)</f>
        <v>22.35</v>
      </c>
      <c r="G69" s="191">
        <f>IFERROR(__xludf.DUMMYFUNCTION("""COMPUTED_VALUE"""),6.3993712E7)</f>
        <v>63993712</v>
      </c>
      <c r="H69" s="112"/>
      <c r="I69" s="112"/>
      <c r="J69" s="112"/>
      <c r="K69" s="112"/>
      <c r="L69" s="112"/>
      <c r="M69" s="112"/>
      <c r="N69" s="112">
        <f t="shared" si="1"/>
        <v>0</v>
      </c>
      <c r="O69" s="196">
        <f t="shared" si="2"/>
        <v>11.00958</v>
      </c>
      <c r="P69" s="112"/>
      <c r="Q69" s="112"/>
      <c r="R69" s="112"/>
    </row>
    <row r="70" ht="17.25" customHeight="1">
      <c r="A70" s="112"/>
      <c r="B70" s="189">
        <f>IFERROR(__xludf.DUMMYFUNCTION("""COMPUTED_VALUE"""),46056.5625)</f>
        <v>46056.5625</v>
      </c>
      <c r="C70" s="190">
        <f>IFERROR(__xludf.DUMMYFUNCTION("""COMPUTED_VALUE"""),22.65)</f>
        <v>22.65</v>
      </c>
      <c r="D70" s="190">
        <f>IFERROR(__xludf.DUMMYFUNCTION("""COMPUTED_VALUE"""),23.1)</f>
        <v>23.1</v>
      </c>
      <c r="E70" s="190">
        <f>IFERROR(__xludf.DUMMYFUNCTION("""COMPUTED_VALUE"""),22.65)</f>
        <v>22.65</v>
      </c>
      <c r="F70" s="190">
        <f>IFERROR(__xludf.DUMMYFUNCTION("""COMPUTED_VALUE"""),22.75)</f>
        <v>22.75</v>
      </c>
      <c r="G70" s="191">
        <f>IFERROR(__xludf.DUMMYFUNCTION("""COMPUTED_VALUE"""),4.648875E7)</f>
        <v>46488750</v>
      </c>
      <c r="H70" s="112"/>
      <c r="I70" s="112"/>
      <c r="J70" s="112"/>
      <c r="K70" s="112"/>
      <c r="L70" s="112"/>
      <c r="M70" s="112"/>
      <c r="N70" s="112">
        <f t="shared" si="1"/>
        <v>0</v>
      </c>
      <c r="O70" s="196">
        <f t="shared" si="2"/>
        <v>11.00958</v>
      </c>
      <c r="P70" s="112"/>
      <c r="Q70" s="112"/>
      <c r="R70" s="112"/>
    </row>
    <row r="71" ht="17.25" customHeight="1">
      <c r="A71" s="112"/>
      <c r="B71" s="189">
        <f>IFERROR(__xludf.DUMMYFUNCTION("""COMPUTED_VALUE"""),46057.5625)</f>
        <v>46057.5625</v>
      </c>
      <c r="C71" s="190">
        <f>IFERROR(__xludf.DUMMYFUNCTION("""COMPUTED_VALUE"""),22.8)</f>
        <v>22.8</v>
      </c>
      <c r="D71" s="190">
        <f>IFERROR(__xludf.DUMMYFUNCTION("""COMPUTED_VALUE"""),23.45)</f>
        <v>23.45</v>
      </c>
      <c r="E71" s="190">
        <f>IFERROR(__xludf.DUMMYFUNCTION("""COMPUTED_VALUE"""),22.75)</f>
        <v>22.75</v>
      </c>
      <c r="F71" s="190">
        <f>IFERROR(__xludf.DUMMYFUNCTION("""COMPUTED_VALUE"""),23.05)</f>
        <v>23.05</v>
      </c>
      <c r="G71" s="191">
        <f>IFERROR(__xludf.DUMMYFUNCTION("""COMPUTED_VALUE"""),5.7403356E7)</f>
        <v>57403356</v>
      </c>
      <c r="H71" s="112"/>
      <c r="I71" s="112"/>
      <c r="J71" s="112"/>
      <c r="K71" s="112"/>
      <c r="L71" s="112"/>
      <c r="M71" s="112"/>
      <c r="N71" s="112">
        <f t="shared" si="1"/>
        <v>0</v>
      </c>
      <c r="O71" s="196">
        <f t="shared" si="2"/>
        <v>11.00958</v>
      </c>
      <c r="P71" s="112"/>
      <c r="Q71" s="112"/>
      <c r="R71" s="112"/>
    </row>
    <row r="72" ht="17.25" customHeight="1">
      <c r="A72" s="112"/>
      <c r="B72" s="189">
        <f>IFERROR(__xludf.DUMMYFUNCTION("""COMPUTED_VALUE"""),46058.5625)</f>
        <v>46058.5625</v>
      </c>
      <c r="C72" s="190">
        <f>IFERROR(__xludf.DUMMYFUNCTION("""COMPUTED_VALUE"""),23.15)</f>
        <v>23.15</v>
      </c>
      <c r="D72" s="190">
        <f>IFERROR(__xludf.DUMMYFUNCTION("""COMPUTED_VALUE"""),23.3)</f>
        <v>23.3</v>
      </c>
      <c r="E72" s="190">
        <f>IFERROR(__xludf.DUMMYFUNCTION("""COMPUTED_VALUE"""),23.05)</f>
        <v>23.05</v>
      </c>
      <c r="F72" s="190">
        <f>IFERROR(__xludf.DUMMYFUNCTION("""COMPUTED_VALUE"""),23.1)</f>
        <v>23.1</v>
      </c>
      <c r="G72" s="191">
        <f>IFERROR(__xludf.DUMMYFUNCTION("""COMPUTED_VALUE"""),4.6393894E7)</f>
        <v>46393894</v>
      </c>
      <c r="H72" s="112"/>
      <c r="I72" s="112"/>
      <c r="J72" s="112"/>
      <c r="K72" s="112"/>
      <c r="L72" s="112"/>
      <c r="M72" s="112"/>
      <c r="N72" s="112">
        <f t="shared" si="1"/>
        <v>0</v>
      </c>
      <c r="O72" s="196">
        <f t="shared" si="2"/>
        <v>11.00958</v>
      </c>
      <c r="P72" s="112"/>
      <c r="Q72" s="112"/>
      <c r="R72" s="112"/>
    </row>
    <row r="73" ht="17.25" customHeight="1">
      <c r="A73" s="112"/>
      <c r="B73" s="189">
        <f>IFERROR(__xludf.DUMMYFUNCTION("""COMPUTED_VALUE"""),46059.5625)</f>
        <v>46059.5625</v>
      </c>
      <c r="C73" s="190">
        <f>IFERROR(__xludf.DUMMYFUNCTION("""COMPUTED_VALUE"""),23.05)</f>
        <v>23.05</v>
      </c>
      <c r="D73" s="190">
        <f>IFERROR(__xludf.DUMMYFUNCTION("""COMPUTED_VALUE"""),23.35)</f>
        <v>23.35</v>
      </c>
      <c r="E73" s="190">
        <f>IFERROR(__xludf.DUMMYFUNCTION("""COMPUTED_VALUE"""),22.8)</f>
        <v>22.8</v>
      </c>
      <c r="F73" s="190">
        <f>IFERROR(__xludf.DUMMYFUNCTION("""COMPUTED_VALUE"""),23.35)</f>
        <v>23.35</v>
      </c>
      <c r="G73" s="191">
        <f>IFERROR(__xludf.DUMMYFUNCTION("""COMPUTED_VALUE"""),5.9111637E7)</f>
        <v>59111637</v>
      </c>
      <c r="H73" s="112"/>
      <c r="I73" s="112"/>
      <c r="J73" s="206">
        <f>TODAY()</f>
        <v>46172</v>
      </c>
      <c r="K73" s="112"/>
      <c r="L73" s="190">
        <f>B8</f>
        <v>23.35</v>
      </c>
      <c r="M73" s="112"/>
      <c r="N73" s="112">
        <f t="shared" si="1"/>
        <v>0</v>
      </c>
      <c r="O73" s="196">
        <f t="shared" si="2"/>
        <v>11.00958</v>
      </c>
      <c r="P73" s="112"/>
      <c r="Q73" s="112"/>
      <c r="R73" s="112"/>
    </row>
    <row r="74" ht="17.25" customHeight="1">
      <c r="A74" s="112"/>
      <c r="B74" s="189">
        <f>IFERROR(__xludf.DUMMYFUNCTION("""COMPUTED_VALUE"""),46062.5625)</f>
        <v>46062.5625</v>
      </c>
      <c r="C74" s="190">
        <f>IFERROR(__xludf.DUMMYFUNCTION("""COMPUTED_VALUE"""),23.5)</f>
        <v>23.5</v>
      </c>
      <c r="D74" s="190">
        <f>IFERROR(__xludf.DUMMYFUNCTION("""COMPUTED_VALUE"""),24.0)</f>
        <v>24</v>
      </c>
      <c r="E74" s="190">
        <f>IFERROR(__xludf.DUMMYFUNCTION("""COMPUTED_VALUE"""),23.4)</f>
        <v>23.4</v>
      </c>
      <c r="F74" s="190">
        <f>IFERROR(__xludf.DUMMYFUNCTION("""COMPUTED_VALUE"""),23.8)</f>
        <v>23.8</v>
      </c>
      <c r="G74" s="191">
        <f>IFERROR(__xludf.DUMMYFUNCTION("""COMPUTED_VALUE"""),9.8494596E7)</f>
        <v>98494596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</row>
    <row r="75" ht="17.25" customHeight="1">
      <c r="A75" s="112"/>
      <c r="B75" s="189">
        <f>IFERROR(__xludf.DUMMYFUNCTION("""COMPUTED_VALUE"""),46063.5625)</f>
        <v>46063.5625</v>
      </c>
      <c r="C75" s="190">
        <f>IFERROR(__xludf.DUMMYFUNCTION("""COMPUTED_VALUE"""),23.9)</f>
        <v>23.9</v>
      </c>
      <c r="D75" s="190">
        <f>IFERROR(__xludf.DUMMYFUNCTION("""COMPUTED_VALUE"""),24.0)</f>
        <v>24</v>
      </c>
      <c r="E75" s="190">
        <f>IFERROR(__xludf.DUMMYFUNCTION("""COMPUTED_VALUE"""),23.7)</f>
        <v>23.7</v>
      </c>
      <c r="F75" s="190">
        <f>IFERROR(__xludf.DUMMYFUNCTION("""COMPUTED_VALUE"""),23.95)</f>
        <v>23.95</v>
      </c>
      <c r="G75" s="191">
        <f>IFERROR(__xludf.DUMMYFUNCTION("""COMPUTED_VALUE"""),6.23962E7)</f>
        <v>62396200</v>
      </c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</row>
    <row r="76" ht="17.25" customHeight="1">
      <c r="A76" s="112"/>
      <c r="B76" s="189">
        <f>IFERROR(__xludf.DUMMYFUNCTION("""COMPUTED_VALUE"""),46064.5625)</f>
        <v>46064.5625</v>
      </c>
      <c r="C76" s="190">
        <f>IFERROR(__xludf.DUMMYFUNCTION("""COMPUTED_VALUE"""),24.0)</f>
        <v>24</v>
      </c>
      <c r="D76" s="190">
        <f>IFERROR(__xludf.DUMMYFUNCTION("""COMPUTED_VALUE"""),24.2)</f>
        <v>24.2</v>
      </c>
      <c r="E76" s="190">
        <f>IFERROR(__xludf.DUMMYFUNCTION("""COMPUTED_VALUE"""),23.9)</f>
        <v>23.9</v>
      </c>
      <c r="F76" s="190">
        <f>IFERROR(__xludf.DUMMYFUNCTION("""COMPUTED_VALUE"""),24.0)</f>
        <v>24</v>
      </c>
      <c r="G76" s="191">
        <f>IFERROR(__xludf.DUMMYFUNCTION("""COMPUTED_VALUE"""),8.1033402E7)</f>
        <v>81033402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</row>
    <row r="77" ht="17.25" customHeight="1">
      <c r="A77" s="112"/>
      <c r="B77" s="189">
        <f>IFERROR(__xludf.DUMMYFUNCTION("""COMPUTED_VALUE"""),46076.5625)</f>
        <v>46076.5625</v>
      </c>
      <c r="C77" s="190">
        <f>IFERROR(__xludf.DUMMYFUNCTION("""COMPUTED_VALUE"""),24.7)</f>
        <v>24.7</v>
      </c>
      <c r="D77" s="190">
        <f>IFERROR(__xludf.DUMMYFUNCTION("""COMPUTED_VALUE"""),25.45)</f>
        <v>25.45</v>
      </c>
      <c r="E77" s="190">
        <f>IFERROR(__xludf.DUMMYFUNCTION("""COMPUTED_VALUE"""),24.7)</f>
        <v>24.7</v>
      </c>
      <c r="F77" s="190">
        <f>IFERROR(__xludf.DUMMYFUNCTION("""COMPUTED_VALUE"""),25.3)</f>
        <v>25.3</v>
      </c>
      <c r="G77" s="191">
        <f>IFERROR(__xludf.DUMMYFUNCTION("""COMPUTED_VALUE"""),1.79580198E8)</f>
        <v>179580198</v>
      </c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</row>
    <row r="78" ht="17.25" customHeight="1">
      <c r="A78" s="112"/>
      <c r="B78" s="189">
        <f>IFERROR(__xludf.DUMMYFUNCTION("""COMPUTED_VALUE"""),46077.5625)</f>
        <v>46077.5625</v>
      </c>
      <c r="C78" s="190">
        <f>IFERROR(__xludf.DUMMYFUNCTION("""COMPUTED_VALUE"""),25.5)</f>
        <v>25.5</v>
      </c>
      <c r="D78" s="190">
        <f>IFERROR(__xludf.DUMMYFUNCTION("""COMPUTED_VALUE"""),25.5)</f>
        <v>25.5</v>
      </c>
      <c r="E78" s="190">
        <f>IFERROR(__xludf.DUMMYFUNCTION("""COMPUTED_VALUE"""),24.75)</f>
        <v>24.75</v>
      </c>
      <c r="F78" s="190">
        <f>IFERROR(__xludf.DUMMYFUNCTION("""COMPUTED_VALUE"""),25.3)</f>
        <v>25.3</v>
      </c>
      <c r="G78" s="191">
        <f>IFERROR(__xludf.DUMMYFUNCTION("""COMPUTED_VALUE"""),9.4219641E7)</f>
        <v>94219641</v>
      </c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</row>
    <row r="79" ht="17.25" customHeight="1">
      <c r="A79" s="112"/>
      <c r="B79" s="189">
        <f>IFERROR(__xludf.DUMMYFUNCTION("""COMPUTED_VALUE"""),46078.5625)</f>
        <v>46078.5625</v>
      </c>
      <c r="C79" s="190">
        <f>IFERROR(__xludf.DUMMYFUNCTION("""COMPUTED_VALUE"""),25.3)</f>
        <v>25.3</v>
      </c>
      <c r="D79" s="190">
        <f>IFERROR(__xludf.DUMMYFUNCTION("""COMPUTED_VALUE"""),25.4)</f>
        <v>25.4</v>
      </c>
      <c r="E79" s="190">
        <f>IFERROR(__xludf.DUMMYFUNCTION("""COMPUTED_VALUE"""),24.9)</f>
        <v>24.9</v>
      </c>
      <c r="F79" s="190">
        <f>IFERROR(__xludf.DUMMYFUNCTION("""COMPUTED_VALUE"""),24.9)</f>
        <v>24.9</v>
      </c>
      <c r="G79" s="191">
        <f>IFERROR(__xludf.DUMMYFUNCTION("""COMPUTED_VALUE"""),7.5479173E7)</f>
        <v>75479173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</row>
    <row r="80" ht="17.25" customHeight="1">
      <c r="A80" s="112"/>
      <c r="B80" s="189">
        <f>IFERROR(__xludf.DUMMYFUNCTION("""COMPUTED_VALUE"""),46079.5625)</f>
        <v>46079.5625</v>
      </c>
      <c r="C80" s="190">
        <f>IFERROR(__xludf.DUMMYFUNCTION("""COMPUTED_VALUE"""),24.9)</f>
        <v>24.9</v>
      </c>
      <c r="D80" s="190">
        <f>IFERROR(__xludf.DUMMYFUNCTION("""COMPUTED_VALUE"""),26.0)</f>
        <v>26</v>
      </c>
      <c r="E80" s="190">
        <f>IFERROR(__xludf.DUMMYFUNCTION("""COMPUTED_VALUE"""),24.85)</f>
        <v>24.85</v>
      </c>
      <c r="F80" s="190">
        <f>IFERROR(__xludf.DUMMYFUNCTION("""COMPUTED_VALUE"""),25.6)</f>
        <v>25.6</v>
      </c>
      <c r="G80" s="191">
        <f>IFERROR(__xludf.DUMMYFUNCTION("""COMPUTED_VALUE"""),1.82862035E8)</f>
        <v>182862035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</row>
    <row r="81" ht="17.25" customHeight="1">
      <c r="A81" s="112"/>
      <c r="B81" s="189">
        <f>IFERROR(__xludf.DUMMYFUNCTION("""COMPUTED_VALUE"""),46083.5625)</f>
        <v>46083.5625</v>
      </c>
      <c r="C81" s="190">
        <f>IFERROR(__xludf.DUMMYFUNCTION("""COMPUTED_VALUE"""),25.05)</f>
        <v>25.05</v>
      </c>
      <c r="D81" s="190">
        <f>IFERROR(__xludf.DUMMYFUNCTION("""COMPUTED_VALUE"""),25.35)</f>
        <v>25.35</v>
      </c>
      <c r="E81" s="190">
        <f>IFERROR(__xludf.DUMMYFUNCTION("""COMPUTED_VALUE"""),24.65)</f>
        <v>24.65</v>
      </c>
      <c r="F81" s="190">
        <f>IFERROR(__xludf.DUMMYFUNCTION("""COMPUTED_VALUE"""),24.85)</f>
        <v>24.85</v>
      </c>
      <c r="G81" s="191">
        <f>IFERROR(__xludf.DUMMYFUNCTION("""COMPUTED_VALUE"""),1.15675945E8)</f>
        <v>115675945</v>
      </c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</row>
    <row r="82" ht="17.25" customHeight="1">
      <c r="A82" s="112"/>
      <c r="B82" s="189">
        <f>IFERROR(__xludf.DUMMYFUNCTION("""COMPUTED_VALUE"""),46084.5625)</f>
        <v>46084.5625</v>
      </c>
      <c r="C82" s="190">
        <f>IFERROR(__xludf.DUMMYFUNCTION("""COMPUTED_VALUE"""),25.0)</f>
        <v>25</v>
      </c>
      <c r="D82" s="190">
        <f>IFERROR(__xludf.DUMMYFUNCTION("""COMPUTED_VALUE"""),25.4)</f>
        <v>25.4</v>
      </c>
      <c r="E82" s="190">
        <f>IFERROR(__xludf.DUMMYFUNCTION("""COMPUTED_VALUE"""),24.8)</f>
        <v>24.8</v>
      </c>
      <c r="F82" s="190">
        <f>IFERROR(__xludf.DUMMYFUNCTION("""COMPUTED_VALUE"""),25.3)</f>
        <v>25.3</v>
      </c>
      <c r="G82" s="191">
        <f>IFERROR(__xludf.DUMMYFUNCTION("""COMPUTED_VALUE"""),7.3504869E7)</f>
        <v>73504869</v>
      </c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</row>
    <row r="83" ht="17.25" customHeight="1">
      <c r="A83" s="112"/>
      <c r="B83" s="189">
        <f>IFERROR(__xludf.DUMMYFUNCTION("""COMPUTED_VALUE"""),46085.5625)</f>
        <v>46085.5625</v>
      </c>
      <c r="C83" s="190">
        <f>IFERROR(__xludf.DUMMYFUNCTION("""COMPUTED_VALUE"""),25.0)</f>
        <v>25</v>
      </c>
      <c r="D83" s="190">
        <f>IFERROR(__xludf.DUMMYFUNCTION("""COMPUTED_VALUE"""),25.0)</f>
        <v>25</v>
      </c>
      <c r="E83" s="190">
        <f>IFERROR(__xludf.DUMMYFUNCTION("""COMPUTED_VALUE"""),23.9)</f>
        <v>23.9</v>
      </c>
      <c r="F83" s="190">
        <f>IFERROR(__xludf.DUMMYFUNCTION("""COMPUTED_VALUE"""),24.15)</f>
        <v>24.15</v>
      </c>
      <c r="G83" s="191">
        <f>IFERROR(__xludf.DUMMYFUNCTION("""COMPUTED_VALUE"""),2.10380243E8)</f>
        <v>210380243</v>
      </c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</row>
    <row r="84" ht="17.25" customHeight="1">
      <c r="A84" s="112"/>
      <c r="B84" s="189">
        <f>IFERROR(__xludf.DUMMYFUNCTION("""COMPUTED_VALUE"""),46086.5625)</f>
        <v>46086.5625</v>
      </c>
      <c r="C84" s="190">
        <f>IFERROR(__xludf.DUMMYFUNCTION("""COMPUTED_VALUE"""),24.7)</f>
        <v>24.7</v>
      </c>
      <c r="D84" s="190">
        <f>IFERROR(__xludf.DUMMYFUNCTION("""COMPUTED_VALUE"""),24.85)</f>
        <v>24.85</v>
      </c>
      <c r="E84" s="190">
        <f>IFERROR(__xludf.DUMMYFUNCTION("""COMPUTED_VALUE"""),24.1)</f>
        <v>24.1</v>
      </c>
      <c r="F84" s="190">
        <f>IFERROR(__xludf.DUMMYFUNCTION("""COMPUTED_VALUE"""),24.55)</f>
        <v>24.55</v>
      </c>
      <c r="G84" s="191">
        <f>IFERROR(__xludf.DUMMYFUNCTION("""COMPUTED_VALUE"""),9.6899451E7)</f>
        <v>96899451</v>
      </c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</row>
    <row r="85" ht="17.25" customHeight="1">
      <c r="A85" s="112"/>
      <c r="B85" s="189">
        <f>IFERROR(__xludf.DUMMYFUNCTION("""COMPUTED_VALUE"""),46087.5625)</f>
        <v>46087.5625</v>
      </c>
      <c r="C85" s="190">
        <f>IFERROR(__xludf.DUMMYFUNCTION("""COMPUTED_VALUE"""),24.4)</f>
        <v>24.4</v>
      </c>
      <c r="D85" s="190">
        <f>IFERROR(__xludf.DUMMYFUNCTION("""COMPUTED_VALUE"""),24.5)</f>
        <v>24.5</v>
      </c>
      <c r="E85" s="190">
        <f>IFERROR(__xludf.DUMMYFUNCTION("""COMPUTED_VALUE"""),24.25)</f>
        <v>24.25</v>
      </c>
      <c r="F85" s="190">
        <f>IFERROR(__xludf.DUMMYFUNCTION("""COMPUTED_VALUE"""),24.4)</f>
        <v>24.4</v>
      </c>
      <c r="G85" s="191">
        <f>IFERROR(__xludf.DUMMYFUNCTION("""COMPUTED_VALUE"""),4.7630209E7)</f>
        <v>47630209</v>
      </c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</row>
    <row r="86" ht="17.25" customHeight="1">
      <c r="A86" s="112"/>
      <c r="B86" s="189">
        <f>IFERROR(__xludf.DUMMYFUNCTION("""COMPUTED_VALUE"""),46090.5625)</f>
        <v>46090.5625</v>
      </c>
      <c r="C86" s="190">
        <f>IFERROR(__xludf.DUMMYFUNCTION("""COMPUTED_VALUE"""),22.9)</f>
        <v>22.9</v>
      </c>
      <c r="D86" s="190">
        <f>IFERROR(__xludf.DUMMYFUNCTION("""COMPUTED_VALUE"""),23.95)</f>
        <v>23.95</v>
      </c>
      <c r="E86" s="190">
        <f>IFERROR(__xludf.DUMMYFUNCTION("""COMPUTED_VALUE"""),22.9)</f>
        <v>22.9</v>
      </c>
      <c r="F86" s="190">
        <f>IFERROR(__xludf.DUMMYFUNCTION("""COMPUTED_VALUE"""),23.95)</f>
        <v>23.95</v>
      </c>
      <c r="G86" s="191">
        <f>IFERROR(__xludf.DUMMYFUNCTION("""COMPUTED_VALUE"""),1.25472362E8)</f>
        <v>125472362</v>
      </c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</row>
    <row r="87" ht="17.25" customHeight="1">
      <c r="A87" s="112"/>
      <c r="B87" s="189">
        <f>IFERROR(__xludf.DUMMYFUNCTION("""COMPUTED_VALUE"""),46091.5625)</f>
        <v>46091.5625</v>
      </c>
      <c r="C87" s="190">
        <f>IFERROR(__xludf.DUMMYFUNCTION("""COMPUTED_VALUE"""),24.45)</f>
        <v>24.45</v>
      </c>
      <c r="D87" s="190">
        <f>IFERROR(__xludf.DUMMYFUNCTION("""COMPUTED_VALUE"""),24.5)</f>
        <v>24.5</v>
      </c>
      <c r="E87" s="190">
        <f>IFERROR(__xludf.DUMMYFUNCTION("""COMPUTED_VALUE"""),24.05)</f>
        <v>24.05</v>
      </c>
      <c r="F87" s="190">
        <f>IFERROR(__xludf.DUMMYFUNCTION("""COMPUTED_VALUE"""),24.3)</f>
        <v>24.3</v>
      </c>
      <c r="G87" s="191">
        <f>IFERROR(__xludf.DUMMYFUNCTION("""COMPUTED_VALUE"""),6.5501511E7)</f>
        <v>65501511</v>
      </c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</row>
    <row r="88" ht="17.25" customHeight="1">
      <c r="A88" s="112"/>
      <c r="B88" s="189">
        <f>IFERROR(__xludf.DUMMYFUNCTION("""COMPUTED_VALUE"""),46092.5625)</f>
        <v>46092.5625</v>
      </c>
      <c r="C88" s="190">
        <f>IFERROR(__xludf.DUMMYFUNCTION("""COMPUTED_VALUE"""),24.3)</f>
        <v>24.3</v>
      </c>
      <c r="D88" s="190">
        <f>IFERROR(__xludf.DUMMYFUNCTION("""COMPUTED_VALUE"""),24.75)</f>
        <v>24.75</v>
      </c>
      <c r="E88" s="190">
        <f>IFERROR(__xludf.DUMMYFUNCTION("""COMPUTED_VALUE"""),24.2)</f>
        <v>24.2</v>
      </c>
      <c r="F88" s="190">
        <f>IFERROR(__xludf.DUMMYFUNCTION("""COMPUTED_VALUE"""),24.35)</f>
        <v>24.35</v>
      </c>
      <c r="G88" s="191">
        <f>IFERROR(__xludf.DUMMYFUNCTION("""COMPUTED_VALUE"""),4.4291487E7)</f>
        <v>44291487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</row>
    <row r="89" ht="17.25" customHeight="1">
      <c r="A89" s="112"/>
      <c r="B89" s="189">
        <f>IFERROR(__xludf.DUMMYFUNCTION("""COMPUTED_VALUE"""),46093.5625)</f>
        <v>46093.5625</v>
      </c>
      <c r="C89" s="190">
        <f>IFERROR(__xludf.DUMMYFUNCTION("""COMPUTED_VALUE"""),24.3)</f>
        <v>24.3</v>
      </c>
      <c r="D89" s="190">
        <f>IFERROR(__xludf.DUMMYFUNCTION("""COMPUTED_VALUE"""),24.65)</f>
        <v>24.65</v>
      </c>
      <c r="E89" s="190">
        <f>IFERROR(__xludf.DUMMYFUNCTION("""COMPUTED_VALUE"""),24.05)</f>
        <v>24.05</v>
      </c>
      <c r="F89" s="190">
        <f>IFERROR(__xludf.DUMMYFUNCTION("""COMPUTED_VALUE"""),24.65)</f>
        <v>24.65</v>
      </c>
      <c r="G89" s="191">
        <f>IFERROR(__xludf.DUMMYFUNCTION("""COMPUTED_VALUE"""),7.1969094E7)</f>
        <v>71969094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</row>
    <row r="90" ht="17.25" customHeight="1">
      <c r="A90" s="112"/>
      <c r="B90" s="189">
        <f>IFERROR(__xludf.DUMMYFUNCTION("""COMPUTED_VALUE"""),46094.5625)</f>
        <v>46094.5625</v>
      </c>
      <c r="C90" s="190">
        <f>IFERROR(__xludf.DUMMYFUNCTION("""COMPUTED_VALUE"""),24.55)</f>
        <v>24.55</v>
      </c>
      <c r="D90" s="190">
        <f>IFERROR(__xludf.DUMMYFUNCTION("""COMPUTED_VALUE"""),24.85)</f>
        <v>24.85</v>
      </c>
      <c r="E90" s="190">
        <f>IFERROR(__xludf.DUMMYFUNCTION("""COMPUTED_VALUE"""),24.3)</f>
        <v>24.3</v>
      </c>
      <c r="F90" s="190">
        <f>IFERROR(__xludf.DUMMYFUNCTION("""COMPUTED_VALUE"""),24.75)</f>
        <v>24.75</v>
      </c>
      <c r="G90" s="191">
        <f>IFERROR(__xludf.DUMMYFUNCTION("""COMPUTED_VALUE"""),7.7040759E7)</f>
        <v>77040759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</row>
    <row r="91" ht="17.25" customHeight="1">
      <c r="A91" s="112"/>
      <c r="B91" s="189">
        <f>IFERROR(__xludf.DUMMYFUNCTION("""COMPUTED_VALUE"""),46097.5625)</f>
        <v>46097.5625</v>
      </c>
      <c r="C91" s="190">
        <f>IFERROR(__xludf.DUMMYFUNCTION("""COMPUTED_VALUE"""),25.0)</f>
        <v>25</v>
      </c>
      <c r="D91" s="190">
        <f>IFERROR(__xludf.DUMMYFUNCTION("""COMPUTED_VALUE"""),25.2)</f>
        <v>25.2</v>
      </c>
      <c r="E91" s="190">
        <f>IFERROR(__xludf.DUMMYFUNCTION("""COMPUTED_VALUE"""),24.8)</f>
        <v>24.8</v>
      </c>
      <c r="F91" s="190">
        <f>IFERROR(__xludf.DUMMYFUNCTION("""COMPUTED_VALUE"""),24.8)</f>
        <v>24.8</v>
      </c>
      <c r="G91" s="191">
        <f>IFERROR(__xludf.DUMMYFUNCTION("""COMPUTED_VALUE"""),5.5794225E7)</f>
        <v>55794225</v>
      </c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</row>
    <row r="92" ht="17.25" customHeight="1">
      <c r="A92" s="112"/>
      <c r="B92" s="189">
        <f>IFERROR(__xludf.DUMMYFUNCTION("""COMPUTED_VALUE"""),46098.5625)</f>
        <v>46098.5625</v>
      </c>
      <c r="C92" s="190">
        <f>IFERROR(__xludf.DUMMYFUNCTION("""COMPUTED_VALUE"""),24.85)</f>
        <v>24.85</v>
      </c>
      <c r="D92" s="190">
        <f>IFERROR(__xludf.DUMMYFUNCTION("""COMPUTED_VALUE"""),25.1)</f>
        <v>25.1</v>
      </c>
      <c r="E92" s="190">
        <f>IFERROR(__xludf.DUMMYFUNCTION("""COMPUTED_VALUE"""),24.65)</f>
        <v>24.65</v>
      </c>
      <c r="F92" s="190">
        <f>IFERROR(__xludf.DUMMYFUNCTION("""COMPUTED_VALUE"""),25.05)</f>
        <v>25.05</v>
      </c>
      <c r="G92" s="191">
        <f>IFERROR(__xludf.DUMMYFUNCTION("""COMPUTED_VALUE"""),6.3290412E7)</f>
        <v>63290412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ht="17.25" customHeight="1">
      <c r="A93" s="112"/>
      <c r="B93" s="189">
        <f>IFERROR(__xludf.DUMMYFUNCTION("""COMPUTED_VALUE"""),46099.5625)</f>
        <v>46099.5625</v>
      </c>
      <c r="C93" s="190">
        <f>IFERROR(__xludf.DUMMYFUNCTION("""COMPUTED_VALUE"""),25.05)</f>
        <v>25.05</v>
      </c>
      <c r="D93" s="190">
        <f>IFERROR(__xludf.DUMMYFUNCTION("""COMPUTED_VALUE"""),25.1)</f>
        <v>25.1</v>
      </c>
      <c r="E93" s="190">
        <f>IFERROR(__xludf.DUMMYFUNCTION("""COMPUTED_VALUE"""),24.6)</f>
        <v>24.6</v>
      </c>
      <c r="F93" s="190">
        <f>IFERROR(__xludf.DUMMYFUNCTION("""COMPUTED_VALUE"""),24.6)</f>
        <v>24.6</v>
      </c>
      <c r="G93" s="191">
        <f>IFERROR(__xludf.DUMMYFUNCTION("""COMPUTED_VALUE"""),6.4214188E7)</f>
        <v>64214188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ht="17.25" customHeight="1">
      <c r="A94" s="112"/>
      <c r="B94" s="189">
        <f>IFERROR(__xludf.DUMMYFUNCTION("""COMPUTED_VALUE"""),46100.5625)</f>
        <v>46100.5625</v>
      </c>
      <c r="C94" s="190">
        <f>IFERROR(__xludf.DUMMYFUNCTION("""COMPUTED_VALUE"""),24.65)</f>
        <v>24.65</v>
      </c>
      <c r="D94" s="190">
        <f>IFERROR(__xludf.DUMMYFUNCTION("""COMPUTED_VALUE"""),24.65)</f>
        <v>24.65</v>
      </c>
      <c r="E94" s="190">
        <f>IFERROR(__xludf.DUMMYFUNCTION("""COMPUTED_VALUE"""),24.3)</f>
        <v>24.3</v>
      </c>
      <c r="F94" s="190">
        <f>IFERROR(__xludf.DUMMYFUNCTION("""COMPUTED_VALUE"""),24.45)</f>
        <v>24.45</v>
      </c>
      <c r="G94" s="191">
        <f>IFERROR(__xludf.DUMMYFUNCTION("""COMPUTED_VALUE"""),6.0759159E7)</f>
        <v>60759159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</row>
    <row r="95" ht="17.25" customHeight="1">
      <c r="A95" s="112"/>
      <c r="B95" s="189">
        <f>IFERROR(__xludf.DUMMYFUNCTION("""COMPUTED_VALUE"""),46101.5625)</f>
        <v>46101.5625</v>
      </c>
      <c r="C95" s="190">
        <f>IFERROR(__xludf.DUMMYFUNCTION("""COMPUTED_VALUE"""),24.45)</f>
        <v>24.45</v>
      </c>
      <c r="D95" s="190">
        <f>IFERROR(__xludf.DUMMYFUNCTION("""COMPUTED_VALUE"""),24.8)</f>
        <v>24.8</v>
      </c>
      <c r="E95" s="190">
        <f>IFERROR(__xludf.DUMMYFUNCTION("""COMPUTED_VALUE"""),24.35)</f>
        <v>24.35</v>
      </c>
      <c r="F95" s="190">
        <f>IFERROR(__xludf.DUMMYFUNCTION("""COMPUTED_VALUE"""),24.65)</f>
        <v>24.65</v>
      </c>
      <c r="G95" s="191">
        <f>IFERROR(__xludf.DUMMYFUNCTION("""COMPUTED_VALUE"""),1.24506842E8)</f>
        <v>124506842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</row>
    <row r="96" ht="17.25" customHeight="1">
      <c r="A96" s="112"/>
      <c r="B96" s="189">
        <f>IFERROR(__xludf.DUMMYFUNCTION("""COMPUTED_VALUE"""),46104.5625)</f>
        <v>46104.5625</v>
      </c>
      <c r="C96" s="190">
        <f>IFERROR(__xludf.DUMMYFUNCTION("""COMPUTED_VALUE"""),24.0)</f>
        <v>24</v>
      </c>
      <c r="D96" s="190">
        <f>IFERROR(__xludf.DUMMYFUNCTION("""COMPUTED_VALUE"""),24.15)</f>
        <v>24.15</v>
      </c>
      <c r="E96" s="190">
        <f>IFERROR(__xludf.DUMMYFUNCTION("""COMPUTED_VALUE"""),23.45)</f>
        <v>23.45</v>
      </c>
      <c r="F96" s="190">
        <f>IFERROR(__xludf.DUMMYFUNCTION("""COMPUTED_VALUE"""),23.9)</f>
        <v>23.9</v>
      </c>
      <c r="G96" s="191">
        <f>IFERROR(__xludf.DUMMYFUNCTION("""COMPUTED_VALUE"""),1.30368739E8)</f>
        <v>130368739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</row>
    <row r="97" ht="17.25" customHeight="1">
      <c r="A97" s="112"/>
      <c r="B97" s="189">
        <f>IFERROR(__xludf.DUMMYFUNCTION("""COMPUTED_VALUE"""),46105.5625)</f>
        <v>46105.5625</v>
      </c>
      <c r="C97" s="190">
        <f>IFERROR(__xludf.DUMMYFUNCTION("""COMPUTED_VALUE"""),24.1)</f>
        <v>24.1</v>
      </c>
      <c r="D97" s="190">
        <f>IFERROR(__xludf.DUMMYFUNCTION("""COMPUTED_VALUE"""),24.3)</f>
        <v>24.3</v>
      </c>
      <c r="E97" s="190">
        <f>IFERROR(__xludf.DUMMYFUNCTION("""COMPUTED_VALUE"""),23.8)</f>
        <v>23.8</v>
      </c>
      <c r="F97" s="190">
        <f>IFERROR(__xludf.DUMMYFUNCTION("""COMPUTED_VALUE"""),24.15)</f>
        <v>24.15</v>
      </c>
      <c r="G97" s="191">
        <f>IFERROR(__xludf.DUMMYFUNCTION("""COMPUTED_VALUE"""),7.1420424E7)</f>
        <v>71420424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ht="17.25" customHeight="1">
      <c r="A98" s="112"/>
      <c r="B98" s="189">
        <f>IFERROR(__xludf.DUMMYFUNCTION("""COMPUTED_VALUE"""),46106.5625)</f>
        <v>46106.5625</v>
      </c>
      <c r="C98" s="190">
        <f>IFERROR(__xludf.DUMMYFUNCTION("""COMPUTED_VALUE"""),24.8)</f>
        <v>24.8</v>
      </c>
      <c r="D98" s="190">
        <f>IFERROR(__xludf.DUMMYFUNCTION("""COMPUTED_VALUE"""),24.8)</f>
        <v>24.8</v>
      </c>
      <c r="E98" s="190">
        <f>IFERROR(__xludf.DUMMYFUNCTION("""COMPUTED_VALUE"""),24.35)</f>
        <v>24.35</v>
      </c>
      <c r="F98" s="190">
        <f>IFERROR(__xludf.DUMMYFUNCTION("""COMPUTED_VALUE"""),24.45)</f>
        <v>24.45</v>
      </c>
      <c r="G98" s="191">
        <f>IFERROR(__xludf.DUMMYFUNCTION("""COMPUTED_VALUE"""),4.422124E7)</f>
        <v>44221240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</row>
    <row r="99" ht="17.25" customHeight="1">
      <c r="A99" s="112"/>
      <c r="B99" s="189">
        <f>IFERROR(__xludf.DUMMYFUNCTION("""COMPUTED_VALUE"""),46107.5625)</f>
        <v>46107.5625</v>
      </c>
      <c r="C99" s="190">
        <f>IFERROR(__xludf.DUMMYFUNCTION("""COMPUTED_VALUE"""),24.65)</f>
        <v>24.65</v>
      </c>
      <c r="D99" s="190">
        <f>IFERROR(__xludf.DUMMYFUNCTION("""COMPUTED_VALUE"""),24.65)</f>
        <v>24.65</v>
      </c>
      <c r="E99" s="190">
        <f>IFERROR(__xludf.DUMMYFUNCTION("""COMPUTED_VALUE"""),24.0)</f>
        <v>24</v>
      </c>
      <c r="F99" s="190">
        <f>IFERROR(__xludf.DUMMYFUNCTION("""COMPUTED_VALUE"""),24.15)</f>
        <v>24.15</v>
      </c>
      <c r="G99" s="191">
        <f>IFERROR(__xludf.DUMMYFUNCTION("""COMPUTED_VALUE"""),4.6248259E7)</f>
        <v>46248259</v>
      </c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</row>
    <row r="100" ht="17.25" customHeight="1">
      <c r="A100" s="112"/>
      <c r="B100" s="189">
        <f>IFERROR(__xludf.DUMMYFUNCTION("""COMPUTED_VALUE"""),46108.5625)</f>
        <v>46108.5625</v>
      </c>
      <c r="C100" s="190">
        <f>IFERROR(__xludf.DUMMYFUNCTION("""COMPUTED_VALUE"""),24.0)</f>
        <v>24</v>
      </c>
      <c r="D100" s="190">
        <f>IFERROR(__xludf.DUMMYFUNCTION("""COMPUTED_VALUE"""),24.1)</f>
        <v>24.1</v>
      </c>
      <c r="E100" s="190">
        <f>IFERROR(__xludf.DUMMYFUNCTION("""COMPUTED_VALUE"""),23.75)</f>
        <v>23.75</v>
      </c>
      <c r="F100" s="190">
        <f>IFERROR(__xludf.DUMMYFUNCTION("""COMPUTED_VALUE"""),24.05)</f>
        <v>24.05</v>
      </c>
      <c r="G100" s="191">
        <f>IFERROR(__xludf.DUMMYFUNCTION("""COMPUTED_VALUE"""),6.355211E7)</f>
        <v>63552110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</row>
    <row r="101" ht="17.25" customHeight="1">
      <c r="A101" s="112"/>
      <c r="B101" s="189">
        <f>IFERROR(__xludf.DUMMYFUNCTION("""COMPUTED_VALUE"""),46111.5625)</f>
        <v>46111.5625</v>
      </c>
      <c r="C101" s="190">
        <f>IFERROR(__xludf.DUMMYFUNCTION("""COMPUTED_VALUE"""),23.35)</f>
        <v>23.35</v>
      </c>
      <c r="D101" s="190">
        <f>IFERROR(__xludf.DUMMYFUNCTION("""COMPUTED_VALUE"""),23.8)</f>
        <v>23.8</v>
      </c>
      <c r="E101" s="190">
        <f>IFERROR(__xludf.DUMMYFUNCTION("""COMPUTED_VALUE"""),23.35)</f>
        <v>23.35</v>
      </c>
      <c r="F101" s="190">
        <f>IFERROR(__xludf.DUMMYFUNCTION("""COMPUTED_VALUE"""),23.75)</f>
        <v>23.75</v>
      </c>
      <c r="G101" s="191">
        <f>IFERROR(__xludf.DUMMYFUNCTION("""COMPUTED_VALUE"""),7.5186823E7)</f>
        <v>75186823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</row>
    <row r="102" ht="17.25" customHeight="1">
      <c r="A102" s="112"/>
      <c r="B102" s="189">
        <f>IFERROR(__xludf.DUMMYFUNCTION("""COMPUTED_VALUE"""),46112.5625)</f>
        <v>46112.5625</v>
      </c>
      <c r="C102" s="190">
        <f>IFERROR(__xludf.DUMMYFUNCTION("""COMPUTED_VALUE"""),23.6)</f>
        <v>23.6</v>
      </c>
      <c r="D102" s="190">
        <f>IFERROR(__xludf.DUMMYFUNCTION("""COMPUTED_VALUE"""),23.65)</f>
        <v>23.65</v>
      </c>
      <c r="E102" s="190">
        <f>IFERROR(__xludf.DUMMYFUNCTION("""COMPUTED_VALUE"""),23.1)</f>
        <v>23.1</v>
      </c>
      <c r="F102" s="190">
        <f>IFERROR(__xludf.DUMMYFUNCTION("""COMPUTED_VALUE"""),23.15)</f>
        <v>23.15</v>
      </c>
      <c r="G102" s="191">
        <f>IFERROR(__xludf.DUMMYFUNCTION("""COMPUTED_VALUE"""),8.3200262E7)</f>
        <v>83200262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</row>
    <row r="103" ht="17.25" customHeight="1">
      <c r="A103" s="112"/>
      <c r="B103" s="189">
        <f>IFERROR(__xludf.DUMMYFUNCTION("""COMPUTED_VALUE"""),46113.5625)</f>
        <v>46113.5625</v>
      </c>
      <c r="C103" s="190">
        <f>IFERROR(__xludf.DUMMYFUNCTION("""COMPUTED_VALUE"""),23.65)</f>
        <v>23.65</v>
      </c>
      <c r="D103" s="190">
        <f>IFERROR(__xludf.DUMMYFUNCTION("""COMPUTED_VALUE"""),24.3)</f>
        <v>24.3</v>
      </c>
      <c r="E103" s="190">
        <f>IFERROR(__xludf.DUMMYFUNCTION("""COMPUTED_VALUE"""),23.45)</f>
        <v>23.45</v>
      </c>
      <c r="F103" s="190">
        <f>IFERROR(__xludf.DUMMYFUNCTION("""COMPUTED_VALUE"""),24.05)</f>
        <v>24.05</v>
      </c>
      <c r="G103" s="191">
        <f>IFERROR(__xludf.DUMMYFUNCTION("""COMPUTED_VALUE"""),8.5658275E7)</f>
        <v>85658275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</row>
    <row r="104" ht="17.25" customHeight="1">
      <c r="A104" s="112"/>
      <c r="B104" s="189">
        <f>IFERROR(__xludf.DUMMYFUNCTION("""COMPUTED_VALUE"""),46114.5625)</f>
        <v>46114.5625</v>
      </c>
      <c r="C104" s="190">
        <f>IFERROR(__xludf.DUMMYFUNCTION("""COMPUTED_VALUE"""),24.4)</f>
        <v>24.4</v>
      </c>
      <c r="D104" s="190">
        <f>IFERROR(__xludf.DUMMYFUNCTION("""COMPUTED_VALUE"""),24.75)</f>
        <v>24.75</v>
      </c>
      <c r="E104" s="190">
        <f>IFERROR(__xludf.DUMMYFUNCTION("""COMPUTED_VALUE"""),24.25)</f>
        <v>24.25</v>
      </c>
      <c r="F104" s="190">
        <f>IFERROR(__xludf.DUMMYFUNCTION("""COMPUTED_VALUE"""),24.35)</f>
        <v>24.35</v>
      </c>
      <c r="G104" s="191">
        <f>IFERROR(__xludf.DUMMYFUNCTION("""COMPUTED_VALUE"""),6.5306513E7)</f>
        <v>65306513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</row>
    <row r="105" ht="17.25" customHeight="1">
      <c r="A105" s="112"/>
      <c r="B105" s="189">
        <f>IFERROR(__xludf.DUMMYFUNCTION("""COMPUTED_VALUE"""),46119.5625)</f>
        <v>46119.5625</v>
      </c>
      <c r="C105" s="190">
        <f>IFERROR(__xludf.DUMMYFUNCTION("""COMPUTED_VALUE"""),24.5)</f>
        <v>24.5</v>
      </c>
      <c r="D105" s="190">
        <f>IFERROR(__xludf.DUMMYFUNCTION("""COMPUTED_VALUE"""),24.7)</f>
        <v>24.7</v>
      </c>
      <c r="E105" s="190">
        <f>IFERROR(__xludf.DUMMYFUNCTION("""COMPUTED_VALUE"""),24.05)</f>
        <v>24.05</v>
      </c>
      <c r="F105" s="190">
        <f>IFERROR(__xludf.DUMMYFUNCTION("""COMPUTED_VALUE"""),24.35)</f>
        <v>24.35</v>
      </c>
      <c r="G105" s="191">
        <f>IFERROR(__xludf.DUMMYFUNCTION("""COMPUTED_VALUE"""),3.6323912E7)</f>
        <v>36323912</v>
      </c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</row>
    <row r="106" ht="17.25" customHeight="1">
      <c r="A106" s="112"/>
      <c r="B106" s="189">
        <f>IFERROR(__xludf.DUMMYFUNCTION("""COMPUTED_VALUE"""),46120.5625)</f>
        <v>46120.5625</v>
      </c>
      <c r="C106" s="190">
        <f>IFERROR(__xludf.DUMMYFUNCTION("""COMPUTED_VALUE"""),24.75)</f>
        <v>24.75</v>
      </c>
      <c r="D106" s="190">
        <f>IFERROR(__xludf.DUMMYFUNCTION("""COMPUTED_VALUE"""),24.75)</f>
        <v>24.75</v>
      </c>
      <c r="E106" s="190">
        <f>IFERROR(__xludf.DUMMYFUNCTION("""COMPUTED_VALUE"""),24.35)</f>
        <v>24.35</v>
      </c>
      <c r="F106" s="190">
        <f>IFERROR(__xludf.DUMMYFUNCTION("""COMPUTED_VALUE"""),24.7)</f>
        <v>24.7</v>
      </c>
      <c r="G106" s="191">
        <f>IFERROR(__xludf.DUMMYFUNCTION("""COMPUTED_VALUE"""),4.8433699E7)</f>
        <v>48433699</v>
      </c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</row>
    <row r="107" ht="17.25" customHeight="1">
      <c r="A107" s="112"/>
      <c r="B107" s="189">
        <f>IFERROR(__xludf.DUMMYFUNCTION("""COMPUTED_VALUE"""),46121.5625)</f>
        <v>46121.5625</v>
      </c>
      <c r="C107" s="190">
        <f>IFERROR(__xludf.DUMMYFUNCTION("""COMPUTED_VALUE"""),24.8)</f>
        <v>24.8</v>
      </c>
      <c r="D107" s="190">
        <f>IFERROR(__xludf.DUMMYFUNCTION("""COMPUTED_VALUE"""),24.85)</f>
        <v>24.85</v>
      </c>
      <c r="E107" s="190">
        <f>IFERROR(__xludf.DUMMYFUNCTION("""COMPUTED_VALUE"""),24.45)</f>
        <v>24.45</v>
      </c>
      <c r="F107" s="190">
        <f>IFERROR(__xludf.DUMMYFUNCTION("""COMPUTED_VALUE"""),24.65)</f>
        <v>24.65</v>
      </c>
      <c r="G107" s="191">
        <f>IFERROR(__xludf.DUMMYFUNCTION("""COMPUTED_VALUE"""),4.1728438E7)</f>
        <v>41728438</v>
      </c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</row>
    <row r="108" ht="17.25" customHeight="1">
      <c r="A108" s="112"/>
      <c r="B108" s="189">
        <f>IFERROR(__xludf.DUMMYFUNCTION("""COMPUTED_VALUE"""),46122.5625)</f>
        <v>46122.5625</v>
      </c>
      <c r="C108" s="190">
        <f>IFERROR(__xludf.DUMMYFUNCTION("""COMPUTED_VALUE"""),24.65)</f>
        <v>24.65</v>
      </c>
      <c r="D108" s="190">
        <f>IFERROR(__xludf.DUMMYFUNCTION("""COMPUTED_VALUE"""),24.65)</f>
        <v>24.65</v>
      </c>
      <c r="E108" s="190">
        <f>IFERROR(__xludf.DUMMYFUNCTION("""COMPUTED_VALUE"""),24.45)</f>
        <v>24.45</v>
      </c>
      <c r="F108" s="190">
        <f>IFERROR(__xludf.DUMMYFUNCTION("""COMPUTED_VALUE"""),24.55)</f>
        <v>24.55</v>
      </c>
      <c r="G108" s="191">
        <f>IFERROR(__xludf.DUMMYFUNCTION("""COMPUTED_VALUE"""),3.0423023E7)</f>
        <v>30423023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</row>
    <row r="109" ht="17.25" customHeight="1">
      <c r="A109" s="112"/>
      <c r="B109" s="189">
        <f>IFERROR(__xludf.DUMMYFUNCTION("""COMPUTED_VALUE"""),46125.5625)</f>
        <v>46125.5625</v>
      </c>
      <c r="C109" s="190">
        <f>IFERROR(__xludf.DUMMYFUNCTION("""COMPUTED_VALUE"""),24.5)</f>
        <v>24.5</v>
      </c>
      <c r="D109" s="190">
        <f>IFERROR(__xludf.DUMMYFUNCTION("""COMPUTED_VALUE"""),24.5)</f>
        <v>24.5</v>
      </c>
      <c r="E109" s="190">
        <f>IFERROR(__xludf.DUMMYFUNCTION("""COMPUTED_VALUE"""),23.9)</f>
        <v>23.9</v>
      </c>
      <c r="F109" s="190">
        <f>IFERROR(__xludf.DUMMYFUNCTION("""COMPUTED_VALUE"""),24.15)</f>
        <v>24.15</v>
      </c>
      <c r="G109" s="191">
        <f>IFERROR(__xludf.DUMMYFUNCTION("""COMPUTED_VALUE"""),6.1345528E7)</f>
        <v>61345528</v>
      </c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</row>
    <row r="110" ht="17.25" customHeight="1">
      <c r="A110" s="112"/>
      <c r="B110" s="189">
        <f>IFERROR(__xludf.DUMMYFUNCTION("""COMPUTED_VALUE"""),46126.5625)</f>
        <v>46126.5625</v>
      </c>
      <c r="C110" s="190">
        <f>IFERROR(__xludf.DUMMYFUNCTION("""COMPUTED_VALUE"""),24.0)</f>
        <v>24</v>
      </c>
      <c r="D110" s="190">
        <f>IFERROR(__xludf.DUMMYFUNCTION("""COMPUTED_VALUE"""),24.7)</f>
        <v>24.7</v>
      </c>
      <c r="E110" s="190">
        <f>IFERROR(__xludf.DUMMYFUNCTION("""COMPUTED_VALUE"""),24.0)</f>
        <v>24</v>
      </c>
      <c r="F110" s="190">
        <f>IFERROR(__xludf.DUMMYFUNCTION("""COMPUTED_VALUE"""),24.45)</f>
        <v>24.45</v>
      </c>
      <c r="G110" s="191">
        <f>IFERROR(__xludf.DUMMYFUNCTION("""COMPUTED_VALUE"""),7.1310171E7)</f>
        <v>71310171</v>
      </c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</row>
    <row r="111" ht="17.25" customHeight="1">
      <c r="A111" s="112"/>
      <c r="B111" s="189">
        <f>IFERROR(__xludf.DUMMYFUNCTION("""COMPUTED_VALUE"""),46127.5625)</f>
        <v>46127.5625</v>
      </c>
      <c r="C111" s="190">
        <f>IFERROR(__xludf.DUMMYFUNCTION("""COMPUTED_VALUE"""),24.75)</f>
        <v>24.75</v>
      </c>
      <c r="D111" s="190">
        <f>IFERROR(__xludf.DUMMYFUNCTION("""COMPUTED_VALUE"""),24.8)</f>
        <v>24.8</v>
      </c>
      <c r="E111" s="190">
        <f>IFERROR(__xludf.DUMMYFUNCTION("""COMPUTED_VALUE"""),24.55)</f>
        <v>24.55</v>
      </c>
      <c r="F111" s="190">
        <f>IFERROR(__xludf.DUMMYFUNCTION("""COMPUTED_VALUE"""),24.6)</f>
        <v>24.6</v>
      </c>
      <c r="G111" s="191">
        <f>IFERROR(__xludf.DUMMYFUNCTION("""COMPUTED_VALUE"""),5.0768779E7)</f>
        <v>50768779</v>
      </c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</row>
    <row r="112" ht="17.25" customHeight="1">
      <c r="A112" s="112"/>
      <c r="B112" s="189">
        <f>IFERROR(__xludf.DUMMYFUNCTION("""COMPUTED_VALUE"""),46128.5625)</f>
        <v>46128.5625</v>
      </c>
      <c r="C112" s="190">
        <f>IFERROR(__xludf.DUMMYFUNCTION("""COMPUTED_VALUE"""),24.65)</f>
        <v>24.65</v>
      </c>
      <c r="D112" s="190">
        <f>IFERROR(__xludf.DUMMYFUNCTION("""COMPUTED_VALUE"""),25.1)</f>
        <v>25.1</v>
      </c>
      <c r="E112" s="190">
        <f>IFERROR(__xludf.DUMMYFUNCTION("""COMPUTED_VALUE"""),24.6)</f>
        <v>24.6</v>
      </c>
      <c r="F112" s="190">
        <f>IFERROR(__xludf.DUMMYFUNCTION("""COMPUTED_VALUE"""),24.95)</f>
        <v>24.95</v>
      </c>
      <c r="G112" s="191">
        <f>IFERROR(__xludf.DUMMYFUNCTION("""COMPUTED_VALUE"""),5.1064104E7)</f>
        <v>51064104</v>
      </c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</row>
    <row r="113" ht="17.25" customHeight="1">
      <c r="A113" s="112"/>
      <c r="B113" s="189">
        <f>IFERROR(__xludf.DUMMYFUNCTION("""COMPUTED_VALUE"""),46129.5625)</f>
        <v>46129.5625</v>
      </c>
      <c r="C113" s="190">
        <f>IFERROR(__xludf.DUMMYFUNCTION("""COMPUTED_VALUE"""),24.9)</f>
        <v>24.9</v>
      </c>
      <c r="D113" s="190">
        <f>IFERROR(__xludf.DUMMYFUNCTION("""COMPUTED_VALUE"""),24.9)</f>
        <v>24.9</v>
      </c>
      <c r="E113" s="190">
        <f>IFERROR(__xludf.DUMMYFUNCTION("""COMPUTED_VALUE"""),24.25)</f>
        <v>24.25</v>
      </c>
      <c r="F113" s="190">
        <f>IFERROR(__xludf.DUMMYFUNCTION("""COMPUTED_VALUE"""),24.3)</f>
        <v>24.3</v>
      </c>
      <c r="G113" s="191">
        <f>IFERROR(__xludf.DUMMYFUNCTION("""COMPUTED_VALUE"""),8.100685E7)</f>
        <v>81006850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</row>
    <row r="114" ht="17.25" customHeight="1">
      <c r="A114" s="112"/>
      <c r="B114" s="189">
        <f>IFERROR(__xludf.DUMMYFUNCTION("""COMPUTED_VALUE"""),46132.5625)</f>
        <v>46132.5625</v>
      </c>
      <c r="C114" s="190">
        <f>IFERROR(__xludf.DUMMYFUNCTION("""COMPUTED_VALUE"""),24.5)</f>
        <v>24.5</v>
      </c>
      <c r="D114" s="190">
        <f>IFERROR(__xludf.DUMMYFUNCTION("""COMPUTED_VALUE"""),24.5)</f>
        <v>24.5</v>
      </c>
      <c r="E114" s="190">
        <f>IFERROR(__xludf.DUMMYFUNCTION("""COMPUTED_VALUE"""),24.1)</f>
        <v>24.1</v>
      </c>
      <c r="F114" s="190">
        <f>IFERROR(__xludf.DUMMYFUNCTION("""COMPUTED_VALUE"""),24.25)</f>
        <v>24.25</v>
      </c>
      <c r="G114" s="191">
        <f>IFERROR(__xludf.DUMMYFUNCTION("""COMPUTED_VALUE"""),5.568235E7)</f>
        <v>55682350</v>
      </c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</row>
    <row r="115" ht="17.25" customHeight="1">
      <c r="A115" s="112"/>
      <c r="B115" s="189">
        <f>IFERROR(__xludf.DUMMYFUNCTION("""COMPUTED_VALUE"""),46133.5625)</f>
        <v>46133.5625</v>
      </c>
      <c r="C115" s="190">
        <f>IFERROR(__xludf.DUMMYFUNCTION("""COMPUTED_VALUE"""),24.3)</f>
        <v>24.3</v>
      </c>
      <c r="D115" s="190">
        <f>IFERROR(__xludf.DUMMYFUNCTION("""COMPUTED_VALUE"""),24.45)</f>
        <v>24.45</v>
      </c>
      <c r="E115" s="190">
        <f>IFERROR(__xludf.DUMMYFUNCTION("""COMPUTED_VALUE"""),23.95)</f>
        <v>23.95</v>
      </c>
      <c r="F115" s="190">
        <f>IFERROR(__xludf.DUMMYFUNCTION("""COMPUTED_VALUE"""),23.95)</f>
        <v>23.95</v>
      </c>
      <c r="G115" s="191">
        <f>IFERROR(__xludf.DUMMYFUNCTION("""COMPUTED_VALUE"""),6.4079144E7)</f>
        <v>64079144</v>
      </c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</row>
    <row r="116" ht="17.25" customHeight="1">
      <c r="A116" s="112"/>
      <c r="B116" s="189">
        <f>IFERROR(__xludf.DUMMYFUNCTION("""COMPUTED_VALUE"""),46134.5625)</f>
        <v>46134.5625</v>
      </c>
      <c r="C116" s="190">
        <f>IFERROR(__xludf.DUMMYFUNCTION("""COMPUTED_VALUE"""),24.0)</f>
        <v>24</v>
      </c>
      <c r="D116" s="190">
        <f>IFERROR(__xludf.DUMMYFUNCTION("""COMPUTED_VALUE"""),24.2)</f>
        <v>24.2</v>
      </c>
      <c r="E116" s="190">
        <f>IFERROR(__xludf.DUMMYFUNCTION("""COMPUTED_VALUE"""),23.95)</f>
        <v>23.95</v>
      </c>
      <c r="F116" s="190">
        <f>IFERROR(__xludf.DUMMYFUNCTION("""COMPUTED_VALUE"""),23.95)</f>
        <v>23.95</v>
      </c>
      <c r="G116" s="191">
        <f>IFERROR(__xludf.DUMMYFUNCTION("""COMPUTED_VALUE"""),6.3177346E7)</f>
        <v>63177346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</row>
    <row r="117" ht="17.25" customHeight="1">
      <c r="A117" s="112"/>
      <c r="B117" s="189">
        <f>IFERROR(__xludf.DUMMYFUNCTION("""COMPUTED_VALUE"""),46135.5625)</f>
        <v>46135.5625</v>
      </c>
      <c r="C117" s="190">
        <f>IFERROR(__xludf.DUMMYFUNCTION("""COMPUTED_VALUE"""),23.9)</f>
        <v>23.9</v>
      </c>
      <c r="D117" s="190">
        <f>IFERROR(__xludf.DUMMYFUNCTION("""COMPUTED_VALUE"""),24.15)</f>
        <v>24.15</v>
      </c>
      <c r="E117" s="190">
        <f>IFERROR(__xludf.DUMMYFUNCTION("""COMPUTED_VALUE"""),23.65)</f>
        <v>23.65</v>
      </c>
      <c r="F117" s="190">
        <f>IFERROR(__xludf.DUMMYFUNCTION("""COMPUTED_VALUE"""),23.7)</f>
        <v>23.7</v>
      </c>
      <c r="G117" s="191">
        <f>IFERROR(__xludf.DUMMYFUNCTION("""COMPUTED_VALUE"""),7.8366454E7)</f>
        <v>78366454</v>
      </c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</row>
    <row r="118" ht="17.25" customHeight="1">
      <c r="A118" s="112"/>
      <c r="B118" s="189">
        <f>IFERROR(__xludf.DUMMYFUNCTION("""COMPUTED_VALUE"""),46136.5625)</f>
        <v>46136.5625</v>
      </c>
      <c r="C118" s="190">
        <f>IFERROR(__xludf.DUMMYFUNCTION("""COMPUTED_VALUE"""),24.0)</f>
        <v>24</v>
      </c>
      <c r="D118" s="190">
        <f>IFERROR(__xludf.DUMMYFUNCTION("""COMPUTED_VALUE"""),24.3)</f>
        <v>24.3</v>
      </c>
      <c r="E118" s="190">
        <f>IFERROR(__xludf.DUMMYFUNCTION("""COMPUTED_VALUE"""),23.9)</f>
        <v>23.9</v>
      </c>
      <c r="F118" s="190">
        <f>IFERROR(__xludf.DUMMYFUNCTION("""COMPUTED_VALUE"""),23.95)</f>
        <v>23.95</v>
      </c>
      <c r="G118" s="191">
        <f>IFERROR(__xludf.DUMMYFUNCTION("""COMPUTED_VALUE"""),7.2587853E7)</f>
        <v>72587853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ht="17.25" customHeight="1">
      <c r="A119" s="112"/>
      <c r="B119" s="189">
        <f>IFERROR(__xludf.DUMMYFUNCTION("""COMPUTED_VALUE"""),46139.5625)</f>
        <v>46139.5625</v>
      </c>
      <c r="C119" s="190">
        <f>IFERROR(__xludf.DUMMYFUNCTION("""COMPUTED_VALUE"""),23.95)</f>
        <v>23.95</v>
      </c>
      <c r="D119" s="190">
        <f>IFERROR(__xludf.DUMMYFUNCTION("""COMPUTED_VALUE"""),24.15)</f>
        <v>24.15</v>
      </c>
      <c r="E119" s="190">
        <f>IFERROR(__xludf.DUMMYFUNCTION("""COMPUTED_VALUE"""),23.8)</f>
        <v>23.8</v>
      </c>
      <c r="F119" s="190">
        <f>IFERROR(__xludf.DUMMYFUNCTION("""COMPUTED_VALUE"""),23.8)</f>
        <v>23.8</v>
      </c>
      <c r="G119" s="191">
        <f>IFERROR(__xludf.DUMMYFUNCTION("""COMPUTED_VALUE"""),7.0373347E7)</f>
        <v>70373347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ht="17.25" customHeight="1">
      <c r="A120" s="112"/>
      <c r="B120" s="189">
        <f>IFERROR(__xludf.DUMMYFUNCTION("""COMPUTED_VALUE"""),46140.5625)</f>
        <v>46140.5625</v>
      </c>
      <c r="C120" s="190">
        <f>IFERROR(__xludf.DUMMYFUNCTION("""COMPUTED_VALUE"""),23.95)</f>
        <v>23.95</v>
      </c>
      <c r="D120" s="190">
        <f>IFERROR(__xludf.DUMMYFUNCTION("""COMPUTED_VALUE"""),24.5)</f>
        <v>24.5</v>
      </c>
      <c r="E120" s="190">
        <f>IFERROR(__xludf.DUMMYFUNCTION("""COMPUTED_VALUE"""),23.95)</f>
        <v>23.95</v>
      </c>
      <c r="F120" s="190">
        <f>IFERROR(__xludf.DUMMYFUNCTION("""COMPUTED_VALUE"""),24.4)</f>
        <v>24.4</v>
      </c>
      <c r="G120" s="191">
        <f>IFERROR(__xludf.DUMMYFUNCTION("""COMPUTED_VALUE"""),7.5883078E7)</f>
        <v>75883078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</row>
    <row r="121" ht="17.25" customHeight="1">
      <c r="A121" s="112"/>
      <c r="B121" s="189">
        <f>IFERROR(__xludf.DUMMYFUNCTION("""COMPUTED_VALUE"""),46141.5625)</f>
        <v>46141.5625</v>
      </c>
      <c r="C121" s="190">
        <f>IFERROR(__xludf.DUMMYFUNCTION("""COMPUTED_VALUE"""),24.45)</f>
        <v>24.45</v>
      </c>
      <c r="D121" s="190">
        <f>IFERROR(__xludf.DUMMYFUNCTION("""COMPUTED_VALUE"""),24.55)</f>
        <v>24.55</v>
      </c>
      <c r="E121" s="190">
        <f>IFERROR(__xludf.DUMMYFUNCTION("""COMPUTED_VALUE"""),23.9)</f>
        <v>23.9</v>
      </c>
      <c r="F121" s="190">
        <f>IFERROR(__xludf.DUMMYFUNCTION("""COMPUTED_VALUE"""),24.05)</f>
        <v>24.05</v>
      </c>
      <c r="G121" s="191">
        <f>IFERROR(__xludf.DUMMYFUNCTION("""COMPUTED_VALUE"""),6.2357731E7)</f>
        <v>62357731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</row>
    <row r="122" ht="17.25" customHeight="1">
      <c r="A122" s="112"/>
      <c r="B122" s="189">
        <f>IFERROR(__xludf.DUMMYFUNCTION("""COMPUTED_VALUE"""),46142.5625)</f>
        <v>46142.5625</v>
      </c>
      <c r="C122" s="190">
        <f>IFERROR(__xludf.DUMMYFUNCTION("""COMPUTED_VALUE"""),24.05)</f>
        <v>24.05</v>
      </c>
      <c r="D122" s="190">
        <f>IFERROR(__xludf.DUMMYFUNCTION("""COMPUTED_VALUE"""),24.15)</f>
        <v>24.15</v>
      </c>
      <c r="E122" s="190">
        <f>IFERROR(__xludf.DUMMYFUNCTION("""COMPUTED_VALUE"""),23.8)</f>
        <v>23.8</v>
      </c>
      <c r="F122" s="190">
        <f>IFERROR(__xludf.DUMMYFUNCTION("""COMPUTED_VALUE"""),23.8)</f>
        <v>23.8</v>
      </c>
      <c r="G122" s="191">
        <f>IFERROR(__xludf.DUMMYFUNCTION("""COMPUTED_VALUE"""),6.0794166E7)</f>
        <v>60794166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</row>
    <row r="123" ht="17.25" customHeight="1">
      <c r="A123" s="112"/>
      <c r="B123" s="189">
        <f>IFERROR(__xludf.DUMMYFUNCTION("""COMPUTED_VALUE"""),46146.5625)</f>
        <v>46146.5625</v>
      </c>
      <c r="C123" s="190">
        <f>IFERROR(__xludf.DUMMYFUNCTION("""COMPUTED_VALUE"""),24.15)</f>
        <v>24.15</v>
      </c>
      <c r="D123" s="190">
        <f>IFERROR(__xludf.DUMMYFUNCTION("""COMPUTED_VALUE"""),24.15)</f>
        <v>24.15</v>
      </c>
      <c r="E123" s="190">
        <f>IFERROR(__xludf.DUMMYFUNCTION("""COMPUTED_VALUE"""),23.45)</f>
        <v>23.45</v>
      </c>
      <c r="F123" s="190">
        <f>IFERROR(__xludf.DUMMYFUNCTION("""COMPUTED_VALUE"""),23.5)</f>
        <v>23.5</v>
      </c>
      <c r="G123" s="191">
        <f>IFERROR(__xludf.DUMMYFUNCTION("""COMPUTED_VALUE"""),8.2707905E7)</f>
        <v>82707905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</row>
    <row r="124" ht="17.25" customHeight="1">
      <c r="A124" s="112"/>
      <c r="B124" s="189">
        <f>IFERROR(__xludf.DUMMYFUNCTION("""COMPUTED_VALUE"""),46147.5625)</f>
        <v>46147.5625</v>
      </c>
      <c r="C124" s="190">
        <f>IFERROR(__xludf.DUMMYFUNCTION("""COMPUTED_VALUE"""),23.5)</f>
        <v>23.5</v>
      </c>
      <c r="D124" s="190">
        <f>IFERROR(__xludf.DUMMYFUNCTION("""COMPUTED_VALUE"""),23.9)</f>
        <v>23.9</v>
      </c>
      <c r="E124" s="190">
        <f>IFERROR(__xludf.DUMMYFUNCTION("""COMPUTED_VALUE"""),23.45)</f>
        <v>23.45</v>
      </c>
      <c r="F124" s="190">
        <f>IFERROR(__xludf.DUMMYFUNCTION("""COMPUTED_VALUE"""),23.7)</f>
        <v>23.7</v>
      </c>
      <c r="G124" s="191">
        <f>IFERROR(__xludf.DUMMYFUNCTION("""COMPUTED_VALUE"""),8.0555351E7)</f>
        <v>80555351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</row>
    <row r="125" ht="17.25" customHeight="1">
      <c r="A125" s="112"/>
      <c r="B125" s="189">
        <f>IFERROR(__xludf.DUMMYFUNCTION("""COMPUTED_VALUE"""),46148.5625)</f>
        <v>46148.5625</v>
      </c>
      <c r="C125" s="190">
        <f>IFERROR(__xludf.DUMMYFUNCTION("""COMPUTED_VALUE"""),24.0)</f>
        <v>24</v>
      </c>
      <c r="D125" s="190">
        <f>IFERROR(__xludf.DUMMYFUNCTION("""COMPUTED_VALUE"""),24.15)</f>
        <v>24.15</v>
      </c>
      <c r="E125" s="190">
        <f>IFERROR(__xludf.DUMMYFUNCTION("""COMPUTED_VALUE"""),23.7)</f>
        <v>23.7</v>
      </c>
      <c r="F125" s="190">
        <f>IFERROR(__xludf.DUMMYFUNCTION("""COMPUTED_VALUE"""),23.95)</f>
        <v>23.95</v>
      </c>
      <c r="G125" s="191">
        <f>IFERROR(__xludf.DUMMYFUNCTION("""COMPUTED_VALUE"""),9.7322697E7)</f>
        <v>97322697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</row>
    <row r="126" ht="17.25" customHeight="1">
      <c r="A126" s="112"/>
      <c r="B126" s="189">
        <f>IFERROR(__xludf.DUMMYFUNCTION("""COMPUTED_VALUE"""),46149.5625)</f>
        <v>46149.5625</v>
      </c>
      <c r="C126" s="190">
        <f>IFERROR(__xludf.DUMMYFUNCTION("""COMPUTED_VALUE"""),24.0)</f>
        <v>24</v>
      </c>
      <c r="D126" s="190">
        <f>IFERROR(__xludf.DUMMYFUNCTION("""COMPUTED_VALUE"""),24.15)</f>
        <v>24.15</v>
      </c>
      <c r="E126" s="190">
        <f>IFERROR(__xludf.DUMMYFUNCTION("""COMPUTED_VALUE"""),23.9)</f>
        <v>23.9</v>
      </c>
      <c r="F126" s="190">
        <f>IFERROR(__xludf.DUMMYFUNCTION("""COMPUTED_VALUE"""),24.0)</f>
        <v>24</v>
      </c>
      <c r="G126" s="191">
        <f>IFERROR(__xludf.DUMMYFUNCTION("""COMPUTED_VALUE"""),8.7911633E7)</f>
        <v>87911633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</row>
    <row r="127" ht="17.25" customHeight="1">
      <c r="A127" s="112"/>
      <c r="B127" s="189">
        <f>IFERROR(__xludf.DUMMYFUNCTION("""COMPUTED_VALUE"""),46150.5625)</f>
        <v>46150.5625</v>
      </c>
      <c r="C127" s="190">
        <f>IFERROR(__xludf.DUMMYFUNCTION("""COMPUTED_VALUE"""),24.1)</f>
        <v>24.1</v>
      </c>
      <c r="D127" s="190">
        <f>IFERROR(__xludf.DUMMYFUNCTION("""COMPUTED_VALUE"""),24.2)</f>
        <v>24.2</v>
      </c>
      <c r="E127" s="190">
        <f>IFERROR(__xludf.DUMMYFUNCTION("""COMPUTED_VALUE"""),23.75)</f>
        <v>23.75</v>
      </c>
      <c r="F127" s="190">
        <f>IFERROR(__xludf.DUMMYFUNCTION("""COMPUTED_VALUE"""),23.8)</f>
        <v>23.8</v>
      </c>
      <c r="G127" s="191">
        <f>IFERROR(__xludf.DUMMYFUNCTION("""COMPUTED_VALUE"""),1.1022225E8)</f>
        <v>110222250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</row>
    <row r="128" ht="17.25" customHeight="1">
      <c r="A128" s="112"/>
      <c r="B128" s="189">
        <f>IFERROR(__xludf.DUMMYFUNCTION("""COMPUTED_VALUE"""),46153.5625)</f>
        <v>46153.5625</v>
      </c>
      <c r="C128" s="190">
        <f>IFERROR(__xludf.DUMMYFUNCTION("""COMPUTED_VALUE"""),23.85)</f>
        <v>23.85</v>
      </c>
      <c r="D128" s="190">
        <f>IFERROR(__xludf.DUMMYFUNCTION("""COMPUTED_VALUE"""),23.9)</f>
        <v>23.9</v>
      </c>
      <c r="E128" s="190">
        <f>IFERROR(__xludf.DUMMYFUNCTION("""COMPUTED_VALUE"""),23.45)</f>
        <v>23.45</v>
      </c>
      <c r="F128" s="190">
        <f>IFERROR(__xludf.DUMMYFUNCTION("""COMPUTED_VALUE"""),23.45)</f>
        <v>23.45</v>
      </c>
      <c r="G128" s="191">
        <f>IFERROR(__xludf.DUMMYFUNCTION("""COMPUTED_VALUE"""),9.7748063E7)</f>
        <v>97748063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</row>
    <row r="129" ht="17.25" customHeight="1">
      <c r="A129" s="112"/>
      <c r="B129" s="189">
        <f>IFERROR(__xludf.DUMMYFUNCTION("""COMPUTED_VALUE"""),46154.5625)</f>
        <v>46154.5625</v>
      </c>
      <c r="C129" s="190">
        <f>IFERROR(__xludf.DUMMYFUNCTION("""COMPUTED_VALUE"""),23.6)</f>
        <v>23.6</v>
      </c>
      <c r="D129" s="190">
        <f>IFERROR(__xludf.DUMMYFUNCTION("""COMPUTED_VALUE"""),23.65)</f>
        <v>23.65</v>
      </c>
      <c r="E129" s="190">
        <f>IFERROR(__xludf.DUMMYFUNCTION("""COMPUTED_VALUE"""),23.0)</f>
        <v>23</v>
      </c>
      <c r="F129" s="190">
        <f>IFERROR(__xludf.DUMMYFUNCTION("""COMPUTED_VALUE"""),23.0)</f>
        <v>23</v>
      </c>
      <c r="G129" s="191">
        <f>IFERROR(__xludf.DUMMYFUNCTION("""COMPUTED_VALUE"""),1.38946452E8)</f>
        <v>138946452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</row>
    <row r="130" ht="17.25" customHeight="1">
      <c r="A130" s="112"/>
      <c r="B130" s="189">
        <f>IFERROR(__xludf.DUMMYFUNCTION("""COMPUTED_VALUE"""),46155.5625)</f>
        <v>46155.5625</v>
      </c>
      <c r="C130" s="190">
        <f>IFERROR(__xludf.DUMMYFUNCTION("""COMPUTED_VALUE"""),23.3)</f>
        <v>23.3</v>
      </c>
      <c r="D130" s="190">
        <f>IFERROR(__xludf.DUMMYFUNCTION("""COMPUTED_VALUE"""),23.35)</f>
        <v>23.35</v>
      </c>
      <c r="E130" s="190">
        <f>IFERROR(__xludf.DUMMYFUNCTION("""COMPUTED_VALUE"""),22.85)</f>
        <v>22.85</v>
      </c>
      <c r="F130" s="190">
        <f>IFERROR(__xludf.DUMMYFUNCTION("""COMPUTED_VALUE"""),23.15)</f>
        <v>23.15</v>
      </c>
      <c r="G130" s="191">
        <f>IFERROR(__xludf.DUMMYFUNCTION("""COMPUTED_VALUE"""),1.17961059E8)</f>
        <v>117961059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</row>
    <row r="131" ht="17.25" customHeight="1">
      <c r="A131" s="112"/>
      <c r="B131" s="189">
        <f>IFERROR(__xludf.DUMMYFUNCTION("""COMPUTED_VALUE"""),46156.5625)</f>
        <v>46156.5625</v>
      </c>
      <c r="C131" s="190">
        <f>IFERROR(__xludf.DUMMYFUNCTION("""COMPUTED_VALUE"""),23.15)</f>
        <v>23.15</v>
      </c>
      <c r="D131" s="190">
        <f>IFERROR(__xludf.DUMMYFUNCTION("""COMPUTED_VALUE"""),23.55)</f>
        <v>23.55</v>
      </c>
      <c r="E131" s="190">
        <f>IFERROR(__xludf.DUMMYFUNCTION("""COMPUTED_VALUE"""),23.0)</f>
        <v>23</v>
      </c>
      <c r="F131" s="190">
        <f>IFERROR(__xludf.DUMMYFUNCTION("""COMPUTED_VALUE"""),23.1)</f>
        <v>23.1</v>
      </c>
      <c r="G131" s="191">
        <f>IFERROR(__xludf.DUMMYFUNCTION("""COMPUTED_VALUE"""),1.1793511E8)</f>
        <v>117935110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</row>
    <row r="132" ht="17.25" customHeight="1">
      <c r="A132" s="112"/>
      <c r="B132" s="189">
        <f>IFERROR(__xludf.DUMMYFUNCTION("""COMPUTED_VALUE"""),46157.5625)</f>
        <v>46157.5625</v>
      </c>
      <c r="C132" s="190">
        <f>IFERROR(__xludf.DUMMYFUNCTION("""COMPUTED_VALUE"""),23.4)</f>
        <v>23.4</v>
      </c>
      <c r="D132" s="190">
        <f>IFERROR(__xludf.DUMMYFUNCTION("""COMPUTED_VALUE"""),24.0)</f>
        <v>24</v>
      </c>
      <c r="E132" s="190">
        <f>IFERROR(__xludf.DUMMYFUNCTION("""COMPUTED_VALUE"""),23.4)</f>
        <v>23.4</v>
      </c>
      <c r="F132" s="190">
        <f>IFERROR(__xludf.DUMMYFUNCTION("""COMPUTED_VALUE"""),23.8)</f>
        <v>23.8</v>
      </c>
      <c r="G132" s="191">
        <f>IFERROR(__xludf.DUMMYFUNCTION("""COMPUTED_VALUE"""),1.19364186E8)</f>
        <v>119364186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</row>
    <row r="133" ht="17.25" customHeight="1">
      <c r="A133" s="112"/>
      <c r="B133" s="189">
        <f>IFERROR(__xludf.DUMMYFUNCTION("""COMPUTED_VALUE"""),46160.5625)</f>
        <v>46160.5625</v>
      </c>
      <c r="C133" s="190">
        <f>IFERROR(__xludf.DUMMYFUNCTION("""COMPUTED_VALUE"""),23.5)</f>
        <v>23.5</v>
      </c>
      <c r="D133" s="190">
        <f>IFERROR(__xludf.DUMMYFUNCTION("""COMPUTED_VALUE"""),23.7)</f>
        <v>23.7</v>
      </c>
      <c r="E133" s="190">
        <f>IFERROR(__xludf.DUMMYFUNCTION("""COMPUTED_VALUE"""),23.4)</f>
        <v>23.4</v>
      </c>
      <c r="F133" s="190">
        <f>IFERROR(__xludf.DUMMYFUNCTION("""COMPUTED_VALUE"""),23.45)</f>
        <v>23.45</v>
      </c>
      <c r="G133" s="191">
        <f>IFERROR(__xludf.DUMMYFUNCTION("""COMPUTED_VALUE"""),7.4573401E7)</f>
        <v>74573401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</row>
    <row r="134" ht="17.25" customHeight="1">
      <c r="A134" s="112"/>
      <c r="B134" s="189">
        <f>IFERROR(__xludf.DUMMYFUNCTION("""COMPUTED_VALUE"""),46161.5625)</f>
        <v>46161.5625</v>
      </c>
      <c r="C134" s="190">
        <f>IFERROR(__xludf.DUMMYFUNCTION("""COMPUTED_VALUE"""),23.45)</f>
        <v>23.45</v>
      </c>
      <c r="D134" s="190">
        <f>IFERROR(__xludf.DUMMYFUNCTION("""COMPUTED_VALUE"""),24.1)</f>
        <v>24.1</v>
      </c>
      <c r="E134" s="190">
        <f>IFERROR(__xludf.DUMMYFUNCTION("""COMPUTED_VALUE"""),23.45)</f>
        <v>23.45</v>
      </c>
      <c r="F134" s="190">
        <f>IFERROR(__xludf.DUMMYFUNCTION("""COMPUTED_VALUE"""),23.6)</f>
        <v>23.6</v>
      </c>
      <c r="G134" s="191">
        <f>IFERROR(__xludf.DUMMYFUNCTION("""COMPUTED_VALUE"""),9.2757796E7)</f>
        <v>92757796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</row>
    <row r="135" ht="17.25" customHeight="1">
      <c r="A135" s="112"/>
      <c r="B135" s="189">
        <f>IFERROR(__xludf.DUMMYFUNCTION("""COMPUTED_VALUE"""),46162.5625)</f>
        <v>46162.5625</v>
      </c>
      <c r="C135" s="190">
        <f>IFERROR(__xludf.DUMMYFUNCTION("""COMPUTED_VALUE"""),23.95)</f>
        <v>23.95</v>
      </c>
      <c r="D135" s="190">
        <f>IFERROR(__xludf.DUMMYFUNCTION("""COMPUTED_VALUE"""),24.15)</f>
        <v>24.15</v>
      </c>
      <c r="E135" s="190">
        <f>IFERROR(__xludf.DUMMYFUNCTION("""COMPUTED_VALUE"""),23.75)</f>
        <v>23.75</v>
      </c>
      <c r="F135" s="190">
        <f>IFERROR(__xludf.DUMMYFUNCTION("""COMPUTED_VALUE"""),23.9)</f>
        <v>23.9</v>
      </c>
      <c r="G135" s="191">
        <f>IFERROR(__xludf.DUMMYFUNCTION("""COMPUTED_VALUE"""),1.02284259E8)</f>
        <v>102284259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</row>
    <row r="136" ht="17.25" customHeight="1">
      <c r="A136" s="112"/>
      <c r="B136" s="189">
        <f>IFERROR(__xludf.DUMMYFUNCTION("""COMPUTED_VALUE"""),46163.5625)</f>
        <v>46163.5625</v>
      </c>
      <c r="C136" s="190">
        <f>IFERROR(__xludf.DUMMYFUNCTION("""COMPUTED_VALUE"""),24.2)</f>
        <v>24.2</v>
      </c>
      <c r="D136" s="190">
        <f>IFERROR(__xludf.DUMMYFUNCTION("""COMPUTED_VALUE"""),24.2)</f>
        <v>24.2</v>
      </c>
      <c r="E136" s="190">
        <f>IFERROR(__xludf.DUMMYFUNCTION("""COMPUTED_VALUE"""),23.8)</f>
        <v>23.8</v>
      </c>
      <c r="F136" s="190">
        <f>IFERROR(__xludf.DUMMYFUNCTION("""COMPUTED_VALUE"""),23.85)</f>
        <v>23.85</v>
      </c>
      <c r="G136" s="191">
        <f>IFERROR(__xludf.DUMMYFUNCTION("""COMPUTED_VALUE"""),9.2423746E7)</f>
        <v>92423746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</row>
    <row r="137" ht="17.25" customHeight="1">
      <c r="A137" s="112"/>
      <c r="B137" s="189">
        <f>IFERROR(__xludf.DUMMYFUNCTION("""COMPUTED_VALUE"""),46164.5625)</f>
        <v>46164.5625</v>
      </c>
      <c r="C137" s="190">
        <f>IFERROR(__xludf.DUMMYFUNCTION("""COMPUTED_VALUE"""),23.9)</f>
        <v>23.9</v>
      </c>
      <c r="D137" s="190">
        <f>IFERROR(__xludf.DUMMYFUNCTION("""COMPUTED_VALUE"""),24.15)</f>
        <v>24.15</v>
      </c>
      <c r="E137" s="190">
        <f>IFERROR(__xludf.DUMMYFUNCTION("""COMPUTED_VALUE"""),23.75)</f>
        <v>23.75</v>
      </c>
      <c r="F137" s="190">
        <f>IFERROR(__xludf.DUMMYFUNCTION("""COMPUTED_VALUE"""),23.8)</f>
        <v>23.8</v>
      </c>
      <c r="G137" s="191">
        <f>IFERROR(__xludf.DUMMYFUNCTION("""COMPUTED_VALUE"""),1.05450678E8)</f>
        <v>105450678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</row>
    <row r="138" ht="17.25" customHeight="1">
      <c r="A138" s="112"/>
      <c r="B138" s="189">
        <f>IFERROR(__xludf.DUMMYFUNCTION("""COMPUTED_VALUE"""),46167.5625)</f>
        <v>46167.5625</v>
      </c>
      <c r="C138" s="190">
        <f>IFERROR(__xludf.DUMMYFUNCTION("""COMPUTED_VALUE"""),23.9)</f>
        <v>23.9</v>
      </c>
      <c r="D138" s="190">
        <f>IFERROR(__xludf.DUMMYFUNCTION("""COMPUTED_VALUE"""),23.9)</f>
        <v>23.9</v>
      </c>
      <c r="E138" s="190">
        <f>IFERROR(__xludf.DUMMYFUNCTION("""COMPUTED_VALUE"""),23.3)</f>
        <v>23.3</v>
      </c>
      <c r="F138" s="190">
        <f>IFERROR(__xludf.DUMMYFUNCTION("""COMPUTED_VALUE"""),23.3)</f>
        <v>23.3</v>
      </c>
      <c r="G138" s="191">
        <f>IFERROR(__xludf.DUMMYFUNCTION("""COMPUTED_VALUE"""),1.48952674E8)</f>
        <v>148952674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</row>
    <row r="139" ht="17.25" customHeight="1">
      <c r="A139" s="112"/>
      <c r="B139" s="189">
        <f>IFERROR(__xludf.DUMMYFUNCTION("""COMPUTED_VALUE"""),46168.5625)</f>
        <v>46168.5625</v>
      </c>
      <c r="C139" s="190">
        <f>IFERROR(__xludf.DUMMYFUNCTION("""COMPUTED_VALUE"""),23.4)</f>
        <v>23.4</v>
      </c>
      <c r="D139" s="190">
        <f>IFERROR(__xludf.DUMMYFUNCTION("""COMPUTED_VALUE"""),24.1)</f>
        <v>24.1</v>
      </c>
      <c r="E139" s="190">
        <f>IFERROR(__xludf.DUMMYFUNCTION("""COMPUTED_VALUE"""),23.4)</f>
        <v>23.4</v>
      </c>
      <c r="F139" s="190">
        <f>IFERROR(__xludf.DUMMYFUNCTION("""COMPUTED_VALUE"""),23.6)</f>
        <v>23.6</v>
      </c>
      <c r="G139" s="191">
        <f>IFERROR(__xludf.DUMMYFUNCTION("""COMPUTED_VALUE"""),1.56973687E8)</f>
        <v>156973687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</row>
    <row r="140" ht="17.25" customHeight="1">
      <c r="A140" s="112"/>
      <c r="B140" s="189">
        <f>IFERROR(__xludf.DUMMYFUNCTION("""COMPUTED_VALUE"""),46169.5625)</f>
        <v>46169.5625</v>
      </c>
      <c r="C140" s="190">
        <f>IFERROR(__xludf.DUMMYFUNCTION("""COMPUTED_VALUE"""),23.7)</f>
        <v>23.7</v>
      </c>
      <c r="D140" s="190">
        <f>IFERROR(__xludf.DUMMYFUNCTION("""COMPUTED_VALUE"""),23.8)</f>
        <v>23.8</v>
      </c>
      <c r="E140" s="190">
        <f>IFERROR(__xludf.DUMMYFUNCTION("""COMPUTED_VALUE"""),23.3)</f>
        <v>23.3</v>
      </c>
      <c r="F140" s="190">
        <f>IFERROR(__xludf.DUMMYFUNCTION("""COMPUTED_VALUE"""),23.3)</f>
        <v>23.3</v>
      </c>
      <c r="G140" s="191">
        <f>IFERROR(__xludf.DUMMYFUNCTION("""COMPUTED_VALUE"""),1.70102577E8)</f>
        <v>170102577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</row>
    <row r="141" ht="17.25" customHeight="1">
      <c r="A141" s="112"/>
      <c r="B141" s="189">
        <f>IFERROR(__xludf.DUMMYFUNCTION("""COMPUTED_VALUE"""),46170.5625)</f>
        <v>46170.5625</v>
      </c>
      <c r="C141" s="190">
        <f>IFERROR(__xludf.DUMMYFUNCTION("""COMPUTED_VALUE"""),23.4)</f>
        <v>23.4</v>
      </c>
      <c r="D141" s="190">
        <f>IFERROR(__xludf.DUMMYFUNCTION("""COMPUTED_VALUE"""),23.55)</f>
        <v>23.55</v>
      </c>
      <c r="E141" s="190">
        <f>IFERROR(__xludf.DUMMYFUNCTION("""COMPUTED_VALUE"""),23.0)</f>
        <v>23</v>
      </c>
      <c r="F141" s="190">
        <f>IFERROR(__xludf.DUMMYFUNCTION("""COMPUTED_VALUE"""),23.0)</f>
        <v>23</v>
      </c>
      <c r="G141" s="191">
        <f>IFERROR(__xludf.DUMMYFUNCTION("""COMPUTED_VALUE"""),1.71256427E8)</f>
        <v>171256427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</row>
    <row r="142" ht="17.25" customHeight="1">
      <c r="A142" s="112"/>
      <c r="B142" s="189">
        <f>IFERROR(__xludf.DUMMYFUNCTION("""COMPUTED_VALUE"""),46171.5625)</f>
        <v>46171.5625</v>
      </c>
      <c r="C142" s="190">
        <f>IFERROR(__xludf.DUMMYFUNCTION("""COMPUTED_VALUE"""),23.25)</f>
        <v>23.25</v>
      </c>
      <c r="D142" s="190">
        <f>IFERROR(__xludf.DUMMYFUNCTION("""COMPUTED_VALUE"""),23.45)</f>
        <v>23.45</v>
      </c>
      <c r="E142" s="190">
        <f>IFERROR(__xludf.DUMMYFUNCTION("""COMPUTED_VALUE"""),23.0)</f>
        <v>23</v>
      </c>
      <c r="F142" s="190">
        <f>IFERROR(__xludf.DUMMYFUNCTION("""COMPUTED_VALUE"""),23.35)</f>
        <v>23.35</v>
      </c>
      <c r="G142" s="191">
        <f>IFERROR(__xludf.DUMMYFUNCTION("""COMPUTED_VALUE"""),2.1869784E8)</f>
        <v>218697840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</row>
    <row r="143" ht="17.25" customHeight="1">
      <c r="A143" s="112"/>
      <c r="B143" s="189"/>
      <c r="C143" s="190"/>
      <c r="D143" s="190"/>
      <c r="E143" s="190"/>
      <c r="F143" s="190"/>
      <c r="G143" s="191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</row>
    <row r="144" ht="17.25" customHeight="1">
      <c r="A144" s="112"/>
      <c r="B144" s="189"/>
      <c r="C144" s="190"/>
      <c r="D144" s="190"/>
      <c r="E144" s="190"/>
      <c r="F144" s="190"/>
      <c r="G144" s="191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</row>
    <row r="145" ht="17.25" customHeight="1">
      <c r="A145" s="112"/>
      <c r="B145" s="189"/>
      <c r="C145" s="190"/>
      <c r="D145" s="190"/>
      <c r="E145" s="190"/>
      <c r="F145" s="190"/>
      <c r="G145" s="191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ht="17.25" customHeight="1">
      <c r="A146" s="112"/>
      <c r="B146" s="189"/>
      <c r="C146" s="190"/>
      <c r="D146" s="190"/>
      <c r="E146" s="190"/>
      <c r="F146" s="190"/>
      <c r="G146" s="191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ht="17.25" customHeight="1">
      <c r="A147" s="112"/>
      <c r="B147" s="189"/>
      <c r="C147" s="190"/>
      <c r="D147" s="190"/>
      <c r="E147" s="190"/>
      <c r="F147" s="190"/>
      <c r="G147" s="191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ht="17.25" customHeight="1">
      <c r="A148" s="112"/>
      <c r="B148" s="189"/>
      <c r="C148" s="190"/>
      <c r="D148" s="190"/>
      <c r="E148" s="190"/>
      <c r="F148" s="190"/>
      <c r="G148" s="191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</row>
    <row r="149" ht="17.25" customHeight="1">
      <c r="A149" s="112"/>
      <c r="B149" s="189"/>
      <c r="C149" s="190"/>
      <c r="D149" s="190"/>
      <c r="E149" s="190"/>
      <c r="F149" s="190"/>
      <c r="G149" s="191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ht="17.25" customHeight="1">
      <c r="A150" s="112"/>
      <c r="B150" s="189"/>
      <c r="C150" s="190"/>
      <c r="D150" s="190"/>
      <c r="E150" s="190"/>
      <c r="F150" s="190"/>
      <c r="G150" s="191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ht="17.25" customHeight="1">
      <c r="A151" s="112"/>
      <c r="B151" s="189"/>
      <c r="C151" s="190"/>
      <c r="D151" s="190"/>
      <c r="E151" s="190"/>
      <c r="F151" s="190"/>
      <c r="G151" s="191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ht="17.25" customHeight="1">
      <c r="A152" s="112"/>
      <c r="B152" s="189"/>
      <c r="C152" s="190"/>
      <c r="D152" s="190"/>
      <c r="E152" s="190"/>
      <c r="F152" s="190"/>
      <c r="G152" s="191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</row>
    <row r="153" ht="17.25" customHeight="1">
      <c r="A153" s="112"/>
      <c r="B153" s="189"/>
      <c r="C153" s="190"/>
      <c r="D153" s="190"/>
      <c r="E153" s="190"/>
      <c r="F153" s="190"/>
      <c r="G153" s="191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ht="17.25" customHeight="1">
      <c r="A154" s="112"/>
      <c r="B154" s="189"/>
      <c r="C154" s="190"/>
      <c r="D154" s="190"/>
      <c r="E154" s="190"/>
      <c r="F154" s="190"/>
      <c r="G154" s="191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</row>
    <row r="155" ht="17.25" customHeight="1">
      <c r="A155" s="112"/>
      <c r="B155" s="189"/>
      <c r="C155" s="190"/>
      <c r="D155" s="190"/>
      <c r="E155" s="190"/>
      <c r="F155" s="190"/>
      <c r="G155" s="191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ht="17.25" customHeight="1">
      <c r="A156" s="112"/>
      <c r="B156" s="189"/>
      <c r="C156" s="190"/>
      <c r="D156" s="190"/>
      <c r="E156" s="190"/>
      <c r="F156" s="190"/>
      <c r="G156" s="191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ht="17.25" customHeight="1">
      <c r="A157" s="112"/>
      <c r="B157" s="189"/>
      <c r="C157" s="190"/>
      <c r="D157" s="190"/>
      <c r="E157" s="190"/>
      <c r="F157" s="190"/>
      <c r="G157" s="191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ht="17.25" customHeight="1">
      <c r="A158" s="112"/>
      <c r="B158" s="189"/>
      <c r="C158" s="190"/>
      <c r="D158" s="190"/>
      <c r="E158" s="190"/>
      <c r="F158" s="190"/>
      <c r="G158" s="191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ht="17.25" customHeight="1">
      <c r="A159" s="112"/>
      <c r="B159" s="189"/>
      <c r="C159" s="190"/>
      <c r="D159" s="190"/>
      <c r="E159" s="190"/>
      <c r="F159" s="190"/>
      <c r="G159" s="191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ht="17.25" customHeight="1">
      <c r="A160" s="112"/>
      <c r="B160" s="189"/>
      <c r="C160" s="190"/>
      <c r="D160" s="190"/>
      <c r="E160" s="190"/>
      <c r="F160" s="190"/>
      <c r="G160" s="191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ht="17.25" customHeight="1">
      <c r="A161" s="112"/>
      <c r="B161" s="189"/>
      <c r="C161" s="190"/>
      <c r="D161" s="190"/>
      <c r="E161" s="190"/>
      <c r="F161" s="190"/>
      <c r="G161" s="191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ht="17.25" customHeight="1">
      <c r="A162" s="112"/>
      <c r="B162" s="189"/>
      <c r="C162" s="190"/>
      <c r="D162" s="190"/>
      <c r="E162" s="190"/>
      <c r="F162" s="190"/>
      <c r="G162" s="191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ht="17.25" customHeight="1">
      <c r="A163" s="112"/>
      <c r="B163" s="189"/>
      <c r="C163" s="190"/>
      <c r="D163" s="190"/>
      <c r="E163" s="190"/>
      <c r="F163" s="190"/>
      <c r="G163" s="191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</row>
    <row r="164" ht="17.25" customHeight="1">
      <c r="A164" s="112"/>
      <c r="B164" s="189"/>
      <c r="C164" s="190"/>
      <c r="D164" s="190"/>
      <c r="E164" s="190"/>
      <c r="F164" s="190"/>
      <c r="G164" s="191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ht="17.25" customHeight="1">
      <c r="A165" s="112"/>
      <c r="B165" s="189"/>
      <c r="C165" s="190"/>
      <c r="D165" s="190"/>
      <c r="E165" s="190"/>
      <c r="F165" s="190"/>
      <c r="G165" s="191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ht="17.25" customHeight="1">
      <c r="A166" s="112"/>
      <c r="B166" s="189"/>
      <c r="C166" s="190"/>
      <c r="D166" s="190"/>
      <c r="E166" s="190"/>
      <c r="F166" s="190"/>
      <c r="G166" s="191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ht="17.25" customHeight="1">
      <c r="A167" s="112"/>
      <c r="B167" s="189"/>
      <c r="C167" s="190"/>
      <c r="D167" s="190"/>
      <c r="E167" s="190"/>
      <c r="F167" s="190"/>
      <c r="G167" s="191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</row>
    <row r="168" ht="17.25" customHeight="1">
      <c r="A168" s="112"/>
      <c r="B168" s="189"/>
      <c r="C168" s="190"/>
      <c r="D168" s="190"/>
      <c r="E168" s="190"/>
      <c r="F168" s="190"/>
      <c r="G168" s="191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ht="17.25" customHeight="1">
      <c r="A169" s="112"/>
      <c r="B169" s="189"/>
      <c r="C169" s="190"/>
      <c r="D169" s="190"/>
      <c r="E169" s="190"/>
      <c r="F169" s="190"/>
      <c r="G169" s="191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ht="17.25" customHeight="1">
      <c r="A170" s="112"/>
      <c r="B170" s="189"/>
      <c r="C170" s="190"/>
      <c r="D170" s="190"/>
      <c r="E170" s="190"/>
      <c r="F170" s="190"/>
      <c r="G170" s="191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</row>
    <row r="171" ht="17.25" customHeight="1">
      <c r="A171" s="112"/>
      <c r="B171" s="189"/>
      <c r="C171" s="190"/>
      <c r="D171" s="190"/>
      <c r="E171" s="190"/>
      <c r="F171" s="190"/>
      <c r="G171" s="191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</row>
    <row r="172" ht="17.25" customHeight="1">
      <c r="A172" s="112"/>
      <c r="B172" s="189"/>
      <c r="C172" s="190"/>
      <c r="D172" s="190"/>
      <c r="E172" s="190"/>
      <c r="F172" s="190"/>
      <c r="G172" s="191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ht="17.25" customHeight="1">
      <c r="A173" s="112"/>
      <c r="B173" s="189"/>
      <c r="C173" s="190"/>
      <c r="D173" s="190"/>
      <c r="E173" s="190"/>
      <c r="F173" s="190"/>
      <c r="G173" s="191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</row>
    <row r="174" ht="17.25" customHeight="1">
      <c r="A174" s="112"/>
      <c r="B174" s="189"/>
      <c r="C174" s="190"/>
      <c r="D174" s="190"/>
      <c r="E174" s="190"/>
      <c r="F174" s="190"/>
      <c r="G174" s="191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</row>
    <row r="175" ht="17.25" customHeight="1">
      <c r="A175" s="112"/>
      <c r="B175" s="189"/>
      <c r="C175" s="190"/>
      <c r="D175" s="190"/>
      <c r="E175" s="190"/>
      <c r="F175" s="190"/>
      <c r="G175" s="191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</row>
    <row r="176" ht="17.25" customHeight="1">
      <c r="A176" s="112"/>
      <c r="B176" s="189"/>
      <c r="C176" s="190"/>
      <c r="D176" s="190"/>
      <c r="E176" s="190"/>
      <c r="F176" s="190"/>
      <c r="G176" s="191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</row>
    <row r="177" ht="17.25" customHeight="1">
      <c r="A177" s="112"/>
      <c r="B177" s="189"/>
      <c r="C177" s="190"/>
      <c r="D177" s="190"/>
      <c r="E177" s="190"/>
      <c r="F177" s="190"/>
      <c r="G177" s="191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</row>
    <row r="178" ht="17.25" customHeight="1">
      <c r="A178" s="112"/>
      <c r="B178" s="189"/>
      <c r="C178" s="190"/>
      <c r="D178" s="190"/>
      <c r="E178" s="190"/>
      <c r="F178" s="190"/>
      <c r="G178" s="191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</row>
    <row r="179" ht="17.25" customHeight="1">
      <c r="A179" s="112"/>
      <c r="B179" s="189"/>
      <c r="C179" s="190"/>
      <c r="D179" s="190"/>
      <c r="E179" s="190"/>
      <c r="F179" s="190"/>
      <c r="G179" s="191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</row>
    <row r="180" ht="17.25" customHeight="1">
      <c r="A180" s="112"/>
      <c r="B180" s="189"/>
      <c r="C180" s="190"/>
      <c r="D180" s="190"/>
      <c r="E180" s="190"/>
      <c r="F180" s="190"/>
      <c r="G180" s="191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</row>
    <row r="181" ht="17.25" customHeight="1">
      <c r="A181" s="112"/>
      <c r="B181" s="189"/>
      <c r="C181" s="190"/>
      <c r="D181" s="190"/>
      <c r="E181" s="190"/>
      <c r="F181" s="190"/>
      <c r="G181" s="191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</row>
    <row r="182" ht="17.25" customHeight="1">
      <c r="A182" s="112"/>
      <c r="B182" s="189"/>
      <c r="C182" s="190"/>
      <c r="D182" s="190"/>
      <c r="E182" s="190"/>
      <c r="F182" s="190"/>
      <c r="G182" s="191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</row>
    <row r="183" ht="17.25" customHeight="1">
      <c r="A183" s="112"/>
      <c r="B183" s="189"/>
      <c r="C183" s="190"/>
      <c r="D183" s="190"/>
      <c r="E183" s="190"/>
      <c r="F183" s="190"/>
      <c r="G183" s="191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</row>
    <row r="184" ht="17.25" customHeight="1">
      <c r="A184" s="112"/>
      <c r="B184" s="189"/>
      <c r="C184" s="190"/>
      <c r="D184" s="190"/>
      <c r="E184" s="190"/>
      <c r="F184" s="190"/>
      <c r="G184" s="191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</row>
    <row r="185" ht="17.25" customHeight="1">
      <c r="A185" s="112"/>
      <c r="B185" s="189"/>
      <c r="C185" s="190"/>
      <c r="D185" s="190"/>
      <c r="E185" s="190"/>
      <c r="F185" s="190"/>
      <c r="G185" s="191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</row>
    <row r="186" ht="17.25" customHeight="1">
      <c r="A186" s="112"/>
      <c r="B186" s="189"/>
      <c r="C186" s="190"/>
      <c r="D186" s="190"/>
      <c r="E186" s="190"/>
      <c r="F186" s="190"/>
      <c r="G186" s="191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</row>
    <row r="187" ht="17.25" customHeight="1">
      <c r="A187" s="112"/>
      <c r="B187" s="189"/>
      <c r="C187" s="190"/>
      <c r="D187" s="190"/>
      <c r="E187" s="190"/>
      <c r="F187" s="190"/>
      <c r="G187" s="191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</row>
    <row r="188" ht="17.25" customHeight="1">
      <c r="A188" s="112"/>
      <c r="B188" s="189"/>
      <c r="C188" s="190"/>
      <c r="D188" s="190"/>
      <c r="E188" s="190"/>
      <c r="F188" s="190"/>
      <c r="G188" s="191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</row>
    <row r="189" ht="17.25" customHeight="1">
      <c r="A189" s="112"/>
      <c r="B189" s="189"/>
      <c r="C189" s="190"/>
      <c r="D189" s="190"/>
      <c r="E189" s="190"/>
      <c r="F189" s="190"/>
      <c r="G189" s="191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</row>
    <row r="190" ht="17.25" customHeight="1">
      <c r="A190" s="112"/>
      <c r="B190" s="189"/>
      <c r="C190" s="190"/>
      <c r="D190" s="190"/>
      <c r="E190" s="190"/>
      <c r="F190" s="190"/>
      <c r="G190" s="191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</row>
    <row r="191" ht="17.25" customHeight="1">
      <c r="A191" s="112"/>
      <c r="B191" s="189"/>
      <c r="C191" s="190"/>
      <c r="D191" s="190"/>
      <c r="E191" s="190"/>
      <c r="F191" s="190"/>
      <c r="G191" s="191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</row>
    <row r="192" ht="17.25" customHeight="1">
      <c r="A192" s="112"/>
      <c r="B192" s="189"/>
      <c r="C192" s="190"/>
      <c r="D192" s="190"/>
      <c r="E192" s="190"/>
      <c r="F192" s="190"/>
      <c r="G192" s="191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</row>
    <row r="193" ht="17.25" customHeight="1">
      <c r="A193" s="112"/>
      <c r="B193" s="189"/>
      <c r="C193" s="190"/>
      <c r="D193" s="190"/>
      <c r="E193" s="190"/>
      <c r="F193" s="190"/>
      <c r="G193" s="191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</row>
    <row r="194" ht="17.25" customHeight="1">
      <c r="A194" s="112"/>
      <c r="B194" s="189"/>
      <c r="C194" s="190"/>
      <c r="D194" s="190"/>
      <c r="E194" s="190"/>
      <c r="F194" s="190"/>
      <c r="G194" s="191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</row>
    <row r="195" ht="17.25" customHeight="1">
      <c r="A195" s="112"/>
      <c r="B195" s="189"/>
      <c r="C195" s="190"/>
      <c r="D195" s="190"/>
      <c r="E195" s="190"/>
      <c r="F195" s="190"/>
      <c r="G195" s="191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</row>
    <row r="196" ht="17.25" customHeight="1">
      <c r="A196" s="112"/>
      <c r="B196" s="189"/>
      <c r="C196" s="190"/>
      <c r="D196" s="190"/>
      <c r="E196" s="190"/>
      <c r="F196" s="190"/>
      <c r="G196" s="191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</row>
    <row r="197" ht="17.25" customHeight="1">
      <c r="A197" s="112"/>
      <c r="B197" s="189"/>
      <c r="C197" s="190"/>
      <c r="D197" s="190"/>
      <c r="E197" s="190"/>
      <c r="F197" s="190"/>
      <c r="G197" s="191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</row>
    <row r="198" ht="17.25" customHeight="1">
      <c r="A198" s="112"/>
      <c r="B198" s="189"/>
      <c r="C198" s="190"/>
      <c r="D198" s="190"/>
      <c r="E198" s="190"/>
      <c r="F198" s="190"/>
      <c r="G198" s="191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</row>
    <row r="199" ht="17.25" customHeight="1">
      <c r="A199" s="112"/>
      <c r="B199" s="189"/>
      <c r="C199" s="190"/>
      <c r="D199" s="190"/>
      <c r="E199" s="190"/>
      <c r="F199" s="190"/>
      <c r="G199" s="191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</row>
    <row r="200" ht="17.25" customHeight="1">
      <c r="A200" s="112"/>
      <c r="B200" s="189"/>
      <c r="C200" s="190"/>
      <c r="D200" s="190"/>
      <c r="E200" s="190"/>
      <c r="F200" s="190"/>
      <c r="G200" s="191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</row>
    <row r="201" ht="17.25" customHeight="1">
      <c r="A201" s="112"/>
      <c r="B201" s="189"/>
      <c r="C201" s="190"/>
      <c r="D201" s="190"/>
      <c r="E201" s="190"/>
      <c r="F201" s="190"/>
      <c r="G201" s="191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/>
      <c r="C202" s="190"/>
      <c r="D202" s="190"/>
      <c r="E202" s="190"/>
      <c r="F202" s="190"/>
      <c r="G202" s="191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/>
      <c r="C203" s="190"/>
      <c r="D203" s="190"/>
      <c r="E203" s="190"/>
      <c r="F203" s="190"/>
      <c r="G203" s="191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/>
      <c r="C204" s="190"/>
      <c r="D204" s="190"/>
      <c r="E204" s="190"/>
      <c r="F204" s="190"/>
      <c r="G204" s="191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/>
      <c r="C205" s="190"/>
      <c r="D205" s="190"/>
      <c r="E205" s="190"/>
      <c r="F205" s="190"/>
      <c r="G205" s="191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/>
      <c r="C206" s="190"/>
      <c r="D206" s="190"/>
      <c r="E206" s="190"/>
      <c r="F206" s="190"/>
      <c r="G206" s="191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/>
      <c r="C207" s="190"/>
      <c r="D207" s="190"/>
      <c r="E207" s="190"/>
      <c r="F207" s="190"/>
      <c r="G207" s="191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/>
      <c r="C208" s="190"/>
      <c r="D208" s="190"/>
      <c r="E208" s="190"/>
      <c r="F208" s="190"/>
      <c r="G208" s="191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/>
      <c r="C209" s="190"/>
      <c r="D209" s="190"/>
      <c r="E209" s="190"/>
      <c r="F209" s="190"/>
      <c r="G209" s="191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/>
      <c r="C210" s="190"/>
      <c r="D210" s="190"/>
      <c r="E210" s="190"/>
      <c r="F210" s="190"/>
      <c r="G210" s="191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/>
      <c r="C211" s="190"/>
      <c r="D211" s="190"/>
      <c r="E211" s="190"/>
      <c r="F211" s="190"/>
      <c r="G211" s="191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/>
      <c r="C212" s="190"/>
      <c r="D212" s="190"/>
      <c r="E212" s="190"/>
      <c r="F212" s="190"/>
      <c r="G212" s="191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/>
      <c r="C213" s="190"/>
      <c r="D213" s="190"/>
      <c r="E213" s="190"/>
      <c r="F213" s="190"/>
      <c r="G213" s="191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/>
      <c r="C214" s="190"/>
      <c r="D214" s="190"/>
      <c r="E214" s="190"/>
      <c r="F214" s="190"/>
      <c r="G214" s="191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/>
      <c r="C215" s="190"/>
      <c r="D215" s="190"/>
      <c r="E215" s="190"/>
      <c r="F215" s="190"/>
      <c r="G215" s="191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/>
      <c r="C216" s="190"/>
      <c r="D216" s="190"/>
      <c r="E216" s="190"/>
      <c r="F216" s="190"/>
      <c r="G216" s="191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/>
      <c r="C217" s="190"/>
      <c r="D217" s="190"/>
      <c r="E217" s="190"/>
      <c r="F217" s="190"/>
      <c r="G217" s="191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/>
      <c r="C218" s="190"/>
      <c r="D218" s="190"/>
      <c r="E218" s="190"/>
      <c r="F218" s="190"/>
      <c r="G218" s="191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/>
      <c r="C219" s="190"/>
      <c r="D219" s="190"/>
      <c r="E219" s="190"/>
      <c r="F219" s="190"/>
      <c r="G219" s="191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/>
      <c r="C220" s="190"/>
      <c r="D220" s="190"/>
      <c r="E220" s="190"/>
      <c r="F220" s="190"/>
      <c r="G220" s="191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/>
      <c r="C221" s="190"/>
      <c r="D221" s="190"/>
      <c r="E221" s="190"/>
      <c r="F221" s="190"/>
      <c r="G221" s="191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/>
      <c r="C222" s="190"/>
      <c r="D222" s="190"/>
      <c r="E222" s="190"/>
      <c r="F222" s="190"/>
      <c r="G222" s="191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/>
      <c r="C223" s="190"/>
      <c r="D223" s="190"/>
      <c r="E223" s="190"/>
      <c r="F223" s="190"/>
      <c r="G223" s="191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/>
      <c r="C224" s="190"/>
      <c r="D224" s="190"/>
      <c r="E224" s="190"/>
      <c r="F224" s="190"/>
      <c r="G224" s="191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/>
      <c r="C225" s="190"/>
      <c r="D225" s="190"/>
      <c r="E225" s="190"/>
      <c r="F225" s="190"/>
      <c r="G225" s="191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/>
      <c r="C226" s="190"/>
      <c r="D226" s="190"/>
      <c r="E226" s="190"/>
      <c r="F226" s="190"/>
      <c r="G226" s="191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/>
      <c r="C227" s="190"/>
      <c r="D227" s="190"/>
      <c r="E227" s="190"/>
      <c r="F227" s="190"/>
      <c r="G227" s="191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/>
      <c r="C228" s="190"/>
      <c r="D228" s="190"/>
      <c r="E228" s="190"/>
      <c r="F228" s="190"/>
      <c r="G228" s="191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/>
      <c r="C229" s="190"/>
      <c r="D229" s="190"/>
      <c r="E229" s="190"/>
      <c r="F229" s="190"/>
      <c r="G229" s="191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/>
      <c r="C230" s="190"/>
      <c r="D230" s="190"/>
      <c r="E230" s="190"/>
      <c r="F230" s="190"/>
      <c r="G230" s="191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/>
      <c r="C231" s="190"/>
      <c r="D231" s="190"/>
      <c r="E231" s="190"/>
      <c r="F231" s="190"/>
      <c r="G231" s="191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/>
      <c r="C232" s="190"/>
      <c r="D232" s="190"/>
      <c r="E232" s="190"/>
      <c r="F232" s="190"/>
      <c r="G232" s="19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/>
      <c r="C233" s="190"/>
      <c r="D233" s="190"/>
      <c r="E233" s="190"/>
      <c r="F233" s="190"/>
      <c r="G233" s="191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/>
      <c r="C234" s="190"/>
      <c r="D234" s="190"/>
      <c r="E234" s="190"/>
      <c r="F234" s="190"/>
      <c r="G234" s="191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/>
      <c r="C235" s="190"/>
      <c r="D235" s="190"/>
      <c r="E235" s="190"/>
      <c r="F235" s="190"/>
      <c r="G235" s="191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/>
      <c r="C236" s="190"/>
      <c r="D236" s="190"/>
      <c r="E236" s="190"/>
      <c r="F236" s="190"/>
      <c r="G236" s="191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/>
      <c r="C237" s="190"/>
      <c r="D237" s="190"/>
      <c r="E237" s="190"/>
      <c r="F237" s="190"/>
      <c r="G237" s="191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/>
      <c r="C238" s="190"/>
      <c r="D238" s="190"/>
      <c r="E238" s="190"/>
      <c r="F238" s="190"/>
      <c r="G238" s="191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/>
      <c r="C239" s="190"/>
      <c r="D239" s="190"/>
      <c r="E239" s="190"/>
      <c r="F239" s="190"/>
      <c r="G239" s="19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/>
      <c r="C240" s="190"/>
      <c r="D240" s="190"/>
      <c r="E240" s="190"/>
      <c r="F240" s="190"/>
      <c r="G240" s="191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/>
      <c r="C241" s="190"/>
      <c r="D241" s="190"/>
      <c r="E241" s="190"/>
      <c r="F241" s="190"/>
      <c r="G241" s="191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/>
      <c r="C242" s="190"/>
      <c r="D242" s="190"/>
      <c r="E242" s="190"/>
      <c r="F242" s="190"/>
      <c r="G242" s="191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/>
      <c r="C243" s="190"/>
      <c r="D243" s="190"/>
      <c r="E243" s="190"/>
      <c r="F243" s="190"/>
      <c r="G243" s="191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/>
      <c r="C244" s="190"/>
      <c r="D244" s="190"/>
      <c r="E244" s="190"/>
      <c r="F244" s="190"/>
      <c r="G244" s="191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/>
      <c r="C245" s="190"/>
      <c r="D245" s="190"/>
      <c r="E245" s="190"/>
      <c r="F245" s="190"/>
      <c r="G245" s="191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/>
      <c r="C246" s="190"/>
      <c r="D246" s="190"/>
      <c r="E246" s="190"/>
      <c r="F246" s="190"/>
      <c r="G246" s="191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/>
      <c r="C247" s="190"/>
      <c r="D247" s="190"/>
      <c r="E247" s="190"/>
      <c r="F247" s="190"/>
      <c r="G247" s="191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/>
      <c r="C248" s="190"/>
      <c r="D248" s="190"/>
      <c r="E248" s="190"/>
      <c r="F248" s="190"/>
      <c r="G248" s="191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/>
      <c r="C249" s="190"/>
      <c r="D249" s="190"/>
      <c r="E249" s="190"/>
      <c r="F249" s="190"/>
      <c r="G249" s="191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/>
      <c r="C250" s="190"/>
      <c r="D250" s="190"/>
      <c r="E250" s="190"/>
      <c r="F250" s="190"/>
      <c r="G250" s="191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/>
      <c r="C251" s="190"/>
      <c r="D251" s="190"/>
      <c r="E251" s="190"/>
      <c r="F251" s="190"/>
      <c r="G251" s="191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/>
      <c r="C252" s="190"/>
      <c r="D252" s="190"/>
      <c r="E252" s="190"/>
      <c r="F252" s="190"/>
      <c r="G252" s="191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/>
      <c r="C253" s="190"/>
      <c r="D253" s="190"/>
      <c r="E253" s="190"/>
      <c r="F253" s="190"/>
      <c r="G253" s="191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/>
      <c r="C254" s="190"/>
      <c r="D254" s="190"/>
      <c r="E254" s="190"/>
      <c r="F254" s="190"/>
      <c r="G254" s="191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/>
      <c r="C255" s="190"/>
      <c r="D255" s="190"/>
      <c r="E255" s="190"/>
      <c r="F255" s="190"/>
      <c r="G255" s="191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/>
      <c r="C256" s="190"/>
      <c r="D256" s="190"/>
      <c r="E256" s="190"/>
      <c r="F256" s="190"/>
      <c r="G256" s="191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/>
      <c r="C257" s="190"/>
      <c r="D257" s="190"/>
      <c r="E257" s="190"/>
      <c r="F257" s="190"/>
      <c r="G257" s="191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/>
      <c r="C258" s="190"/>
      <c r="D258" s="190"/>
      <c r="E258" s="190"/>
      <c r="F258" s="190"/>
      <c r="G258" s="191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/>
      <c r="C259" s="190"/>
      <c r="D259" s="190"/>
      <c r="E259" s="190"/>
      <c r="F259" s="190"/>
      <c r="G259" s="191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/>
      <c r="C260" s="190"/>
      <c r="D260" s="190"/>
      <c r="E260" s="190"/>
      <c r="F260" s="190"/>
      <c r="G260" s="191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/>
      <c r="C261" s="190"/>
      <c r="D261" s="190"/>
      <c r="E261" s="190"/>
      <c r="F261" s="190"/>
      <c r="G261" s="191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/>
      <c r="C262" s="190"/>
      <c r="D262" s="190"/>
      <c r="E262" s="190"/>
      <c r="F262" s="190"/>
      <c r="G262" s="191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/>
      <c r="C263" s="190"/>
      <c r="D263" s="190"/>
      <c r="E263" s="190"/>
      <c r="F263" s="190"/>
      <c r="G263" s="191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/>
      <c r="C264" s="190"/>
      <c r="D264" s="190"/>
      <c r="E264" s="190"/>
      <c r="F264" s="190"/>
      <c r="G264" s="191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/>
      <c r="C265" s="190"/>
      <c r="D265" s="190"/>
      <c r="E265" s="190"/>
      <c r="F265" s="190"/>
      <c r="G265" s="191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/>
      <c r="C266" s="190"/>
      <c r="D266" s="190"/>
      <c r="E266" s="190"/>
      <c r="F266" s="190"/>
      <c r="G266" s="191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/>
      <c r="C267" s="190"/>
      <c r="D267" s="190"/>
      <c r="E267" s="190"/>
      <c r="F267" s="190"/>
      <c r="G267" s="191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/>
      <c r="C268" s="190"/>
      <c r="D268" s="190"/>
      <c r="E268" s="190"/>
      <c r="F268" s="190"/>
      <c r="G268" s="191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/>
      <c r="C269" s="190"/>
      <c r="D269" s="190"/>
      <c r="E269" s="190"/>
      <c r="F269" s="190"/>
      <c r="G269" s="191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/>
      <c r="C270" s="190"/>
      <c r="D270" s="190"/>
      <c r="E270" s="190"/>
      <c r="F270" s="190"/>
      <c r="G270" s="191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/>
      <c r="C271" s="190"/>
      <c r="D271" s="190"/>
      <c r="E271" s="190"/>
      <c r="F271" s="190"/>
      <c r="G271" s="191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/>
      <c r="C272" s="190"/>
      <c r="D272" s="190"/>
      <c r="E272" s="190"/>
      <c r="F272" s="190"/>
      <c r="G272" s="191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/>
      <c r="C273" s="190"/>
      <c r="D273" s="190"/>
      <c r="E273" s="190"/>
      <c r="F273" s="190"/>
      <c r="G273" s="191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/>
      <c r="C274" s="190"/>
      <c r="D274" s="190"/>
      <c r="E274" s="190"/>
      <c r="F274" s="190"/>
      <c r="G274" s="191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/>
      <c r="C275" s="190"/>
      <c r="D275" s="190"/>
      <c r="E275" s="190"/>
      <c r="F275" s="190"/>
      <c r="G275" s="191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/>
      <c r="C276" s="190"/>
      <c r="D276" s="190"/>
      <c r="E276" s="190"/>
      <c r="F276" s="190"/>
      <c r="G276" s="191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/>
      <c r="C277" s="190"/>
      <c r="D277" s="190"/>
      <c r="E277" s="190"/>
      <c r="F277" s="190"/>
      <c r="G277" s="191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/>
      <c r="C278" s="190"/>
      <c r="D278" s="190"/>
      <c r="E278" s="190"/>
      <c r="F278" s="190"/>
      <c r="G278" s="191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/>
      <c r="C279" s="190"/>
      <c r="D279" s="190"/>
      <c r="E279" s="190"/>
      <c r="F279" s="190"/>
      <c r="G279" s="191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/>
      <c r="C280" s="190"/>
      <c r="D280" s="190"/>
      <c r="E280" s="190"/>
      <c r="F280" s="190"/>
      <c r="G280" s="191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/>
      <c r="C281" s="190"/>
      <c r="D281" s="190"/>
      <c r="E281" s="190"/>
      <c r="F281" s="190"/>
      <c r="G281" s="191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/>
      <c r="C282" s="190"/>
      <c r="D282" s="190"/>
      <c r="E282" s="190"/>
      <c r="F282" s="190"/>
      <c r="G282" s="191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/>
      <c r="C283" s="190"/>
      <c r="D283" s="190"/>
      <c r="E283" s="190"/>
      <c r="F283" s="190"/>
      <c r="G283" s="191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/>
      <c r="C284" s="190"/>
      <c r="D284" s="190"/>
      <c r="E284" s="190"/>
      <c r="F284" s="190"/>
      <c r="G284" s="191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/>
      <c r="C285" s="190"/>
      <c r="D285" s="190"/>
      <c r="E285" s="190"/>
      <c r="F285" s="190"/>
      <c r="G285" s="191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/>
      <c r="C286" s="190"/>
      <c r="D286" s="190"/>
      <c r="E286" s="190"/>
      <c r="F286" s="190"/>
      <c r="G286" s="191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/>
      <c r="C287" s="190"/>
      <c r="D287" s="190"/>
      <c r="E287" s="190"/>
      <c r="F287" s="190"/>
      <c r="G287" s="191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/>
      <c r="C288" s="190"/>
      <c r="D288" s="190"/>
      <c r="E288" s="190"/>
      <c r="F288" s="190"/>
      <c r="G288" s="191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/>
      <c r="C289" s="190"/>
      <c r="D289" s="190"/>
      <c r="E289" s="190"/>
      <c r="F289" s="190"/>
      <c r="G289" s="19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/>
      <c r="C290" s="190"/>
      <c r="D290" s="190"/>
      <c r="E290" s="190"/>
      <c r="F290" s="190"/>
      <c r="G290" s="191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/>
      <c r="C291" s="190"/>
      <c r="D291" s="190"/>
      <c r="E291" s="190"/>
      <c r="F291" s="190"/>
      <c r="G291" s="191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/>
      <c r="C292" s="190"/>
      <c r="D292" s="190"/>
      <c r="E292" s="190"/>
      <c r="F292" s="190"/>
      <c r="G292" s="191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/>
      <c r="C293" s="190"/>
      <c r="D293" s="190"/>
      <c r="E293" s="190"/>
      <c r="F293" s="190"/>
      <c r="G293" s="191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/>
      <c r="C294" s="190"/>
      <c r="D294" s="190"/>
      <c r="E294" s="190"/>
      <c r="F294" s="190"/>
      <c r="G294" s="191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/>
      <c r="C295" s="190"/>
      <c r="D295" s="190"/>
      <c r="E295" s="190"/>
      <c r="F295" s="190"/>
      <c r="G295" s="191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/>
      <c r="C296" s="190"/>
      <c r="D296" s="190"/>
      <c r="E296" s="190"/>
      <c r="F296" s="190"/>
      <c r="G296" s="19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/>
      <c r="C297" s="190"/>
      <c r="D297" s="190"/>
      <c r="E297" s="190"/>
      <c r="F297" s="190"/>
      <c r="G297" s="191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/>
      <c r="C298" s="190"/>
      <c r="D298" s="190"/>
      <c r="E298" s="190"/>
      <c r="F298" s="190"/>
      <c r="G298" s="191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/>
      <c r="C299" s="190"/>
      <c r="D299" s="190"/>
      <c r="E299" s="190"/>
      <c r="F299" s="190"/>
      <c r="G299" s="191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/>
      <c r="C300" s="190"/>
      <c r="D300" s="190"/>
      <c r="E300" s="190"/>
      <c r="F300" s="190"/>
      <c r="G300" s="191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/>
      <c r="C301" s="190"/>
      <c r="D301" s="190"/>
      <c r="E301" s="190"/>
      <c r="F301" s="190"/>
      <c r="G301" s="191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/>
      <c r="C302" s="190"/>
      <c r="D302" s="190"/>
      <c r="E302" s="190"/>
      <c r="F302" s="190"/>
      <c r="G302" s="191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/>
      <c r="C303" s="190"/>
      <c r="D303" s="190"/>
      <c r="E303" s="190"/>
      <c r="F303" s="190"/>
      <c r="G303" s="191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/>
      <c r="C304" s="190"/>
      <c r="D304" s="190"/>
      <c r="E304" s="190"/>
      <c r="F304" s="190"/>
      <c r="G304" s="19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/>
      <c r="C305" s="190"/>
      <c r="D305" s="190"/>
      <c r="E305" s="190"/>
      <c r="F305" s="190"/>
      <c r="G305" s="191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/>
      <c r="C306" s="190"/>
      <c r="D306" s="190"/>
      <c r="E306" s="190"/>
      <c r="F306" s="190"/>
      <c r="G306" s="191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/>
      <c r="C307" s="190"/>
      <c r="D307" s="190"/>
      <c r="E307" s="190"/>
      <c r="F307" s="190"/>
      <c r="G307" s="191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/>
      <c r="C308" s="190"/>
      <c r="D308" s="190"/>
      <c r="E308" s="190"/>
      <c r="F308" s="190"/>
      <c r="G308" s="191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/>
      <c r="C309" s="190"/>
      <c r="D309" s="190"/>
      <c r="E309" s="190"/>
      <c r="F309" s="190"/>
      <c r="G309" s="191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/>
      <c r="C310" s="190"/>
      <c r="D310" s="190"/>
      <c r="E310" s="190"/>
      <c r="F310" s="190"/>
      <c r="G310" s="191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/>
      <c r="C311" s="190"/>
      <c r="D311" s="190"/>
      <c r="E311" s="190"/>
      <c r="F311" s="190"/>
      <c r="G311" s="191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/>
      <c r="C312" s="190"/>
      <c r="D312" s="190"/>
      <c r="E312" s="190"/>
      <c r="F312" s="190"/>
      <c r="G312" s="191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/>
      <c r="C313" s="190"/>
      <c r="D313" s="190"/>
      <c r="E313" s="190"/>
      <c r="F313" s="190"/>
      <c r="G313" s="191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/>
      <c r="C314" s="190"/>
      <c r="D314" s="190"/>
      <c r="E314" s="190"/>
      <c r="F314" s="190"/>
      <c r="G314" s="191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/>
      <c r="C315" s="190"/>
      <c r="D315" s="190"/>
      <c r="E315" s="190"/>
      <c r="F315" s="190"/>
      <c r="G315" s="191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/>
      <c r="C316" s="190"/>
      <c r="D316" s="190"/>
      <c r="E316" s="190"/>
      <c r="F316" s="190"/>
      <c r="G316" s="191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/>
      <c r="C317" s="190"/>
      <c r="D317" s="190"/>
      <c r="E317" s="190"/>
      <c r="F317" s="190"/>
      <c r="G317" s="191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/>
      <c r="C318" s="190"/>
      <c r="D318" s="190"/>
      <c r="E318" s="190"/>
      <c r="F318" s="190"/>
      <c r="G318" s="191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/>
      <c r="C319" s="190"/>
      <c r="D319" s="190"/>
      <c r="E319" s="190"/>
      <c r="F319" s="190"/>
      <c r="G319" s="191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/>
      <c r="C320" s="190"/>
      <c r="D320" s="190"/>
      <c r="E320" s="190"/>
      <c r="F320" s="190"/>
      <c r="G320" s="191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/>
      <c r="C321" s="190"/>
      <c r="D321" s="190"/>
      <c r="E321" s="190"/>
      <c r="F321" s="190"/>
      <c r="G321" s="191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/>
      <c r="C322" s="190"/>
      <c r="D322" s="190"/>
      <c r="E322" s="190"/>
      <c r="F322" s="190"/>
      <c r="G322" s="191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/>
      <c r="C323" s="190"/>
      <c r="D323" s="190"/>
      <c r="E323" s="190"/>
      <c r="F323" s="190"/>
      <c r="G323" s="191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/>
      <c r="C324" s="190"/>
      <c r="D324" s="190"/>
      <c r="E324" s="190"/>
      <c r="F324" s="190"/>
      <c r="G324" s="191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/>
      <c r="C325" s="190"/>
      <c r="D325" s="190"/>
      <c r="E325" s="190"/>
      <c r="F325" s="190"/>
      <c r="G325" s="191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/>
      <c r="C326" s="190"/>
      <c r="D326" s="190"/>
      <c r="E326" s="190"/>
      <c r="F326" s="190"/>
      <c r="G326" s="191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/>
      <c r="C327" s="190"/>
      <c r="D327" s="190"/>
      <c r="E327" s="190"/>
      <c r="F327" s="190"/>
      <c r="G327" s="191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/>
      <c r="C328" s="190"/>
      <c r="D328" s="190"/>
      <c r="E328" s="190"/>
      <c r="F328" s="190"/>
      <c r="G328" s="191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/>
      <c r="C329" s="190"/>
      <c r="D329" s="190"/>
      <c r="E329" s="190"/>
      <c r="F329" s="190"/>
      <c r="G329" s="191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/>
      <c r="C330" s="190"/>
      <c r="D330" s="190"/>
      <c r="E330" s="190"/>
      <c r="F330" s="190"/>
      <c r="G330" s="191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/>
      <c r="C331" s="190"/>
      <c r="D331" s="190"/>
      <c r="E331" s="190"/>
      <c r="F331" s="190"/>
      <c r="G331" s="191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/>
      <c r="C332" s="190"/>
      <c r="D332" s="190"/>
      <c r="E332" s="190"/>
      <c r="F332" s="190"/>
      <c r="G332" s="191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/>
      <c r="C333" s="190"/>
      <c r="D333" s="190"/>
      <c r="E333" s="190"/>
      <c r="F333" s="190"/>
      <c r="G333" s="191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/>
      <c r="C334" s="190"/>
      <c r="D334" s="190"/>
      <c r="E334" s="190"/>
      <c r="F334" s="190"/>
      <c r="G334" s="191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/>
      <c r="C335" s="190"/>
      <c r="D335" s="190"/>
      <c r="E335" s="190"/>
      <c r="F335" s="190"/>
      <c r="G335" s="191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/>
      <c r="C336" s="190"/>
      <c r="D336" s="190"/>
      <c r="E336" s="190"/>
      <c r="F336" s="190"/>
      <c r="G336" s="191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/>
      <c r="C337" s="190"/>
      <c r="D337" s="190"/>
      <c r="E337" s="190"/>
      <c r="F337" s="190"/>
      <c r="G337" s="191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/>
      <c r="C338" s="190"/>
      <c r="D338" s="190"/>
      <c r="E338" s="190"/>
      <c r="F338" s="190"/>
      <c r="G338" s="191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/>
      <c r="C339" s="190"/>
      <c r="D339" s="190"/>
      <c r="E339" s="190"/>
      <c r="F339" s="190"/>
      <c r="G339" s="191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/>
      <c r="C340" s="190"/>
      <c r="D340" s="190"/>
      <c r="E340" s="190"/>
      <c r="F340" s="190"/>
      <c r="G340" s="191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/>
      <c r="C341" s="190"/>
      <c r="D341" s="190"/>
      <c r="E341" s="190"/>
      <c r="F341" s="190"/>
      <c r="G341" s="191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/>
      <c r="C342" s="190"/>
      <c r="D342" s="190"/>
      <c r="E342" s="190"/>
      <c r="F342" s="190"/>
      <c r="G342" s="191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/>
      <c r="C343" s="190"/>
      <c r="D343" s="190"/>
      <c r="E343" s="190"/>
      <c r="F343" s="190"/>
      <c r="G343" s="191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/>
      <c r="C344" s="190"/>
      <c r="D344" s="190"/>
      <c r="E344" s="190"/>
      <c r="F344" s="190"/>
      <c r="G344" s="191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/>
      <c r="C345" s="190"/>
      <c r="D345" s="190"/>
      <c r="E345" s="190"/>
      <c r="F345" s="190"/>
      <c r="G345" s="191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/>
      <c r="C346" s="190"/>
      <c r="D346" s="190"/>
      <c r="E346" s="190"/>
      <c r="F346" s="190"/>
      <c r="G346" s="191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/>
      <c r="C347" s="190"/>
      <c r="D347" s="190"/>
      <c r="E347" s="190"/>
      <c r="F347" s="190"/>
      <c r="G347" s="191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/>
      <c r="C348" s="190"/>
      <c r="D348" s="190"/>
      <c r="E348" s="190"/>
      <c r="F348" s="190"/>
      <c r="G348" s="191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/>
      <c r="C349" s="190"/>
      <c r="D349" s="190"/>
      <c r="E349" s="190"/>
      <c r="F349" s="190"/>
      <c r="G349" s="191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/>
      <c r="C350" s="190"/>
      <c r="D350" s="190"/>
      <c r="E350" s="190"/>
      <c r="F350" s="190"/>
      <c r="G350" s="191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/>
      <c r="C351" s="190"/>
      <c r="D351" s="190"/>
      <c r="E351" s="190"/>
      <c r="F351" s="190"/>
      <c r="G351" s="191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/>
      <c r="C352" s="190"/>
      <c r="D352" s="190"/>
      <c r="E352" s="190"/>
      <c r="F352" s="190"/>
      <c r="G352" s="191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/>
      <c r="C353" s="190"/>
      <c r="D353" s="190"/>
      <c r="E353" s="190"/>
      <c r="F353" s="190"/>
      <c r="G353" s="191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/>
      <c r="C354" s="190"/>
      <c r="D354" s="190"/>
      <c r="E354" s="190"/>
      <c r="F354" s="190"/>
      <c r="G354" s="191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/>
      <c r="C355" s="190"/>
      <c r="D355" s="190"/>
      <c r="E355" s="190"/>
      <c r="F355" s="190"/>
      <c r="G355" s="191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/>
      <c r="C356" s="190"/>
      <c r="D356" s="190"/>
      <c r="E356" s="190"/>
      <c r="F356" s="190"/>
      <c r="G356" s="191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/>
      <c r="C357" s="190"/>
      <c r="D357" s="190"/>
      <c r="E357" s="190"/>
      <c r="F357" s="190"/>
      <c r="G357" s="191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/>
      <c r="C358" s="190"/>
      <c r="D358" s="190"/>
      <c r="E358" s="190"/>
      <c r="F358" s="190"/>
      <c r="G358" s="191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/>
      <c r="C359" s="190"/>
      <c r="D359" s="190"/>
      <c r="E359" s="190"/>
      <c r="F359" s="190"/>
      <c r="G359" s="191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/>
      <c r="C360" s="190"/>
      <c r="D360" s="190"/>
      <c r="E360" s="190"/>
      <c r="F360" s="190"/>
      <c r="G360" s="191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/>
      <c r="C361" s="190"/>
      <c r="D361" s="190"/>
      <c r="E361" s="190"/>
      <c r="F361" s="190"/>
      <c r="G361" s="191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/>
      <c r="C362" s="190"/>
      <c r="D362" s="190"/>
      <c r="E362" s="190"/>
      <c r="F362" s="190"/>
      <c r="G362" s="191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/>
      <c r="C363" s="190"/>
      <c r="D363" s="190"/>
      <c r="E363" s="190"/>
      <c r="F363" s="190"/>
      <c r="G363" s="191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/>
      <c r="C364" s="190"/>
      <c r="D364" s="190"/>
      <c r="E364" s="190"/>
      <c r="F364" s="190"/>
      <c r="G364" s="191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/>
      <c r="C365" s="190"/>
      <c r="D365" s="190"/>
      <c r="E365" s="190"/>
      <c r="F365" s="190"/>
      <c r="G365" s="191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/>
      <c r="C366" s="190"/>
      <c r="D366" s="190"/>
      <c r="E366" s="190"/>
      <c r="F366" s="190"/>
      <c r="G366" s="191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/>
      <c r="C367" s="190"/>
      <c r="D367" s="190"/>
      <c r="E367" s="190"/>
      <c r="F367" s="190"/>
      <c r="G367" s="191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/>
      <c r="C368" s="190"/>
      <c r="D368" s="190"/>
      <c r="E368" s="190"/>
      <c r="F368" s="190"/>
      <c r="G368" s="191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/>
      <c r="C369" s="190"/>
      <c r="D369" s="190"/>
      <c r="E369" s="190"/>
      <c r="F369" s="190"/>
      <c r="G369" s="191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/>
      <c r="C370" s="190"/>
      <c r="D370" s="190"/>
      <c r="E370" s="190"/>
      <c r="F370" s="190"/>
      <c r="G370" s="191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/>
      <c r="C371" s="190"/>
      <c r="D371" s="190"/>
      <c r="E371" s="190"/>
      <c r="F371" s="190"/>
      <c r="G371" s="191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/>
      <c r="C372" s="190"/>
      <c r="D372" s="190"/>
      <c r="E372" s="190"/>
      <c r="F372" s="190"/>
      <c r="G372" s="191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/>
      <c r="C373" s="190"/>
      <c r="D373" s="190"/>
      <c r="E373" s="190"/>
      <c r="F373" s="190"/>
      <c r="G373" s="191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/>
      <c r="C374" s="190"/>
      <c r="D374" s="190"/>
      <c r="E374" s="190"/>
      <c r="F374" s="190"/>
      <c r="G374" s="191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/>
      <c r="C375" s="190"/>
      <c r="D375" s="190"/>
      <c r="E375" s="190"/>
      <c r="F375" s="190"/>
      <c r="G375" s="191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/>
      <c r="C376" s="190"/>
      <c r="D376" s="190"/>
      <c r="E376" s="190"/>
      <c r="F376" s="190"/>
      <c r="G376" s="191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/>
      <c r="C377" s="190"/>
      <c r="D377" s="190"/>
      <c r="E377" s="190"/>
      <c r="F377" s="190"/>
      <c r="G377" s="191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/>
      <c r="C378" s="190"/>
      <c r="D378" s="190"/>
      <c r="E378" s="190"/>
      <c r="F378" s="190"/>
      <c r="G378" s="19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/>
      <c r="C379" s="190"/>
      <c r="D379" s="190"/>
      <c r="E379" s="190"/>
      <c r="F379" s="190"/>
      <c r="G379" s="191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/>
      <c r="C380" s="190"/>
      <c r="D380" s="190"/>
      <c r="E380" s="190"/>
      <c r="F380" s="190"/>
      <c r="G380" s="191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/>
      <c r="C381" s="190"/>
      <c r="D381" s="190"/>
      <c r="E381" s="190"/>
      <c r="F381" s="190"/>
      <c r="G381" s="191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/>
      <c r="C382" s="190"/>
      <c r="D382" s="190"/>
      <c r="E382" s="190"/>
      <c r="F382" s="190"/>
      <c r="G382" s="191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/>
      <c r="C383" s="190"/>
      <c r="D383" s="190"/>
      <c r="E383" s="190"/>
      <c r="F383" s="190"/>
      <c r="G383" s="191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/>
      <c r="C384" s="190"/>
      <c r="D384" s="190"/>
      <c r="E384" s="190"/>
      <c r="F384" s="190"/>
      <c r="G384" s="191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/>
      <c r="C385" s="190"/>
      <c r="D385" s="190"/>
      <c r="E385" s="190"/>
      <c r="F385" s="190"/>
      <c r="G385" s="191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/>
      <c r="C386" s="190"/>
      <c r="D386" s="190"/>
      <c r="E386" s="190"/>
      <c r="F386" s="190"/>
      <c r="G386" s="191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/>
      <c r="C387" s="190"/>
      <c r="D387" s="190"/>
      <c r="E387" s="190"/>
      <c r="F387" s="190"/>
      <c r="G387" s="191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/>
      <c r="C388" s="190"/>
      <c r="D388" s="190"/>
      <c r="E388" s="190"/>
      <c r="F388" s="190"/>
      <c r="G388" s="191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/>
      <c r="C389" s="190"/>
      <c r="D389" s="190"/>
      <c r="E389" s="190"/>
      <c r="F389" s="190"/>
      <c r="G389" s="191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/>
      <c r="C390" s="190"/>
      <c r="D390" s="190"/>
      <c r="E390" s="190"/>
      <c r="F390" s="190"/>
      <c r="G390" s="191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/>
      <c r="C391" s="190"/>
      <c r="D391" s="190"/>
      <c r="E391" s="190"/>
      <c r="F391" s="190"/>
      <c r="G391" s="191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/>
      <c r="C392" s="190"/>
      <c r="D392" s="190"/>
      <c r="E392" s="190"/>
      <c r="F392" s="190"/>
      <c r="G392" s="191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/>
      <c r="C393" s="190"/>
      <c r="D393" s="190"/>
      <c r="E393" s="190"/>
      <c r="F393" s="190"/>
      <c r="G393" s="191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/>
      <c r="C394" s="190"/>
      <c r="D394" s="190"/>
      <c r="E394" s="190"/>
      <c r="F394" s="190"/>
      <c r="G394" s="191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/>
      <c r="C395" s="190"/>
      <c r="D395" s="190"/>
      <c r="E395" s="190"/>
      <c r="F395" s="190"/>
      <c r="G395" s="191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/>
      <c r="C396" s="190"/>
      <c r="D396" s="190"/>
      <c r="E396" s="190"/>
      <c r="F396" s="190"/>
      <c r="G396" s="191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/>
      <c r="C397" s="190"/>
      <c r="D397" s="190"/>
      <c r="E397" s="190"/>
      <c r="F397" s="190"/>
      <c r="G397" s="191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/>
      <c r="C398" s="190"/>
      <c r="D398" s="190"/>
      <c r="E398" s="190"/>
      <c r="F398" s="190"/>
      <c r="G398" s="191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/>
      <c r="C399" s="190"/>
      <c r="D399" s="190"/>
      <c r="E399" s="190"/>
      <c r="F399" s="190"/>
      <c r="G399" s="191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/>
      <c r="C400" s="190"/>
      <c r="D400" s="190"/>
      <c r="E400" s="190"/>
      <c r="F400" s="190"/>
      <c r="G400" s="191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/>
      <c r="C401" s="190"/>
      <c r="D401" s="190"/>
      <c r="E401" s="190"/>
      <c r="F401" s="190"/>
      <c r="G401" s="191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/>
      <c r="C402" s="190"/>
      <c r="D402" s="190"/>
      <c r="E402" s="190"/>
      <c r="F402" s="190"/>
      <c r="G402" s="191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/>
      <c r="C403" s="190"/>
      <c r="D403" s="190"/>
      <c r="E403" s="190"/>
      <c r="F403" s="190"/>
      <c r="G403" s="191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/>
      <c r="C404" s="190"/>
      <c r="D404" s="190"/>
      <c r="E404" s="190"/>
      <c r="F404" s="190"/>
      <c r="G404" s="191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/>
      <c r="C405" s="190"/>
      <c r="D405" s="190"/>
      <c r="E405" s="190"/>
      <c r="F405" s="190"/>
      <c r="G405" s="191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/>
      <c r="C406" s="190"/>
      <c r="D406" s="190"/>
      <c r="E406" s="190"/>
      <c r="F406" s="190"/>
      <c r="G406" s="191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/>
      <c r="C407" s="190"/>
      <c r="D407" s="190"/>
      <c r="E407" s="190"/>
      <c r="F407" s="190"/>
      <c r="G407" s="191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/>
      <c r="C408" s="190"/>
      <c r="D408" s="190"/>
      <c r="E408" s="190"/>
      <c r="F408" s="190"/>
      <c r="G408" s="191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/>
      <c r="C409" s="190"/>
      <c r="D409" s="190"/>
      <c r="E409" s="190"/>
      <c r="F409" s="190"/>
      <c r="G409" s="191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/>
      <c r="C410" s="190"/>
      <c r="D410" s="190"/>
      <c r="E410" s="190"/>
      <c r="F410" s="190"/>
      <c r="G410" s="191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/>
      <c r="C411" s="190"/>
      <c r="D411" s="190"/>
      <c r="E411" s="190"/>
      <c r="F411" s="190"/>
      <c r="G411" s="191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/>
      <c r="C412" s="190"/>
      <c r="D412" s="190"/>
      <c r="E412" s="190"/>
      <c r="F412" s="190"/>
      <c r="G412" s="191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/>
      <c r="C413" s="190"/>
      <c r="D413" s="190"/>
      <c r="E413" s="190"/>
      <c r="F413" s="190"/>
      <c r="G413" s="191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/>
      <c r="C414" s="190"/>
      <c r="D414" s="190"/>
      <c r="E414" s="190"/>
      <c r="F414" s="190"/>
      <c r="G414" s="191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/>
      <c r="C415" s="190"/>
      <c r="D415" s="190"/>
      <c r="E415" s="190"/>
      <c r="F415" s="190"/>
      <c r="G415" s="191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/>
      <c r="C416" s="190"/>
      <c r="D416" s="190"/>
      <c r="E416" s="190"/>
      <c r="F416" s="190"/>
      <c r="G416" s="191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/>
      <c r="C417" s="190"/>
      <c r="D417" s="190"/>
      <c r="E417" s="190"/>
      <c r="F417" s="190"/>
      <c r="G417" s="191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/>
      <c r="C418" s="190"/>
      <c r="D418" s="190"/>
      <c r="E418" s="190"/>
      <c r="F418" s="190"/>
      <c r="G418" s="191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/>
      <c r="C419" s="190"/>
      <c r="D419" s="190"/>
      <c r="E419" s="190"/>
      <c r="F419" s="190"/>
      <c r="G419" s="191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/>
      <c r="C420" s="190"/>
      <c r="D420" s="190"/>
      <c r="E420" s="190"/>
      <c r="F420" s="190"/>
      <c r="G420" s="191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/>
      <c r="C421" s="190"/>
      <c r="D421" s="190"/>
      <c r="E421" s="190"/>
      <c r="F421" s="190"/>
      <c r="G421" s="191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/>
      <c r="C422" s="190"/>
      <c r="D422" s="190"/>
      <c r="E422" s="190"/>
      <c r="F422" s="190"/>
      <c r="G422" s="191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/>
      <c r="C423" s="190"/>
      <c r="D423" s="190"/>
      <c r="E423" s="190"/>
      <c r="F423" s="190"/>
      <c r="G423" s="191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/>
      <c r="C424" s="190"/>
      <c r="D424" s="190"/>
      <c r="E424" s="190"/>
      <c r="F424" s="190"/>
      <c r="G424" s="191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/>
      <c r="C425" s="190"/>
      <c r="D425" s="190"/>
      <c r="E425" s="190"/>
      <c r="F425" s="190"/>
      <c r="G425" s="191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/>
      <c r="C426" s="190"/>
      <c r="D426" s="190"/>
      <c r="E426" s="190"/>
      <c r="F426" s="190"/>
      <c r="G426" s="191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/>
      <c r="C427" s="190"/>
      <c r="D427" s="190"/>
      <c r="E427" s="190"/>
      <c r="F427" s="190"/>
      <c r="G427" s="191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/>
      <c r="C428" s="190"/>
      <c r="D428" s="190"/>
      <c r="E428" s="190"/>
      <c r="F428" s="190"/>
      <c r="G428" s="191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/>
      <c r="C429" s="190"/>
      <c r="D429" s="190"/>
      <c r="E429" s="190"/>
      <c r="F429" s="190"/>
      <c r="G429" s="191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/>
      <c r="C430" s="190"/>
      <c r="D430" s="190"/>
      <c r="E430" s="190"/>
      <c r="F430" s="190"/>
      <c r="G430" s="191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/>
      <c r="C431" s="190"/>
      <c r="D431" s="190"/>
      <c r="E431" s="190"/>
      <c r="F431" s="190"/>
      <c r="G431" s="191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/>
      <c r="C432" s="190"/>
      <c r="D432" s="190"/>
      <c r="E432" s="190"/>
      <c r="F432" s="190"/>
      <c r="G432" s="191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/>
      <c r="C433" s="190"/>
      <c r="D433" s="190"/>
      <c r="E433" s="190"/>
      <c r="F433" s="190"/>
      <c r="G433" s="191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/>
      <c r="C434" s="190"/>
      <c r="D434" s="190"/>
      <c r="E434" s="190"/>
      <c r="F434" s="190"/>
      <c r="G434" s="191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/>
      <c r="C435" s="190"/>
      <c r="D435" s="190"/>
      <c r="E435" s="190"/>
      <c r="F435" s="190"/>
      <c r="G435" s="191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/>
      <c r="C436" s="190"/>
      <c r="D436" s="190"/>
      <c r="E436" s="190"/>
      <c r="F436" s="190"/>
      <c r="G436" s="191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/>
      <c r="C437" s="190"/>
      <c r="D437" s="190"/>
      <c r="E437" s="190"/>
      <c r="F437" s="190"/>
      <c r="G437" s="191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/>
      <c r="C438" s="190"/>
      <c r="D438" s="190"/>
      <c r="E438" s="190"/>
      <c r="F438" s="190"/>
      <c r="G438" s="191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/>
      <c r="C439" s="190"/>
      <c r="D439" s="190"/>
      <c r="E439" s="190"/>
      <c r="F439" s="190"/>
      <c r="G439" s="191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/>
      <c r="C440" s="190"/>
      <c r="D440" s="190"/>
      <c r="E440" s="190"/>
      <c r="F440" s="190"/>
      <c r="G440" s="191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/>
      <c r="C441" s="190"/>
      <c r="D441" s="190"/>
      <c r="E441" s="190"/>
      <c r="F441" s="190"/>
      <c r="G441" s="191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/>
      <c r="C442" s="190"/>
      <c r="D442" s="190"/>
      <c r="E442" s="190"/>
      <c r="F442" s="190"/>
      <c r="G442" s="191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/>
      <c r="C443" s="190"/>
      <c r="D443" s="190"/>
      <c r="E443" s="190"/>
      <c r="F443" s="190"/>
      <c r="G443" s="191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/>
      <c r="C444" s="190"/>
      <c r="D444" s="190"/>
      <c r="E444" s="190"/>
      <c r="F444" s="190"/>
      <c r="G444" s="191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/>
      <c r="C445" s="190"/>
      <c r="D445" s="190"/>
      <c r="E445" s="190"/>
      <c r="F445" s="190"/>
      <c r="G445" s="191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/>
      <c r="C446" s="190"/>
      <c r="D446" s="190"/>
      <c r="E446" s="190"/>
      <c r="F446" s="190"/>
      <c r="G446" s="191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/>
      <c r="C447" s="190"/>
      <c r="D447" s="190"/>
      <c r="E447" s="190"/>
      <c r="F447" s="190"/>
      <c r="G447" s="191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/>
      <c r="C448" s="190"/>
      <c r="D448" s="190"/>
      <c r="E448" s="190"/>
      <c r="F448" s="190"/>
      <c r="G448" s="191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/>
      <c r="C449" s="190"/>
      <c r="D449" s="190"/>
      <c r="E449" s="190"/>
      <c r="F449" s="190"/>
      <c r="G449" s="191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/>
      <c r="C450" s="190"/>
      <c r="D450" s="190"/>
      <c r="E450" s="190"/>
      <c r="F450" s="190"/>
      <c r="G450" s="191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/>
      <c r="C451" s="190"/>
      <c r="D451" s="190"/>
      <c r="E451" s="190"/>
      <c r="F451" s="190"/>
      <c r="G451" s="191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/>
      <c r="C452" s="190"/>
      <c r="D452" s="190"/>
      <c r="E452" s="190"/>
      <c r="F452" s="190"/>
      <c r="G452" s="191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/>
      <c r="C453" s="190"/>
      <c r="D453" s="190"/>
      <c r="E453" s="190"/>
      <c r="F453" s="190"/>
      <c r="G453" s="191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/>
      <c r="C454" s="190"/>
      <c r="D454" s="190"/>
      <c r="E454" s="190"/>
      <c r="F454" s="190"/>
      <c r="G454" s="191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/>
      <c r="C455" s="190"/>
      <c r="D455" s="190"/>
      <c r="E455" s="190"/>
      <c r="F455" s="190"/>
      <c r="G455" s="191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/>
      <c r="C456" s="190"/>
      <c r="D456" s="190"/>
      <c r="E456" s="190"/>
      <c r="F456" s="190"/>
      <c r="G456" s="191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/>
      <c r="C457" s="190"/>
      <c r="D457" s="190"/>
      <c r="E457" s="190"/>
      <c r="F457" s="190"/>
      <c r="G457" s="191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/>
      <c r="C458" s="190"/>
      <c r="D458" s="190"/>
      <c r="E458" s="190"/>
      <c r="F458" s="190"/>
      <c r="G458" s="191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/>
      <c r="C459" s="190"/>
      <c r="D459" s="190"/>
      <c r="E459" s="190"/>
      <c r="F459" s="190"/>
      <c r="G459" s="191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/>
      <c r="C460" s="190"/>
      <c r="D460" s="190"/>
      <c r="E460" s="190"/>
      <c r="F460" s="190"/>
      <c r="G460" s="191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/>
      <c r="C461" s="190"/>
      <c r="D461" s="190"/>
      <c r="E461" s="190"/>
      <c r="F461" s="190"/>
      <c r="G461" s="191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/>
      <c r="C462" s="190"/>
      <c r="D462" s="190"/>
      <c r="E462" s="190"/>
      <c r="F462" s="190"/>
      <c r="G462" s="191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/>
      <c r="C463" s="190"/>
      <c r="D463" s="190"/>
      <c r="E463" s="190"/>
      <c r="F463" s="190"/>
      <c r="G463" s="191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/>
      <c r="C464" s="190"/>
      <c r="D464" s="190"/>
      <c r="E464" s="190"/>
      <c r="F464" s="190"/>
      <c r="G464" s="191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/>
      <c r="C465" s="190"/>
      <c r="D465" s="190"/>
      <c r="E465" s="190"/>
      <c r="F465" s="190"/>
      <c r="G465" s="191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/>
      <c r="C466" s="190"/>
      <c r="D466" s="190"/>
      <c r="E466" s="190"/>
      <c r="F466" s="190"/>
      <c r="G466" s="191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/>
      <c r="C467" s="190"/>
      <c r="D467" s="190"/>
      <c r="E467" s="190"/>
      <c r="F467" s="190"/>
      <c r="G467" s="191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/>
      <c r="C468" s="190"/>
      <c r="D468" s="190"/>
      <c r="E468" s="190"/>
      <c r="F468" s="190"/>
      <c r="G468" s="191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/>
      <c r="C469" s="190"/>
      <c r="D469" s="190"/>
      <c r="E469" s="190"/>
      <c r="F469" s="190"/>
      <c r="G469" s="191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/>
      <c r="C470" s="190"/>
      <c r="D470" s="190"/>
      <c r="E470" s="190"/>
      <c r="F470" s="190"/>
      <c r="G470" s="191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/>
      <c r="C471" s="190"/>
      <c r="D471" s="190"/>
      <c r="E471" s="190"/>
      <c r="F471" s="190"/>
      <c r="G471" s="191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/>
      <c r="C472" s="190"/>
      <c r="D472" s="190"/>
      <c r="E472" s="190"/>
      <c r="F472" s="190"/>
      <c r="G472" s="191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/>
      <c r="C473" s="190"/>
      <c r="D473" s="190"/>
      <c r="E473" s="190"/>
      <c r="F473" s="190"/>
      <c r="G473" s="191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/>
      <c r="C474" s="190"/>
      <c r="D474" s="190"/>
      <c r="E474" s="190"/>
      <c r="F474" s="190"/>
      <c r="G474" s="191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/>
      <c r="C475" s="190"/>
      <c r="D475" s="190"/>
      <c r="E475" s="190"/>
      <c r="F475" s="190"/>
      <c r="G475" s="191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/>
      <c r="C476" s="190"/>
      <c r="D476" s="190"/>
      <c r="E476" s="190"/>
      <c r="F476" s="190"/>
      <c r="G476" s="191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/>
      <c r="C477" s="190"/>
      <c r="D477" s="190"/>
      <c r="E477" s="190"/>
      <c r="F477" s="190"/>
      <c r="G477" s="191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/>
      <c r="C478" s="190"/>
      <c r="D478" s="190"/>
      <c r="E478" s="190"/>
      <c r="F478" s="190"/>
      <c r="G478" s="191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/>
      <c r="C479" s="190"/>
      <c r="D479" s="190"/>
      <c r="E479" s="190"/>
      <c r="F479" s="190"/>
      <c r="G479" s="191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/>
      <c r="C480" s="190"/>
      <c r="D480" s="190"/>
      <c r="E480" s="190"/>
      <c r="F480" s="190"/>
      <c r="G480" s="191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/>
      <c r="C481" s="190"/>
      <c r="D481" s="190"/>
      <c r="E481" s="190"/>
      <c r="F481" s="190"/>
      <c r="G481" s="191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/>
      <c r="C482" s="190"/>
      <c r="D482" s="190"/>
      <c r="E482" s="190"/>
      <c r="F482" s="190"/>
      <c r="G482" s="191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/>
      <c r="C483" s="190"/>
      <c r="D483" s="190"/>
      <c r="E483" s="190"/>
      <c r="F483" s="190"/>
      <c r="G483" s="191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/>
      <c r="C484" s="190"/>
      <c r="D484" s="190"/>
      <c r="E484" s="190"/>
      <c r="F484" s="190"/>
      <c r="G484" s="191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/>
      <c r="C485" s="190"/>
      <c r="D485" s="190"/>
      <c r="E485" s="190"/>
      <c r="F485" s="190"/>
      <c r="G485" s="191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/>
      <c r="C486" s="190"/>
      <c r="D486" s="190"/>
      <c r="E486" s="190"/>
      <c r="F486" s="190"/>
      <c r="G486" s="191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/>
      <c r="C487" s="190"/>
      <c r="D487" s="190"/>
      <c r="E487" s="190"/>
      <c r="F487" s="190"/>
      <c r="G487" s="191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/>
      <c r="C488" s="190"/>
      <c r="D488" s="190"/>
      <c r="E488" s="190"/>
      <c r="F488" s="190"/>
      <c r="G488" s="191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/>
      <c r="C489" s="190"/>
      <c r="D489" s="190"/>
      <c r="E489" s="190"/>
      <c r="F489" s="190"/>
      <c r="G489" s="191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/>
      <c r="C490" s="190"/>
      <c r="D490" s="190"/>
      <c r="E490" s="190"/>
      <c r="F490" s="190"/>
      <c r="G490" s="191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/>
      <c r="C491" s="190"/>
      <c r="D491" s="190"/>
      <c r="E491" s="190"/>
      <c r="F491" s="190"/>
      <c r="G491" s="191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/>
      <c r="C492" s="190"/>
      <c r="D492" s="190"/>
      <c r="E492" s="190"/>
      <c r="F492" s="190"/>
      <c r="G492" s="191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/>
      <c r="C493" s="190"/>
      <c r="D493" s="190"/>
      <c r="E493" s="190"/>
      <c r="F493" s="190"/>
      <c r="G493" s="191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/>
      <c r="C494" s="190"/>
      <c r="D494" s="190"/>
      <c r="E494" s="190"/>
      <c r="F494" s="190"/>
      <c r="G494" s="191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/>
      <c r="C495" s="190"/>
      <c r="D495" s="190"/>
      <c r="E495" s="190"/>
      <c r="F495" s="190"/>
      <c r="G495" s="191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/>
      <c r="C496" s="190"/>
      <c r="D496" s="190"/>
      <c r="E496" s="190"/>
      <c r="F496" s="190"/>
      <c r="G496" s="191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/>
      <c r="C497" s="190"/>
      <c r="D497" s="190"/>
      <c r="E497" s="190"/>
      <c r="F497" s="190"/>
      <c r="G497" s="191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/>
      <c r="C498" s="190"/>
      <c r="D498" s="190"/>
      <c r="E498" s="190"/>
      <c r="F498" s="190"/>
      <c r="G498" s="191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/>
      <c r="C499" s="190"/>
      <c r="D499" s="190"/>
      <c r="E499" s="190"/>
      <c r="F499" s="190"/>
      <c r="G499" s="191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/>
      <c r="C500" s="190"/>
      <c r="D500" s="190"/>
      <c r="E500" s="190"/>
      <c r="F500" s="190"/>
      <c r="G500" s="191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/>
      <c r="C501" s="190"/>
      <c r="D501" s="190"/>
      <c r="E501" s="190"/>
      <c r="F501" s="190"/>
      <c r="G501" s="191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/>
      <c r="C502" s="190"/>
      <c r="D502" s="190"/>
      <c r="E502" s="190"/>
      <c r="F502" s="190"/>
      <c r="G502" s="191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/>
      <c r="C503" s="190"/>
      <c r="D503" s="190"/>
      <c r="E503" s="190"/>
      <c r="F503" s="190"/>
      <c r="G503" s="191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/>
      <c r="C504" s="190"/>
      <c r="D504" s="190"/>
      <c r="E504" s="190"/>
      <c r="F504" s="190"/>
      <c r="G504" s="191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/>
      <c r="C505" s="190"/>
      <c r="D505" s="190"/>
      <c r="E505" s="190"/>
      <c r="F505" s="190"/>
      <c r="G505" s="191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/>
      <c r="C506" s="190"/>
      <c r="D506" s="190"/>
      <c r="E506" s="190"/>
      <c r="F506" s="190"/>
      <c r="G506" s="191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/>
      <c r="C507" s="190"/>
      <c r="D507" s="190"/>
      <c r="E507" s="190"/>
      <c r="F507" s="190"/>
      <c r="G507" s="191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/>
      <c r="C508" s="190"/>
      <c r="D508" s="190"/>
      <c r="E508" s="190"/>
      <c r="F508" s="190"/>
      <c r="G508" s="191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/>
      <c r="C509" s="190"/>
      <c r="D509" s="190"/>
      <c r="E509" s="190"/>
      <c r="F509" s="190"/>
      <c r="G509" s="191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/>
      <c r="C510" s="190"/>
      <c r="D510" s="190"/>
      <c r="E510" s="190"/>
      <c r="F510" s="190"/>
      <c r="G510" s="191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/>
      <c r="C511" s="190"/>
      <c r="D511" s="190"/>
      <c r="E511" s="190"/>
      <c r="F511" s="190"/>
      <c r="G511" s="191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/>
      <c r="C512" s="190"/>
      <c r="D512" s="190"/>
      <c r="E512" s="190"/>
      <c r="F512" s="190"/>
      <c r="G512" s="191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/>
      <c r="C513" s="190"/>
      <c r="D513" s="190"/>
      <c r="E513" s="190"/>
      <c r="F513" s="190"/>
      <c r="G513" s="191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/>
      <c r="C514" s="190"/>
      <c r="D514" s="190"/>
      <c r="E514" s="190"/>
      <c r="F514" s="190"/>
      <c r="G514" s="191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/>
      <c r="C515" s="190"/>
      <c r="D515" s="190"/>
      <c r="E515" s="190"/>
      <c r="F515" s="190"/>
      <c r="G515" s="191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/>
      <c r="C516" s="190"/>
      <c r="D516" s="190"/>
      <c r="E516" s="190"/>
      <c r="F516" s="190"/>
      <c r="G516" s="191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/>
      <c r="C517" s="190"/>
      <c r="D517" s="190"/>
      <c r="E517" s="190"/>
      <c r="F517" s="190"/>
      <c r="G517" s="191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/>
      <c r="C518" s="190"/>
      <c r="D518" s="190"/>
      <c r="E518" s="190"/>
      <c r="F518" s="190"/>
      <c r="G518" s="191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/>
      <c r="C519" s="190"/>
      <c r="D519" s="190"/>
      <c r="E519" s="190"/>
      <c r="F519" s="190"/>
      <c r="G519" s="191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/>
      <c r="C520" s="190"/>
      <c r="D520" s="190"/>
      <c r="E520" s="190"/>
      <c r="F520" s="190"/>
      <c r="G520" s="191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/>
      <c r="C521" s="190"/>
      <c r="D521" s="190"/>
      <c r="E521" s="190"/>
      <c r="F521" s="190"/>
      <c r="G521" s="191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/>
      <c r="C522" s="190"/>
      <c r="D522" s="190"/>
      <c r="E522" s="190"/>
      <c r="F522" s="190"/>
      <c r="G522" s="191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/>
      <c r="C523" s="190"/>
      <c r="D523" s="190"/>
      <c r="E523" s="190"/>
      <c r="F523" s="190"/>
      <c r="G523" s="191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/>
      <c r="C524" s="190"/>
      <c r="D524" s="190"/>
      <c r="E524" s="190"/>
      <c r="F524" s="190"/>
      <c r="G524" s="191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/>
      <c r="C525" s="190"/>
      <c r="D525" s="190"/>
      <c r="E525" s="190"/>
      <c r="F525" s="190"/>
      <c r="G525" s="191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/>
      <c r="C526" s="190"/>
      <c r="D526" s="190"/>
      <c r="E526" s="190"/>
      <c r="F526" s="190"/>
      <c r="G526" s="191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/>
      <c r="C527" s="190"/>
      <c r="D527" s="190"/>
      <c r="E527" s="190"/>
      <c r="F527" s="190"/>
      <c r="G527" s="191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/>
      <c r="C528" s="190"/>
      <c r="D528" s="190"/>
      <c r="E528" s="190"/>
      <c r="F528" s="190"/>
      <c r="G528" s="191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/>
      <c r="C529" s="190"/>
      <c r="D529" s="190"/>
      <c r="E529" s="190"/>
      <c r="F529" s="190"/>
      <c r="G529" s="191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/>
      <c r="C530" s="190"/>
      <c r="D530" s="190"/>
      <c r="E530" s="190"/>
      <c r="F530" s="190"/>
      <c r="G530" s="191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/>
      <c r="C531" s="190"/>
      <c r="D531" s="190"/>
      <c r="E531" s="190"/>
      <c r="F531" s="190"/>
      <c r="G531" s="191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/>
      <c r="C532" s="190"/>
      <c r="D532" s="190"/>
      <c r="E532" s="190"/>
      <c r="F532" s="190"/>
      <c r="G532" s="191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/>
      <c r="C533" s="190"/>
      <c r="D533" s="190"/>
      <c r="E533" s="190"/>
      <c r="F533" s="190"/>
      <c r="G533" s="191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/>
      <c r="C534" s="190"/>
      <c r="D534" s="190"/>
      <c r="E534" s="190"/>
      <c r="F534" s="190"/>
      <c r="G534" s="191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/>
      <c r="C535" s="190"/>
      <c r="D535" s="190"/>
      <c r="E535" s="190"/>
      <c r="F535" s="190"/>
      <c r="G535" s="191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/>
      <c r="C536" s="190"/>
      <c r="D536" s="190"/>
      <c r="E536" s="190"/>
      <c r="F536" s="190"/>
      <c r="G536" s="191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/>
      <c r="C537" s="190"/>
      <c r="D537" s="190"/>
      <c r="E537" s="190"/>
      <c r="F537" s="190"/>
      <c r="G537" s="191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/>
      <c r="C538" s="190"/>
      <c r="D538" s="190"/>
      <c r="E538" s="190"/>
      <c r="F538" s="190"/>
      <c r="G538" s="191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/>
      <c r="C539" s="190"/>
      <c r="D539" s="190"/>
      <c r="E539" s="190"/>
      <c r="F539" s="190"/>
      <c r="G539" s="191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/>
      <c r="C540" s="190"/>
      <c r="D540" s="190"/>
      <c r="E540" s="190"/>
      <c r="F540" s="190"/>
      <c r="G540" s="191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/>
      <c r="C541" s="190"/>
      <c r="D541" s="190"/>
      <c r="E541" s="190"/>
      <c r="F541" s="190"/>
      <c r="G541" s="191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/>
      <c r="C542" s="190"/>
      <c r="D542" s="190"/>
      <c r="E542" s="190"/>
      <c r="F542" s="190"/>
      <c r="G542" s="191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/>
      <c r="C543" s="190"/>
      <c r="D543" s="190"/>
      <c r="E543" s="190"/>
      <c r="F543" s="190"/>
      <c r="G543" s="191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/>
      <c r="C544" s="190"/>
      <c r="D544" s="190"/>
      <c r="E544" s="190"/>
      <c r="F544" s="190"/>
      <c r="G544" s="191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/>
      <c r="C545" s="190"/>
      <c r="D545" s="190"/>
      <c r="E545" s="190"/>
      <c r="F545" s="190"/>
      <c r="G545" s="191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/>
      <c r="C546" s="190"/>
      <c r="D546" s="190"/>
      <c r="E546" s="190"/>
      <c r="F546" s="190"/>
      <c r="G546" s="191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/>
      <c r="C547" s="190"/>
      <c r="D547" s="190"/>
      <c r="E547" s="190"/>
      <c r="F547" s="190"/>
      <c r="G547" s="191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/>
      <c r="C548" s="190"/>
      <c r="D548" s="190"/>
      <c r="E548" s="190"/>
      <c r="F548" s="190"/>
      <c r="G548" s="191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/>
      <c r="C549" s="190"/>
      <c r="D549" s="190"/>
      <c r="E549" s="190"/>
      <c r="F549" s="190"/>
      <c r="G549" s="191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/>
      <c r="C550" s="190"/>
      <c r="D550" s="190"/>
      <c r="E550" s="190"/>
      <c r="F550" s="190"/>
      <c r="G550" s="191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/>
      <c r="C551" s="190"/>
      <c r="D551" s="190"/>
      <c r="E551" s="190"/>
      <c r="F551" s="190"/>
      <c r="G551" s="191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/>
      <c r="C552" s="190"/>
      <c r="D552" s="190"/>
      <c r="E552" s="190"/>
      <c r="F552" s="190"/>
      <c r="G552" s="191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/>
      <c r="C553" s="190"/>
      <c r="D553" s="190"/>
      <c r="E553" s="190"/>
      <c r="F553" s="190"/>
      <c r="G553" s="191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/>
      <c r="C554" s="190"/>
      <c r="D554" s="190"/>
      <c r="E554" s="190"/>
      <c r="F554" s="190"/>
      <c r="G554" s="191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/>
      <c r="C555" s="190"/>
      <c r="D555" s="190"/>
      <c r="E555" s="190"/>
      <c r="F555" s="190"/>
      <c r="G555" s="191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/>
      <c r="C556" s="190"/>
      <c r="D556" s="190"/>
      <c r="E556" s="190"/>
      <c r="F556" s="190"/>
      <c r="G556" s="191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/>
      <c r="C557" s="190"/>
      <c r="D557" s="190"/>
      <c r="E557" s="190"/>
      <c r="F557" s="190"/>
      <c r="G557" s="191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/>
      <c r="C558" s="190"/>
      <c r="D558" s="190"/>
      <c r="E558" s="190"/>
      <c r="F558" s="190"/>
      <c r="G558" s="191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/>
      <c r="C559" s="190"/>
      <c r="D559" s="190"/>
      <c r="E559" s="190"/>
      <c r="F559" s="190"/>
      <c r="G559" s="191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/>
      <c r="C560" s="190"/>
      <c r="D560" s="190"/>
      <c r="E560" s="190"/>
      <c r="F560" s="190"/>
      <c r="G560" s="191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/>
      <c r="C561" s="190"/>
      <c r="D561" s="190"/>
      <c r="E561" s="190"/>
      <c r="F561" s="190"/>
      <c r="G561" s="191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/>
      <c r="C562" s="190"/>
      <c r="D562" s="190"/>
      <c r="E562" s="190"/>
      <c r="F562" s="190"/>
      <c r="G562" s="191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/>
      <c r="C563" s="190"/>
      <c r="D563" s="190"/>
      <c r="E563" s="190"/>
      <c r="F563" s="190"/>
      <c r="G563" s="191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/>
      <c r="C564" s="190"/>
      <c r="D564" s="190"/>
      <c r="E564" s="190"/>
      <c r="F564" s="190"/>
      <c r="G564" s="191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/>
      <c r="C565" s="190"/>
      <c r="D565" s="190"/>
      <c r="E565" s="190"/>
      <c r="F565" s="190"/>
      <c r="G565" s="191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/>
      <c r="C566" s="190"/>
      <c r="D566" s="190"/>
      <c r="E566" s="190"/>
      <c r="F566" s="190"/>
      <c r="G566" s="191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/>
      <c r="C567" s="190"/>
      <c r="D567" s="190"/>
      <c r="E567" s="190"/>
      <c r="F567" s="190"/>
      <c r="G567" s="191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/>
      <c r="C568" s="190"/>
      <c r="D568" s="190"/>
      <c r="E568" s="190"/>
      <c r="F568" s="190"/>
      <c r="G568" s="191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/>
      <c r="C569" s="190"/>
      <c r="D569" s="190"/>
      <c r="E569" s="190"/>
      <c r="F569" s="190"/>
      <c r="G569" s="191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/>
      <c r="C570" s="190"/>
      <c r="D570" s="190"/>
      <c r="E570" s="190"/>
      <c r="F570" s="190"/>
      <c r="G570" s="191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/>
      <c r="C571" s="190"/>
      <c r="D571" s="190"/>
      <c r="E571" s="190"/>
      <c r="F571" s="190"/>
      <c r="G571" s="191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/>
      <c r="C572" s="190"/>
      <c r="D572" s="190"/>
      <c r="E572" s="190"/>
      <c r="F572" s="190"/>
      <c r="G572" s="191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/>
      <c r="C573" s="190"/>
      <c r="D573" s="190"/>
      <c r="E573" s="190"/>
      <c r="F573" s="190"/>
      <c r="G573" s="191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/>
      <c r="C574" s="190"/>
      <c r="D574" s="190"/>
      <c r="E574" s="190"/>
      <c r="F574" s="190"/>
      <c r="G574" s="191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/>
      <c r="C575" s="190"/>
      <c r="D575" s="190"/>
      <c r="E575" s="190"/>
      <c r="F575" s="190"/>
      <c r="G575" s="191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/>
      <c r="C576" s="190"/>
      <c r="D576" s="190"/>
      <c r="E576" s="190"/>
      <c r="F576" s="190"/>
      <c r="G576" s="191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/>
      <c r="C577" s="190"/>
      <c r="D577" s="190"/>
      <c r="E577" s="190"/>
      <c r="F577" s="190"/>
      <c r="G577" s="191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/>
      <c r="C578" s="190"/>
      <c r="D578" s="190"/>
      <c r="E578" s="190"/>
      <c r="F578" s="190"/>
      <c r="G578" s="191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/>
      <c r="C579" s="190"/>
      <c r="D579" s="190"/>
      <c r="E579" s="190"/>
      <c r="F579" s="190"/>
      <c r="G579" s="191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/>
      <c r="C580" s="190"/>
      <c r="D580" s="190"/>
      <c r="E580" s="190"/>
      <c r="F580" s="190"/>
      <c r="G580" s="191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/>
      <c r="C581" s="190"/>
      <c r="D581" s="190"/>
      <c r="E581" s="190"/>
      <c r="F581" s="190"/>
      <c r="G581" s="191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/>
      <c r="C582" s="190"/>
      <c r="D582" s="190"/>
      <c r="E582" s="190"/>
      <c r="F582" s="190"/>
      <c r="G582" s="191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/>
      <c r="C583" s="190"/>
      <c r="D583" s="190"/>
      <c r="E583" s="190"/>
      <c r="F583" s="190"/>
      <c r="G583" s="191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/>
      <c r="C584" s="190"/>
      <c r="D584" s="190"/>
      <c r="E584" s="190"/>
      <c r="F584" s="190"/>
      <c r="G584" s="191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/>
      <c r="C585" s="190"/>
      <c r="D585" s="190"/>
      <c r="E585" s="190"/>
      <c r="F585" s="190"/>
      <c r="G585" s="191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/>
      <c r="C586" s="190"/>
      <c r="D586" s="190"/>
      <c r="E586" s="190"/>
      <c r="F586" s="190"/>
      <c r="G586" s="191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/>
      <c r="C587" s="190"/>
      <c r="D587" s="190"/>
      <c r="E587" s="190"/>
      <c r="F587" s="190"/>
      <c r="G587" s="191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/>
      <c r="C588" s="190"/>
      <c r="D588" s="190"/>
      <c r="E588" s="190"/>
      <c r="F588" s="190"/>
      <c r="G588" s="191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/>
      <c r="C589" s="190"/>
      <c r="D589" s="190"/>
      <c r="E589" s="190"/>
      <c r="F589" s="190"/>
      <c r="G589" s="191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/>
      <c r="C590" s="190"/>
      <c r="D590" s="190"/>
      <c r="E590" s="190"/>
      <c r="F590" s="190"/>
      <c r="G590" s="191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/>
      <c r="C591" s="190"/>
      <c r="D591" s="190"/>
      <c r="E591" s="190"/>
      <c r="F591" s="190"/>
      <c r="G591" s="191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/>
      <c r="C592" s="190"/>
      <c r="D592" s="190"/>
      <c r="E592" s="190"/>
      <c r="F592" s="190"/>
      <c r="G592" s="191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/>
      <c r="C593" s="190"/>
      <c r="D593" s="190"/>
      <c r="E593" s="190"/>
      <c r="F593" s="190"/>
      <c r="G593" s="191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/>
      <c r="C594" s="190"/>
      <c r="D594" s="190"/>
      <c r="E594" s="190"/>
      <c r="F594" s="190"/>
      <c r="G594" s="191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/>
      <c r="C595" s="190"/>
      <c r="D595" s="190"/>
      <c r="E595" s="190"/>
      <c r="F595" s="190"/>
      <c r="G595" s="191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/>
      <c r="C596" s="190"/>
      <c r="D596" s="190"/>
      <c r="E596" s="190"/>
      <c r="F596" s="190"/>
      <c r="G596" s="191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/>
      <c r="C597" s="190"/>
      <c r="D597" s="190"/>
      <c r="E597" s="190"/>
      <c r="F597" s="190"/>
      <c r="G597" s="191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/>
      <c r="C598" s="190"/>
      <c r="D598" s="190"/>
      <c r="E598" s="190"/>
      <c r="F598" s="190"/>
      <c r="G598" s="191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/>
      <c r="C599" s="190"/>
      <c r="D599" s="190"/>
      <c r="E599" s="190"/>
      <c r="F599" s="190"/>
      <c r="G599" s="191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/>
      <c r="C600" s="190"/>
      <c r="D600" s="190"/>
      <c r="E600" s="190"/>
      <c r="F600" s="190"/>
      <c r="G600" s="191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/>
      <c r="C601" s="190"/>
      <c r="D601" s="190"/>
      <c r="E601" s="190"/>
      <c r="F601" s="190"/>
      <c r="G601" s="191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/>
      <c r="C602" s="190"/>
      <c r="D602" s="190"/>
      <c r="E602" s="190"/>
      <c r="F602" s="190"/>
      <c r="G602" s="191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/>
      <c r="C603" s="190"/>
      <c r="D603" s="190"/>
      <c r="E603" s="190"/>
      <c r="F603" s="190"/>
      <c r="G603" s="191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/>
      <c r="C604" s="190"/>
      <c r="D604" s="190"/>
      <c r="E604" s="190"/>
      <c r="F604" s="190"/>
      <c r="G604" s="191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/>
      <c r="C605" s="190"/>
      <c r="D605" s="190"/>
      <c r="E605" s="190"/>
      <c r="F605" s="190"/>
      <c r="G605" s="191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/>
      <c r="C606" s="190"/>
      <c r="D606" s="190"/>
      <c r="E606" s="190"/>
      <c r="F606" s="190"/>
      <c r="G606" s="191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/>
      <c r="C607" s="190"/>
      <c r="D607" s="190"/>
      <c r="E607" s="190"/>
      <c r="F607" s="190"/>
      <c r="G607" s="191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/>
      <c r="C608" s="190"/>
      <c r="D608" s="190"/>
      <c r="E608" s="190"/>
      <c r="F608" s="190"/>
      <c r="G608" s="191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/>
      <c r="C609" s="190"/>
      <c r="D609" s="190"/>
      <c r="E609" s="190"/>
      <c r="F609" s="190"/>
      <c r="G609" s="191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/>
      <c r="C610" s="190"/>
      <c r="D610" s="190"/>
      <c r="E610" s="190"/>
      <c r="F610" s="190"/>
      <c r="G610" s="191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/>
      <c r="C611" s="190"/>
      <c r="D611" s="190"/>
      <c r="E611" s="190"/>
      <c r="F611" s="190"/>
      <c r="G611" s="191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/>
      <c r="C612" s="190"/>
      <c r="D612" s="190"/>
      <c r="E612" s="190"/>
      <c r="F612" s="190"/>
      <c r="G612" s="191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/>
      <c r="C613" s="190"/>
      <c r="D613" s="190"/>
      <c r="E613" s="190"/>
      <c r="F613" s="190"/>
      <c r="G613" s="191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/>
      <c r="C614" s="190"/>
      <c r="D614" s="190"/>
      <c r="E614" s="190"/>
      <c r="F614" s="190"/>
      <c r="G614" s="191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/>
      <c r="C615" s="190"/>
      <c r="D615" s="190"/>
      <c r="E615" s="190"/>
      <c r="F615" s="190"/>
      <c r="G615" s="191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/>
      <c r="C616" s="190"/>
      <c r="D616" s="190"/>
      <c r="E616" s="190"/>
      <c r="F616" s="190"/>
      <c r="G616" s="191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/>
      <c r="C617" s="190"/>
      <c r="D617" s="190"/>
      <c r="E617" s="190"/>
      <c r="F617" s="190"/>
      <c r="G617" s="191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/>
      <c r="C618" s="190"/>
      <c r="D618" s="190"/>
      <c r="E618" s="190"/>
      <c r="F618" s="190"/>
      <c r="G618" s="191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/>
      <c r="C619" s="190"/>
      <c r="D619" s="190"/>
      <c r="E619" s="190"/>
      <c r="F619" s="190"/>
      <c r="G619" s="191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/>
      <c r="C620" s="190"/>
      <c r="D620" s="190"/>
      <c r="E620" s="190"/>
      <c r="F620" s="190"/>
      <c r="G620" s="191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/>
      <c r="C621" s="190"/>
      <c r="D621" s="190"/>
      <c r="E621" s="190"/>
      <c r="F621" s="190"/>
      <c r="G621" s="191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/>
      <c r="C622" s="190"/>
      <c r="D622" s="190"/>
      <c r="E622" s="190"/>
      <c r="F622" s="190"/>
      <c r="G622" s="191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/>
      <c r="C623" s="190"/>
      <c r="D623" s="190"/>
      <c r="E623" s="190"/>
      <c r="F623" s="190"/>
      <c r="G623" s="191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/>
      <c r="C624" s="190"/>
      <c r="D624" s="190"/>
      <c r="E624" s="190"/>
      <c r="F624" s="190"/>
      <c r="G624" s="191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/>
      <c r="C625" s="190"/>
      <c r="D625" s="190"/>
      <c r="E625" s="190"/>
      <c r="F625" s="190"/>
      <c r="G625" s="191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/>
      <c r="C626" s="190"/>
      <c r="D626" s="190"/>
      <c r="E626" s="190"/>
      <c r="F626" s="190"/>
      <c r="G626" s="191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/>
      <c r="C627" s="190"/>
      <c r="D627" s="190"/>
      <c r="E627" s="190"/>
      <c r="F627" s="190"/>
      <c r="G627" s="191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/>
      <c r="C628" s="190"/>
      <c r="D628" s="190"/>
      <c r="E628" s="190"/>
      <c r="F628" s="190"/>
      <c r="G628" s="191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/>
      <c r="C629" s="190"/>
      <c r="D629" s="190"/>
      <c r="E629" s="190"/>
      <c r="F629" s="190"/>
      <c r="G629" s="191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/>
      <c r="C630" s="190"/>
      <c r="D630" s="190"/>
      <c r="E630" s="190"/>
      <c r="F630" s="190"/>
      <c r="G630" s="191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/>
      <c r="C631" s="190"/>
      <c r="D631" s="190"/>
      <c r="E631" s="190"/>
      <c r="F631" s="190"/>
      <c r="G631" s="191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/>
      <c r="C632" s="190"/>
      <c r="D632" s="190"/>
      <c r="E632" s="190"/>
      <c r="F632" s="190"/>
      <c r="G632" s="191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/>
      <c r="C633" s="190"/>
      <c r="D633" s="190"/>
      <c r="E633" s="190"/>
      <c r="F633" s="190"/>
      <c r="G633" s="191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/>
      <c r="C634" s="190"/>
      <c r="D634" s="190"/>
      <c r="E634" s="190"/>
      <c r="F634" s="190"/>
      <c r="G634" s="191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/>
      <c r="C635" s="190"/>
      <c r="D635" s="190"/>
      <c r="E635" s="190"/>
      <c r="F635" s="190"/>
      <c r="G635" s="191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/>
      <c r="C636" s="190"/>
      <c r="D636" s="190"/>
      <c r="E636" s="190"/>
      <c r="F636" s="190"/>
      <c r="G636" s="191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/>
      <c r="C637" s="190"/>
      <c r="D637" s="190"/>
      <c r="E637" s="190"/>
      <c r="F637" s="190"/>
      <c r="G637" s="191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/>
      <c r="C638" s="190"/>
      <c r="D638" s="190"/>
      <c r="E638" s="190"/>
      <c r="F638" s="190"/>
      <c r="G638" s="191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/>
      <c r="C639" s="190"/>
      <c r="D639" s="190"/>
      <c r="E639" s="190"/>
      <c r="F639" s="190"/>
      <c r="G639" s="191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/>
      <c r="C640" s="190"/>
      <c r="D640" s="190"/>
      <c r="E640" s="190"/>
      <c r="F640" s="190"/>
      <c r="G640" s="191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/>
      <c r="C641" s="190"/>
      <c r="D641" s="190"/>
      <c r="E641" s="190"/>
      <c r="F641" s="190"/>
      <c r="G641" s="191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/>
      <c r="C642" s="190"/>
      <c r="D642" s="190"/>
      <c r="E642" s="190"/>
      <c r="F642" s="190"/>
      <c r="G642" s="191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/>
      <c r="C643" s="190"/>
      <c r="D643" s="190"/>
      <c r="E643" s="190"/>
      <c r="F643" s="190"/>
      <c r="G643" s="191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/>
      <c r="C644" s="190"/>
      <c r="D644" s="190"/>
      <c r="E644" s="190"/>
      <c r="F644" s="190"/>
      <c r="G644" s="191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/>
      <c r="C645" s="190"/>
      <c r="D645" s="190"/>
      <c r="E645" s="190"/>
      <c r="F645" s="190"/>
      <c r="G645" s="191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/>
      <c r="C646" s="190"/>
      <c r="D646" s="190"/>
      <c r="E646" s="190"/>
      <c r="F646" s="190"/>
      <c r="G646" s="191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/>
      <c r="C647" s="190"/>
      <c r="D647" s="190"/>
      <c r="E647" s="190"/>
      <c r="F647" s="190"/>
      <c r="G647" s="191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/>
      <c r="C648" s="190"/>
      <c r="D648" s="190"/>
      <c r="E648" s="190"/>
      <c r="F648" s="190"/>
      <c r="G648" s="191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/>
      <c r="C649" s="190"/>
      <c r="D649" s="190"/>
      <c r="E649" s="190"/>
      <c r="F649" s="190"/>
      <c r="G649" s="191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/>
      <c r="C650" s="190"/>
      <c r="D650" s="190"/>
      <c r="E650" s="190"/>
      <c r="F650" s="190"/>
      <c r="G650" s="191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/>
      <c r="C651" s="190"/>
      <c r="D651" s="190"/>
      <c r="E651" s="190"/>
      <c r="F651" s="190"/>
      <c r="G651" s="191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/>
      <c r="C652" s="190"/>
      <c r="D652" s="190"/>
      <c r="E652" s="190"/>
      <c r="F652" s="190"/>
      <c r="G652" s="191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/>
      <c r="C653" s="190"/>
      <c r="D653" s="190"/>
      <c r="E653" s="190"/>
      <c r="F653" s="190"/>
      <c r="G653" s="191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/>
      <c r="C654" s="190"/>
      <c r="D654" s="190"/>
      <c r="E654" s="190"/>
      <c r="F654" s="190"/>
      <c r="G654" s="191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/>
      <c r="C655" s="190"/>
      <c r="D655" s="190"/>
      <c r="E655" s="190"/>
      <c r="F655" s="190"/>
      <c r="G655" s="191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/>
      <c r="C656" s="190"/>
      <c r="D656" s="190"/>
      <c r="E656" s="190"/>
      <c r="F656" s="190"/>
      <c r="G656" s="191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/>
      <c r="C657" s="190"/>
      <c r="D657" s="190"/>
      <c r="E657" s="190"/>
      <c r="F657" s="190"/>
      <c r="G657" s="191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/>
      <c r="C658" s="190"/>
      <c r="D658" s="190"/>
      <c r="E658" s="190"/>
      <c r="F658" s="190"/>
      <c r="G658" s="191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/>
      <c r="C659" s="190"/>
      <c r="D659" s="190"/>
      <c r="E659" s="190"/>
      <c r="F659" s="190"/>
      <c r="G659" s="191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/>
      <c r="C660" s="190"/>
      <c r="D660" s="190"/>
      <c r="E660" s="190"/>
      <c r="F660" s="190"/>
      <c r="G660" s="191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/>
      <c r="C661" s="190"/>
      <c r="D661" s="190"/>
      <c r="E661" s="190"/>
      <c r="F661" s="190"/>
      <c r="G661" s="191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/>
      <c r="C662" s="190"/>
      <c r="D662" s="190"/>
      <c r="E662" s="190"/>
      <c r="F662" s="190"/>
      <c r="G662" s="191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/>
      <c r="C663" s="190"/>
      <c r="D663" s="190"/>
      <c r="E663" s="190"/>
      <c r="F663" s="190"/>
      <c r="G663" s="191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/>
      <c r="C664" s="190"/>
      <c r="D664" s="190"/>
      <c r="E664" s="190"/>
      <c r="F664" s="190"/>
      <c r="G664" s="191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/>
      <c r="C665" s="190"/>
      <c r="D665" s="190"/>
      <c r="E665" s="190"/>
      <c r="F665" s="190"/>
      <c r="G665" s="191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/>
      <c r="C666" s="190"/>
      <c r="D666" s="190"/>
      <c r="E666" s="190"/>
      <c r="F666" s="190"/>
      <c r="G666" s="191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/>
      <c r="C667" s="190"/>
      <c r="D667" s="190"/>
      <c r="E667" s="190"/>
      <c r="F667" s="190"/>
      <c r="G667" s="191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/>
      <c r="C668" s="190"/>
      <c r="D668" s="190"/>
      <c r="E668" s="190"/>
      <c r="F668" s="190"/>
      <c r="G668" s="191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/>
      <c r="C669" s="190"/>
      <c r="D669" s="190"/>
      <c r="E669" s="190"/>
      <c r="F669" s="190"/>
      <c r="G669" s="191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/>
      <c r="C670" s="190"/>
      <c r="D670" s="190"/>
      <c r="E670" s="190"/>
      <c r="F670" s="190"/>
      <c r="G670" s="191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/>
      <c r="C671" s="190"/>
      <c r="D671" s="190"/>
      <c r="E671" s="190"/>
      <c r="F671" s="190"/>
      <c r="G671" s="191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/>
      <c r="C672" s="190"/>
      <c r="D672" s="190"/>
      <c r="E672" s="190"/>
      <c r="F672" s="190"/>
      <c r="G672" s="191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/>
      <c r="C673" s="190"/>
      <c r="D673" s="190"/>
      <c r="E673" s="190"/>
      <c r="F673" s="190"/>
      <c r="G673" s="191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/>
      <c r="C674" s="190"/>
      <c r="D674" s="190"/>
      <c r="E674" s="190"/>
      <c r="F674" s="190"/>
      <c r="G674" s="191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/>
      <c r="C675" s="190"/>
      <c r="D675" s="190"/>
      <c r="E675" s="190"/>
      <c r="F675" s="190"/>
      <c r="G675" s="191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/>
      <c r="C676" s="190"/>
      <c r="D676" s="190"/>
      <c r="E676" s="190"/>
      <c r="F676" s="190"/>
      <c r="G676" s="191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/>
      <c r="C678" s="190"/>
      <c r="D678" s="190"/>
      <c r="E678" s="190"/>
      <c r="F678" s="190"/>
      <c r="G678" s="191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/>
      <c r="C679" s="190"/>
      <c r="D679" s="190"/>
      <c r="E679" s="190"/>
      <c r="F679" s="190"/>
      <c r="G679" s="191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/>
      <c r="C680" s="190"/>
      <c r="D680" s="190"/>
      <c r="E680" s="190"/>
      <c r="F680" s="190"/>
      <c r="G680" s="191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/>
      <c r="C681" s="190"/>
      <c r="D681" s="190"/>
      <c r="E681" s="190"/>
      <c r="F681" s="190"/>
      <c r="G681" s="191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/>
      <c r="C682" s="190"/>
      <c r="D682" s="190"/>
      <c r="E682" s="190"/>
      <c r="F682" s="190"/>
      <c r="G682" s="191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/>
      <c r="C683" s="190"/>
      <c r="D683" s="190"/>
      <c r="E683" s="190"/>
      <c r="F683" s="190"/>
      <c r="G683" s="191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/>
      <c r="C684" s="190"/>
      <c r="D684" s="190"/>
      <c r="E684" s="190"/>
      <c r="F684" s="190"/>
      <c r="G684" s="191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/>
      <c r="C685" s="190"/>
      <c r="D685" s="190"/>
      <c r="E685" s="190"/>
      <c r="F685" s="190"/>
      <c r="G685" s="191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/>
      <c r="C686" s="190"/>
      <c r="D686" s="190"/>
      <c r="E686" s="190"/>
      <c r="F686" s="190"/>
      <c r="G686" s="191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/>
      <c r="C687" s="190"/>
      <c r="D687" s="190"/>
      <c r="E687" s="190"/>
      <c r="F687" s="190"/>
      <c r="G687" s="191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/>
      <c r="C688" s="190"/>
      <c r="D688" s="190"/>
      <c r="E688" s="190"/>
      <c r="F688" s="190"/>
      <c r="G688" s="191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/>
      <c r="C689" s="190"/>
      <c r="D689" s="190"/>
      <c r="E689" s="190"/>
      <c r="F689" s="190"/>
      <c r="G689" s="191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/>
      <c r="C690" s="190"/>
      <c r="D690" s="190"/>
      <c r="E690" s="190"/>
      <c r="F690" s="190"/>
      <c r="G690" s="191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/>
      <c r="C691" s="190"/>
      <c r="D691" s="190"/>
      <c r="E691" s="190"/>
      <c r="F691" s="190"/>
      <c r="G691" s="191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/>
      <c r="C692" s="190"/>
      <c r="D692" s="190"/>
      <c r="E692" s="190"/>
      <c r="F692" s="190"/>
      <c r="G692" s="191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/>
      <c r="C693" s="190"/>
      <c r="D693" s="190"/>
      <c r="E693" s="190"/>
      <c r="F693" s="190"/>
      <c r="G693" s="191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/>
      <c r="C694" s="190"/>
      <c r="D694" s="190"/>
      <c r="E694" s="190"/>
      <c r="F694" s="190"/>
      <c r="G694" s="191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/>
      <c r="C695" s="190"/>
      <c r="D695" s="190"/>
      <c r="E695" s="190"/>
      <c r="F695" s="190"/>
      <c r="G695" s="191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/>
      <c r="C696" s="190"/>
      <c r="D696" s="190"/>
      <c r="E696" s="190"/>
      <c r="F696" s="190"/>
      <c r="G696" s="191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/>
      <c r="C697" s="190"/>
      <c r="D697" s="190"/>
      <c r="E697" s="190"/>
      <c r="F697" s="190"/>
      <c r="G697" s="191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/>
      <c r="C698" s="190"/>
      <c r="D698" s="190"/>
      <c r="E698" s="190"/>
      <c r="F698" s="190"/>
      <c r="G698" s="191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/>
      <c r="C699" s="190"/>
      <c r="D699" s="190"/>
      <c r="E699" s="190"/>
      <c r="F699" s="190"/>
      <c r="G699" s="191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/>
      <c r="C700" s="190"/>
      <c r="D700" s="190"/>
      <c r="E700" s="190"/>
      <c r="F700" s="190"/>
      <c r="G700" s="191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/>
      <c r="C701" s="190"/>
      <c r="D701" s="190"/>
      <c r="E701" s="190"/>
      <c r="F701" s="190"/>
      <c r="G701" s="191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/>
      <c r="C702" s="190"/>
      <c r="D702" s="190"/>
      <c r="E702" s="190"/>
      <c r="F702" s="190"/>
      <c r="G702" s="191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/>
      <c r="C703" s="190"/>
      <c r="D703" s="190"/>
      <c r="E703" s="190"/>
      <c r="F703" s="190"/>
      <c r="G703" s="191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/>
      <c r="C704" s="190"/>
      <c r="D704" s="190"/>
      <c r="E704" s="190"/>
      <c r="F704" s="190"/>
      <c r="G704" s="191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/>
      <c r="C705" s="190"/>
      <c r="D705" s="190"/>
      <c r="E705" s="190"/>
      <c r="F705" s="190"/>
      <c r="G705" s="191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/>
      <c r="C706" s="190"/>
      <c r="D706" s="190"/>
      <c r="E706" s="190"/>
      <c r="F706" s="190"/>
      <c r="G706" s="191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/>
      <c r="C707" s="190"/>
      <c r="D707" s="190"/>
      <c r="E707" s="190"/>
      <c r="F707" s="190"/>
      <c r="G707" s="191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/>
      <c r="C708" s="190"/>
      <c r="D708" s="190"/>
      <c r="E708" s="190"/>
      <c r="F708" s="190"/>
      <c r="G708" s="191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/>
      <c r="C709" s="190"/>
      <c r="D709" s="190"/>
      <c r="E709" s="190"/>
      <c r="F709" s="190"/>
      <c r="G709" s="191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/>
      <c r="C710" s="190"/>
      <c r="D710" s="190"/>
      <c r="E710" s="190"/>
      <c r="F710" s="190"/>
      <c r="G710" s="191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/>
      <c r="C711" s="190"/>
      <c r="D711" s="190"/>
      <c r="E711" s="190"/>
      <c r="F711" s="190"/>
      <c r="G711" s="191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/>
      <c r="C712" s="190"/>
      <c r="D712" s="190"/>
      <c r="E712" s="190"/>
      <c r="F712" s="190"/>
      <c r="G712" s="191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/>
      <c r="C713" s="190"/>
      <c r="D713" s="190"/>
      <c r="E713" s="190"/>
      <c r="F713" s="190"/>
      <c r="G713" s="191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/>
      <c r="C714" s="190"/>
      <c r="D714" s="190"/>
      <c r="E714" s="190"/>
      <c r="F714" s="190"/>
      <c r="G714" s="191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/>
      <c r="C715" s="190"/>
      <c r="D715" s="190"/>
      <c r="E715" s="190"/>
      <c r="F715" s="190"/>
      <c r="G715" s="191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/>
      <c r="C716" s="190"/>
      <c r="D716" s="190"/>
      <c r="E716" s="190"/>
      <c r="F716" s="190"/>
      <c r="G716" s="191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/>
      <c r="C717" s="190"/>
      <c r="D717" s="190"/>
      <c r="E717" s="190"/>
      <c r="F717" s="190"/>
      <c r="G717" s="191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/>
      <c r="C718" s="190"/>
      <c r="D718" s="190"/>
      <c r="E718" s="190"/>
      <c r="F718" s="190"/>
      <c r="G718" s="191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/>
      <c r="C719" s="190"/>
      <c r="D719" s="190"/>
      <c r="E719" s="190"/>
      <c r="F719" s="190"/>
      <c r="G719" s="191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/>
      <c r="C720" s="190"/>
      <c r="D720" s="190"/>
      <c r="E720" s="190"/>
      <c r="F720" s="190"/>
      <c r="G720" s="191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/>
      <c r="C721" s="190"/>
      <c r="D721" s="190"/>
      <c r="E721" s="190"/>
      <c r="F721" s="190"/>
      <c r="G721" s="191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/>
      <c r="C722" s="190"/>
      <c r="D722" s="190"/>
      <c r="E722" s="190"/>
      <c r="F722" s="190"/>
      <c r="G722" s="191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/>
      <c r="C723" s="190"/>
      <c r="D723" s="190"/>
      <c r="E723" s="190"/>
      <c r="F723" s="190"/>
      <c r="G723" s="191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/>
      <c r="C724" s="190"/>
      <c r="D724" s="190"/>
      <c r="E724" s="190"/>
      <c r="F724" s="190"/>
      <c r="G724" s="191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/>
      <c r="C725" s="190"/>
      <c r="D725" s="190"/>
      <c r="E725" s="190"/>
      <c r="F725" s="190"/>
      <c r="G725" s="191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/>
      <c r="C726" s="190"/>
      <c r="D726" s="190"/>
      <c r="E726" s="190"/>
      <c r="F726" s="190"/>
      <c r="G726" s="191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/>
      <c r="C727" s="190"/>
      <c r="D727" s="190"/>
      <c r="E727" s="190"/>
      <c r="F727" s="190"/>
      <c r="G727" s="191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/>
      <c r="C728" s="190"/>
      <c r="D728" s="190"/>
      <c r="E728" s="190"/>
      <c r="F728" s="190"/>
      <c r="G728" s="191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/>
      <c r="C729" s="190"/>
      <c r="D729" s="190"/>
      <c r="E729" s="190"/>
      <c r="F729" s="190"/>
      <c r="G729" s="191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/>
      <c r="C730" s="190"/>
      <c r="D730" s="190"/>
      <c r="E730" s="190"/>
      <c r="F730" s="190"/>
      <c r="G730" s="191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/>
      <c r="C731" s="190"/>
      <c r="D731" s="190"/>
      <c r="E731" s="190"/>
      <c r="F731" s="190"/>
      <c r="G731" s="191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/>
      <c r="C732" s="190"/>
      <c r="D732" s="190"/>
      <c r="E732" s="190"/>
      <c r="F732" s="190"/>
      <c r="G732" s="191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/>
      <c r="C733" s="190"/>
      <c r="D733" s="190"/>
      <c r="E733" s="190"/>
      <c r="F733" s="190"/>
      <c r="G733" s="191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/>
      <c r="C734" s="190"/>
      <c r="D734" s="190"/>
      <c r="E734" s="190"/>
      <c r="F734" s="190"/>
      <c r="G734" s="191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/>
      <c r="C735" s="190"/>
      <c r="D735" s="190"/>
      <c r="E735" s="190"/>
      <c r="F735" s="190"/>
      <c r="G735" s="191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/>
      <c r="C736" s="190"/>
      <c r="D736" s="190"/>
      <c r="E736" s="190"/>
      <c r="F736" s="190"/>
      <c r="G736" s="191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/>
      <c r="C737" s="190"/>
      <c r="D737" s="190"/>
      <c r="E737" s="190"/>
      <c r="F737" s="190"/>
      <c r="G737" s="191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/>
      <c r="C738" s="190"/>
      <c r="D738" s="190"/>
      <c r="E738" s="190"/>
      <c r="F738" s="190"/>
      <c r="G738" s="191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/>
      <c r="C739" s="190"/>
      <c r="D739" s="190"/>
      <c r="E739" s="190"/>
      <c r="F739" s="190"/>
      <c r="G739" s="191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/>
      <c r="C740" s="190"/>
      <c r="D740" s="190"/>
      <c r="E740" s="190"/>
      <c r="F740" s="190"/>
      <c r="G740" s="191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/>
      <c r="C741" s="190"/>
      <c r="D741" s="190"/>
      <c r="E741" s="190"/>
      <c r="F741" s="190"/>
      <c r="G741" s="191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/>
      <c r="C742" s="190"/>
      <c r="D742" s="190"/>
      <c r="E742" s="190"/>
      <c r="F742" s="190"/>
      <c r="G742" s="191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/>
      <c r="C743" s="190"/>
      <c r="D743" s="190"/>
      <c r="E743" s="190"/>
      <c r="F743" s="190"/>
      <c r="G743" s="191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/>
      <c r="C744" s="190"/>
      <c r="D744" s="190"/>
      <c r="E744" s="190"/>
      <c r="F744" s="190"/>
      <c r="G744" s="191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/>
      <c r="C745" s="190"/>
      <c r="D745" s="190"/>
      <c r="E745" s="190"/>
      <c r="F745" s="190"/>
      <c r="G745" s="191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/>
      <c r="C746" s="190"/>
      <c r="D746" s="190"/>
      <c r="E746" s="190"/>
      <c r="F746" s="190"/>
      <c r="G746" s="191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/>
      <c r="C747" s="190"/>
      <c r="D747" s="190"/>
      <c r="E747" s="190"/>
      <c r="F747" s="190"/>
      <c r="G747" s="191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/>
      <c r="C748" s="190"/>
      <c r="D748" s="190"/>
      <c r="E748" s="190"/>
      <c r="F748" s="190"/>
      <c r="G748" s="191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/>
      <c r="C749" s="190"/>
      <c r="D749" s="190"/>
      <c r="E749" s="190"/>
      <c r="F749" s="190"/>
      <c r="G749" s="191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/>
      <c r="C750" s="190"/>
      <c r="D750" s="190"/>
      <c r="E750" s="190"/>
      <c r="F750" s="190"/>
      <c r="G750" s="191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/>
      <c r="C751" s="190"/>
      <c r="D751" s="190"/>
      <c r="E751" s="190"/>
      <c r="F751" s="190"/>
      <c r="G751" s="191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/>
      <c r="C752" s="190"/>
      <c r="D752" s="190"/>
      <c r="E752" s="190"/>
      <c r="F752" s="190"/>
      <c r="G752" s="191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/>
      <c r="C753" s="190"/>
      <c r="D753" s="190"/>
      <c r="E753" s="190"/>
      <c r="F753" s="190"/>
      <c r="G753" s="191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156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137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IFERROR(__xludf.DUMMYFUNCTION("GOOGLEFINANCE(B16,""name"")"),"Taiwan Business Bank Ltd")</f>
        <v>Taiwan Business Bank Ltd</v>
      </c>
      <c r="H5" s="64"/>
      <c r="I5" s="64"/>
      <c r="J5" s="157"/>
      <c r="K5" s="64"/>
      <c r="L5" s="64"/>
      <c r="M5" s="64"/>
      <c r="N5" s="64"/>
      <c r="O5" s="264" t="s">
        <v>317</v>
      </c>
      <c r="P5" s="64"/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IFERROR(__xludf.DUMMYFUNCTION("GOOGLEFINANCE(B16,""price"")"),16.25)</f>
        <v>16.25</v>
      </c>
      <c r="D8" s="171">
        <f>IFERROR(__xludf.DUMMYFUNCTION("IFERROR(GOOGLEFINANCE(B16,""change""),""-"")"),0.35)</f>
        <v>0.35</v>
      </c>
      <c r="E8" s="172">
        <f>IFERROR(__xludf.DUMMYFUNCTION("IFERROR(GOOGLEFINANCE(B16,""changepct"")/100,""-"")"),0.022000000000000002)</f>
        <v>0.022</v>
      </c>
      <c r="F8" s="64"/>
      <c r="G8" s="64"/>
      <c r="H8" s="64"/>
      <c r="I8" s="64"/>
      <c r="J8" s="202">
        <f>SUM(K26:K100)</f>
        <v>5019</v>
      </c>
      <c r="K8" s="203">
        <f>SUM(N26:N100)</f>
        <v>40735.35</v>
      </c>
      <c r="L8" s="175">
        <f>K8/J8</f>
        <v>8.116228332</v>
      </c>
      <c r="M8" s="64"/>
      <c r="N8" s="176" t="s">
        <v>320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>
        <f>IFERROR(__xludf.DUMMYFUNCTION("IFERROR(GOOGLEFINANCE(B16,""marketcap""),""-"")"),1.579185075E11)</f>
        <v>157918507500</v>
      </c>
      <c r="C12" s="181">
        <f>IFERROR(__xludf.DUMMYFUNCTION("IFERROR(GOOGLEFINANCE(B16,""pe""),""-"")"),12.64)</f>
        <v>12.64</v>
      </c>
      <c r="D12" s="181" t="str">
        <f>IFERROR(__xludf.DUMMYFUNCTION("IFERROR(GOOGLEFINANCE(B16,""beta""),""-"")"),"-")</f>
        <v>-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246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TPE:2834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IFERROR(__xludf.DUMMYFUNCTION("""COMPUTED_VALUE"""),45992.5625)</f>
        <v>45992.5625</v>
      </c>
      <c r="C26" s="190">
        <f>IFERROR(__xludf.DUMMYFUNCTION("""COMPUTED_VALUE"""),15.8)</f>
        <v>15.8</v>
      </c>
      <c r="D26" s="190">
        <f>IFERROR(__xludf.DUMMYFUNCTION("""COMPUTED_VALUE"""),15.95)</f>
        <v>15.95</v>
      </c>
      <c r="E26" s="190">
        <f>IFERROR(__xludf.DUMMYFUNCTION("""COMPUTED_VALUE"""),15.8)</f>
        <v>15.8</v>
      </c>
      <c r="F26" s="190">
        <f>IFERROR(__xludf.DUMMYFUNCTION("""COMPUTED_VALUE"""),15.8)</f>
        <v>15.8</v>
      </c>
      <c r="G26" s="191">
        <f>IFERROR(__xludf.DUMMYFUNCTION("""COMPUTED_VALUE"""),9074008.0)</f>
        <v>9074008</v>
      </c>
      <c r="H26" s="112"/>
      <c r="I26" s="112"/>
      <c r="J26" s="192">
        <v>43816.0</v>
      </c>
      <c r="K26" s="204">
        <v>1000.0</v>
      </c>
      <c r="L26" s="194">
        <v>12.5</v>
      </c>
      <c r="M26" s="94">
        <v>20.0</v>
      </c>
      <c r="N26" s="112">
        <f t="shared" ref="N26:N31" si="1">K26*L26+M26</f>
        <v>12520</v>
      </c>
      <c r="O26" s="112">
        <f>N26/K26</f>
        <v>12.52</v>
      </c>
      <c r="P26" s="112"/>
      <c r="Q26" s="112"/>
      <c r="R26" s="112"/>
    </row>
    <row r="27" ht="17.25" customHeight="1">
      <c r="A27" s="112"/>
      <c r="B27" s="189">
        <f>IFERROR(__xludf.DUMMYFUNCTION("""COMPUTED_VALUE"""),45993.5625)</f>
        <v>45993.5625</v>
      </c>
      <c r="C27" s="190">
        <f>IFERROR(__xludf.DUMMYFUNCTION("""COMPUTED_VALUE"""),15.85)</f>
        <v>15.85</v>
      </c>
      <c r="D27" s="190">
        <f>IFERROR(__xludf.DUMMYFUNCTION("""COMPUTED_VALUE"""),15.95)</f>
        <v>15.95</v>
      </c>
      <c r="E27" s="190">
        <f>IFERROR(__xludf.DUMMYFUNCTION("""COMPUTED_VALUE"""),15.8)</f>
        <v>15.8</v>
      </c>
      <c r="F27" s="190">
        <f>IFERROR(__xludf.DUMMYFUNCTION("""COMPUTED_VALUE"""),15.9)</f>
        <v>15.9</v>
      </c>
      <c r="G27" s="191">
        <f>IFERROR(__xludf.DUMMYFUNCTION("""COMPUTED_VALUE"""),1.0706876E7)</f>
        <v>10706876</v>
      </c>
      <c r="H27" s="112"/>
      <c r="I27" s="112"/>
      <c r="J27" s="192">
        <v>43871.0</v>
      </c>
      <c r="K27" s="204">
        <v>1000.0</v>
      </c>
      <c r="L27" s="194">
        <v>12.05</v>
      </c>
      <c r="M27" s="94">
        <v>20.0</v>
      </c>
      <c r="N27" s="112">
        <f t="shared" si="1"/>
        <v>12070</v>
      </c>
      <c r="O27" s="196">
        <f t="shared" ref="O27:O41" si="2">SUM($N$26:N27)/SUM($K$26:K27)</f>
        <v>12.295</v>
      </c>
      <c r="P27" s="112"/>
      <c r="Q27" s="112"/>
      <c r="R27" s="112"/>
    </row>
    <row r="28" ht="17.25" customHeight="1">
      <c r="A28" s="112"/>
      <c r="B28" s="189">
        <f>IFERROR(__xludf.DUMMYFUNCTION("""COMPUTED_VALUE"""),45994.5625)</f>
        <v>45994.5625</v>
      </c>
      <c r="C28" s="190">
        <f>IFERROR(__xludf.DUMMYFUNCTION("""COMPUTED_VALUE"""),15.9)</f>
        <v>15.9</v>
      </c>
      <c r="D28" s="190">
        <f>IFERROR(__xludf.DUMMYFUNCTION("""COMPUTED_VALUE"""),15.95)</f>
        <v>15.95</v>
      </c>
      <c r="E28" s="190">
        <f>IFERROR(__xludf.DUMMYFUNCTION("""COMPUTED_VALUE"""),15.8)</f>
        <v>15.8</v>
      </c>
      <c r="F28" s="190">
        <f>IFERROR(__xludf.DUMMYFUNCTION("""COMPUTED_VALUE"""),15.85)</f>
        <v>15.85</v>
      </c>
      <c r="G28" s="191">
        <f>IFERROR(__xludf.DUMMYFUNCTION("""COMPUTED_VALUE"""),5853166.0)</f>
        <v>5853166</v>
      </c>
      <c r="H28" s="112"/>
      <c r="I28" s="112"/>
      <c r="J28" s="192">
        <v>44069.0</v>
      </c>
      <c r="K28" s="194">
        <v>100.0</v>
      </c>
      <c r="L28" s="194">
        <v>0.0</v>
      </c>
      <c r="M28" s="94">
        <v>20.0</v>
      </c>
      <c r="N28" s="112">
        <f t="shared" si="1"/>
        <v>20</v>
      </c>
      <c r="O28" s="196">
        <f t="shared" si="2"/>
        <v>11.71904762</v>
      </c>
      <c r="P28" s="198" t="s">
        <v>321</v>
      </c>
      <c r="Q28" s="112"/>
      <c r="R28" s="112"/>
    </row>
    <row r="29" ht="17.25" customHeight="1">
      <c r="A29" s="112"/>
      <c r="B29" s="189">
        <f>IFERROR(__xludf.DUMMYFUNCTION("""COMPUTED_VALUE"""),45995.5625)</f>
        <v>45995.5625</v>
      </c>
      <c r="C29" s="190">
        <f>IFERROR(__xludf.DUMMYFUNCTION("""COMPUTED_VALUE"""),15.9)</f>
        <v>15.9</v>
      </c>
      <c r="D29" s="190">
        <f>IFERROR(__xludf.DUMMYFUNCTION("""COMPUTED_VALUE"""),16.0)</f>
        <v>16</v>
      </c>
      <c r="E29" s="190">
        <f>IFERROR(__xludf.DUMMYFUNCTION("""COMPUTED_VALUE"""),15.85)</f>
        <v>15.85</v>
      </c>
      <c r="F29" s="190">
        <f>IFERROR(__xludf.DUMMYFUNCTION("""COMPUTED_VALUE"""),16.0)</f>
        <v>16</v>
      </c>
      <c r="G29" s="191">
        <f>IFERROR(__xludf.DUMMYFUNCTION("""COMPUTED_VALUE"""),1.6066379E7)</f>
        <v>16066379</v>
      </c>
      <c r="H29" s="112"/>
      <c r="I29" s="112"/>
      <c r="J29" s="192">
        <v>44293.0</v>
      </c>
      <c r="K29" s="204">
        <v>1000.0</v>
      </c>
      <c r="L29" s="194">
        <v>9.83</v>
      </c>
      <c r="M29" s="94">
        <v>20.0</v>
      </c>
      <c r="N29" s="112">
        <f t="shared" si="1"/>
        <v>9850</v>
      </c>
      <c r="O29" s="196">
        <f t="shared" si="2"/>
        <v>11.11612903</v>
      </c>
      <c r="P29" s="199"/>
      <c r="Q29" s="112"/>
      <c r="R29" s="112"/>
    </row>
    <row r="30" ht="17.25" customHeight="1">
      <c r="A30" s="112"/>
      <c r="B30" s="189">
        <f>IFERROR(__xludf.DUMMYFUNCTION("""COMPUTED_VALUE"""),45996.5625)</f>
        <v>45996.5625</v>
      </c>
      <c r="C30" s="190">
        <f>IFERROR(__xludf.DUMMYFUNCTION("""COMPUTED_VALUE"""),15.95)</f>
        <v>15.95</v>
      </c>
      <c r="D30" s="190">
        <f>IFERROR(__xludf.DUMMYFUNCTION("""COMPUTED_VALUE"""),16.05)</f>
        <v>16.05</v>
      </c>
      <c r="E30" s="190">
        <f>IFERROR(__xludf.DUMMYFUNCTION("""COMPUTED_VALUE"""),15.95)</f>
        <v>15.95</v>
      </c>
      <c r="F30" s="190">
        <f>IFERROR(__xludf.DUMMYFUNCTION("""COMPUTED_VALUE"""),16.05)</f>
        <v>16.05</v>
      </c>
      <c r="G30" s="191">
        <f>IFERROR(__xludf.DUMMYFUNCTION("""COMPUTED_VALUE"""),9517185.0)</f>
        <v>9517185</v>
      </c>
      <c r="H30" s="112"/>
      <c r="I30" s="112"/>
      <c r="J30" s="192">
        <v>44449.0</v>
      </c>
      <c r="K30" s="204">
        <v>1000.0</v>
      </c>
      <c r="L30" s="194">
        <v>9.47</v>
      </c>
      <c r="M30" s="94">
        <v>20.0</v>
      </c>
      <c r="N30" s="112">
        <f t="shared" si="1"/>
        <v>9490</v>
      </c>
      <c r="O30" s="196">
        <f t="shared" si="2"/>
        <v>10.7195122</v>
      </c>
      <c r="P30" s="200"/>
      <c r="Q30" s="112"/>
      <c r="R30" s="112"/>
    </row>
    <row r="31" ht="17.25" customHeight="1">
      <c r="A31" s="112"/>
      <c r="B31" s="189">
        <f>IFERROR(__xludf.DUMMYFUNCTION("""COMPUTED_VALUE"""),45999.5625)</f>
        <v>45999.5625</v>
      </c>
      <c r="C31" s="190">
        <f>IFERROR(__xludf.DUMMYFUNCTION("""COMPUTED_VALUE"""),16.1)</f>
        <v>16.1</v>
      </c>
      <c r="D31" s="190">
        <f>IFERROR(__xludf.DUMMYFUNCTION("""COMPUTED_VALUE"""),16.2)</f>
        <v>16.2</v>
      </c>
      <c r="E31" s="190">
        <f>IFERROR(__xludf.DUMMYFUNCTION("""COMPUTED_VALUE"""),16.05)</f>
        <v>16.05</v>
      </c>
      <c r="F31" s="190">
        <f>IFERROR(__xludf.DUMMYFUNCTION("""COMPUTED_VALUE"""),16.05)</f>
        <v>16.05</v>
      </c>
      <c r="G31" s="191">
        <f>IFERROR(__xludf.DUMMYFUNCTION("""COMPUTED_VALUE"""),1.0351919E7)</f>
        <v>10351919</v>
      </c>
      <c r="H31" s="112"/>
      <c r="I31" s="112"/>
      <c r="J31" s="192">
        <v>44482.0</v>
      </c>
      <c r="K31" s="204">
        <v>105.0</v>
      </c>
      <c r="L31" s="194">
        <v>0.0</v>
      </c>
      <c r="M31" s="94"/>
      <c r="N31" s="112">
        <f t="shared" si="1"/>
        <v>0</v>
      </c>
      <c r="O31" s="196">
        <f t="shared" si="2"/>
        <v>10.45184304</v>
      </c>
      <c r="P31" s="198" t="s">
        <v>322</v>
      </c>
      <c r="Q31" s="112"/>
      <c r="R31" s="112"/>
    </row>
    <row r="32" ht="17.25" customHeight="1">
      <c r="A32" s="112"/>
      <c r="B32" s="189">
        <f>IFERROR(__xludf.DUMMYFUNCTION("""COMPUTED_VALUE"""),46000.5625)</f>
        <v>46000.5625</v>
      </c>
      <c r="C32" s="190">
        <f>IFERROR(__xludf.DUMMYFUNCTION("""COMPUTED_VALUE"""),16.0)</f>
        <v>16</v>
      </c>
      <c r="D32" s="190">
        <f>IFERROR(__xludf.DUMMYFUNCTION("""COMPUTED_VALUE"""),16.1)</f>
        <v>16.1</v>
      </c>
      <c r="E32" s="190">
        <f>IFERROR(__xludf.DUMMYFUNCTION("""COMPUTED_VALUE"""),16.0)</f>
        <v>16</v>
      </c>
      <c r="F32" s="190">
        <f>IFERROR(__xludf.DUMMYFUNCTION("""COMPUTED_VALUE"""),16.1)</f>
        <v>16.1</v>
      </c>
      <c r="G32" s="191">
        <f>IFERROR(__xludf.DUMMYFUNCTION("""COMPUTED_VALUE"""),7240389.0)</f>
        <v>7240389</v>
      </c>
      <c r="H32" s="112"/>
      <c r="I32" s="112"/>
      <c r="J32" s="192">
        <v>44510.0</v>
      </c>
      <c r="K32" s="204">
        <v>-2000.0</v>
      </c>
      <c r="L32" s="194">
        <v>0.0</v>
      </c>
      <c r="M32" s="94"/>
      <c r="N32" s="94">
        <v>-20860.0</v>
      </c>
      <c r="O32" s="196">
        <f t="shared" si="2"/>
        <v>10.47165533</v>
      </c>
      <c r="P32" s="198" t="s">
        <v>323</v>
      </c>
      <c r="Q32" s="112"/>
      <c r="R32" s="112"/>
    </row>
    <row r="33" ht="17.25" customHeight="1">
      <c r="A33" s="112"/>
      <c r="B33" s="189">
        <f>IFERROR(__xludf.DUMMYFUNCTION("""COMPUTED_VALUE"""),46001.5625)</f>
        <v>46001.5625</v>
      </c>
      <c r="C33" s="190">
        <f>IFERROR(__xludf.DUMMYFUNCTION("""COMPUTED_VALUE"""),16.0)</f>
        <v>16</v>
      </c>
      <c r="D33" s="190">
        <f>IFERROR(__xludf.DUMMYFUNCTION("""COMPUTED_VALUE"""),16.05)</f>
        <v>16.05</v>
      </c>
      <c r="E33" s="190">
        <f>IFERROR(__xludf.DUMMYFUNCTION("""COMPUTED_VALUE"""),15.8)</f>
        <v>15.8</v>
      </c>
      <c r="F33" s="190">
        <f>IFERROR(__xludf.DUMMYFUNCTION("""COMPUTED_VALUE"""),15.9)</f>
        <v>15.9</v>
      </c>
      <c r="G33" s="191">
        <f>IFERROR(__xludf.DUMMYFUNCTION("""COMPUTED_VALUE"""),1.9126108E7)</f>
        <v>19126108</v>
      </c>
      <c r="H33" s="112"/>
      <c r="I33" s="112"/>
      <c r="J33" s="197">
        <v>44523.0</v>
      </c>
      <c r="K33" s="204">
        <v>1000.0</v>
      </c>
      <c r="L33" s="194">
        <v>9.87</v>
      </c>
      <c r="M33" s="94">
        <v>20.0</v>
      </c>
      <c r="N33" s="112">
        <f t="shared" ref="N33:N41" si="3">K33*L33+M33</f>
        <v>9890</v>
      </c>
      <c r="O33" s="196">
        <f t="shared" si="2"/>
        <v>10.29017161</v>
      </c>
      <c r="P33" s="112"/>
      <c r="Q33" s="112"/>
      <c r="R33" s="112"/>
    </row>
    <row r="34" ht="17.25" customHeight="1">
      <c r="A34" s="112"/>
      <c r="B34" s="189">
        <f>IFERROR(__xludf.DUMMYFUNCTION("""COMPUTED_VALUE"""),46002.5625)</f>
        <v>46002.5625</v>
      </c>
      <c r="C34" s="190">
        <f>IFERROR(__xludf.DUMMYFUNCTION("""COMPUTED_VALUE"""),15.85)</f>
        <v>15.85</v>
      </c>
      <c r="D34" s="190">
        <f>IFERROR(__xludf.DUMMYFUNCTION("""COMPUTED_VALUE"""),15.9)</f>
        <v>15.9</v>
      </c>
      <c r="E34" s="190">
        <f>IFERROR(__xludf.DUMMYFUNCTION("""COMPUTED_VALUE"""),15.75)</f>
        <v>15.75</v>
      </c>
      <c r="F34" s="190">
        <f>IFERROR(__xludf.DUMMYFUNCTION("""COMPUTED_VALUE"""),15.85)</f>
        <v>15.85</v>
      </c>
      <c r="G34" s="191">
        <f>IFERROR(__xludf.DUMMYFUNCTION("""COMPUTED_VALUE"""),1.2190822E7)</f>
        <v>12190822</v>
      </c>
      <c r="H34" s="112"/>
      <c r="I34" s="112"/>
      <c r="J34" s="197">
        <v>44530.0</v>
      </c>
      <c r="K34" s="204">
        <v>795.0</v>
      </c>
      <c r="L34" s="194">
        <v>9.73</v>
      </c>
      <c r="M34" s="94">
        <v>20.0</v>
      </c>
      <c r="N34" s="112">
        <f t="shared" si="3"/>
        <v>7755.35</v>
      </c>
      <c r="O34" s="196">
        <f t="shared" si="2"/>
        <v>10.1838375</v>
      </c>
      <c r="P34" s="112"/>
      <c r="Q34" s="112"/>
      <c r="R34" s="112"/>
    </row>
    <row r="35" ht="17.25" customHeight="1">
      <c r="A35" s="112"/>
      <c r="B35" s="189">
        <f>IFERROR(__xludf.DUMMYFUNCTION("""COMPUTED_VALUE"""),46003.5625)</f>
        <v>46003.5625</v>
      </c>
      <c r="C35" s="190">
        <f>IFERROR(__xludf.DUMMYFUNCTION("""COMPUTED_VALUE"""),15.9)</f>
        <v>15.9</v>
      </c>
      <c r="D35" s="190">
        <f>IFERROR(__xludf.DUMMYFUNCTION("""COMPUTED_VALUE"""),15.95)</f>
        <v>15.95</v>
      </c>
      <c r="E35" s="190">
        <f>IFERROR(__xludf.DUMMYFUNCTION("""COMPUTED_VALUE"""),15.8)</f>
        <v>15.8</v>
      </c>
      <c r="F35" s="190">
        <f>IFERROR(__xludf.DUMMYFUNCTION("""COMPUTED_VALUE"""),15.8)</f>
        <v>15.8</v>
      </c>
      <c r="G35" s="191">
        <f>IFERROR(__xludf.DUMMYFUNCTION("""COMPUTED_VALUE"""),1.0339462E7)</f>
        <v>10339462</v>
      </c>
      <c r="H35" s="112"/>
      <c r="I35" s="112"/>
      <c r="J35" s="197">
        <v>44811.0</v>
      </c>
      <c r="K35" s="204">
        <v>148.0</v>
      </c>
      <c r="L35" s="194">
        <v>0.0</v>
      </c>
      <c r="M35" s="94">
        <v>0.0</v>
      </c>
      <c r="N35" s="112">
        <f t="shared" si="3"/>
        <v>0</v>
      </c>
      <c r="O35" s="196">
        <f t="shared" si="2"/>
        <v>9.820479749</v>
      </c>
      <c r="P35" s="198" t="s">
        <v>324</v>
      </c>
      <c r="Q35" s="112"/>
      <c r="R35" s="112"/>
    </row>
    <row r="36" ht="17.25" customHeight="1">
      <c r="A36" s="112"/>
      <c r="B36" s="189">
        <f>IFERROR(__xludf.DUMMYFUNCTION("""COMPUTED_VALUE"""),46006.5625)</f>
        <v>46006.5625</v>
      </c>
      <c r="C36" s="190">
        <f>IFERROR(__xludf.DUMMYFUNCTION("""COMPUTED_VALUE"""),15.8)</f>
        <v>15.8</v>
      </c>
      <c r="D36" s="190">
        <f>IFERROR(__xludf.DUMMYFUNCTION("""COMPUTED_VALUE"""),15.85)</f>
        <v>15.85</v>
      </c>
      <c r="E36" s="190">
        <f>IFERROR(__xludf.DUMMYFUNCTION("""COMPUTED_VALUE"""),15.7)</f>
        <v>15.7</v>
      </c>
      <c r="F36" s="190">
        <f>IFERROR(__xludf.DUMMYFUNCTION("""COMPUTED_VALUE"""),15.8)</f>
        <v>15.8</v>
      </c>
      <c r="G36" s="191">
        <f>IFERROR(__xludf.DUMMYFUNCTION("""COMPUTED_VALUE"""),9902112.0)</f>
        <v>9902112</v>
      </c>
      <c r="H36" s="112"/>
      <c r="I36" s="112"/>
      <c r="J36" s="197">
        <v>45169.0</v>
      </c>
      <c r="K36" s="194">
        <v>99.0</v>
      </c>
      <c r="L36" s="194">
        <v>0.0</v>
      </c>
      <c r="M36" s="94">
        <v>0.0</v>
      </c>
      <c r="N36" s="112">
        <f t="shared" si="3"/>
        <v>0</v>
      </c>
      <c r="O36" s="196">
        <f t="shared" si="2"/>
        <v>9.591558747</v>
      </c>
      <c r="P36" s="265" t="s">
        <v>325</v>
      </c>
      <c r="Q36" s="112"/>
      <c r="R36" s="112"/>
    </row>
    <row r="37" ht="17.25" customHeight="1">
      <c r="A37" s="112"/>
      <c r="B37" s="189">
        <f>IFERROR(__xludf.DUMMYFUNCTION("""COMPUTED_VALUE"""),46007.5625)</f>
        <v>46007.5625</v>
      </c>
      <c r="C37" s="190">
        <f>IFERROR(__xludf.DUMMYFUNCTION("""COMPUTED_VALUE"""),15.75)</f>
        <v>15.75</v>
      </c>
      <c r="D37" s="190">
        <f>IFERROR(__xludf.DUMMYFUNCTION("""COMPUTED_VALUE"""),15.85)</f>
        <v>15.85</v>
      </c>
      <c r="E37" s="190">
        <f>IFERROR(__xludf.DUMMYFUNCTION("""COMPUTED_VALUE"""),15.75)</f>
        <v>15.75</v>
      </c>
      <c r="F37" s="190">
        <f>IFERROR(__xludf.DUMMYFUNCTION("""COMPUTED_VALUE"""),15.85)</f>
        <v>15.85</v>
      </c>
      <c r="G37" s="191">
        <f>IFERROR(__xludf.DUMMYFUNCTION("""COMPUTED_VALUE"""),1.1222969E7)</f>
        <v>11222969</v>
      </c>
      <c r="H37" s="112"/>
      <c r="I37" s="112"/>
      <c r="J37" s="197">
        <v>45512.0</v>
      </c>
      <c r="K37" s="194">
        <v>488.0</v>
      </c>
      <c r="L37" s="194">
        <v>0.0</v>
      </c>
      <c r="M37" s="94">
        <v>0.0</v>
      </c>
      <c r="N37" s="112">
        <f t="shared" si="3"/>
        <v>0</v>
      </c>
      <c r="O37" s="196">
        <f t="shared" si="2"/>
        <v>8.603030623</v>
      </c>
      <c r="P37" s="265" t="s">
        <v>326</v>
      </c>
      <c r="Q37" s="112"/>
      <c r="R37" s="112"/>
    </row>
    <row r="38" ht="17.25" customHeight="1">
      <c r="A38" s="112"/>
      <c r="B38" s="189">
        <f>IFERROR(__xludf.DUMMYFUNCTION("""COMPUTED_VALUE"""),46008.5625)</f>
        <v>46008.5625</v>
      </c>
      <c r="C38" s="190">
        <f>IFERROR(__xludf.DUMMYFUNCTION("""COMPUTED_VALUE"""),15.85)</f>
        <v>15.85</v>
      </c>
      <c r="D38" s="190">
        <f>IFERROR(__xludf.DUMMYFUNCTION("""COMPUTED_VALUE"""),16.15)</f>
        <v>16.15</v>
      </c>
      <c r="E38" s="190">
        <f>IFERROR(__xludf.DUMMYFUNCTION("""COMPUTED_VALUE"""),15.85)</f>
        <v>15.85</v>
      </c>
      <c r="F38" s="190">
        <f>IFERROR(__xludf.DUMMYFUNCTION("""COMPUTED_VALUE"""),16.05)</f>
        <v>16.05</v>
      </c>
      <c r="G38" s="191">
        <f>IFERROR(__xludf.DUMMYFUNCTION("""COMPUTED_VALUE"""),2.0780543E7)</f>
        <v>20780543</v>
      </c>
      <c r="H38" s="112"/>
      <c r="I38" s="112"/>
      <c r="J38" s="197">
        <v>45874.0</v>
      </c>
      <c r="K38" s="204">
        <v>284.0</v>
      </c>
      <c r="L38" s="194">
        <v>0.0</v>
      </c>
      <c r="M38" s="94">
        <v>0.0</v>
      </c>
      <c r="N38" s="112">
        <f t="shared" si="3"/>
        <v>0</v>
      </c>
      <c r="O38" s="196">
        <f t="shared" si="2"/>
        <v>8.116228332</v>
      </c>
      <c r="P38" s="265" t="s">
        <v>327</v>
      </c>
      <c r="Q38" s="112"/>
      <c r="R38" s="112"/>
    </row>
    <row r="39" ht="17.25" customHeight="1">
      <c r="A39" s="112"/>
      <c r="B39" s="189">
        <f>IFERROR(__xludf.DUMMYFUNCTION("""COMPUTED_VALUE"""),46009.5625)</f>
        <v>46009.5625</v>
      </c>
      <c r="C39" s="190">
        <f>IFERROR(__xludf.DUMMYFUNCTION("""COMPUTED_VALUE"""),16.0)</f>
        <v>16</v>
      </c>
      <c r="D39" s="190">
        <f>IFERROR(__xludf.DUMMYFUNCTION("""COMPUTED_VALUE"""),16.1)</f>
        <v>16.1</v>
      </c>
      <c r="E39" s="190">
        <f>IFERROR(__xludf.DUMMYFUNCTION("""COMPUTED_VALUE"""),15.9)</f>
        <v>15.9</v>
      </c>
      <c r="F39" s="190">
        <f>IFERROR(__xludf.DUMMYFUNCTION("""COMPUTED_VALUE"""),16.0)</f>
        <v>16</v>
      </c>
      <c r="G39" s="191">
        <f>IFERROR(__xludf.DUMMYFUNCTION("""COMPUTED_VALUE"""),1.2357596E7)</f>
        <v>12357596</v>
      </c>
      <c r="H39" s="112"/>
      <c r="I39" s="112"/>
      <c r="J39" s="197"/>
      <c r="K39" s="204"/>
      <c r="L39" s="194"/>
      <c r="M39" s="94"/>
      <c r="N39" s="112">
        <f t="shared" si="3"/>
        <v>0</v>
      </c>
      <c r="O39" s="196">
        <f t="shared" si="2"/>
        <v>8.116228332</v>
      </c>
      <c r="P39" s="112"/>
      <c r="Q39" s="112"/>
      <c r="R39" s="112"/>
    </row>
    <row r="40" ht="17.25" customHeight="1">
      <c r="A40" s="112"/>
      <c r="B40" s="189">
        <f>IFERROR(__xludf.DUMMYFUNCTION("""COMPUTED_VALUE"""),46010.5625)</f>
        <v>46010.5625</v>
      </c>
      <c r="C40" s="190">
        <f>IFERROR(__xludf.DUMMYFUNCTION("""COMPUTED_VALUE"""),15.95)</f>
        <v>15.95</v>
      </c>
      <c r="D40" s="190">
        <f>IFERROR(__xludf.DUMMYFUNCTION("""COMPUTED_VALUE"""),16.2)</f>
        <v>16.2</v>
      </c>
      <c r="E40" s="190">
        <f>IFERROR(__xludf.DUMMYFUNCTION("""COMPUTED_VALUE"""),15.95)</f>
        <v>15.95</v>
      </c>
      <c r="F40" s="190">
        <f>IFERROR(__xludf.DUMMYFUNCTION("""COMPUTED_VALUE"""),16.15)</f>
        <v>16.15</v>
      </c>
      <c r="G40" s="191">
        <f>IFERROR(__xludf.DUMMYFUNCTION("""COMPUTED_VALUE"""),2.0568468E7)</f>
        <v>20568468</v>
      </c>
      <c r="H40" s="112"/>
      <c r="I40" s="112"/>
      <c r="J40" s="192"/>
      <c r="K40" s="204"/>
      <c r="L40" s="194"/>
      <c r="M40" s="94"/>
      <c r="N40" s="112">
        <f t="shared" si="3"/>
        <v>0</v>
      </c>
      <c r="O40" s="196">
        <f t="shared" si="2"/>
        <v>8.116228332</v>
      </c>
      <c r="P40" s="112"/>
      <c r="Q40" s="112"/>
      <c r="R40" s="112"/>
    </row>
    <row r="41" ht="17.25" customHeight="1">
      <c r="A41" s="112"/>
      <c r="B41" s="189">
        <f>IFERROR(__xludf.DUMMYFUNCTION("""COMPUTED_VALUE"""),46013.5625)</f>
        <v>46013.5625</v>
      </c>
      <c r="C41" s="190">
        <f>IFERROR(__xludf.DUMMYFUNCTION("""COMPUTED_VALUE"""),16.25)</f>
        <v>16.25</v>
      </c>
      <c r="D41" s="190">
        <f>IFERROR(__xludf.DUMMYFUNCTION("""COMPUTED_VALUE"""),16.35)</f>
        <v>16.35</v>
      </c>
      <c r="E41" s="190">
        <f>IFERROR(__xludf.DUMMYFUNCTION("""COMPUTED_VALUE"""),16.2)</f>
        <v>16.2</v>
      </c>
      <c r="F41" s="190">
        <f>IFERROR(__xludf.DUMMYFUNCTION("""COMPUTED_VALUE"""),16.3)</f>
        <v>16.3</v>
      </c>
      <c r="G41" s="191">
        <f>IFERROR(__xludf.DUMMYFUNCTION("""COMPUTED_VALUE"""),2.0323117E7)</f>
        <v>20323117</v>
      </c>
      <c r="H41" s="112"/>
      <c r="I41" s="112"/>
      <c r="J41" s="197">
        <f>TODAY()</f>
        <v>46172</v>
      </c>
      <c r="K41" s="204"/>
      <c r="L41" s="207">
        <f>B8</f>
        <v>16.25</v>
      </c>
      <c r="M41" s="94"/>
      <c r="N41" s="112">
        <f t="shared" si="3"/>
        <v>0</v>
      </c>
      <c r="O41" s="196">
        <f t="shared" si="2"/>
        <v>8.116228332</v>
      </c>
      <c r="P41" s="112"/>
      <c r="Q41" s="112"/>
      <c r="R41" s="112"/>
    </row>
    <row r="42" ht="17.25" customHeight="1">
      <c r="A42" s="112"/>
      <c r="B42" s="189">
        <f>IFERROR(__xludf.DUMMYFUNCTION("""COMPUTED_VALUE"""),46014.5625)</f>
        <v>46014.5625</v>
      </c>
      <c r="C42" s="190">
        <f>IFERROR(__xludf.DUMMYFUNCTION("""COMPUTED_VALUE"""),16.3)</f>
        <v>16.3</v>
      </c>
      <c r="D42" s="190">
        <f>IFERROR(__xludf.DUMMYFUNCTION("""COMPUTED_VALUE"""),16.3)</f>
        <v>16.3</v>
      </c>
      <c r="E42" s="190">
        <f>IFERROR(__xludf.DUMMYFUNCTION("""COMPUTED_VALUE"""),16.1)</f>
        <v>16.1</v>
      </c>
      <c r="F42" s="190">
        <f>IFERROR(__xludf.DUMMYFUNCTION("""COMPUTED_VALUE"""),16.2)</f>
        <v>16.2</v>
      </c>
      <c r="G42" s="191">
        <f>IFERROR(__xludf.DUMMYFUNCTION("""COMPUTED_VALUE"""),9356366.0)</f>
        <v>9356366</v>
      </c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</row>
    <row r="43" ht="17.25" customHeight="1">
      <c r="A43" s="112"/>
      <c r="B43" s="189">
        <f>IFERROR(__xludf.DUMMYFUNCTION("""COMPUTED_VALUE"""),46015.5625)</f>
        <v>46015.5625</v>
      </c>
      <c r="C43" s="190">
        <f>IFERROR(__xludf.DUMMYFUNCTION("""COMPUTED_VALUE"""),16.2)</f>
        <v>16.2</v>
      </c>
      <c r="D43" s="190">
        <f>IFERROR(__xludf.DUMMYFUNCTION("""COMPUTED_VALUE"""),16.25)</f>
        <v>16.25</v>
      </c>
      <c r="E43" s="190">
        <f>IFERROR(__xludf.DUMMYFUNCTION("""COMPUTED_VALUE"""),16.05)</f>
        <v>16.05</v>
      </c>
      <c r="F43" s="190">
        <f>IFERROR(__xludf.DUMMYFUNCTION("""COMPUTED_VALUE"""),16.15)</f>
        <v>16.15</v>
      </c>
      <c r="G43" s="191">
        <f>IFERROR(__xludf.DUMMYFUNCTION("""COMPUTED_VALUE"""),1.0134198E7)</f>
        <v>10134198</v>
      </c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</row>
    <row r="44" ht="17.25" customHeight="1">
      <c r="A44" s="112"/>
      <c r="B44" s="189">
        <f>IFERROR(__xludf.DUMMYFUNCTION("""COMPUTED_VALUE"""),46017.5625)</f>
        <v>46017.5625</v>
      </c>
      <c r="C44" s="190">
        <f>IFERROR(__xludf.DUMMYFUNCTION("""COMPUTED_VALUE"""),16.15)</f>
        <v>16.15</v>
      </c>
      <c r="D44" s="190">
        <f>IFERROR(__xludf.DUMMYFUNCTION("""COMPUTED_VALUE"""),16.15)</f>
        <v>16.15</v>
      </c>
      <c r="E44" s="190">
        <f>IFERROR(__xludf.DUMMYFUNCTION("""COMPUTED_VALUE"""),16.05)</f>
        <v>16.05</v>
      </c>
      <c r="F44" s="190">
        <f>IFERROR(__xludf.DUMMYFUNCTION("""COMPUTED_VALUE"""),16.05)</f>
        <v>16.05</v>
      </c>
      <c r="G44" s="191">
        <f>IFERROR(__xludf.DUMMYFUNCTION("""COMPUTED_VALUE"""),1.3901299E7)</f>
        <v>13901299</v>
      </c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</row>
    <row r="45" ht="17.25" customHeight="1">
      <c r="A45" s="112"/>
      <c r="B45" s="189">
        <f>IFERROR(__xludf.DUMMYFUNCTION("""COMPUTED_VALUE"""),46020.5625)</f>
        <v>46020.5625</v>
      </c>
      <c r="C45" s="190">
        <f>IFERROR(__xludf.DUMMYFUNCTION("""COMPUTED_VALUE"""),16.1)</f>
        <v>16.1</v>
      </c>
      <c r="D45" s="190">
        <f>IFERROR(__xludf.DUMMYFUNCTION("""COMPUTED_VALUE"""),16.15)</f>
        <v>16.15</v>
      </c>
      <c r="E45" s="190">
        <f>IFERROR(__xludf.DUMMYFUNCTION("""COMPUTED_VALUE"""),16.0)</f>
        <v>16</v>
      </c>
      <c r="F45" s="190">
        <f>IFERROR(__xludf.DUMMYFUNCTION("""COMPUTED_VALUE"""),16.15)</f>
        <v>16.15</v>
      </c>
      <c r="G45" s="191">
        <f>IFERROR(__xludf.DUMMYFUNCTION("""COMPUTED_VALUE"""),1.0615331E7)</f>
        <v>10615331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</row>
    <row r="46" ht="17.25" customHeight="1">
      <c r="A46" s="112"/>
      <c r="B46" s="189">
        <f>IFERROR(__xludf.DUMMYFUNCTION("""COMPUTED_VALUE"""),46021.5625)</f>
        <v>46021.5625</v>
      </c>
      <c r="C46" s="190">
        <f>IFERROR(__xludf.DUMMYFUNCTION("""COMPUTED_VALUE"""),16.15)</f>
        <v>16.15</v>
      </c>
      <c r="D46" s="190">
        <f>IFERROR(__xludf.DUMMYFUNCTION("""COMPUTED_VALUE"""),16.15)</f>
        <v>16.15</v>
      </c>
      <c r="E46" s="190">
        <f>IFERROR(__xludf.DUMMYFUNCTION("""COMPUTED_VALUE"""),16.0)</f>
        <v>16</v>
      </c>
      <c r="F46" s="190">
        <f>IFERROR(__xludf.DUMMYFUNCTION("""COMPUTED_VALUE"""),16.1)</f>
        <v>16.1</v>
      </c>
      <c r="G46" s="191">
        <f>IFERROR(__xludf.DUMMYFUNCTION("""COMPUTED_VALUE"""),5934706.0)</f>
        <v>5934706</v>
      </c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</row>
    <row r="47" ht="17.25" customHeight="1">
      <c r="A47" s="112"/>
      <c r="B47" s="189">
        <f>IFERROR(__xludf.DUMMYFUNCTION("""COMPUTED_VALUE"""),46022.5625)</f>
        <v>46022.5625</v>
      </c>
      <c r="C47" s="190">
        <f>IFERROR(__xludf.DUMMYFUNCTION("""COMPUTED_VALUE"""),16.1)</f>
        <v>16.1</v>
      </c>
      <c r="D47" s="190">
        <f>IFERROR(__xludf.DUMMYFUNCTION("""COMPUTED_VALUE"""),16.1)</f>
        <v>16.1</v>
      </c>
      <c r="E47" s="190">
        <f>IFERROR(__xludf.DUMMYFUNCTION("""COMPUTED_VALUE"""),16.0)</f>
        <v>16</v>
      </c>
      <c r="F47" s="190">
        <f>IFERROR(__xludf.DUMMYFUNCTION("""COMPUTED_VALUE"""),16.0)</f>
        <v>16</v>
      </c>
      <c r="G47" s="191">
        <f>IFERROR(__xludf.DUMMYFUNCTION("""COMPUTED_VALUE"""),8643606.0)</f>
        <v>8643606</v>
      </c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</row>
    <row r="48" ht="17.25" customHeight="1">
      <c r="A48" s="112"/>
      <c r="B48" s="189">
        <f>IFERROR(__xludf.DUMMYFUNCTION("""COMPUTED_VALUE"""),46024.5625)</f>
        <v>46024.5625</v>
      </c>
      <c r="C48" s="190">
        <f>IFERROR(__xludf.DUMMYFUNCTION("""COMPUTED_VALUE"""),16.0)</f>
        <v>16</v>
      </c>
      <c r="D48" s="190">
        <f>IFERROR(__xludf.DUMMYFUNCTION("""COMPUTED_VALUE"""),16.1)</f>
        <v>16.1</v>
      </c>
      <c r="E48" s="190">
        <f>IFERROR(__xludf.DUMMYFUNCTION("""COMPUTED_VALUE"""),16.0)</f>
        <v>16</v>
      </c>
      <c r="F48" s="190">
        <f>IFERROR(__xludf.DUMMYFUNCTION("""COMPUTED_VALUE"""),16.05)</f>
        <v>16.05</v>
      </c>
      <c r="G48" s="191">
        <f>IFERROR(__xludf.DUMMYFUNCTION("""COMPUTED_VALUE"""),6137869.0)</f>
        <v>6137869</v>
      </c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</row>
    <row r="49" ht="17.25" customHeight="1">
      <c r="A49" s="112"/>
      <c r="B49" s="189">
        <f>IFERROR(__xludf.DUMMYFUNCTION("""COMPUTED_VALUE"""),46027.5625)</f>
        <v>46027.5625</v>
      </c>
      <c r="C49" s="190">
        <f>IFERROR(__xludf.DUMMYFUNCTION("""COMPUTED_VALUE"""),16.05)</f>
        <v>16.05</v>
      </c>
      <c r="D49" s="190">
        <f>IFERROR(__xludf.DUMMYFUNCTION("""COMPUTED_VALUE"""),16.1)</f>
        <v>16.1</v>
      </c>
      <c r="E49" s="190">
        <f>IFERROR(__xludf.DUMMYFUNCTION("""COMPUTED_VALUE"""),16.0)</f>
        <v>16</v>
      </c>
      <c r="F49" s="190">
        <f>IFERROR(__xludf.DUMMYFUNCTION("""COMPUTED_VALUE"""),16.05)</f>
        <v>16.05</v>
      </c>
      <c r="G49" s="191">
        <f>IFERROR(__xludf.DUMMYFUNCTION("""COMPUTED_VALUE"""),1.1223075E7)</f>
        <v>11223075</v>
      </c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</row>
    <row r="50" ht="17.25" customHeight="1">
      <c r="A50" s="112"/>
      <c r="B50" s="189">
        <f>IFERROR(__xludf.DUMMYFUNCTION("""COMPUTED_VALUE"""),46028.5625)</f>
        <v>46028.5625</v>
      </c>
      <c r="C50" s="190">
        <f>IFERROR(__xludf.DUMMYFUNCTION("""COMPUTED_VALUE"""),16.1)</f>
        <v>16.1</v>
      </c>
      <c r="D50" s="190">
        <f>IFERROR(__xludf.DUMMYFUNCTION("""COMPUTED_VALUE"""),16.15)</f>
        <v>16.15</v>
      </c>
      <c r="E50" s="190">
        <f>IFERROR(__xludf.DUMMYFUNCTION("""COMPUTED_VALUE"""),16.0)</f>
        <v>16</v>
      </c>
      <c r="F50" s="190">
        <f>IFERROR(__xludf.DUMMYFUNCTION("""COMPUTED_VALUE"""),16.15)</f>
        <v>16.15</v>
      </c>
      <c r="G50" s="191">
        <f>IFERROR(__xludf.DUMMYFUNCTION("""COMPUTED_VALUE"""),1.2832486E7)</f>
        <v>12832486</v>
      </c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 ht="17.25" customHeight="1">
      <c r="A51" s="112"/>
      <c r="B51" s="189">
        <f>IFERROR(__xludf.DUMMYFUNCTION("""COMPUTED_VALUE"""),46029.5625)</f>
        <v>46029.5625</v>
      </c>
      <c r="C51" s="190">
        <f>IFERROR(__xludf.DUMMYFUNCTION("""COMPUTED_VALUE"""),16.1)</f>
        <v>16.1</v>
      </c>
      <c r="D51" s="190">
        <f>IFERROR(__xludf.DUMMYFUNCTION("""COMPUTED_VALUE"""),16.15)</f>
        <v>16.15</v>
      </c>
      <c r="E51" s="190">
        <f>IFERROR(__xludf.DUMMYFUNCTION("""COMPUTED_VALUE"""),16.0)</f>
        <v>16</v>
      </c>
      <c r="F51" s="190">
        <f>IFERROR(__xludf.DUMMYFUNCTION("""COMPUTED_VALUE"""),16.05)</f>
        <v>16.05</v>
      </c>
      <c r="G51" s="191">
        <f>IFERROR(__xludf.DUMMYFUNCTION("""COMPUTED_VALUE"""),1.5197947E7)</f>
        <v>15197947</v>
      </c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</row>
    <row r="52" ht="17.25" customHeight="1">
      <c r="A52" s="112"/>
      <c r="B52" s="189">
        <f>IFERROR(__xludf.DUMMYFUNCTION("""COMPUTED_VALUE"""),46030.5625)</f>
        <v>46030.5625</v>
      </c>
      <c r="C52" s="190">
        <f>IFERROR(__xludf.DUMMYFUNCTION("""COMPUTED_VALUE"""),16.05)</f>
        <v>16.05</v>
      </c>
      <c r="D52" s="190">
        <f>IFERROR(__xludf.DUMMYFUNCTION("""COMPUTED_VALUE"""),16.15)</f>
        <v>16.15</v>
      </c>
      <c r="E52" s="190">
        <f>IFERROR(__xludf.DUMMYFUNCTION("""COMPUTED_VALUE"""),16.0)</f>
        <v>16</v>
      </c>
      <c r="F52" s="190">
        <f>IFERROR(__xludf.DUMMYFUNCTION("""COMPUTED_VALUE"""),16.15)</f>
        <v>16.15</v>
      </c>
      <c r="G52" s="191">
        <f>IFERROR(__xludf.DUMMYFUNCTION("""COMPUTED_VALUE"""),1.5632057E7)</f>
        <v>15632057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 ht="17.25" customHeight="1">
      <c r="A53" s="112"/>
      <c r="B53" s="189">
        <f>IFERROR(__xludf.DUMMYFUNCTION("""COMPUTED_VALUE"""),46031.5625)</f>
        <v>46031.5625</v>
      </c>
      <c r="C53" s="190">
        <f>IFERROR(__xludf.DUMMYFUNCTION("""COMPUTED_VALUE"""),16.15)</f>
        <v>16.15</v>
      </c>
      <c r="D53" s="190">
        <f>IFERROR(__xludf.DUMMYFUNCTION("""COMPUTED_VALUE"""),16.2)</f>
        <v>16.2</v>
      </c>
      <c r="E53" s="190">
        <f>IFERROR(__xludf.DUMMYFUNCTION("""COMPUTED_VALUE"""),16.05)</f>
        <v>16.05</v>
      </c>
      <c r="F53" s="190">
        <f>IFERROR(__xludf.DUMMYFUNCTION("""COMPUTED_VALUE"""),16.15)</f>
        <v>16.15</v>
      </c>
      <c r="G53" s="191">
        <f>IFERROR(__xludf.DUMMYFUNCTION("""COMPUTED_VALUE"""),1.3272937E7)</f>
        <v>13272937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</row>
    <row r="54" ht="17.25" customHeight="1">
      <c r="A54" s="112"/>
      <c r="B54" s="189">
        <f>IFERROR(__xludf.DUMMYFUNCTION("""COMPUTED_VALUE"""),46034.5625)</f>
        <v>46034.5625</v>
      </c>
      <c r="C54" s="190">
        <f>IFERROR(__xludf.DUMMYFUNCTION("""COMPUTED_VALUE"""),16.1)</f>
        <v>16.1</v>
      </c>
      <c r="D54" s="190">
        <f>IFERROR(__xludf.DUMMYFUNCTION("""COMPUTED_VALUE"""),16.15)</f>
        <v>16.15</v>
      </c>
      <c r="E54" s="190">
        <f>IFERROR(__xludf.DUMMYFUNCTION("""COMPUTED_VALUE"""),15.8)</f>
        <v>15.8</v>
      </c>
      <c r="F54" s="190">
        <f>IFERROR(__xludf.DUMMYFUNCTION("""COMPUTED_VALUE"""),15.95)</f>
        <v>15.95</v>
      </c>
      <c r="G54" s="191">
        <f>IFERROR(__xludf.DUMMYFUNCTION("""COMPUTED_VALUE"""),3.3002387E7)</f>
        <v>33002387</v>
      </c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</row>
    <row r="55" ht="17.25" customHeight="1">
      <c r="A55" s="112"/>
      <c r="B55" s="189">
        <f>IFERROR(__xludf.DUMMYFUNCTION("""COMPUTED_VALUE"""),46035.5625)</f>
        <v>46035.5625</v>
      </c>
      <c r="C55" s="190">
        <f>IFERROR(__xludf.DUMMYFUNCTION("""COMPUTED_VALUE"""),16.05)</f>
        <v>16.05</v>
      </c>
      <c r="D55" s="190">
        <f>IFERROR(__xludf.DUMMYFUNCTION("""COMPUTED_VALUE"""),16.05)</f>
        <v>16.05</v>
      </c>
      <c r="E55" s="190">
        <f>IFERROR(__xludf.DUMMYFUNCTION("""COMPUTED_VALUE"""),15.9)</f>
        <v>15.9</v>
      </c>
      <c r="F55" s="190">
        <f>IFERROR(__xludf.DUMMYFUNCTION("""COMPUTED_VALUE"""),15.95)</f>
        <v>15.95</v>
      </c>
      <c r="G55" s="191">
        <f>IFERROR(__xludf.DUMMYFUNCTION("""COMPUTED_VALUE"""),1.2015099E7)</f>
        <v>12015099</v>
      </c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</row>
    <row r="56" ht="17.25" customHeight="1">
      <c r="A56" s="112"/>
      <c r="B56" s="189">
        <f>IFERROR(__xludf.DUMMYFUNCTION("""COMPUTED_VALUE"""),46036.5625)</f>
        <v>46036.5625</v>
      </c>
      <c r="C56" s="190">
        <f>IFERROR(__xludf.DUMMYFUNCTION("""COMPUTED_VALUE"""),16.05)</f>
        <v>16.05</v>
      </c>
      <c r="D56" s="190">
        <f>IFERROR(__xludf.DUMMYFUNCTION("""COMPUTED_VALUE"""),16.1)</f>
        <v>16.1</v>
      </c>
      <c r="E56" s="190">
        <f>IFERROR(__xludf.DUMMYFUNCTION("""COMPUTED_VALUE"""),15.8)</f>
        <v>15.8</v>
      </c>
      <c r="F56" s="190">
        <f>IFERROR(__xludf.DUMMYFUNCTION("""COMPUTED_VALUE"""),15.9)</f>
        <v>15.9</v>
      </c>
      <c r="G56" s="191">
        <f>IFERROR(__xludf.DUMMYFUNCTION("""COMPUTED_VALUE"""),2.9930938E7)</f>
        <v>29930938</v>
      </c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</row>
    <row r="57" ht="17.25" customHeight="1">
      <c r="A57" s="112"/>
      <c r="B57" s="189">
        <f>IFERROR(__xludf.DUMMYFUNCTION("""COMPUTED_VALUE"""),46037.5625)</f>
        <v>46037.5625</v>
      </c>
      <c r="C57" s="190">
        <f>IFERROR(__xludf.DUMMYFUNCTION("""COMPUTED_VALUE"""),15.9)</f>
        <v>15.9</v>
      </c>
      <c r="D57" s="190">
        <f>IFERROR(__xludf.DUMMYFUNCTION("""COMPUTED_VALUE"""),16.0)</f>
        <v>16</v>
      </c>
      <c r="E57" s="190">
        <f>IFERROR(__xludf.DUMMYFUNCTION("""COMPUTED_VALUE"""),15.85)</f>
        <v>15.85</v>
      </c>
      <c r="F57" s="190">
        <f>IFERROR(__xludf.DUMMYFUNCTION("""COMPUTED_VALUE"""),15.9)</f>
        <v>15.9</v>
      </c>
      <c r="G57" s="191">
        <f>IFERROR(__xludf.DUMMYFUNCTION("""COMPUTED_VALUE"""),9813831.0)</f>
        <v>9813831</v>
      </c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</row>
    <row r="58" ht="17.25" customHeight="1">
      <c r="A58" s="112"/>
      <c r="B58" s="189">
        <f>IFERROR(__xludf.DUMMYFUNCTION("""COMPUTED_VALUE"""),46038.5625)</f>
        <v>46038.5625</v>
      </c>
      <c r="C58" s="190">
        <f>IFERROR(__xludf.DUMMYFUNCTION("""COMPUTED_VALUE"""),15.95)</f>
        <v>15.95</v>
      </c>
      <c r="D58" s="190">
        <f>IFERROR(__xludf.DUMMYFUNCTION("""COMPUTED_VALUE"""),16.0)</f>
        <v>16</v>
      </c>
      <c r="E58" s="190">
        <f>IFERROR(__xludf.DUMMYFUNCTION("""COMPUTED_VALUE"""),15.85)</f>
        <v>15.85</v>
      </c>
      <c r="F58" s="190">
        <f>IFERROR(__xludf.DUMMYFUNCTION("""COMPUTED_VALUE"""),15.9)</f>
        <v>15.9</v>
      </c>
      <c r="G58" s="191">
        <f>IFERROR(__xludf.DUMMYFUNCTION("""COMPUTED_VALUE"""),1.3102425E7)</f>
        <v>13102425</v>
      </c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</row>
    <row r="59" ht="17.25" customHeight="1">
      <c r="A59" s="112"/>
      <c r="B59" s="189">
        <f>IFERROR(__xludf.DUMMYFUNCTION("""COMPUTED_VALUE"""),46041.5625)</f>
        <v>46041.5625</v>
      </c>
      <c r="C59" s="190">
        <f>IFERROR(__xludf.DUMMYFUNCTION("""COMPUTED_VALUE"""),15.9)</f>
        <v>15.9</v>
      </c>
      <c r="D59" s="190">
        <f>IFERROR(__xludf.DUMMYFUNCTION("""COMPUTED_VALUE"""),16.1)</f>
        <v>16.1</v>
      </c>
      <c r="E59" s="190">
        <f>IFERROR(__xludf.DUMMYFUNCTION("""COMPUTED_VALUE"""),15.85)</f>
        <v>15.85</v>
      </c>
      <c r="F59" s="190">
        <f>IFERROR(__xludf.DUMMYFUNCTION("""COMPUTED_VALUE"""),15.9)</f>
        <v>15.9</v>
      </c>
      <c r="G59" s="191">
        <f>IFERROR(__xludf.DUMMYFUNCTION("""COMPUTED_VALUE"""),2.1753247E7)</f>
        <v>21753247</v>
      </c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</row>
    <row r="60" ht="17.25" customHeight="1">
      <c r="A60" s="112"/>
      <c r="B60" s="189">
        <f>IFERROR(__xludf.DUMMYFUNCTION("""COMPUTED_VALUE"""),46042.5625)</f>
        <v>46042.5625</v>
      </c>
      <c r="C60" s="190">
        <f>IFERROR(__xludf.DUMMYFUNCTION("""COMPUTED_VALUE"""),15.9)</f>
        <v>15.9</v>
      </c>
      <c r="D60" s="190">
        <f>IFERROR(__xludf.DUMMYFUNCTION("""COMPUTED_VALUE"""),15.95)</f>
        <v>15.95</v>
      </c>
      <c r="E60" s="190">
        <f>IFERROR(__xludf.DUMMYFUNCTION("""COMPUTED_VALUE"""),15.8)</f>
        <v>15.8</v>
      </c>
      <c r="F60" s="190">
        <f>IFERROR(__xludf.DUMMYFUNCTION("""COMPUTED_VALUE"""),15.85)</f>
        <v>15.85</v>
      </c>
      <c r="G60" s="191">
        <f>IFERROR(__xludf.DUMMYFUNCTION("""COMPUTED_VALUE"""),1.6954885E7)</f>
        <v>16954885</v>
      </c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</row>
    <row r="61" ht="17.25" customHeight="1">
      <c r="A61" s="112"/>
      <c r="B61" s="189">
        <f>IFERROR(__xludf.DUMMYFUNCTION("""COMPUTED_VALUE"""),46043.5625)</f>
        <v>46043.5625</v>
      </c>
      <c r="C61" s="190">
        <f>IFERROR(__xludf.DUMMYFUNCTION("""COMPUTED_VALUE"""),15.85)</f>
        <v>15.85</v>
      </c>
      <c r="D61" s="190">
        <f>IFERROR(__xludf.DUMMYFUNCTION("""COMPUTED_VALUE"""),15.85)</f>
        <v>15.85</v>
      </c>
      <c r="E61" s="190">
        <f>IFERROR(__xludf.DUMMYFUNCTION("""COMPUTED_VALUE"""),15.65)</f>
        <v>15.65</v>
      </c>
      <c r="F61" s="190">
        <f>IFERROR(__xludf.DUMMYFUNCTION("""COMPUTED_VALUE"""),15.75)</f>
        <v>15.75</v>
      </c>
      <c r="G61" s="191">
        <f>IFERROR(__xludf.DUMMYFUNCTION("""COMPUTED_VALUE"""),2.9609329E7)</f>
        <v>29609329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</row>
    <row r="62" ht="17.25" customHeight="1">
      <c r="A62" s="112"/>
      <c r="B62" s="189">
        <f>IFERROR(__xludf.DUMMYFUNCTION("""COMPUTED_VALUE"""),46044.5625)</f>
        <v>46044.5625</v>
      </c>
      <c r="C62" s="190">
        <f>IFERROR(__xludf.DUMMYFUNCTION("""COMPUTED_VALUE"""),15.8)</f>
        <v>15.8</v>
      </c>
      <c r="D62" s="190">
        <f>IFERROR(__xludf.DUMMYFUNCTION("""COMPUTED_VALUE"""),15.85)</f>
        <v>15.85</v>
      </c>
      <c r="E62" s="190">
        <f>IFERROR(__xludf.DUMMYFUNCTION("""COMPUTED_VALUE"""),15.65)</f>
        <v>15.65</v>
      </c>
      <c r="F62" s="190">
        <f>IFERROR(__xludf.DUMMYFUNCTION("""COMPUTED_VALUE"""),15.65)</f>
        <v>15.65</v>
      </c>
      <c r="G62" s="191">
        <f>IFERROR(__xludf.DUMMYFUNCTION("""COMPUTED_VALUE"""),1.8482109E7)</f>
        <v>18482109</v>
      </c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</row>
    <row r="63" ht="17.25" customHeight="1">
      <c r="A63" s="112"/>
      <c r="B63" s="189">
        <f>IFERROR(__xludf.DUMMYFUNCTION("""COMPUTED_VALUE"""),46045.5625)</f>
        <v>46045.5625</v>
      </c>
      <c r="C63" s="190">
        <f>IFERROR(__xludf.DUMMYFUNCTION("""COMPUTED_VALUE"""),15.7)</f>
        <v>15.7</v>
      </c>
      <c r="D63" s="190">
        <f>IFERROR(__xludf.DUMMYFUNCTION("""COMPUTED_VALUE"""),15.75)</f>
        <v>15.75</v>
      </c>
      <c r="E63" s="190">
        <f>IFERROR(__xludf.DUMMYFUNCTION("""COMPUTED_VALUE"""),15.65)</f>
        <v>15.65</v>
      </c>
      <c r="F63" s="190">
        <f>IFERROR(__xludf.DUMMYFUNCTION("""COMPUTED_VALUE"""),15.7)</f>
        <v>15.7</v>
      </c>
      <c r="G63" s="191">
        <f>IFERROR(__xludf.DUMMYFUNCTION("""COMPUTED_VALUE"""),1.605736E7)</f>
        <v>16057360</v>
      </c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</row>
    <row r="64" ht="17.25" customHeight="1">
      <c r="A64" s="112"/>
      <c r="B64" s="189">
        <f>IFERROR(__xludf.DUMMYFUNCTION("""COMPUTED_VALUE"""),46048.5625)</f>
        <v>46048.5625</v>
      </c>
      <c r="C64" s="190">
        <f>IFERROR(__xludf.DUMMYFUNCTION("""COMPUTED_VALUE"""),15.75)</f>
        <v>15.75</v>
      </c>
      <c r="D64" s="190">
        <f>IFERROR(__xludf.DUMMYFUNCTION("""COMPUTED_VALUE"""),15.75)</f>
        <v>15.75</v>
      </c>
      <c r="E64" s="190">
        <f>IFERROR(__xludf.DUMMYFUNCTION("""COMPUTED_VALUE"""),15.6)</f>
        <v>15.6</v>
      </c>
      <c r="F64" s="190">
        <f>IFERROR(__xludf.DUMMYFUNCTION("""COMPUTED_VALUE"""),15.65)</f>
        <v>15.65</v>
      </c>
      <c r="G64" s="191">
        <f>IFERROR(__xludf.DUMMYFUNCTION("""COMPUTED_VALUE"""),1.3066089E7)</f>
        <v>13066089</v>
      </c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</row>
    <row r="65" ht="17.25" customHeight="1">
      <c r="A65" s="112"/>
      <c r="B65" s="189">
        <f>IFERROR(__xludf.DUMMYFUNCTION("""COMPUTED_VALUE"""),46049.5625)</f>
        <v>46049.5625</v>
      </c>
      <c r="C65" s="190">
        <f>IFERROR(__xludf.DUMMYFUNCTION("""COMPUTED_VALUE"""),15.65)</f>
        <v>15.65</v>
      </c>
      <c r="D65" s="190">
        <f>IFERROR(__xludf.DUMMYFUNCTION("""COMPUTED_VALUE"""),15.75)</f>
        <v>15.75</v>
      </c>
      <c r="E65" s="190">
        <f>IFERROR(__xludf.DUMMYFUNCTION("""COMPUTED_VALUE"""),15.5)</f>
        <v>15.5</v>
      </c>
      <c r="F65" s="190">
        <f>IFERROR(__xludf.DUMMYFUNCTION("""COMPUTED_VALUE"""),15.5)</f>
        <v>15.5</v>
      </c>
      <c r="G65" s="191">
        <f>IFERROR(__xludf.DUMMYFUNCTION("""COMPUTED_VALUE"""),3.0768023E7)</f>
        <v>30768023</v>
      </c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</row>
    <row r="66" ht="17.25" customHeight="1">
      <c r="A66" s="112"/>
      <c r="B66" s="189">
        <f>IFERROR(__xludf.DUMMYFUNCTION("""COMPUTED_VALUE"""),46050.5625)</f>
        <v>46050.5625</v>
      </c>
      <c r="C66" s="190">
        <f>IFERROR(__xludf.DUMMYFUNCTION("""COMPUTED_VALUE"""),15.5)</f>
        <v>15.5</v>
      </c>
      <c r="D66" s="190">
        <f>IFERROR(__xludf.DUMMYFUNCTION("""COMPUTED_VALUE"""),15.6)</f>
        <v>15.6</v>
      </c>
      <c r="E66" s="190">
        <f>IFERROR(__xludf.DUMMYFUNCTION("""COMPUTED_VALUE"""),15.45)</f>
        <v>15.45</v>
      </c>
      <c r="F66" s="190">
        <f>IFERROR(__xludf.DUMMYFUNCTION("""COMPUTED_VALUE"""),15.55)</f>
        <v>15.55</v>
      </c>
      <c r="G66" s="191">
        <f>IFERROR(__xludf.DUMMYFUNCTION("""COMPUTED_VALUE"""),2.0219344E7)</f>
        <v>20219344</v>
      </c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</row>
    <row r="67" ht="17.25" customHeight="1">
      <c r="A67" s="112"/>
      <c r="B67" s="189">
        <f>IFERROR(__xludf.DUMMYFUNCTION("""COMPUTED_VALUE"""),46051.5625)</f>
        <v>46051.5625</v>
      </c>
      <c r="C67" s="190">
        <f>IFERROR(__xludf.DUMMYFUNCTION("""COMPUTED_VALUE"""),15.6)</f>
        <v>15.6</v>
      </c>
      <c r="D67" s="190">
        <f>IFERROR(__xludf.DUMMYFUNCTION("""COMPUTED_VALUE"""),15.65)</f>
        <v>15.65</v>
      </c>
      <c r="E67" s="190">
        <f>IFERROR(__xludf.DUMMYFUNCTION("""COMPUTED_VALUE"""),15.5)</f>
        <v>15.5</v>
      </c>
      <c r="F67" s="190">
        <f>IFERROR(__xludf.DUMMYFUNCTION("""COMPUTED_VALUE"""),15.55)</f>
        <v>15.55</v>
      </c>
      <c r="G67" s="191">
        <f>IFERROR(__xludf.DUMMYFUNCTION("""COMPUTED_VALUE"""),1.5825422E7)</f>
        <v>15825422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</row>
    <row r="68" ht="17.25" customHeight="1">
      <c r="A68" s="112"/>
      <c r="B68" s="189">
        <f>IFERROR(__xludf.DUMMYFUNCTION("""COMPUTED_VALUE"""),46052.5625)</f>
        <v>46052.5625</v>
      </c>
      <c r="C68" s="190">
        <f>IFERROR(__xludf.DUMMYFUNCTION("""COMPUTED_VALUE"""),15.55)</f>
        <v>15.55</v>
      </c>
      <c r="D68" s="190">
        <f>IFERROR(__xludf.DUMMYFUNCTION("""COMPUTED_VALUE"""),15.6)</f>
        <v>15.6</v>
      </c>
      <c r="E68" s="190">
        <f>IFERROR(__xludf.DUMMYFUNCTION("""COMPUTED_VALUE"""),15.35)</f>
        <v>15.35</v>
      </c>
      <c r="F68" s="190">
        <f>IFERROR(__xludf.DUMMYFUNCTION("""COMPUTED_VALUE"""),15.4)</f>
        <v>15.4</v>
      </c>
      <c r="G68" s="191">
        <f>IFERROR(__xludf.DUMMYFUNCTION("""COMPUTED_VALUE"""),3.3254967E7)</f>
        <v>33254967</v>
      </c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</row>
    <row r="69" ht="17.25" customHeight="1">
      <c r="A69" s="112"/>
      <c r="B69" s="189">
        <f>IFERROR(__xludf.DUMMYFUNCTION("""COMPUTED_VALUE"""),46055.5625)</f>
        <v>46055.5625</v>
      </c>
      <c r="C69" s="190">
        <f>IFERROR(__xludf.DUMMYFUNCTION("""COMPUTED_VALUE"""),15.4)</f>
        <v>15.4</v>
      </c>
      <c r="D69" s="190">
        <f>IFERROR(__xludf.DUMMYFUNCTION("""COMPUTED_VALUE"""),15.4)</f>
        <v>15.4</v>
      </c>
      <c r="E69" s="190">
        <f>IFERROR(__xludf.DUMMYFUNCTION("""COMPUTED_VALUE"""),15.2)</f>
        <v>15.2</v>
      </c>
      <c r="F69" s="190">
        <f>IFERROR(__xludf.DUMMYFUNCTION("""COMPUTED_VALUE"""),15.25)</f>
        <v>15.25</v>
      </c>
      <c r="G69" s="191">
        <f>IFERROR(__xludf.DUMMYFUNCTION("""COMPUTED_VALUE"""),2.2502577E7)</f>
        <v>22502577</v>
      </c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</row>
    <row r="70" ht="17.25" customHeight="1">
      <c r="A70" s="112"/>
      <c r="B70" s="189">
        <f>IFERROR(__xludf.DUMMYFUNCTION("""COMPUTED_VALUE"""),46056.5625)</f>
        <v>46056.5625</v>
      </c>
      <c r="C70" s="190">
        <f>IFERROR(__xludf.DUMMYFUNCTION("""COMPUTED_VALUE"""),15.3)</f>
        <v>15.3</v>
      </c>
      <c r="D70" s="190">
        <f>IFERROR(__xludf.DUMMYFUNCTION("""COMPUTED_VALUE"""),15.45)</f>
        <v>15.45</v>
      </c>
      <c r="E70" s="190">
        <f>IFERROR(__xludf.DUMMYFUNCTION("""COMPUTED_VALUE"""),15.3)</f>
        <v>15.3</v>
      </c>
      <c r="F70" s="190">
        <f>IFERROR(__xludf.DUMMYFUNCTION("""COMPUTED_VALUE"""),15.35)</f>
        <v>15.35</v>
      </c>
      <c r="G70" s="191">
        <f>IFERROR(__xludf.DUMMYFUNCTION("""COMPUTED_VALUE"""),8460856.0)</f>
        <v>8460856</v>
      </c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</row>
    <row r="71" ht="17.25" customHeight="1">
      <c r="A71" s="112"/>
      <c r="B71" s="189">
        <f>IFERROR(__xludf.DUMMYFUNCTION("""COMPUTED_VALUE"""),46057.5625)</f>
        <v>46057.5625</v>
      </c>
      <c r="C71" s="190">
        <f>IFERROR(__xludf.DUMMYFUNCTION("""COMPUTED_VALUE"""),15.3)</f>
        <v>15.3</v>
      </c>
      <c r="D71" s="190">
        <f>IFERROR(__xludf.DUMMYFUNCTION("""COMPUTED_VALUE"""),15.5)</f>
        <v>15.5</v>
      </c>
      <c r="E71" s="190">
        <f>IFERROR(__xludf.DUMMYFUNCTION("""COMPUTED_VALUE"""),15.3)</f>
        <v>15.3</v>
      </c>
      <c r="F71" s="190">
        <f>IFERROR(__xludf.DUMMYFUNCTION("""COMPUTED_VALUE"""),15.35)</f>
        <v>15.35</v>
      </c>
      <c r="G71" s="191">
        <f>IFERROR(__xludf.DUMMYFUNCTION("""COMPUTED_VALUE"""),1.3482422E7)</f>
        <v>13482422</v>
      </c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</row>
    <row r="72" ht="17.25" customHeight="1">
      <c r="A72" s="112"/>
      <c r="B72" s="189">
        <f>IFERROR(__xludf.DUMMYFUNCTION("""COMPUTED_VALUE"""),46058.5625)</f>
        <v>46058.5625</v>
      </c>
      <c r="C72" s="190">
        <f>IFERROR(__xludf.DUMMYFUNCTION("""COMPUTED_VALUE"""),15.35)</f>
        <v>15.35</v>
      </c>
      <c r="D72" s="190">
        <f>IFERROR(__xludf.DUMMYFUNCTION("""COMPUTED_VALUE"""),15.55)</f>
        <v>15.55</v>
      </c>
      <c r="E72" s="190">
        <f>IFERROR(__xludf.DUMMYFUNCTION("""COMPUTED_VALUE"""),15.3)</f>
        <v>15.3</v>
      </c>
      <c r="F72" s="190">
        <f>IFERROR(__xludf.DUMMYFUNCTION("""COMPUTED_VALUE"""),15.45)</f>
        <v>15.45</v>
      </c>
      <c r="G72" s="191">
        <f>IFERROR(__xludf.DUMMYFUNCTION("""COMPUTED_VALUE"""),1.0843665E7)</f>
        <v>10843665</v>
      </c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</row>
    <row r="73" ht="17.25" customHeight="1">
      <c r="A73" s="112"/>
      <c r="B73" s="189">
        <f>IFERROR(__xludf.DUMMYFUNCTION("""COMPUTED_VALUE"""),46059.5625)</f>
        <v>46059.5625</v>
      </c>
      <c r="C73" s="190">
        <f>IFERROR(__xludf.DUMMYFUNCTION("""COMPUTED_VALUE"""),15.45)</f>
        <v>15.45</v>
      </c>
      <c r="D73" s="190">
        <f>IFERROR(__xludf.DUMMYFUNCTION("""COMPUTED_VALUE"""),15.45)</f>
        <v>15.45</v>
      </c>
      <c r="E73" s="190">
        <f>IFERROR(__xludf.DUMMYFUNCTION("""COMPUTED_VALUE"""),15.3)</f>
        <v>15.3</v>
      </c>
      <c r="F73" s="190">
        <f>IFERROR(__xludf.DUMMYFUNCTION("""COMPUTED_VALUE"""),15.4)</f>
        <v>15.4</v>
      </c>
      <c r="G73" s="191">
        <f>IFERROR(__xludf.DUMMYFUNCTION("""COMPUTED_VALUE"""),1.167733E7)</f>
        <v>11677330</v>
      </c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</row>
    <row r="74" ht="17.25" customHeight="1">
      <c r="A74" s="112"/>
      <c r="B74" s="189">
        <f>IFERROR(__xludf.DUMMYFUNCTION("""COMPUTED_VALUE"""),46062.5625)</f>
        <v>46062.5625</v>
      </c>
      <c r="C74" s="190">
        <f>IFERROR(__xludf.DUMMYFUNCTION("""COMPUTED_VALUE"""),15.5)</f>
        <v>15.5</v>
      </c>
      <c r="D74" s="190">
        <f>IFERROR(__xludf.DUMMYFUNCTION("""COMPUTED_VALUE"""),15.65)</f>
        <v>15.65</v>
      </c>
      <c r="E74" s="190">
        <f>IFERROR(__xludf.DUMMYFUNCTION("""COMPUTED_VALUE"""),15.45)</f>
        <v>15.45</v>
      </c>
      <c r="F74" s="190">
        <f>IFERROR(__xludf.DUMMYFUNCTION("""COMPUTED_VALUE"""),15.45)</f>
        <v>15.45</v>
      </c>
      <c r="G74" s="191">
        <f>IFERROR(__xludf.DUMMYFUNCTION("""COMPUTED_VALUE"""),1.3495687E7)</f>
        <v>13495687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</row>
    <row r="75" ht="17.25" customHeight="1">
      <c r="A75" s="112"/>
      <c r="B75" s="189">
        <f>IFERROR(__xludf.DUMMYFUNCTION("""COMPUTED_VALUE"""),46063.5625)</f>
        <v>46063.5625</v>
      </c>
      <c r="C75" s="190">
        <f>IFERROR(__xludf.DUMMYFUNCTION("""COMPUTED_VALUE"""),15.6)</f>
        <v>15.6</v>
      </c>
      <c r="D75" s="190">
        <f>IFERROR(__xludf.DUMMYFUNCTION("""COMPUTED_VALUE"""),15.8)</f>
        <v>15.8</v>
      </c>
      <c r="E75" s="190">
        <f>IFERROR(__xludf.DUMMYFUNCTION("""COMPUTED_VALUE"""),15.6)</f>
        <v>15.6</v>
      </c>
      <c r="F75" s="190">
        <f>IFERROR(__xludf.DUMMYFUNCTION("""COMPUTED_VALUE"""),15.7)</f>
        <v>15.7</v>
      </c>
      <c r="G75" s="191">
        <f>IFERROR(__xludf.DUMMYFUNCTION("""COMPUTED_VALUE"""),1.9819568E7)</f>
        <v>19819568</v>
      </c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</row>
    <row r="76" ht="17.25" customHeight="1">
      <c r="A76" s="112"/>
      <c r="B76" s="189">
        <f>IFERROR(__xludf.DUMMYFUNCTION("""COMPUTED_VALUE"""),46064.5625)</f>
        <v>46064.5625</v>
      </c>
      <c r="C76" s="190">
        <f>IFERROR(__xludf.DUMMYFUNCTION("""COMPUTED_VALUE"""),15.8)</f>
        <v>15.8</v>
      </c>
      <c r="D76" s="190">
        <f>IFERROR(__xludf.DUMMYFUNCTION("""COMPUTED_VALUE"""),15.9)</f>
        <v>15.9</v>
      </c>
      <c r="E76" s="190">
        <f>IFERROR(__xludf.DUMMYFUNCTION("""COMPUTED_VALUE"""),15.7)</f>
        <v>15.7</v>
      </c>
      <c r="F76" s="190">
        <f>IFERROR(__xludf.DUMMYFUNCTION("""COMPUTED_VALUE"""),15.8)</f>
        <v>15.8</v>
      </c>
      <c r="G76" s="191">
        <f>IFERROR(__xludf.DUMMYFUNCTION("""COMPUTED_VALUE"""),1.7861375E7)</f>
        <v>17861375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</row>
    <row r="77" ht="17.25" customHeight="1">
      <c r="A77" s="112"/>
      <c r="B77" s="189">
        <f>IFERROR(__xludf.DUMMYFUNCTION("""COMPUTED_VALUE"""),46076.5625)</f>
        <v>46076.5625</v>
      </c>
      <c r="C77" s="190">
        <f>IFERROR(__xludf.DUMMYFUNCTION("""COMPUTED_VALUE"""),15.85)</f>
        <v>15.85</v>
      </c>
      <c r="D77" s="190">
        <f>IFERROR(__xludf.DUMMYFUNCTION("""COMPUTED_VALUE"""),16.2)</f>
        <v>16.2</v>
      </c>
      <c r="E77" s="190">
        <f>IFERROR(__xludf.DUMMYFUNCTION("""COMPUTED_VALUE"""),15.75)</f>
        <v>15.75</v>
      </c>
      <c r="F77" s="190">
        <f>IFERROR(__xludf.DUMMYFUNCTION("""COMPUTED_VALUE"""),16.1)</f>
        <v>16.1</v>
      </c>
      <c r="G77" s="191">
        <f>IFERROR(__xludf.DUMMYFUNCTION("""COMPUTED_VALUE"""),5.4049728E7)</f>
        <v>54049728</v>
      </c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</row>
    <row r="78" ht="17.25" customHeight="1">
      <c r="A78" s="112"/>
      <c r="B78" s="189">
        <f>IFERROR(__xludf.DUMMYFUNCTION("""COMPUTED_VALUE"""),46077.5625)</f>
        <v>46077.5625</v>
      </c>
      <c r="C78" s="190">
        <f>IFERROR(__xludf.DUMMYFUNCTION("""COMPUTED_VALUE"""),16.1)</f>
        <v>16.1</v>
      </c>
      <c r="D78" s="190">
        <f>IFERROR(__xludf.DUMMYFUNCTION("""COMPUTED_VALUE"""),16.2)</f>
        <v>16.2</v>
      </c>
      <c r="E78" s="190">
        <f>IFERROR(__xludf.DUMMYFUNCTION("""COMPUTED_VALUE"""),16.0)</f>
        <v>16</v>
      </c>
      <c r="F78" s="190">
        <f>IFERROR(__xludf.DUMMYFUNCTION("""COMPUTED_VALUE"""),16.2)</f>
        <v>16.2</v>
      </c>
      <c r="G78" s="191">
        <f>IFERROR(__xludf.DUMMYFUNCTION("""COMPUTED_VALUE"""),2.5530748E7)</f>
        <v>25530748</v>
      </c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</row>
    <row r="79" ht="17.25" customHeight="1">
      <c r="A79" s="112"/>
      <c r="B79" s="189">
        <f>IFERROR(__xludf.DUMMYFUNCTION("""COMPUTED_VALUE"""),46078.5625)</f>
        <v>46078.5625</v>
      </c>
      <c r="C79" s="190">
        <f>IFERROR(__xludf.DUMMYFUNCTION("""COMPUTED_VALUE"""),16.2)</f>
        <v>16.2</v>
      </c>
      <c r="D79" s="190">
        <f>IFERROR(__xludf.DUMMYFUNCTION("""COMPUTED_VALUE"""),16.25)</f>
        <v>16.25</v>
      </c>
      <c r="E79" s="190">
        <f>IFERROR(__xludf.DUMMYFUNCTION("""COMPUTED_VALUE"""),16.1)</f>
        <v>16.1</v>
      </c>
      <c r="F79" s="190">
        <f>IFERROR(__xludf.DUMMYFUNCTION("""COMPUTED_VALUE"""),16.15)</f>
        <v>16.15</v>
      </c>
      <c r="G79" s="191">
        <f>IFERROR(__xludf.DUMMYFUNCTION("""COMPUTED_VALUE"""),2.4657347E7)</f>
        <v>24657347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</row>
    <row r="80" ht="17.25" customHeight="1">
      <c r="A80" s="112"/>
      <c r="B80" s="189">
        <f>IFERROR(__xludf.DUMMYFUNCTION("""COMPUTED_VALUE"""),46079.5625)</f>
        <v>46079.5625</v>
      </c>
      <c r="C80" s="190">
        <f>IFERROR(__xludf.DUMMYFUNCTION("""COMPUTED_VALUE"""),16.15)</f>
        <v>16.15</v>
      </c>
      <c r="D80" s="190">
        <f>IFERROR(__xludf.DUMMYFUNCTION("""COMPUTED_VALUE"""),16.4)</f>
        <v>16.4</v>
      </c>
      <c r="E80" s="190">
        <f>IFERROR(__xludf.DUMMYFUNCTION("""COMPUTED_VALUE"""),16.15)</f>
        <v>16.15</v>
      </c>
      <c r="F80" s="190">
        <f>IFERROR(__xludf.DUMMYFUNCTION("""COMPUTED_VALUE"""),16.4)</f>
        <v>16.4</v>
      </c>
      <c r="G80" s="191">
        <f>IFERROR(__xludf.DUMMYFUNCTION("""COMPUTED_VALUE"""),5.0711874E7)</f>
        <v>50711874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</row>
    <row r="81" ht="17.25" customHeight="1">
      <c r="A81" s="112"/>
      <c r="B81" s="189">
        <f>IFERROR(__xludf.DUMMYFUNCTION("""COMPUTED_VALUE"""),46083.5625)</f>
        <v>46083.5625</v>
      </c>
      <c r="C81" s="190">
        <f>IFERROR(__xludf.DUMMYFUNCTION("""COMPUTED_VALUE"""),16.3)</f>
        <v>16.3</v>
      </c>
      <c r="D81" s="190">
        <f>IFERROR(__xludf.DUMMYFUNCTION("""COMPUTED_VALUE"""),16.3)</f>
        <v>16.3</v>
      </c>
      <c r="E81" s="190">
        <f>IFERROR(__xludf.DUMMYFUNCTION("""COMPUTED_VALUE"""),15.95)</f>
        <v>15.95</v>
      </c>
      <c r="F81" s="190">
        <f>IFERROR(__xludf.DUMMYFUNCTION("""COMPUTED_VALUE"""),15.95)</f>
        <v>15.95</v>
      </c>
      <c r="G81" s="191">
        <f>IFERROR(__xludf.DUMMYFUNCTION("""COMPUTED_VALUE"""),3.9256441E7)</f>
        <v>39256441</v>
      </c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</row>
    <row r="82" ht="17.25" customHeight="1">
      <c r="A82" s="112"/>
      <c r="B82" s="189">
        <f>IFERROR(__xludf.DUMMYFUNCTION("""COMPUTED_VALUE"""),46084.5625)</f>
        <v>46084.5625</v>
      </c>
      <c r="C82" s="190">
        <f>IFERROR(__xludf.DUMMYFUNCTION("""COMPUTED_VALUE"""),15.85)</f>
        <v>15.85</v>
      </c>
      <c r="D82" s="190">
        <f>IFERROR(__xludf.DUMMYFUNCTION("""COMPUTED_VALUE"""),15.95)</f>
        <v>15.95</v>
      </c>
      <c r="E82" s="190">
        <f>IFERROR(__xludf.DUMMYFUNCTION("""COMPUTED_VALUE"""),15.75)</f>
        <v>15.75</v>
      </c>
      <c r="F82" s="190">
        <f>IFERROR(__xludf.DUMMYFUNCTION("""COMPUTED_VALUE"""),15.8)</f>
        <v>15.8</v>
      </c>
      <c r="G82" s="191">
        <f>IFERROR(__xludf.DUMMYFUNCTION("""COMPUTED_VALUE"""),2.5784033E7)</f>
        <v>25784033</v>
      </c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</row>
    <row r="83" ht="17.25" customHeight="1">
      <c r="A83" s="112"/>
      <c r="B83" s="189">
        <f>IFERROR(__xludf.DUMMYFUNCTION("""COMPUTED_VALUE"""),46085.5625)</f>
        <v>46085.5625</v>
      </c>
      <c r="C83" s="190">
        <f>IFERROR(__xludf.DUMMYFUNCTION("""COMPUTED_VALUE"""),15.65)</f>
        <v>15.65</v>
      </c>
      <c r="D83" s="190">
        <f>IFERROR(__xludf.DUMMYFUNCTION("""COMPUTED_VALUE"""),15.7)</f>
        <v>15.7</v>
      </c>
      <c r="E83" s="190">
        <f>IFERROR(__xludf.DUMMYFUNCTION("""COMPUTED_VALUE"""),15.35)</f>
        <v>15.35</v>
      </c>
      <c r="F83" s="190">
        <f>IFERROR(__xludf.DUMMYFUNCTION("""COMPUTED_VALUE"""),15.35)</f>
        <v>15.35</v>
      </c>
      <c r="G83" s="191">
        <f>IFERROR(__xludf.DUMMYFUNCTION("""COMPUTED_VALUE"""),4.6543879E7)</f>
        <v>46543879</v>
      </c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</row>
    <row r="84" ht="17.25" customHeight="1">
      <c r="A84" s="112"/>
      <c r="B84" s="189">
        <f>IFERROR(__xludf.DUMMYFUNCTION("""COMPUTED_VALUE"""),46086.5625)</f>
        <v>46086.5625</v>
      </c>
      <c r="C84" s="190">
        <f>IFERROR(__xludf.DUMMYFUNCTION("""COMPUTED_VALUE"""),15.55)</f>
        <v>15.55</v>
      </c>
      <c r="D84" s="190">
        <f>IFERROR(__xludf.DUMMYFUNCTION("""COMPUTED_VALUE"""),15.6)</f>
        <v>15.6</v>
      </c>
      <c r="E84" s="190">
        <f>IFERROR(__xludf.DUMMYFUNCTION("""COMPUTED_VALUE"""),15.35)</f>
        <v>15.35</v>
      </c>
      <c r="F84" s="190">
        <f>IFERROR(__xludf.DUMMYFUNCTION("""COMPUTED_VALUE"""),15.35)</f>
        <v>15.35</v>
      </c>
      <c r="G84" s="191">
        <f>IFERROR(__xludf.DUMMYFUNCTION("""COMPUTED_VALUE"""),2.6618865E7)</f>
        <v>26618865</v>
      </c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</row>
    <row r="85" ht="17.25" customHeight="1">
      <c r="A85" s="112"/>
      <c r="B85" s="189">
        <f>IFERROR(__xludf.DUMMYFUNCTION("""COMPUTED_VALUE"""),46087.5625)</f>
        <v>46087.5625</v>
      </c>
      <c r="C85" s="190">
        <f>IFERROR(__xludf.DUMMYFUNCTION("""COMPUTED_VALUE"""),15.35)</f>
        <v>15.35</v>
      </c>
      <c r="D85" s="190">
        <f>IFERROR(__xludf.DUMMYFUNCTION("""COMPUTED_VALUE"""),15.55)</f>
        <v>15.55</v>
      </c>
      <c r="E85" s="190">
        <f>IFERROR(__xludf.DUMMYFUNCTION("""COMPUTED_VALUE"""),15.35)</f>
        <v>15.35</v>
      </c>
      <c r="F85" s="190">
        <f>IFERROR(__xludf.DUMMYFUNCTION("""COMPUTED_VALUE"""),15.45)</f>
        <v>15.45</v>
      </c>
      <c r="G85" s="191">
        <f>IFERROR(__xludf.DUMMYFUNCTION("""COMPUTED_VALUE"""),1.8458155E7)</f>
        <v>18458155</v>
      </c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</row>
    <row r="86" ht="17.25" customHeight="1">
      <c r="A86" s="112"/>
      <c r="B86" s="189">
        <f>IFERROR(__xludf.DUMMYFUNCTION("""COMPUTED_VALUE"""),46090.5625)</f>
        <v>46090.5625</v>
      </c>
      <c r="C86" s="190">
        <f>IFERROR(__xludf.DUMMYFUNCTION("""COMPUTED_VALUE"""),15.25)</f>
        <v>15.25</v>
      </c>
      <c r="D86" s="190">
        <f>IFERROR(__xludf.DUMMYFUNCTION("""COMPUTED_VALUE"""),15.25)</f>
        <v>15.25</v>
      </c>
      <c r="E86" s="190">
        <f>IFERROR(__xludf.DUMMYFUNCTION("""COMPUTED_VALUE"""),15.0)</f>
        <v>15</v>
      </c>
      <c r="F86" s="190">
        <f>IFERROR(__xludf.DUMMYFUNCTION("""COMPUTED_VALUE"""),15.05)</f>
        <v>15.05</v>
      </c>
      <c r="G86" s="191">
        <f>IFERROR(__xludf.DUMMYFUNCTION("""COMPUTED_VALUE"""),4.8954472E7)</f>
        <v>48954472</v>
      </c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</row>
    <row r="87" ht="17.25" customHeight="1">
      <c r="A87" s="112"/>
      <c r="B87" s="189">
        <f>IFERROR(__xludf.DUMMYFUNCTION("""COMPUTED_VALUE"""),46091.5625)</f>
        <v>46091.5625</v>
      </c>
      <c r="C87" s="190">
        <f>IFERROR(__xludf.DUMMYFUNCTION("""COMPUTED_VALUE"""),15.25)</f>
        <v>15.25</v>
      </c>
      <c r="D87" s="190">
        <f>IFERROR(__xludf.DUMMYFUNCTION("""COMPUTED_VALUE"""),15.25)</f>
        <v>15.25</v>
      </c>
      <c r="E87" s="190">
        <f>IFERROR(__xludf.DUMMYFUNCTION("""COMPUTED_VALUE"""),15.05)</f>
        <v>15.05</v>
      </c>
      <c r="F87" s="190">
        <f>IFERROR(__xludf.DUMMYFUNCTION("""COMPUTED_VALUE"""),15.05)</f>
        <v>15.05</v>
      </c>
      <c r="G87" s="191">
        <f>IFERROR(__xludf.DUMMYFUNCTION("""COMPUTED_VALUE"""),3.4499911E7)</f>
        <v>34499911</v>
      </c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</row>
    <row r="88" ht="17.25" customHeight="1">
      <c r="A88" s="112"/>
      <c r="B88" s="189">
        <f>IFERROR(__xludf.DUMMYFUNCTION("""COMPUTED_VALUE"""),46092.5625)</f>
        <v>46092.5625</v>
      </c>
      <c r="C88" s="190">
        <f>IFERROR(__xludf.DUMMYFUNCTION("""COMPUTED_VALUE"""),15.1)</f>
        <v>15.1</v>
      </c>
      <c r="D88" s="190">
        <f>IFERROR(__xludf.DUMMYFUNCTION("""COMPUTED_VALUE"""),15.35)</f>
        <v>15.35</v>
      </c>
      <c r="E88" s="190">
        <f>IFERROR(__xludf.DUMMYFUNCTION("""COMPUTED_VALUE"""),15.1)</f>
        <v>15.1</v>
      </c>
      <c r="F88" s="190">
        <f>IFERROR(__xludf.DUMMYFUNCTION("""COMPUTED_VALUE"""),15.2)</f>
        <v>15.2</v>
      </c>
      <c r="G88" s="191">
        <f>IFERROR(__xludf.DUMMYFUNCTION("""COMPUTED_VALUE"""),2.1517338E7)</f>
        <v>21517338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</row>
    <row r="89" ht="17.25" customHeight="1">
      <c r="A89" s="112"/>
      <c r="B89" s="189">
        <f>IFERROR(__xludf.DUMMYFUNCTION("""COMPUTED_VALUE"""),46093.5625)</f>
        <v>46093.5625</v>
      </c>
      <c r="C89" s="190">
        <f>IFERROR(__xludf.DUMMYFUNCTION("""COMPUTED_VALUE"""),15.15)</f>
        <v>15.15</v>
      </c>
      <c r="D89" s="190">
        <f>IFERROR(__xludf.DUMMYFUNCTION("""COMPUTED_VALUE"""),15.2)</f>
        <v>15.2</v>
      </c>
      <c r="E89" s="190">
        <f>IFERROR(__xludf.DUMMYFUNCTION("""COMPUTED_VALUE"""),15.05)</f>
        <v>15.05</v>
      </c>
      <c r="F89" s="190">
        <f>IFERROR(__xludf.DUMMYFUNCTION("""COMPUTED_VALUE"""),15.05)</f>
        <v>15.05</v>
      </c>
      <c r="G89" s="191">
        <f>IFERROR(__xludf.DUMMYFUNCTION("""COMPUTED_VALUE"""),2.4613305E7)</f>
        <v>24613305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</row>
    <row r="90" ht="17.25" customHeight="1">
      <c r="A90" s="112"/>
      <c r="B90" s="189">
        <f>IFERROR(__xludf.DUMMYFUNCTION("""COMPUTED_VALUE"""),46094.5625)</f>
        <v>46094.5625</v>
      </c>
      <c r="C90" s="190">
        <f>IFERROR(__xludf.DUMMYFUNCTION("""COMPUTED_VALUE"""),15.0)</f>
        <v>15</v>
      </c>
      <c r="D90" s="190">
        <f>IFERROR(__xludf.DUMMYFUNCTION("""COMPUTED_VALUE"""),15.15)</f>
        <v>15.15</v>
      </c>
      <c r="E90" s="190">
        <f>IFERROR(__xludf.DUMMYFUNCTION("""COMPUTED_VALUE"""),15.0)</f>
        <v>15</v>
      </c>
      <c r="F90" s="190">
        <f>IFERROR(__xludf.DUMMYFUNCTION("""COMPUTED_VALUE"""),15.0)</f>
        <v>15</v>
      </c>
      <c r="G90" s="191">
        <f>IFERROR(__xludf.DUMMYFUNCTION("""COMPUTED_VALUE"""),3.2284785E7)</f>
        <v>32284785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</row>
    <row r="91" ht="17.25" customHeight="1">
      <c r="A91" s="112"/>
      <c r="B91" s="189">
        <f>IFERROR(__xludf.DUMMYFUNCTION("""COMPUTED_VALUE"""),46097.5625)</f>
        <v>46097.5625</v>
      </c>
      <c r="C91" s="190">
        <f>IFERROR(__xludf.DUMMYFUNCTION("""COMPUTED_VALUE"""),15.05)</f>
        <v>15.05</v>
      </c>
      <c r="D91" s="190">
        <f>IFERROR(__xludf.DUMMYFUNCTION("""COMPUTED_VALUE"""),15.1)</f>
        <v>15.1</v>
      </c>
      <c r="E91" s="190">
        <f>IFERROR(__xludf.DUMMYFUNCTION("""COMPUTED_VALUE"""),15.0)</f>
        <v>15</v>
      </c>
      <c r="F91" s="190">
        <f>IFERROR(__xludf.DUMMYFUNCTION("""COMPUTED_VALUE"""),15.0)</f>
        <v>15</v>
      </c>
      <c r="G91" s="191">
        <f>IFERROR(__xludf.DUMMYFUNCTION("""COMPUTED_VALUE"""),2.6112063E7)</f>
        <v>26112063</v>
      </c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</row>
    <row r="92" ht="17.25" customHeight="1">
      <c r="A92" s="112"/>
      <c r="B92" s="189">
        <f>IFERROR(__xludf.DUMMYFUNCTION("""COMPUTED_VALUE"""),46098.5625)</f>
        <v>46098.5625</v>
      </c>
      <c r="C92" s="190">
        <f>IFERROR(__xludf.DUMMYFUNCTION("""COMPUTED_VALUE"""),15.05)</f>
        <v>15.05</v>
      </c>
      <c r="D92" s="190">
        <f>IFERROR(__xludf.DUMMYFUNCTION("""COMPUTED_VALUE"""),15.15)</f>
        <v>15.15</v>
      </c>
      <c r="E92" s="190">
        <f>IFERROR(__xludf.DUMMYFUNCTION("""COMPUTED_VALUE"""),15.05)</f>
        <v>15.05</v>
      </c>
      <c r="F92" s="190">
        <f>IFERROR(__xludf.DUMMYFUNCTION("""COMPUTED_VALUE"""),15.05)</f>
        <v>15.05</v>
      </c>
      <c r="G92" s="191">
        <f>IFERROR(__xludf.DUMMYFUNCTION("""COMPUTED_VALUE"""),2.4564286E7)</f>
        <v>24564286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ht="17.25" customHeight="1">
      <c r="A93" s="112"/>
      <c r="B93" s="189">
        <f>IFERROR(__xludf.DUMMYFUNCTION("""COMPUTED_VALUE"""),46099.5625)</f>
        <v>46099.5625</v>
      </c>
      <c r="C93" s="190">
        <f>IFERROR(__xludf.DUMMYFUNCTION("""COMPUTED_VALUE"""),15.15)</f>
        <v>15.15</v>
      </c>
      <c r="D93" s="190">
        <f>IFERROR(__xludf.DUMMYFUNCTION("""COMPUTED_VALUE"""),15.2)</f>
        <v>15.2</v>
      </c>
      <c r="E93" s="190">
        <f>IFERROR(__xludf.DUMMYFUNCTION("""COMPUTED_VALUE"""),15.1)</f>
        <v>15.1</v>
      </c>
      <c r="F93" s="190">
        <f>IFERROR(__xludf.DUMMYFUNCTION("""COMPUTED_VALUE"""),15.15)</f>
        <v>15.15</v>
      </c>
      <c r="G93" s="191">
        <f>IFERROR(__xludf.DUMMYFUNCTION("""COMPUTED_VALUE"""),1.6821141E7)</f>
        <v>16821141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ht="17.25" customHeight="1">
      <c r="A94" s="112"/>
      <c r="B94" s="189">
        <f>IFERROR(__xludf.DUMMYFUNCTION("""COMPUTED_VALUE"""),46100.5625)</f>
        <v>46100.5625</v>
      </c>
      <c r="C94" s="190">
        <f>IFERROR(__xludf.DUMMYFUNCTION("""COMPUTED_VALUE"""),15.1)</f>
        <v>15.1</v>
      </c>
      <c r="D94" s="190">
        <f>IFERROR(__xludf.DUMMYFUNCTION("""COMPUTED_VALUE"""),15.1)</f>
        <v>15.1</v>
      </c>
      <c r="E94" s="190">
        <f>IFERROR(__xludf.DUMMYFUNCTION("""COMPUTED_VALUE"""),14.95)</f>
        <v>14.95</v>
      </c>
      <c r="F94" s="190">
        <f>IFERROR(__xludf.DUMMYFUNCTION("""COMPUTED_VALUE"""),15.05)</f>
        <v>15.05</v>
      </c>
      <c r="G94" s="191">
        <f>IFERROR(__xludf.DUMMYFUNCTION("""COMPUTED_VALUE"""),2.6746252E7)</f>
        <v>26746252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</row>
    <row r="95" ht="17.25" customHeight="1">
      <c r="A95" s="112"/>
      <c r="B95" s="189">
        <f>IFERROR(__xludf.DUMMYFUNCTION("""COMPUTED_VALUE"""),46101.5625)</f>
        <v>46101.5625</v>
      </c>
      <c r="C95" s="190">
        <f>IFERROR(__xludf.DUMMYFUNCTION("""COMPUTED_VALUE"""),15.0)</f>
        <v>15</v>
      </c>
      <c r="D95" s="190">
        <f>IFERROR(__xludf.DUMMYFUNCTION("""COMPUTED_VALUE"""),15.1)</f>
        <v>15.1</v>
      </c>
      <c r="E95" s="190">
        <f>IFERROR(__xludf.DUMMYFUNCTION("""COMPUTED_VALUE"""),15.0)</f>
        <v>15</v>
      </c>
      <c r="F95" s="190">
        <f>IFERROR(__xludf.DUMMYFUNCTION("""COMPUTED_VALUE"""),15.0)</f>
        <v>15</v>
      </c>
      <c r="G95" s="191">
        <f>IFERROR(__xludf.DUMMYFUNCTION("""COMPUTED_VALUE"""),3.0819184E7)</f>
        <v>30819184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</row>
    <row r="96" ht="17.25" customHeight="1">
      <c r="A96" s="112"/>
      <c r="B96" s="189">
        <f>IFERROR(__xludf.DUMMYFUNCTION("""COMPUTED_VALUE"""),46104.5625)</f>
        <v>46104.5625</v>
      </c>
      <c r="C96" s="190">
        <f>IFERROR(__xludf.DUMMYFUNCTION("""COMPUTED_VALUE"""),14.9)</f>
        <v>14.9</v>
      </c>
      <c r="D96" s="190">
        <f>IFERROR(__xludf.DUMMYFUNCTION("""COMPUTED_VALUE"""),14.95)</f>
        <v>14.95</v>
      </c>
      <c r="E96" s="190">
        <f>IFERROR(__xludf.DUMMYFUNCTION("""COMPUTED_VALUE"""),14.8)</f>
        <v>14.8</v>
      </c>
      <c r="F96" s="190">
        <f>IFERROR(__xludf.DUMMYFUNCTION("""COMPUTED_VALUE"""),14.85)</f>
        <v>14.85</v>
      </c>
      <c r="G96" s="191">
        <f>IFERROR(__xludf.DUMMYFUNCTION("""COMPUTED_VALUE"""),3.0408342E7)</f>
        <v>30408342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</row>
    <row r="97" ht="17.25" customHeight="1">
      <c r="A97" s="112"/>
      <c r="B97" s="189">
        <f>IFERROR(__xludf.DUMMYFUNCTION("""COMPUTED_VALUE"""),46105.5625)</f>
        <v>46105.5625</v>
      </c>
      <c r="C97" s="190">
        <f>IFERROR(__xludf.DUMMYFUNCTION("""COMPUTED_VALUE"""),15.0)</f>
        <v>15</v>
      </c>
      <c r="D97" s="190">
        <f>IFERROR(__xludf.DUMMYFUNCTION("""COMPUTED_VALUE"""),15.05)</f>
        <v>15.05</v>
      </c>
      <c r="E97" s="190">
        <f>IFERROR(__xludf.DUMMYFUNCTION("""COMPUTED_VALUE"""),14.8)</f>
        <v>14.8</v>
      </c>
      <c r="F97" s="190">
        <f>IFERROR(__xludf.DUMMYFUNCTION("""COMPUTED_VALUE"""),15.05)</f>
        <v>15.05</v>
      </c>
      <c r="G97" s="191">
        <f>IFERROR(__xludf.DUMMYFUNCTION("""COMPUTED_VALUE"""),2.3630161E7)</f>
        <v>23630161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ht="17.25" customHeight="1">
      <c r="A98" s="112"/>
      <c r="B98" s="189">
        <f>IFERROR(__xludf.DUMMYFUNCTION("""COMPUTED_VALUE"""),46106.5625)</f>
        <v>46106.5625</v>
      </c>
      <c r="C98" s="190">
        <f>IFERROR(__xludf.DUMMYFUNCTION("""COMPUTED_VALUE"""),15.1)</f>
        <v>15.1</v>
      </c>
      <c r="D98" s="190">
        <f>IFERROR(__xludf.DUMMYFUNCTION("""COMPUTED_VALUE"""),15.15)</f>
        <v>15.15</v>
      </c>
      <c r="E98" s="190">
        <f>IFERROR(__xludf.DUMMYFUNCTION("""COMPUTED_VALUE"""),15.0)</f>
        <v>15</v>
      </c>
      <c r="F98" s="190">
        <f>IFERROR(__xludf.DUMMYFUNCTION("""COMPUTED_VALUE"""),15.1)</f>
        <v>15.1</v>
      </c>
      <c r="G98" s="191">
        <f>IFERROR(__xludf.DUMMYFUNCTION("""COMPUTED_VALUE"""),2.7085424E7)</f>
        <v>27085424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</row>
    <row r="99" ht="17.25" customHeight="1">
      <c r="A99" s="112"/>
      <c r="B99" s="189">
        <f>IFERROR(__xludf.DUMMYFUNCTION("""COMPUTED_VALUE"""),46107.5625)</f>
        <v>46107.5625</v>
      </c>
      <c r="C99" s="190">
        <f>IFERROR(__xludf.DUMMYFUNCTION("""COMPUTED_VALUE"""),15.15)</f>
        <v>15.15</v>
      </c>
      <c r="D99" s="190">
        <f>IFERROR(__xludf.DUMMYFUNCTION("""COMPUTED_VALUE"""),15.15)</f>
        <v>15.15</v>
      </c>
      <c r="E99" s="190">
        <f>IFERROR(__xludf.DUMMYFUNCTION("""COMPUTED_VALUE"""),15.05)</f>
        <v>15.05</v>
      </c>
      <c r="F99" s="190">
        <f>IFERROR(__xludf.DUMMYFUNCTION("""COMPUTED_VALUE"""),15.05)</f>
        <v>15.05</v>
      </c>
      <c r="G99" s="191">
        <f>IFERROR(__xludf.DUMMYFUNCTION("""COMPUTED_VALUE"""),1.5807576E7)</f>
        <v>15807576</v>
      </c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</row>
    <row r="100" ht="17.25" customHeight="1">
      <c r="A100" s="112"/>
      <c r="B100" s="189">
        <f>IFERROR(__xludf.DUMMYFUNCTION("""COMPUTED_VALUE"""),46108.5625)</f>
        <v>46108.5625</v>
      </c>
      <c r="C100" s="190">
        <f>IFERROR(__xludf.DUMMYFUNCTION("""COMPUTED_VALUE"""),15.0)</f>
        <v>15</v>
      </c>
      <c r="D100" s="190">
        <f>IFERROR(__xludf.DUMMYFUNCTION("""COMPUTED_VALUE"""),15.15)</f>
        <v>15.15</v>
      </c>
      <c r="E100" s="190">
        <f>IFERROR(__xludf.DUMMYFUNCTION("""COMPUTED_VALUE"""),14.95)</f>
        <v>14.95</v>
      </c>
      <c r="F100" s="190">
        <f>IFERROR(__xludf.DUMMYFUNCTION("""COMPUTED_VALUE"""),15.05)</f>
        <v>15.05</v>
      </c>
      <c r="G100" s="191">
        <f>IFERROR(__xludf.DUMMYFUNCTION("""COMPUTED_VALUE"""),2.0576847E7)</f>
        <v>20576847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</row>
    <row r="101" ht="17.25" customHeight="1">
      <c r="A101" s="112"/>
      <c r="B101" s="189">
        <f>IFERROR(__xludf.DUMMYFUNCTION("""COMPUTED_VALUE"""),46111.5625)</f>
        <v>46111.5625</v>
      </c>
      <c r="C101" s="190">
        <f>IFERROR(__xludf.DUMMYFUNCTION("""COMPUTED_VALUE"""),14.9)</f>
        <v>14.9</v>
      </c>
      <c r="D101" s="190">
        <f>IFERROR(__xludf.DUMMYFUNCTION("""COMPUTED_VALUE"""),15.1)</f>
        <v>15.1</v>
      </c>
      <c r="E101" s="190">
        <f>IFERROR(__xludf.DUMMYFUNCTION("""COMPUTED_VALUE"""),14.9)</f>
        <v>14.9</v>
      </c>
      <c r="F101" s="190">
        <f>IFERROR(__xludf.DUMMYFUNCTION("""COMPUTED_VALUE"""),15.0)</f>
        <v>15</v>
      </c>
      <c r="G101" s="191">
        <f>IFERROR(__xludf.DUMMYFUNCTION("""COMPUTED_VALUE"""),2.4949343E7)</f>
        <v>24949343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</row>
    <row r="102" ht="17.25" customHeight="1">
      <c r="A102" s="112"/>
      <c r="B102" s="189">
        <f>IFERROR(__xludf.DUMMYFUNCTION("""COMPUTED_VALUE"""),46112.5625)</f>
        <v>46112.5625</v>
      </c>
      <c r="C102" s="190">
        <f>IFERROR(__xludf.DUMMYFUNCTION("""COMPUTED_VALUE"""),15.0)</f>
        <v>15</v>
      </c>
      <c r="D102" s="190">
        <f>IFERROR(__xludf.DUMMYFUNCTION("""COMPUTED_VALUE"""),15.15)</f>
        <v>15.15</v>
      </c>
      <c r="E102" s="190">
        <f>IFERROR(__xludf.DUMMYFUNCTION("""COMPUTED_VALUE"""),14.95)</f>
        <v>14.95</v>
      </c>
      <c r="F102" s="190">
        <f>IFERROR(__xludf.DUMMYFUNCTION("""COMPUTED_VALUE"""),15.0)</f>
        <v>15</v>
      </c>
      <c r="G102" s="191">
        <f>IFERROR(__xludf.DUMMYFUNCTION("""COMPUTED_VALUE"""),2.1392468E7)</f>
        <v>21392468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</row>
    <row r="103" ht="17.25" customHeight="1">
      <c r="A103" s="112"/>
      <c r="B103" s="189">
        <f>IFERROR(__xludf.DUMMYFUNCTION("""COMPUTED_VALUE"""),46113.5625)</f>
        <v>46113.5625</v>
      </c>
      <c r="C103" s="190">
        <f>IFERROR(__xludf.DUMMYFUNCTION("""COMPUTED_VALUE"""),15.15)</f>
        <v>15.15</v>
      </c>
      <c r="D103" s="190">
        <f>IFERROR(__xludf.DUMMYFUNCTION("""COMPUTED_VALUE"""),15.2)</f>
        <v>15.2</v>
      </c>
      <c r="E103" s="190">
        <f>IFERROR(__xludf.DUMMYFUNCTION("""COMPUTED_VALUE"""),15.05)</f>
        <v>15.05</v>
      </c>
      <c r="F103" s="190">
        <f>IFERROR(__xludf.DUMMYFUNCTION("""COMPUTED_VALUE"""),15.2)</f>
        <v>15.2</v>
      </c>
      <c r="G103" s="191">
        <f>IFERROR(__xludf.DUMMYFUNCTION("""COMPUTED_VALUE"""),1.9309894E7)</f>
        <v>19309894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</row>
    <row r="104" ht="17.25" customHeight="1">
      <c r="A104" s="112"/>
      <c r="B104" s="189">
        <f>IFERROR(__xludf.DUMMYFUNCTION("""COMPUTED_VALUE"""),46114.5625)</f>
        <v>46114.5625</v>
      </c>
      <c r="C104" s="190">
        <f>IFERROR(__xludf.DUMMYFUNCTION("""COMPUTED_VALUE"""),15.25)</f>
        <v>15.25</v>
      </c>
      <c r="D104" s="190">
        <f>IFERROR(__xludf.DUMMYFUNCTION("""COMPUTED_VALUE"""),15.3)</f>
        <v>15.3</v>
      </c>
      <c r="E104" s="190">
        <f>IFERROR(__xludf.DUMMYFUNCTION("""COMPUTED_VALUE"""),15.15)</f>
        <v>15.15</v>
      </c>
      <c r="F104" s="190">
        <f>IFERROR(__xludf.DUMMYFUNCTION("""COMPUTED_VALUE"""),15.25)</f>
        <v>15.25</v>
      </c>
      <c r="G104" s="191">
        <f>IFERROR(__xludf.DUMMYFUNCTION("""COMPUTED_VALUE"""),1.7109345E7)</f>
        <v>17109345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</row>
    <row r="105" ht="17.25" customHeight="1">
      <c r="A105" s="112"/>
      <c r="B105" s="189">
        <f>IFERROR(__xludf.DUMMYFUNCTION("""COMPUTED_VALUE"""),46119.5625)</f>
        <v>46119.5625</v>
      </c>
      <c r="C105" s="190">
        <f>IFERROR(__xludf.DUMMYFUNCTION("""COMPUTED_VALUE"""),15.25)</f>
        <v>15.25</v>
      </c>
      <c r="D105" s="190">
        <f>IFERROR(__xludf.DUMMYFUNCTION("""COMPUTED_VALUE"""),15.35)</f>
        <v>15.35</v>
      </c>
      <c r="E105" s="190">
        <f>IFERROR(__xludf.DUMMYFUNCTION("""COMPUTED_VALUE"""),15.2)</f>
        <v>15.2</v>
      </c>
      <c r="F105" s="190">
        <f>IFERROR(__xludf.DUMMYFUNCTION("""COMPUTED_VALUE"""),15.25)</f>
        <v>15.25</v>
      </c>
      <c r="G105" s="191">
        <f>IFERROR(__xludf.DUMMYFUNCTION("""COMPUTED_VALUE"""),1.291425E7)</f>
        <v>12914250</v>
      </c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</row>
    <row r="106" ht="17.25" customHeight="1">
      <c r="A106" s="112"/>
      <c r="B106" s="189">
        <f>IFERROR(__xludf.DUMMYFUNCTION("""COMPUTED_VALUE"""),46120.5625)</f>
        <v>46120.5625</v>
      </c>
      <c r="C106" s="190">
        <f>IFERROR(__xludf.DUMMYFUNCTION("""COMPUTED_VALUE"""),15.4)</f>
        <v>15.4</v>
      </c>
      <c r="D106" s="190">
        <f>IFERROR(__xludf.DUMMYFUNCTION("""COMPUTED_VALUE"""),15.4)</f>
        <v>15.4</v>
      </c>
      <c r="E106" s="190">
        <f>IFERROR(__xludf.DUMMYFUNCTION("""COMPUTED_VALUE"""),15.3)</f>
        <v>15.3</v>
      </c>
      <c r="F106" s="190">
        <f>IFERROR(__xludf.DUMMYFUNCTION("""COMPUTED_VALUE"""),15.35)</f>
        <v>15.35</v>
      </c>
      <c r="G106" s="191">
        <f>IFERROR(__xludf.DUMMYFUNCTION("""COMPUTED_VALUE"""),2.0404617E7)</f>
        <v>20404617</v>
      </c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</row>
    <row r="107" ht="17.25" customHeight="1">
      <c r="A107" s="112"/>
      <c r="B107" s="189">
        <f>IFERROR(__xludf.DUMMYFUNCTION("""COMPUTED_VALUE"""),46121.5625)</f>
        <v>46121.5625</v>
      </c>
      <c r="C107" s="190">
        <f>IFERROR(__xludf.DUMMYFUNCTION("""COMPUTED_VALUE"""),15.3)</f>
        <v>15.3</v>
      </c>
      <c r="D107" s="190">
        <f>IFERROR(__xludf.DUMMYFUNCTION("""COMPUTED_VALUE"""),15.35)</f>
        <v>15.35</v>
      </c>
      <c r="E107" s="190">
        <f>IFERROR(__xludf.DUMMYFUNCTION("""COMPUTED_VALUE"""),15.2)</f>
        <v>15.2</v>
      </c>
      <c r="F107" s="190">
        <f>IFERROR(__xludf.DUMMYFUNCTION("""COMPUTED_VALUE"""),15.35)</f>
        <v>15.35</v>
      </c>
      <c r="G107" s="191">
        <f>IFERROR(__xludf.DUMMYFUNCTION("""COMPUTED_VALUE"""),2.0334979E7)</f>
        <v>20334979</v>
      </c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</row>
    <row r="108" ht="17.25" customHeight="1">
      <c r="A108" s="112"/>
      <c r="B108" s="189">
        <f>IFERROR(__xludf.DUMMYFUNCTION("""COMPUTED_VALUE"""),46122.5625)</f>
        <v>46122.5625</v>
      </c>
      <c r="C108" s="190">
        <f>IFERROR(__xludf.DUMMYFUNCTION("""COMPUTED_VALUE"""),15.4)</f>
        <v>15.4</v>
      </c>
      <c r="D108" s="190">
        <f>IFERROR(__xludf.DUMMYFUNCTION("""COMPUTED_VALUE"""),15.55)</f>
        <v>15.55</v>
      </c>
      <c r="E108" s="190">
        <f>IFERROR(__xludf.DUMMYFUNCTION("""COMPUTED_VALUE"""),15.3)</f>
        <v>15.3</v>
      </c>
      <c r="F108" s="190">
        <f>IFERROR(__xludf.DUMMYFUNCTION("""COMPUTED_VALUE"""),15.35)</f>
        <v>15.35</v>
      </c>
      <c r="G108" s="191">
        <f>IFERROR(__xludf.DUMMYFUNCTION("""COMPUTED_VALUE"""),2.701229E7)</f>
        <v>27012290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</row>
    <row r="109" ht="17.25" customHeight="1">
      <c r="A109" s="112"/>
      <c r="B109" s="189">
        <f>IFERROR(__xludf.DUMMYFUNCTION("""COMPUTED_VALUE"""),46125.5625)</f>
        <v>46125.5625</v>
      </c>
      <c r="C109" s="190">
        <f>IFERROR(__xludf.DUMMYFUNCTION("""COMPUTED_VALUE"""),15.3)</f>
        <v>15.3</v>
      </c>
      <c r="D109" s="190">
        <f>IFERROR(__xludf.DUMMYFUNCTION("""COMPUTED_VALUE"""),15.4)</f>
        <v>15.4</v>
      </c>
      <c r="E109" s="190">
        <f>IFERROR(__xludf.DUMMYFUNCTION("""COMPUTED_VALUE"""),15.2)</f>
        <v>15.2</v>
      </c>
      <c r="F109" s="190">
        <f>IFERROR(__xludf.DUMMYFUNCTION("""COMPUTED_VALUE"""),15.3)</f>
        <v>15.3</v>
      </c>
      <c r="G109" s="191">
        <f>IFERROR(__xludf.DUMMYFUNCTION("""COMPUTED_VALUE"""),1.8932106E7)</f>
        <v>18932106</v>
      </c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</row>
    <row r="110" ht="17.25" customHeight="1">
      <c r="A110" s="112"/>
      <c r="B110" s="189">
        <f>IFERROR(__xludf.DUMMYFUNCTION("""COMPUTED_VALUE"""),46126.5625)</f>
        <v>46126.5625</v>
      </c>
      <c r="C110" s="190">
        <f>IFERROR(__xludf.DUMMYFUNCTION("""COMPUTED_VALUE"""),15.4)</f>
        <v>15.4</v>
      </c>
      <c r="D110" s="190">
        <f>IFERROR(__xludf.DUMMYFUNCTION("""COMPUTED_VALUE"""),15.4)</f>
        <v>15.4</v>
      </c>
      <c r="E110" s="190">
        <f>IFERROR(__xludf.DUMMYFUNCTION("""COMPUTED_VALUE"""),15.2)</f>
        <v>15.2</v>
      </c>
      <c r="F110" s="190">
        <f>IFERROR(__xludf.DUMMYFUNCTION("""COMPUTED_VALUE"""),15.35)</f>
        <v>15.35</v>
      </c>
      <c r="G110" s="191">
        <f>IFERROR(__xludf.DUMMYFUNCTION("""COMPUTED_VALUE"""),2.5107539E7)</f>
        <v>25107539</v>
      </c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</row>
    <row r="111" ht="17.25" customHeight="1">
      <c r="A111" s="112"/>
      <c r="B111" s="189">
        <f>IFERROR(__xludf.DUMMYFUNCTION("""COMPUTED_VALUE"""),46127.5625)</f>
        <v>46127.5625</v>
      </c>
      <c r="C111" s="190">
        <f>IFERROR(__xludf.DUMMYFUNCTION("""COMPUTED_VALUE"""),15.35)</f>
        <v>15.35</v>
      </c>
      <c r="D111" s="190">
        <f>IFERROR(__xludf.DUMMYFUNCTION("""COMPUTED_VALUE"""),15.5)</f>
        <v>15.5</v>
      </c>
      <c r="E111" s="190">
        <f>IFERROR(__xludf.DUMMYFUNCTION("""COMPUTED_VALUE"""),15.35)</f>
        <v>15.35</v>
      </c>
      <c r="F111" s="190">
        <f>IFERROR(__xludf.DUMMYFUNCTION("""COMPUTED_VALUE"""),15.5)</f>
        <v>15.5</v>
      </c>
      <c r="G111" s="191">
        <f>IFERROR(__xludf.DUMMYFUNCTION("""COMPUTED_VALUE"""),3.334391E7)</f>
        <v>33343910</v>
      </c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</row>
    <row r="112" ht="17.25" customHeight="1">
      <c r="A112" s="112"/>
      <c r="B112" s="189">
        <f>IFERROR(__xludf.DUMMYFUNCTION("""COMPUTED_VALUE"""),46128.5625)</f>
        <v>46128.5625</v>
      </c>
      <c r="C112" s="190">
        <f>IFERROR(__xludf.DUMMYFUNCTION("""COMPUTED_VALUE"""),16.0)</f>
        <v>16</v>
      </c>
      <c r="D112" s="190">
        <f>IFERROR(__xludf.DUMMYFUNCTION("""COMPUTED_VALUE"""),16.35)</f>
        <v>16.35</v>
      </c>
      <c r="E112" s="190">
        <f>IFERROR(__xludf.DUMMYFUNCTION("""COMPUTED_VALUE"""),16.0)</f>
        <v>16</v>
      </c>
      <c r="F112" s="190">
        <f>IFERROR(__xludf.DUMMYFUNCTION("""COMPUTED_VALUE"""),16.2)</f>
        <v>16.2</v>
      </c>
      <c r="G112" s="191">
        <f>IFERROR(__xludf.DUMMYFUNCTION("""COMPUTED_VALUE"""),8.0681545E7)</f>
        <v>80681545</v>
      </c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</row>
    <row r="113" ht="17.25" customHeight="1">
      <c r="A113" s="112"/>
      <c r="B113" s="189">
        <f>IFERROR(__xludf.DUMMYFUNCTION("""COMPUTED_VALUE"""),46129.5625)</f>
        <v>46129.5625</v>
      </c>
      <c r="C113" s="190">
        <f>IFERROR(__xludf.DUMMYFUNCTION("""COMPUTED_VALUE"""),16.2)</f>
        <v>16.2</v>
      </c>
      <c r="D113" s="190">
        <f>IFERROR(__xludf.DUMMYFUNCTION("""COMPUTED_VALUE"""),16.3)</f>
        <v>16.3</v>
      </c>
      <c r="E113" s="190">
        <f>IFERROR(__xludf.DUMMYFUNCTION("""COMPUTED_VALUE"""),16.1)</f>
        <v>16.1</v>
      </c>
      <c r="F113" s="190">
        <f>IFERROR(__xludf.DUMMYFUNCTION("""COMPUTED_VALUE"""),16.3)</f>
        <v>16.3</v>
      </c>
      <c r="G113" s="191">
        <f>IFERROR(__xludf.DUMMYFUNCTION("""COMPUTED_VALUE"""),3.6271313E7)</f>
        <v>36271313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</row>
    <row r="114" ht="17.25" customHeight="1">
      <c r="A114" s="112"/>
      <c r="B114" s="189">
        <f>IFERROR(__xludf.DUMMYFUNCTION("""COMPUTED_VALUE"""),46132.5625)</f>
        <v>46132.5625</v>
      </c>
      <c r="C114" s="190">
        <f>IFERROR(__xludf.DUMMYFUNCTION("""COMPUTED_VALUE"""),16.35)</f>
        <v>16.35</v>
      </c>
      <c r="D114" s="190">
        <f>IFERROR(__xludf.DUMMYFUNCTION("""COMPUTED_VALUE"""),16.95)</f>
        <v>16.95</v>
      </c>
      <c r="E114" s="190">
        <f>IFERROR(__xludf.DUMMYFUNCTION("""COMPUTED_VALUE"""),16.35)</f>
        <v>16.35</v>
      </c>
      <c r="F114" s="190">
        <f>IFERROR(__xludf.DUMMYFUNCTION("""COMPUTED_VALUE"""),16.9)</f>
        <v>16.9</v>
      </c>
      <c r="G114" s="191">
        <f>IFERROR(__xludf.DUMMYFUNCTION("""COMPUTED_VALUE"""),7.8709687E7)</f>
        <v>78709687</v>
      </c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</row>
    <row r="115" ht="17.25" customHeight="1">
      <c r="A115" s="112"/>
      <c r="B115" s="189">
        <f>IFERROR(__xludf.DUMMYFUNCTION("""COMPUTED_VALUE"""),46133.5625)</f>
        <v>46133.5625</v>
      </c>
      <c r="C115" s="190">
        <f>IFERROR(__xludf.DUMMYFUNCTION("""COMPUTED_VALUE"""),16.95)</f>
        <v>16.95</v>
      </c>
      <c r="D115" s="190">
        <f>IFERROR(__xludf.DUMMYFUNCTION("""COMPUTED_VALUE"""),16.95)</f>
        <v>16.95</v>
      </c>
      <c r="E115" s="190">
        <f>IFERROR(__xludf.DUMMYFUNCTION("""COMPUTED_VALUE"""),16.55)</f>
        <v>16.55</v>
      </c>
      <c r="F115" s="190">
        <f>IFERROR(__xludf.DUMMYFUNCTION("""COMPUTED_VALUE"""),16.55)</f>
        <v>16.55</v>
      </c>
      <c r="G115" s="191">
        <f>IFERROR(__xludf.DUMMYFUNCTION("""COMPUTED_VALUE"""),4.27133E7)</f>
        <v>42713300</v>
      </c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</row>
    <row r="116" ht="17.25" customHeight="1">
      <c r="A116" s="112"/>
      <c r="B116" s="189">
        <f>IFERROR(__xludf.DUMMYFUNCTION("""COMPUTED_VALUE"""),46134.5625)</f>
        <v>46134.5625</v>
      </c>
      <c r="C116" s="190">
        <f>IFERROR(__xludf.DUMMYFUNCTION("""COMPUTED_VALUE"""),16.6)</f>
        <v>16.6</v>
      </c>
      <c r="D116" s="190">
        <f>IFERROR(__xludf.DUMMYFUNCTION("""COMPUTED_VALUE"""),16.7)</f>
        <v>16.7</v>
      </c>
      <c r="E116" s="190">
        <f>IFERROR(__xludf.DUMMYFUNCTION("""COMPUTED_VALUE"""),16.4)</f>
        <v>16.4</v>
      </c>
      <c r="F116" s="190">
        <f>IFERROR(__xludf.DUMMYFUNCTION("""COMPUTED_VALUE"""),16.6)</f>
        <v>16.6</v>
      </c>
      <c r="G116" s="191">
        <f>IFERROR(__xludf.DUMMYFUNCTION("""COMPUTED_VALUE"""),2.5527929E7)</f>
        <v>25527929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</row>
    <row r="117" ht="17.25" customHeight="1">
      <c r="A117" s="112"/>
      <c r="B117" s="189">
        <f>IFERROR(__xludf.DUMMYFUNCTION("""COMPUTED_VALUE"""),46135.5625)</f>
        <v>46135.5625</v>
      </c>
      <c r="C117" s="190">
        <f>IFERROR(__xludf.DUMMYFUNCTION("""COMPUTED_VALUE"""),16.55)</f>
        <v>16.55</v>
      </c>
      <c r="D117" s="190">
        <f>IFERROR(__xludf.DUMMYFUNCTION("""COMPUTED_VALUE"""),16.6)</f>
        <v>16.6</v>
      </c>
      <c r="E117" s="190">
        <f>IFERROR(__xludf.DUMMYFUNCTION("""COMPUTED_VALUE"""),16.4)</f>
        <v>16.4</v>
      </c>
      <c r="F117" s="190">
        <f>IFERROR(__xludf.DUMMYFUNCTION("""COMPUTED_VALUE"""),16.45)</f>
        <v>16.45</v>
      </c>
      <c r="G117" s="191">
        <f>IFERROR(__xludf.DUMMYFUNCTION("""COMPUTED_VALUE"""),4.1042244E7)</f>
        <v>41042244</v>
      </c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</row>
    <row r="118" ht="17.25" customHeight="1">
      <c r="A118" s="112"/>
      <c r="B118" s="189">
        <f>IFERROR(__xludf.DUMMYFUNCTION("""COMPUTED_VALUE"""),46136.5625)</f>
        <v>46136.5625</v>
      </c>
      <c r="C118" s="190">
        <f>IFERROR(__xludf.DUMMYFUNCTION("""COMPUTED_VALUE"""),16.55)</f>
        <v>16.55</v>
      </c>
      <c r="D118" s="190">
        <f>IFERROR(__xludf.DUMMYFUNCTION("""COMPUTED_VALUE"""),16.6)</f>
        <v>16.6</v>
      </c>
      <c r="E118" s="190">
        <f>IFERROR(__xludf.DUMMYFUNCTION("""COMPUTED_VALUE"""),16.2)</f>
        <v>16.2</v>
      </c>
      <c r="F118" s="190">
        <f>IFERROR(__xludf.DUMMYFUNCTION("""COMPUTED_VALUE"""),16.3)</f>
        <v>16.3</v>
      </c>
      <c r="G118" s="191">
        <f>IFERROR(__xludf.DUMMYFUNCTION("""COMPUTED_VALUE"""),3.1471434E7)</f>
        <v>31471434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ht="17.25" customHeight="1">
      <c r="A119" s="112"/>
      <c r="B119" s="189">
        <f>IFERROR(__xludf.DUMMYFUNCTION("""COMPUTED_VALUE"""),46139.5625)</f>
        <v>46139.5625</v>
      </c>
      <c r="C119" s="190">
        <f>IFERROR(__xludf.DUMMYFUNCTION("""COMPUTED_VALUE"""),16.3)</f>
        <v>16.3</v>
      </c>
      <c r="D119" s="190">
        <f>IFERROR(__xludf.DUMMYFUNCTION("""COMPUTED_VALUE"""),16.3)</f>
        <v>16.3</v>
      </c>
      <c r="E119" s="190">
        <f>IFERROR(__xludf.DUMMYFUNCTION("""COMPUTED_VALUE"""),16.1)</f>
        <v>16.1</v>
      </c>
      <c r="F119" s="190">
        <f>IFERROR(__xludf.DUMMYFUNCTION("""COMPUTED_VALUE"""),16.15)</f>
        <v>16.15</v>
      </c>
      <c r="G119" s="191">
        <f>IFERROR(__xludf.DUMMYFUNCTION("""COMPUTED_VALUE"""),3.0641899E7)</f>
        <v>30641899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ht="17.25" customHeight="1">
      <c r="A120" s="112"/>
      <c r="B120" s="189">
        <f>IFERROR(__xludf.DUMMYFUNCTION("""COMPUTED_VALUE"""),46140.5625)</f>
        <v>46140.5625</v>
      </c>
      <c r="C120" s="190">
        <f>IFERROR(__xludf.DUMMYFUNCTION("""COMPUTED_VALUE"""),16.2)</f>
        <v>16.2</v>
      </c>
      <c r="D120" s="190">
        <f>IFERROR(__xludf.DUMMYFUNCTION("""COMPUTED_VALUE"""),16.35)</f>
        <v>16.35</v>
      </c>
      <c r="E120" s="190">
        <f>IFERROR(__xludf.DUMMYFUNCTION("""COMPUTED_VALUE"""),16.2)</f>
        <v>16.2</v>
      </c>
      <c r="F120" s="190">
        <f>IFERROR(__xludf.DUMMYFUNCTION("""COMPUTED_VALUE"""),16.25)</f>
        <v>16.25</v>
      </c>
      <c r="G120" s="191">
        <f>IFERROR(__xludf.DUMMYFUNCTION("""COMPUTED_VALUE"""),1.9146802E7)</f>
        <v>19146802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</row>
    <row r="121" ht="17.25" customHeight="1">
      <c r="A121" s="112"/>
      <c r="B121" s="189">
        <f>IFERROR(__xludf.DUMMYFUNCTION("""COMPUTED_VALUE"""),46141.5625)</f>
        <v>46141.5625</v>
      </c>
      <c r="C121" s="190">
        <f>IFERROR(__xludf.DUMMYFUNCTION("""COMPUTED_VALUE"""),16.4)</f>
        <v>16.4</v>
      </c>
      <c r="D121" s="190">
        <f>IFERROR(__xludf.DUMMYFUNCTION("""COMPUTED_VALUE"""),16.6)</f>
        <v>16.6</v>
      </c>
      <c r="E121" s="190">
        <f>IFERROR(__xludf.DUMMYFUNCTION("""COMPUTED_VALUE"""),16.3)</f>
        <v>16.3</v>
      </c>
      <c r="F121" s="190">
        <f>IFERROR(__xludf.DUMMYFUNCTION("""COMPUTED_VALUE"""),16.5)</f>
        <v>16.5</v>
      </c>
      <c r="G121" s="191">
        <f>IFERROR(__xludf.DUMMYFUNCTION("""COMPUTED_VALUE"""),3.2652671E7)</f>
        <v>32652671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</row>
    <row r="122" ht="17.25" customHeight="1">
      <c r="A122" s="112"/>
      <c r="B122" s="189">
        <f>IFERROR(__xludf.DUMMYFUNCTION("""COMPUTED_VALUE"""),46142.5625)</f>
        <v>46142.5625</v>
      </c>
      <c r="C122" s="190">
        <f>IFERROR(__xludf.DUMMYFUNCTION("""COMPUTED_VALUE"""),16.5)</f>
        <v>16.5</v>
      </c>
      <c r="D122" s="190">
        <f>IFERROR(__xludf.DUMMYFUNCTION("""COMPUTED_VALUE"""),16.55)</f>
        <v>16.55</v>
      </c>
      <c r="E122" s="190">
        <f>IFERROR(__xludf.DUMMYFUNCTION("""COMPUTED_VALUE"""),16.35)</f>
        <v>16.35</v>
      </c>
      <c r="F122" s="190">
        <f>IFERROR(__xludf.DUMMYFUNCTION("""COMPUTED_VALUE"""),16.35)</f>
        <v>16.35</v>
      </c>
      <c r="G122" s="191">
        <f>IFERROR(__xludf.DUMMYFUNCTION("""COMPUTED_VALUE"""),2.7039075E7)</f>
        <v>27039075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</row>
    <row r="123" ht="17.25" customHeight="1">
      <c r="A123" s="112"/>
      <c r="B123" s="189">
        <f>IFERROR(__xludf.DUMMYFUNCTION("""COMPUTED_VALUE"""),46146.5625)</f>
        <v>46146.5625</v>
      </c>
      <c r="C123" s="190">
        <f>IFERROR(__xludf.DUMMYFUNCTION("""COMPUTED_VALUE"""),16.55)</f>
        <v>16.55</v>
      </c>
      <c r="D123" s="190">
        <f>IFERROR(__xludf.DUMMYFUNCTION("""COMPUTED_VALUE"""),16.55)</f>
        <v>16.55</v>
      </c>
      <c r="E123" s="190">
        <f>IFERROR(__xludf.DUMMYFUNCTION("""COMPUTED_VALUE"""),16.2)</f>
        <v>16.2</v>
      </c>
      <c r="F123" s="190">
        <f>IFERROR(__xludf.DUMMYFUNCTION("""COMPUTED_VALUE"""),16.2)</f>
        <v>16.2</v>
      </c>
      <c r="G123" s="191">
        <f>IFERROR(__xludf.DUMMYFUNCTION("""COMPUTED_VALUE"""),3.064123E7)</f>
        <v>30641230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</row>
    <row r="124" ht="17.25" customHeight="1">
      <c r="A124" s="112"/>
      <c r="B124" s="189">
        <f>IFERROR(__xludf.DUMMYFUNCTION("""COMPUTED_VALUE"""),46147.5625)</f>
        <v>46147.5625</v>
      </c>
      <c r="C124" s="190">
        <f>IFERROR(__xludf.DUMMYFUNCTION("""COMPUTED_VALUE"""),16.2)</f>
        <v>16.2</v>
      </c>
      <c r="D124" s="190">
        <f>IFERROR(__xludf.DUMMYFUNCTION("""COMPUTED_VALUE"""),16.3)</f>
        <v>16.3</v>
      </c>
      <c r="E124" s="190">
        <f>IFERROR(__xludf.DUMMYFUNCTION("""COMPUTED_VALUE"""),16.05)</f>
        <v>16.05</v>
      </c>
      <c r="F124" s="190">
        <f>IFERROR(__xludf.DUMMYFUNCTION("""COMPUTED_VALUE"""),16.15)</f>
        <v>16.15</v>
      </c>
      <c r="G124" s="191">
        <f>IFERROR(__xludf.DUMMYFUNCTION("""COMPUTED_VALUE"""),3.7153318E7)</f>
        <v>37153318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</row>
    <row r="125" ht="17.25" customHeight="1">
      <c r="A125" s="112"/>
      <c r="B125" s="189">
        <f>IFERROR(__xludf.DUMMYFUNCTION("""COMPUTED_VALUE"""),46148.5625)</f>
        <v>46148.5625</v>
      </c>
      <c r="C125" s="190">
        <f>IFERROR(__xludf.DUMMYFUNCTION("""COMPUTED_VALUE"""),16.25)</f>
        <v>16.25</v>
      </c>
      <c r="D125" s="190">
        <f>IFERROR(__xludf.DUMMYFUNCTION("""COMPUTED_VALUE"""),16.3)</f>
        <v>16.3</v>
      </c>
      <c r="E125" s="190">
        <f>IFERROR(__xludf.DUMMYFUNCTION("""COMPUTED_VALUE"""),16.1)</f>
        <v>16.1</v>
      </c>
      <c r="F125" s="190">
        <f>IFERROR(__xludf.DUMMYFUNCTION("""COMPUTED_VALUE"""),16.2)</f>
        <v>16.2</v>
      </c>
      <c r="G125" s="191">
        <f>IFERROR(__xludf.DUMMYFUNCTION("""COMPUTED_VALUE"""),3.3707608E7)</f>
        <v>33707608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</row>
    <row r="126" ht="17.25" customHeight="1">
      <c r="A126" s="112"/>
      <c r="B126" s="189">
        <f>IFERROR(__xludf.DUMMYFUNCTION("""COMPUTED_VALUE"""),46149.5625)</f>
        <v>46149.5625</v>
      </c>
      <c r="C126" s="190">
        <f>IFERROR(__xludf.DUMMYFUNCTION("""COMPUTED_VALUE"""),16.2)</f>
        <v>16.2</v>
      </c>
      <c r="D126" s="190">
        <f>IFERROR(__xludf.DUMMYFUNCTION("""COMPUTED_VALUE"""),16.25)</f>
        <v>16.25</v>
      </c>
      <c r="E126" s="190">
        <f>IFERROR(__xludf.DUMMYFUNCTION("""COMPUTED_VALUE"""),16.15)</f>
        <v>16.15</v>
      </c>
      <c r="F126" s="190">
        <f>IFERROR(__xludf.DUMMYFUNCTION("""COMPUTED_VALUE"""),16.15)</f>
        <v>16.15</v>
      </c>
      <c r="G126" s="191">
        <f>IFERROR(__xludf.DUMMYFUNCTION("""COMPUTED_VALUE"""),3.5745095E7)</f>
        <v>35745095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</row>
    <row r="127" ht="17.25" customHeight="1">
      <c r="A127" s="112"/>
      <c r="B127" s="189">
        <f>IFERROR(__xludf.DUMMYFUNCTION("""COMPUTED_VALUE"""),46150.5625)</f>
        <v>46150.5625</v>
      </c>
      <c r="C127" s="190">
        <f>IFERROR(__xludf.DUMMYFUNCTION("""COMPUTED_VALUE"""),16.2)</f>
        <v>16.2</v>
      </c>
      <c r="D127" s="190">
        <f>IFERROR(__xludf.DUMMYFUNCTION("""COMPUTED_VALUE"""),16.3)</f>
        <v>16.3</v>
      </c>
      <c r="E127" s="190">
        <f>IFERROR(__xludf.DUMMYFUNCTION("""COMPUTED_VALUE"""),16.0)</f>
        <v>16</v>
      </c>
      <c r="F127" s="190">
        <f>IFERROR(__xludf.DUMMYFUNCTION("""COMPUTED_VALUE"""),16.25)</f>
        <v>16.25</v>
      </c>
      <c r="G127" s="191">
        <f>IFERROR(__xludf.DUMMYFUNCTION("""COMPUTED_VALUE"""),4.2482925E7)</f>
        <v>42482925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</row>
    <row r="128" ht="17.25" customHeight="1">
      <c r="A128" s="112"/>
      <c r="B128" s="189">
        <f>IFERROR(__xludf.DUMMYFUNCTION("""COMPUTED_VALUE"""),46153.5625)</f>
        <v>46153.5625</v>
      </c>
      <c r="C128" s="190">
        <f>IFERROR(__xludf.DUMMYFUNCTION("""COMPUTED_VALUE"""),16.25)</f>
        <v>16.25</v>
      </c>
      <c r="D128" s="190">
        <f>IFERROR(__xludf.DUMMYFUNCTION("""COMPUTED_VALUE"""),16.3)</f>
        <v>16.3</v>
      </c>
      <c r="E128" s="190">
        <f>IFERROR(__xludf.DUMMYFUNCTION("""COMPUTED_VALUE"""),16.1)</f>
        <v>16.1</v>
      </c>
      <c r="F128" s="190">
        <f>IFERROR(__xludf.DUMMYFUNCTION("""COMPUTED_VALUE"""),16.15)</f>
        <v>16.15</v>
      </c>
      <c r="G128" s="191">
        <f>IFERROR(__xludf.DUMMYFUNCTION("""COMPUTED_VALUE"""),3.5968481E7)</f>
        <v>35968481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</row>
    <row r="129" ht="17.25" customHeight="1">
      <c r="A129" s="112"/>
      <c r="B129" s="189">
        <f>IFERROR(__xludf.DUMMYFUNCTION("""COMPUTED_VALUE"""),46154.5625)</f>
        <v>46154.5625</v>
      </c>
      <c r="C129" s="190">
        <f>IFERROR(__xludf.DUMMYFUNCTION("""COMPUTED_VALUE"""),16.15)</f>
        <v>16.15</v>
      </c>
      <c r="D129" s="190">
        <f>IFERROR(__xludf.DUMMYFUNCTION("""COMPUTED_VALUE"""),16.15)</f>
        <v>16.15</v>
      </c>
      <c r="E129" s="190">
        <f>IFERROR(__xludf.DUMMYFUNCTION("""COMPUTED_VALUE"""),16.0)</f>
        <v>16</v>
      </c>
      <c r="F129" s="190">
        <f>IFERROR(__xludf.DUMMYFUNCTION("""COMPUTED_VALUE"""),16.0)</f>
        <v>16</v>
      </c>
      <c r="G129" s="191">
        <f>IFERROR(__xludf.DUMMYFUNCTION("""COMPUTED_VALUE"""),3.8840269E7)</f>
        <v>38840269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</row>
    <row r="130" ht="17.25" customHeight="1">
      <c r="A130" s="112"/>
      <c r="B130" s="189">
        <f>IFERROR(__xludf.DUMMYFUNCTION("""COMPUTED_VALUE"""),46155.5625)</f>
        <v>46155.5625</v>
      </c>
      <c r="C130" s="190">
        <f>IFERROR(__xludf.DUMMYFUNCTION("""COMPUTED_VALUE"""),16.0)</f>
        <v>16</v>
      </c>
      <c r="D130" s="190">
        <f>IFERROR(__xludf.DUMMYFUNCTION("""COMPUTED_VALUE"""),16.1)</f>
        <v>16.1</v>
      </c>
      <c r="E130" s="190">
        <f>IFERROR(__xludf.DUMMYFUNCTION("""COMPUTED_VALUE"""),15.95)</f>
        <v>15.95</v>
      </c>
      <c r="F130" s="190">
        <f>IFERROR(__xludf.DUMMYFUNCTION("""COMPUTED_VALUE"""),16.05)</f>
        <v>16.05</v>
      </c>
      <c r="G130" s="191">
        <f>IFERROR(__xludf.DUMMYFUNCTION("""COMPUTED_VALUE"""),2.0100266E7)</f>
        <v>20100266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</row>
    <row r="131" ht="17.25" customHeight="1">
      <c r="A131" s="112"/>
      <c r="B131" s="189">
        <f>IFERROR(__xludf.DUMMYFUNCTION("""COMPUTED_VALUE"""),46156.5625)</f>
        <v>46156.5625</v>
      </c>
      <c r="C131" s="190">
        <f>IFERROR(__xludf.DUMMYFUNCTION("""COMPUTED_VALUE"""),16.05)</f>
        <v>16.05</v>
      </c>
      <c r="D131" s="190">
        <f>IFERROR(__xludf.DUMMYFUNCTION("""COMPUTED_VALUE"""),16.2)</f>
        <v>16.2</v>
      </c>
      <c r="E131" s="190">
        <f>IFERROR(__xludf.DUMMYFUNCTION("""COMPUTED_VALUE"""),16.0)</f>
        <v>16</v>
      </c>
      <c r="F131" s="190">
        <f>IFERROR(__xludf.DUMMYFUNCTION("""COMPUTED_VALUE"""),16.0)</f>
        <v>16</v>
      </c>
      <c r="G131" s="191">
        <f>IFERROR(__xludf.DUMMYFUNCTION("""COMPUTED_VALUE"""),2.7759422E7)</f>
        <v>27759422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</row>
    <row r="132" ht="17.25" customHeight="1">
      <c r="A132" s="112"/>
      <c r="B132" s="189">
        <f>IFERROR(__xludf.DUMMYFUNCTION("""COMPUTED_VALUE"""),46157.5625)</f>
        <v>46157.5625</v>
      </c>
      <c r="C132" s="190">
        <f>IFERROR(__xludf.DUMMYFUNCTION("""COMPUTED_VALUE"""),16.05)</f>
        <v>16.05</v>
      </c>
      <c r="D132" s="190">
        <f>IFERROR(__xludf.DUMMYFUNCTION("""COMPUTED_VALUE"""),16.1)</f>
        <v>16.1</v>
      </c>
      <c r="E132" s="190">
        <f>IFERROR(__xludf.DUMMYFUNCTION("""COMPUTED_VALUE"""),15.9)</f>
        <v>15.9</v>
      </c>
      <c r="F132" s="190">
        <f>IFERROR(__xludf.DUMMYFUNCTION("""COMPUTED_VALUE"""),15.9)</f>
        <v>15.9</v>
      </c>
      <c r="G132" s="191">
        <f>IFERROR(__xludf.DUMMYFUNCTION("""COMPUTED_VALUE"""),3.0326589E7)</f>
        <v>30326589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</row>
    <row r="133" ht="17.25" customHeight="1">
      <c r="A133" s="112"/>
      <c r="B133" s="189">
        <f>IFERROR(__xludf.DUMMYFUNCTION("""COMPUTED_VALUE"""),46160.5625)</f>
        <v>46160.5625</v>
      </c>
      <c r="C133" s="190">
        <f>IFERROR(__xludf.DUMMYFUNCTION("""COMPUTED_VALUE"""),15.9)</f>
        <v>15.9</v>
      </c>
      <c r="D133" s="190">
        <f>IFERROR(__xludf.DUMMYFUNCTION("""COMPUTED_VALUE"""),16.0)</f>
        <v>16</v>
      </c>
      <c r="E133" s="190">
        <f>IFERROR(__xludf.DUMMYFUNCTION("""COMPUTED_VALUE"""),15.8)</f>
        <v>15.8</v>
      </c>
      <c r="F133" s="190">
        <f>IFERROR(__xludf.DUMMYFUNCTION("""COMPUTED_VALUE"""),15.85)</f>
        <v>15.85</v>
      </c>
      <c r="G133" s="191">
        <f>IFERROR(__xludf.DUMMYFUNCTION("""COMPUTED_VALUE"""),2.8390581E7)</f>
        <v>28390581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</row>
    <row r="134" ht="17.25" customHeight="1">
      <c r="A134" s="112"/>
      <c r="B134" s="189">
        <f>IFERROR(__xludf.DUMMYFUNCTION("""COMPUTED_VALUE"""),46161.5625)</f>
        <v>46161.5625</v>
      </c>
      <c r="C134" s="190">
        <f>IFERROR(__xludf.DUMMYFUNCTION("""COMPUTED_VALUE"""),15.95)</f>
        <v>15.95</v>
      </c>
      <c r="D134" s="190">
        <f>IFERROR(__xludf.DUMMYFUNCTION("""COMPUTED_VALUE"""),16.2)</f>
        <v>16.2</v>
      </c>
      <c r="E134" s="190">
        <f>IFERROR(__xludf.DUMMYFUNCTION("""COMPUTED_VALUE"""),15.85)</f>
        <v>15.85</v>
      </c>
      <c r="F134" s="190">
        <f>IFERROR(__xludf.DUMMYFUNCTION("""COMPUTED_VALUE"""),16.05)</f>
        <v>16.05</v>
      </c>
      <c r="G134" s="191">
        <f>IFERROR(__xludf.DUMMYFUNCTION("""COMPUTED_VALUE"""),2.0483874E7)</f>
        <v>20483874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</row>
    <row r="135" ht="17.25" customHeight="1">
      <c r="A135" s="112"/>
      <c r="B135" s="189">
        <f>IFERROR(__xludf.DUMMYFUNCTION("""COMPUTED_VALUE"""),46162.5625)</f>
        <v>46162.5625</v>
      </c>
      <c r="C135" s="190">
        <f>IFERROR(__xludf.DUMMYFUNCTION("""COMPUTED_VALUE"""),16.1)</f>
        <v>16.1</v>
      </c>
      <c r="D135" s="190">
        <f>IFERROR(__xludf.DUMMYFUNCTION("""COMPUTED_VALUE"""),16.15)</f>
        <v>16.15</v>
      </c>
      <c r="E135" s="190">
        <f>IFERROR(__xludf.DUMMYFUNCTION("""COMPUTED_VALUE"""),16.0)</f>
        <v>16</v>
      </c>
      <c r="F135" s="190">
        <f>IFERROR(__xludf.DUMMYFUNCTION("""COMPUTED_VALUE"""),16.05)</f>
        <v>16.05</v>
      </c>
      <c r="G135" s="191">
        <f>IFERROR(__xludf.DUMMYFUNCTION("""COMPUTED_VALUE"""),1.6564333E7)</f>
        <v>16564333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</row>
    <row r="136" ht="17.25" customHeight="1">
      <c r="A136" s="112"/>
      <c r="B136" s="189">
        <f>IFERROR(__xludf.DUMMYFUNCTION("""COMPUTED_VALUE"""),46163.5625)</f>
        <v>46163.5625</v>
      </c>
      <c r="C136" s="190">
        <f>IFERROR(__xludf.DUMMYFUNCTION("""COMPUTED_VALUE"""),16.1)</f>
        <v>16.1</v>
      </c>
      <c r="D136" s="190">
        <f>IFERROR(__xludf.DUMMYFUNCTION("""COMPUTED_VALUE"""),16.15)</f>
        <v>16.15</v>
      </c>
      <c r="E136" s="190">
        <f>IFERROR(__xludf.DUMMYFUNCTION("""COMPUTED_VALUE"""),16.05)</f>
        <v>16.05</v>
      </c>
      <c r="F136" s="190">
        <f>IFERROR(__xludf.DUMMYFUNCTION("""COMPUTED_VALUE"""),16.1)</f>
        <v>16.1</v>
      </c>
      <c r="G136" s="191">
        <f>IFERROR(__xludf.DUMMYFUNCTION("""COMPUTED_VALUE"""),1.7465374E7)</f>
        <v>17465374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</row>
    <row r="137" ht="17.25" customHeight="1">
      <c r="A137" s="112"/>
      <c r="B137" s="189">
        <f>IFERROR(__xludf.DUMMYFUNCTION("""COMPUTED_VALUE"""),46164.5625)</f>
        <v>46164.5625</v>
      </c>
      <c r="C137" s="190">
        <f>IFERROR(__xludf.DUMMYFUNCTION("""COMPUTED_VALUE"""),16.1)</f>
        <v>16.1</v>
      </c>
      <c r="D137" s="190">
        <f>IFERROR(__xludf.DUMMYFUNCTION("""COMPUTED_VALUE"""),16.2)</f>
        <v>16.2</v>
      </c>
      <c r="E137" s="190">
        <f>IFERROR(__xludf.DUMMYFUNCTION("""COMPUTED_VALUE"""),16.0)</f>
        <v>16</v>
      </c>
      <c r="F137" s="190">
        <f>IFERROR(__xludf.DUMMYFUNCTION("""COMPUTED_VALUE"""),16.0)</f>
        <v>16</v>
      </c>
      <c r="G137" s="191">
        <f>IFERROR(__xludf.DUMMYFUNCTION("""COMPUTED_VALUE"""),2.0859E7)</f>
        <v>20859000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</row>
    <row r="138" ht="17.25" customHeight="1">
      <c r="A138" s="112"/>
      <c r="B138" s="189">
        <f>IFERROR(__xludf.DUMMYFUNCTION("""COMPUTED_VALUE"""),46167.5625)</f>
        <v>46167.5625</v>
      </c>
      <c r="C138" s="190">
        <f>IFERROR(__xludf.DUMMYFUNCTION("""COMPUTED_VALUE"""),16.0)</f>
        <v>16</v>
      </c>
      <c r="D138" s="190">
        <f>IFERROR(__xludf.DUMMYFUNCTION("""COMPUTED_VALUE"""),16.05)</f>
        <v>16.05</v>
      </c>
      <c r="E138" s="190">
        <f>IFERROR(__xludf.DUMMYFUNCTION("""COMPUTED_VALUE"""),15.9)</f>
        <v>15.9</v>
      </c>
      <c r="F138" s="190">
        <f>IFERROR(__xludf.DUMMYFUNCTION("""COMPUTED_VALUE"""),15.9)</f>
        <v>15.9</v>
      </c>
      <c r="G138" s="191">
        <f>IFERROR(__xludf.DUMMYFUNCTION("""COMPUTED_VALUE"""),2.8699761E7)</f>
        <v>28699761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</row>
    <row r="139" ht="17.25" customHeight="1">
      <c r="A139" s="112"/>
      <c r="B139" s="189">
        <f>IFERROR(__xludf.DUMMYFUNCTION("""COMPUTED_VALUE"""),46168.5625)</f>
        <v>46168.5625</v>
      </c>
      <c r="C139" s="190">
        <f>IFERROR(__xludf.DUMMYFUNCTION("""COMPUTED_VALUE"""),15.9)</f>
        <v>15.9</v>
      </c>
      <c r="D139" s="190">
        <f>IFERROR(__xludf.DUMMYFUNCTION("""COMPUTED_VALUE"""),16.1)</f>
        <v>16.1</v>
      </c>
      <c r="E139" s="190">
        <f>IFERROR(__xludf.DUMMYFUNCTION("""COMPUTED_VALUE"""),15.9)</f>
        <v>15.9</v>
      </c>
      <c r="F139" s="190">
        <f>IFERROR(__xludf.DUMMYFUNCTION("""COMPUTED_VALUE"""),16.0)</f>
        <v>16</v>
      </c>
      <c r="G139" s="191">
        <f>IFERROR(__xludf.DUMMYFUNCTION("""COMPUTED_VALUE"""),2.2417397E7)</f>
        <v>22417397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</row>
    <row r="140" ht="17.25" customHeight="1">
      <c r="A140" s="112"/>
      <c r="B140" s="189">
        <f>IFERROR(__xludf.DUMMYFUNCTION("""COMPUTED_VALUE"""),46169.5625)</f>
        <v>46169.5625</v>
      </c>
      <c r="C140" s="190">
        <f>IFERROR(__xludf.DUMMYFUNCTION("""COMPUTED_VALUE"""),16.0)</f>
        <v>16</v>
      </c>
      <c r="D140" s="190">
        <f>IFERROR(__xludf.DUMMYFUNCTION("""COMPUTED_VALUE"""),16.3)</f>
        <v>16.3</v>
      </c>
      <c r="E140" s="190">
        <f>IFERROR(__xludf.DUMMYFUNCTION("""COMPUTED_VALUE"""),15.95)</f>
        <v>15.95</v>
      </c>
      <c r="F140" s="190">
        <f>IFERROR(__xludf.DUMMYFUNCTION("""COMPUTED_VALUE"""),16.15)</f>
        <v>16.15</v>
      </c>
      <c r="G140" s="191">
        <f>IFERROR(__xludf.DUMMYFUNCTION("""COMPUTED_VALUE"""),3.2653668E7)</f>
        <v>32653668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</row>
    <row r="141" ht="17.25" customHeight="1">
      <c r="A141" s="112"/>
      <c r="B141" s="189">
        <f>IFERROR(__xludf.DUMMYFUNCTION("""COMPUTED_VALUE"""),46170.5625)</f>
        <v>46170.5625</v>
      </c>
      <c r="C141" s="190">
        <f>IFERROR(__xludf.DUMMYFUNCTION("""COMPUTED_VALUE"""),16.1)</f>
        <v>16.1</v>
      </c>
      <c r="D141" s="190">
        <f>IFERROR(__xludf.DUMMYFUNCTION("""COMPUTED_VALUE"""),16.15)</f>
        <v>16.15</v>
      </c>
      <c r="E141" s="190">
        <f>IFERROR(__xludf.DUMMYFUNCTION("""COMPUTED_VALUE"""),15.9)</f>
        <v>15.9</v>
      </c>
      <c r="F141" s="190">
        <f>IFERROR(__xludf.DUMMYFUNCTION("""COMPUTED_VALUE"""),15.9)</f>
        <v>15.9</v>
      </c>
      <c r="G141" s="191">
        <f>IFERROR(__xludf.DUMMYFUNCTION("""COMPUTED_VALUE"""),3.6449797E7)</f>
        <v>36449797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</row>
    <row r="142" ht="17.25" customHeight="1">
      <c r="A142" s="112"/>
      <c r="B142" s="189">
        <f>IFERROR(__xludf.DUMMYFUNCTION("""COMPUTED_VALUE"""),46171.5625)</f>
        <v>46171.5625</v>
      </c>
      <c r="C142" s="190">
        <f>IFERROR(__xludf.DUMMYFUNCTION("""COMPUTED_VALUE"""),16.0)</f>
        <v>16</v>
      </c>
      <c r="D142" s="190">
        <f>IFERROR(__xludf.DUMMYFUNCTION("""COMPUTED_VALUE"""),16.25)</f>
        <v>16.25</v>
      </c>
      <c r="E142" s="190">
        <f>IFERROR(__xludf.DUMMYFUNCTION("""COMPUTED_VALUE"""),15.95)</f>
        <v>15.95</v>
      </c>
      <c r="F142" s="190">
        <f>IFERROR(__xludf.DUMMYFUNCTION("""COMPUTED_VALUE"""),16.25)</f>
        <v>16.25</v>
      </c>
      <c r="G142" s="191">
        <f>IFERROR(__xludf.DUMMYFUNCTION("""COMPUTED_VALUE"""),6.7648873E7)</f>
        <v>67648873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</row>
    <row r="143" ht="17.25" customHeight="1">
      <c r="A143" s="112"/>
      <c r="B143" s="189"/>
      <c r="C143" s="190"/>
      <c r="D143" s="190"/>
      <c r="E143" s="190"/>
      <c r="F143" s="190"/>
      <c r="G143" s="191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</row>
    <row r="144" ht="17.25" customHeight="1">
      <c r="A144" s="112"/>
      <c r="B144" s="189"/>
      <c r="C144" s="190"/>
      <c r="D144" s="190"/>
      <c r="E144" s="190"/>
      <c r="F144" s="190"/>
      <c r="G144" s="191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</row>
    <row r="145" ht="17.25" customHeight="1">
      <c r="A145" s="112"/>
      <c r="B145" s="189"/>
      <c r="C145" s="190"/>
      <c r="D145" s="190"/>
      <c r="E145" s="190"/>
      <c r="F145" s="190"/>
      <c r="G145" s="191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ht="17.25" customHeight="1">
      <c r="A146" s="112"/>
      <c r="B146" s="189"/>
      <c r="C146" s="190"/>
      <c r="D146" s="190"/>
      <c r="E146" s="190"/>
      <c r="F146" s="190"/>
      <c r="G146" s="191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ht="17.25" customHeight="1">
      <c r="A147" s="112"/>
      <c r="B147" s="189"/>
      <c r="C147" s="190"/>
      <c r="D147" s="190"/>
      <c r="E147" s="190"/>
      <c r="F147" s="190"/>
      <c r="G147" s="191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ht="17.25" customHeight="1">
      <c r="A148" s="112"/>
      <c r="B148" s="189"/>
      <c r="C148" s="190"/>
      <c r="D148" s="190"/>
      <c r="E148" s="190"/>
      <c r="F148" s="190"/>
      <c r="G148" s="191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</row>
    <row r="149" ht="17.25" customHeight="1">
      <c r="A149" s="112"/>
      <c r="B149" s="189"/>
      <c r="C149" s="190"/>
      <c r="D149" s="190"/>
      <c r="E149" s="190"/>
      <c r="F149" s="190"/>
      <c r="G149" s="191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ht="17.25" customHeight="1">
      <c r="A150" s="112"/>
      <c r="B150" s="189"/>
      <c r="C150" s="190"/>
      <c r="D150" s="190"/>
      <c r="E150" s="190"/>
      <c r="F150" s="190"/>
      <c r="G150" s="191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ht="17.25" customHeight="1">
      <c r="A151" s="112"/>
      <c r="B151" s="189"/>
      <c r="C151" s="190"/>
      <c r="D151" s="190"/>
      <c r="E151" s="190"/>
      <c r="F151" s="190"/>
      <c r="G151" s="191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ht="17.25" customHeight="1">
      <c r="A152" s="112"/>
      <c r="B152" s="189"/>
      <c r="C152" s="190"/>
      <c r="D152" s="190"/>
      <c r="E152" s="190"/>
      <c r="F152" s="190"/>
      <c r="G152" s="191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</row>
    <row r="153" ht="17.25" customHeight="1">
      <c r="A153" s="112"/>
      <c r="B153" s="189"/>
      <c r="C153" s="190"/>
      <c r="D153" s="190"/>
      <c r="E153" s="190"/>
      <c r="F153" s="190"/>
      <c r="G153" s="191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ht="17.25" customHeight="1">
      <c r="A154" s="112"/>
      <c r="B154" s="189"/>
      <c r="C154" s="190"/>
      <c r="D154" s="190"/>
      <c r="E154" s="190"/>
      <c r="F154" s="190"/>
      <c r="G154" s="191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</row>
    <row r="155" ht="17.25" customHeight="1">
      <c r="A155" s="112"/>
      <c r="B155" s="189"/>
      <c r="C155" s="190"/>
      <c r="D155" s="190"/>
      <c r="E155" s="190"/>
      <c r="F155" s="190"/>
      <c r="G155" s="191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ht="17.25" customHeight="1">
      <c r="A156" s="112"/>
      <c r="B156" s="189"/>
      <c r="C156" s="190"/>
      <c r="D156" s="190"/>
      <c r="E156" s="190"/>
      <c r="F156" s="190"/>
      <c r="G156" s="191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ht="17.25" customHeight="1">
      <c r="A157" s="112"/>
      <c r="B157" s="189"/>
      <c r="C157" s="190"/>
      <c r="D157" s="190"/>
      <c r="E157" s="190"/>
      <c r="F157" s="190"/>
      <c r="G157" s="191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ht="17.25" customHeight="1">
      <c r="A158" s="112"/>
      <c r="B158" s="189"/>
      <c r="C158" s="190"/>
      <c r="D158" s="190"/>
      <c r="E158" s="190"/>
      <c r="F158" s="190"/>
      <c r="G158" s="191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ht="17.25" customHeight="1">
      <c r="A159" s="112"/>
      <c r="B159" s="189"/>
      <c r="C159" s="190"/>
      <c r="D159" s="190"/>
      <c r="E159" s="190"/>
      <c r="F159" s="190"/>
      <c r="G159" s="191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ht="17.25" customHeight="1">
      <c r="A160" s="112"/>
      <c r="B160" s="189"/>
      <c r="C160" s="190"/>
      <c r="D160" s="190"/>
      <c r="E160" s="190"/>
      <c r="F160" s="190"/>
      <c r="G160" s="191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ht="17.25" customHeight="1">
      <c r="A161" s="112"/>
      <c r="B161" s="189"/>
      <c r="C161" s="190"/>
      <c r="D161" s="190"/>
      <c r="E161" s="190"/>
      <c r="F161" s="190"/>
      <c r="G161" s="191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ht="17.25" customHeight="1">
      <c r="A162" s="112"/>
      <c r="B162" s="189"/>
      <c r="C162" s="190"/>
      <c r="D162" s="190"/>
      <c r="E162" s="190"/>
      <c r="F162" s="190"/>
      <c r="G162" s="191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ht="17.25" customHeight="1">
      <c r="A163" s="112"/>
      <c r="B163" s="189"/>
      <c r="C163" s="190"/>
      <c r="D163" s="190"/>
      <c r="E163" s="190"/>
      <c r="F163" s="190"/>
      <c r="G163" s="191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</row>
    <row r="164" ht="17.25" customHeight="1">
      <c r="A164" s="112"/>
      <c r="B164" s="189"/>
      <c r="C164" s="190"/>
      <c r="D164" s="190"/>
      <c r="E164" s="190"/>
      <c r="F164" s="190"/>
      <c r="G164" s="191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ht="17.25" customHeight="1">
      <c r="A165" s="112"/>
      <c r="B165" s="189"/>
      <c r="C165" s="190"/>
      <c r="D165" s="190"/>
      <c r="E165" s="190"/>
      <c r="F165" s="190"/>
      <c r="G165" s="191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ht="17.25" customHeight="1">
      <c r="A166" s="112"/>
      <c r="B166" s="189"/>
      <c r="C166" s="190"/>
      <c r="D166" s="190"/>
      <c r="E166" s="190"/>
      <c r="F166" s="190"/>
      <c r="G166" s="191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ht="17.25" customHeight="1">
      <c r="A167" s="112"/>
      <c r="B167" s="189"/>
      <c r="C167" s="190"/>
      <c r="D167" s="190"/>
      <c r="E167" s="190"/>
      <c r="F167" s="190"/>
      <c r="G167" s="191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</row>
    <row r="168" ht="17.25" customHeight="1">
      <c r="A168" s="112"/>
      <c r="B168" s="189"/>
      <c r="C168" s="190"/>
      <c r="D168" s="190"/>
      <c r="E168" s="190"/>
      <c r="F168" s="190"/>
      <c r="G168" s="191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ht="17.25" customHeight="1">
      <c r="A169" s="112"/>
      <c r="B169" s="189"/>
      <c r="C169" s="190"/>
      <c r="D169" s="190"/>
      <c r="E169" s="190"/>
      <c r="F169" s="190"/>
      <c r="G169" s="191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ht="17.25" customHeight="1">
      <c r="A170" s="112"/>
      <c r="B170" s="189"/>
      <c r="C170" s="190"/>
      <c r="D170" s="190"/>
      <c r="E170" s="190"/>
      <c r="F170" s="190"/>
      <c r="G170" s="191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</row>
    <row r="171" ht="17.25" customHeight="1">
      <c r="A171" s="112"/>
      <c r="B171" s="189"/>
      <c r="C171" s="190"/>
      <c r="D171" s="190"/>
      <c r="E171" s="190"/>
      <c r="F171" s="190"/>
      <c r="G171" s="191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</row>
    <row r="172" ht="17.25" customHeight="1">
      <c r="A172" s="112"/>
      <c r="B172" s="189"/>
      <c r="C172" s="190"/>
      <c r="D172" s="190"/>
      <c r="E172" s="190"/>
      <c r="F172" s="190"/>
      <c r="G172" s="191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ht="17.25" customHeight="1">
      <c r="A173" s="112"/>
      <c r="B173" s="189"/>
      <c r="C173" s="190"/>
      <c r="D173" s="190"/>
      <c r="E173" s="190"/>
      <c r="F173" s="190"/>
      <c r="G173" s="191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</row>
    <row r="174" ht="17.25" customHeight="1">
      <c r="A174" s="112"/>
      <c r="B174" s="189"/>
      <c r="C174" s="190"/>
      <c r="D174" s="190"/>
      <c r="E174" s="190"/>
      <c r="F174" s="190"/>
      <c r="G174" s="191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</row>
    <row r="175" ht="17.25" customHeight="1">
      <c r="A175" s="112"/>
      <c r="B175" s="189"/>
      <c r="C175" s="190"/>
      <c r="D175" s="190"/>
      <c r="E175" s="190"/>
      <c r="F175" s="190"/>
      <c r="G175" s="191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</row>
    <row r="176" ht="17.25" customHeight="1">
      <c r="A176" s="112"/>
      <c r="B176" s="189"/>
      <c r="C176" s="190"/>
      <c r="D176" s="190"/>
      <c r="E176" s="190"/>
      <c r="F176" s="190"/>
      <c r="G176" s="191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</row>
    <row r="177" ht="17.25" customHeight="1">
      <c r="A177" s="112"/>
      <c r="B177" s="189"/>
      <c r="C177" s="190"/>
      <c r="D177" s="190"/>
      <c r="E177" s="190"/>
      <c r="F177" s="190"/>
      <c r="G177" s="191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</row>
    <row r="178" ht="17.25" customHeight="1">
      <c r="A178" s="112"/>
      <c r="B178" s="189"/>
      <c r="C178" s="190"/>
      <c r="D178" s="190"/>
      <c r="E178" s="190"/>
      <c r="F178" s="190"/>
      <c r="G178" s="191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</row>
    <row r="179" ht="17.25" customHeight="1">
      <c r="A179" s="112"/>
      <c r="B179" s="189"/>
      <c r="C179" s="190"/>
      <c r="D179" s="190"/>
      <c r="E179" s="190"/>
      <c r="F179" s="190"/>
      <c r="G179" s="191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</row>
    <row r="180" ht="17.25" customHeight="1">
      <c r="A180" s="112"/>
      <c r="B180" s="189"/>
      <c r="C180" s="190"/>
      <c r="D180" s="190"/>
      <c r="E180" s="190"/>
      <c r="F180" s="190"/>
      <c r="G180" s="191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</row>
    <row r="181" ht="17.25" customHeight="1">
      <c r="A181" s="112"/>
      <c r="B181" s="189"/>
      <c r="C181" s="190"/>
      <c r="D181" s="190"/>
      <c r="E181" s="190"/>
      <c r="F181" s="190"/>
      <c r="G181" s="191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</row>
    <row r="182" ht="17.25" customHeight="1">
      <c r="A182" s="112"/>
      <c r="B182" s="189"/>
      <c r="C182" s="190"/>
      <c r="D182" s="190"/>
      <c r="E182" s="190"/>
      <c r="F182" s="190"/>
      <c r="G182" s="191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</row>
    <row r="183" ht="17.25" customHeight="1">
      <c r="A183" s="112"/>
      <c r="B183" s="189"/>
      <c r="C183" s="190"/>
      <c r="D183" s="190"/>
      <c r="E183" s="190"/>
      <c r="F183" s="190"/>
      <c r="G183" s="191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</row>
    <row r="184" ht="17.25" customHeight="1">
      <c r="A184" s="112"/>
      <c r="B184" s="189"/>
      <c r="C184" s="190"/>
      <c r="D184" s="190"/>
      <c r="E184" s="190"/>
      <c r="F184" s="190"/>
      <c r="G184" s="191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</row>
    <row r="185" ht="17.25" customHeight="1">
      <c r="A185" s="112"/>
      <c r="B185" s="189"/>
      <c r="C185" s="190"/>
      <c r="D185" s="190"/>
      <c r="E185" s="190"/>
      <c r="F185" s="190"/>
      <c r="G185" s="191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</row>
    <row r="186" ht="17.25" customHeight="1">
      <c r="A186" s="112"/>
      <c r="B186" s="189"/>
      <c r="C186" s="190"/>
      <c r="D186" s="190"/>
      <c r="E186" s="190"/>
      <c r="F186" s="190"/>
      <c r="G186" s="191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</row>
    <row r="187" ht="17.25" customHeight="1">
      <c r="A187" s="112"/>
      <c r="B187" s="189"/>
      <c r="C187" s="190"/>
      <c r="D187" s="190"/>
      <c r="E187" s="190"/>
      <c r="F187" s="190"/>
      <c r="G187" s="191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</row>
    <row r="188" ht="17.25" customHeight="1">
      <c r="A188" s="112"/>
      <c r="B188" s="189"/>
      <c r="C188" s="190"/>
      <c r="D188" s="190"/>
      <c r="E188" s="190"/>
      <c r="F188" s="190"/>
      <c r="G188" s="191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</row>
    <row r="189" ht="17.25" customHeight="1">
      <c r="A189" s="112"/>
      <c r="B189" s="189"/>
      <c r="C189" s="190"/>
      <c r="D189" s="190"/>
      <c r="E189" s="190"/>
      <c r="F189" s="190"/>
      <c r="G189" s="191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</row>
    <row r="190" ht="17.25" customHeight="1">
      <c r="A190" s="112"/>
      <c r="B190" s="189"/>
      <c r="C190" s="190"/>
      <c r="D190" s="190"/>
      <c r="E190" s="190"/>
      <c r="F190" s="190"/>
      <c r="G190" s="191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</row>
    <row r="191" ht="17.25" customHeight="1">
      <c r="A191" s="112"/>
      <c r="B191" s="189"/>
      <c r="C191" s="190"/>
      <c r="D191" s="190"/>
      <c r="E191" s="190"/>
      <c r="F191" s="190"/>
      <c r="G191" s="191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</row>
    <row r="192" ht="17.25" customHeight="1">
      <c r="A192" s="112"/>
      <c r="B192" s="189"/>
      <c r="C192" s="190"/>
      <c r="D192" s="190"/>
      <c r="E192" s="190"/>
      <c r="F192" s="190"/>
      <c r="G192" s="191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</row>
    <row r="193" ht="17.25" customHeight="1">
      <c r="A193" s="112"/>
      <c r="B193" s="189"/>
      <c r="C193" s="190"/>
      <c r="D193" s="190"/>
      <c r="E193" s="190"/>
      <c r="F193" s="190"/>
      <c r="G193" s="191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</row>
    <row r="194" ht="17.25" customHeight="1">
      <c r="A194" s="112"/>
      <c r="B194" s="189"/>
      <c r="C194" s="190"/>
      <c r="D194" s="190"/>
      <c r="E194" s="190"/>
      <c r="F194" s="190"/>
      <c r="G194" s="191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</row>
    <row r="195" ht="17.25" customHeight="1">
      <c r="A195" s="112"/>
      <c r="B195" s="189"/>
      <c r="C195" s="190"/>
      <c r="D195" s="190"/>
      <c r="E195" s="190"/>
      <c r="F195" s="190"/>
      <c r="G195" s="191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</row>
    <row r="196" ht="17.25" customHeight="1">
      <c r="A196" s="112"/>
      <c r="B196" s="189"/>
      <c r="C196" s="190"/>
      <c r="D196" s="190"/>
      <c r="E196" s="190"/>
      <c r="F196" s="190"/>
      <c r="G196" s="191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</row>
    <row r="197" ht="17.25" customHeight="1">
      <c r="A197" s="112"/>
      <c r="B197" s="189"/>
      <c r="C197" s="190"/>
      <c r="D197" s="190"/>
      <c r="E197" s="190"/>
      <c r="F197" s="190"/>
      <c r="G197" s="191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</row>
    <row r="198" ht="17.25" customHeight="1">
      <c r="A198" s="112"/>
      <c r="B198" s="189"/>
      <c r="C198" s="190"/>
      <c r="D198" s="190"/>
      <c r="E198" s="190"/>
      <c r="F198" s="190"/>
      <c r="G198" s="191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</row>
    <row r="199" ht="17.25" customHeight="1">
      <c r="A199" s="112"/>
      <c r="B199" s="189"/>
      <c r="C199" s="190"/>
      <c r="D199" s="190"/>
      <c r="E199" s="190"/>
      <c r="F199" s="190"/>
      <c r="G199" s="191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</row>
    <row r="200" ht="17.25" customHeight="1">
      <c r="A200" s="112"/>
      <c r="B200" s="189"/>
      <c r="C200" s="190"/>
      <c r="D200" s="190"/>
      <c r="E200" s="190"/>
      <c r="F200" s="190"/>
      <c r="G200" s="191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</row>
    <row r="201" ht="17.25" customHeight="1">
      <c r="A201" s="112"/>
      <c r="B201" s="189"/>
      <c r="C201" s="190"/>
      <c r="D201" s="190"/>
      <c r="E201" s="190"/>
      <c r="F201" s="190"/>
      <c r="G201" s="191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/>
      <c r="C202" s="190"/>
      <c r="D202" s="190"/>
      <c r="E202" s="190"/>
      <c r="F202" s="190"/>
      <c r="G202" s="191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/>
      <c r="C203" s="190"/>
      <c r="D203" s="190"/>
      <c r="E203" s="190"/>
      <c r="F203" s="190"/>
      <c r="G203" s="191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/>
      <c r="C204" s="190"/>
      <c r="D204" s="190"/>
      <c r="E204" s="190"/>
      <c r="F204" s="190"/>
      <c r="G204" s="191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/>
      <c r="C205" s="190"/>
      <c r="D205" s="190"/>
      <c r="E205" s="190"/>
      <c r="F205" s="190"/>
      <c r="G205" s="191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/>
      <c r="C206" s="190"/>
      <c r="D206" s="190"/>
      <c r="E206" s="190"/>
      <c r="F206" s="190"/>
      <c r="G206" s="191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/>
      <c r="C207" s="190"/>
      <c r="D207" s="190"/>
      <c r="E207" s="190"/>
      <c r="F207" s="190"/>
      <c r="G207" s="191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/>
      <c r="C208" s="190"/>
      <c r="D208" s="190"/>
      <c r="E208" s="190"/>
      <c r="F208" s="190"/>
      <c r="G208" s="191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/>
      <c r="C209" s="190"/>
      <c r="D209" s="190"/>
      <c r="E209" s="190"/>
      <c r="F209" s="190"/>
      <c r="G209" s="191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/>
      <c r="C210" s="190"/>
      <c r="D210" s="190"/>
      <c r="E210" s="190"/>
      <c r="F210" s="190"/>
      <c r="G210" s="191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/>
      <c r="C211" s="190"/>
      <c r="D211" s="190"/>
      <c r="E211" s="190"/>
      <c r="F211" s="190"/>
      <c r="G211" s="191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/>
      <c r="C212" s="190"/>
      <c r="D212" s="190"/>
      <c r="E212" s="190"/>
      <c r="F212" s="190"/>
      <c r="G212" s="191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/>
      <c r="C213" s="190"/>
      <c r="D213" s="190"/>
      <c r="E213" s="190"/>
      <c r="F213" s="190"/>
      <c r="G213" s="191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/>
      <c r="C214" s="190"/>
      <c r="D214" s="190"/>
      <c r="E214" s="190"/>
      <c r="F214" s="190"/>
      <c r="G214" s="191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/>
      <c r="C215" s="190"/>
      <c r="D215" s="190"/>
      <c r="E215" s="190"/>
      <c r="F215" s="190"/>
      <c r="G215" s="191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/>
      <c r="C216" s="190"/>
      <c r="D216" s="190"/>
      <c r="E216" s="190"/>
      <c r="F216" s="190"/>
      <c r="G216" s="191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/>
      <c r="C217" s="190"/>
      <c r="D217" s="190"/>
      <c r="E217" s="190"/>
      <c r="F217" s="190"/>
      <c r="G217" s="191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/>
      <c r="C218" s="190"/>
      <c r="D218" s="190"/>
      <c r="E218" s="190"/>
      <c r="F218" s="190"/>
      <c r="G218" s="191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/>
      <c r="C219" s="190"/>
      <c r="D219" s="190"/>
      <c r="E219" s="190"/>
      <c r="F219" s="190"/>
      <c r="G219" s="191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/>
      <c r="C220" s="190"/>
      <c r="D220" s="190"/>
      <c r="E220" s="190"/>
      <c r="F220" s="190"/>
      <c r="G220" s="191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/>
      <c r="C221" s="190"/>
      <c r="D221" s="190"/>
      <c r="E221" s="190"/>
      <c r="F221" s="190"/>
      <c r="G221" s="191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/>
      <c r="C222" s="190"/>
      <c r="D222" s="190"/>
      <c r="E222" s="190"/>
      <c r="F222" s="190"/>
      <c r="G222" s="191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/>
      <c r="C223" s="190"/>
      <c r="D223" s="190"/>
      <c r="E223" s="190"/>
      <c r="F223" s="190"/>
      <c r="G223" s="191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/>
      <c r="C224" s="190"/>
      <c r="D224" s="190"/>
      <c r="E224" s="190"/>
      <c r="F224" s="190"/>
      <c r="G224" s="191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/>
      <c r="C225" s="190"/>
      <c r="D225" s="190"/>
      <c r="E225" s="190"/>
      <c r="F225" s="190"/>
      <c r="G225" s="191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/>
      <c r="C226" s="190"/>
      <c r="D226" s="190"/>
      <c r="E226" s="190"/>
      <c r="F226" s="190"/>
      <c r="G226" s="191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/>
      <c r="C227" s="190"/>
      <c r="D227" s="190"/>
      <c r="E227" s="190"/>
      <c r="F227" s="190"/>
      <c r="G227" s="191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/>
      <c r="C228" s="190"/>
      <c r="D228" s="190"/>
      <c r="E228" s="190"/>
      <c r="F228" s="190"/>
      <c r="G228" s="191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/>
      <c r="C229" s="190"/>
      <c r="D229" s="190"/>
      <c r="E229" s="190"/>
      <c r="F229" s="190"/>
      <c r="G229" s="191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/>
      <c r="C230" s="190"/>
      <c r="D230" s="190"/>
      <c r="E230" s="190"/>
      <c r="F230" s="190"/>
      <c r="G230" s="191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/>
      <c r="C231" s="190"/>
      <c r="D231" s="190"/>
      <c r="E231" s="190"/>
      <c r="F231" s="190"/>
      <c r="G231" s="191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/>
      <c r="C232" s="190"/>
      <c r="D232" s="190"/>
      <c r="E232" s="190"/>
      <c r="F232" s="190"/>
      <c r="G232" s="19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/>
      <c r="C233" s="190"/>
      <c r="D233" s="190"/>
      <c r="E233" s="190"/>
      <c r="F233" s="190"/>
      <c r="G233" s="191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/>
      <c r="C234" s="190"/>
      <c r="D234" s="190"/>
      <c r="E234" s="190"/>
      <c r="F234" s="190"/>
      <c r="G234" s="191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/>
      <c r="C235" s="190"/>
      <c r="D235" s="190"/>
      <c r="E235" s="190"/>
      <c r="F235" s="190"/>
      <c r="G235" s="191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/>
      <c r="C236" s="190"/>
      <c r="D236" s="190"/>
      <c r="E236" s="190"/>
      <c r="F236" s="190"/>
      <c r="G236" s="191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/>
      <c r="C237" s="190"/>
      <c r="D237" s="190"/>
      <c r="E237" s="190"/>
      <c r="F237" s="190"/>
      <c r="G237" s="191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/>
      <c r="C238" s="190"/>
      <c r="D238" s="190"/>
      <c r="E238" s="190"/>
      <c r="F238" s="190"/>
      <c r="G238" s="191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/>
      <c r="C239" s="190"/>
      <c r="D239" s="190"/>
      <c r="E239" s="190"/>
      <c r="F239" s="190"/>
      <c r="G239" s="19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/>
      <c r="C240" s="190"/>
      <c r="D240" s="190"/>
      <c r="E240" s="190"/>
      <c r="F240" s="190"/>
      <c r="G240" s="191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/>
      <c r="C241" s="190"/>
      <c r="D241" s="190"/>
      <c r="E241" s="190"/>
      <c r="F241" s="190"/>
      <c r="G241" s="191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/>
      <c r="C242" s="190"/>
      <c r="D242" s="190"/>
      <c r="E242" s="190"/>
      <c r="F242" s="190"/>
      <c r="G242" s="191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/>
      <c r="C243" s="190"/>
      <c r="D243" s="190"/>
      <c r="E243" s="190"/>
      <c r="F243" s="190"/>
      <c r="G243" s="191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/>
      <c r="C244" s="190"/>
      <c r="D244" s="190"/>
      <c r="E244" s="190"/>
      <c r="F244" s="190"/>
      <c r="G244" s="191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/>
      <c r="C245" s="190"/>
      <c r="D245" s="190"/>
      <c r="E245" s="190"/>
      <c r="F245" s="190"/>
      <c r="G245" s="191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/>
      <c r="C246" s="190"/>
      <c r="D246" s="190"/>
      <c r="E246" s="190"/>
      <c r="F246" s="190"/>
      <c r="G246" s="191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/>
      <c r="C247" s="190"/>
      <c r="D247" s="190"/>
      <c r="E247" s="190"/>
      <c r="F247" s="190"/>
      <c r="G247" s="191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/>
      <c r="C248" s="190"/>
      <c r="D248" s="190"/>
      <c r="E248" s="190"/>
      <c r="F248" s="190"/>
      <c r="G248" s="191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/>
      <c r="C249" s="190"/>
      <c r="D249" s="190"/>
      <c r="E249" s="190"/>
      <c r="F249" s="190"/>
      <c r="G249" s="191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/>
      <c r="C250" s="190"/>
      <c r="D250" s="190"/>
      <c r="E250" s="190"/>
      <c r="F250" s="190"/>
      <c r="G250" s="191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/>
      <c r="C251" s="190"/>
      <c r="D251" s="190"/>
      <c r="E251" s="190"/>
      <c r="F251" s="190"/>
      <c r="G251" s="191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/>
      <c r="C252" s="190"/>
      <c r="D252" s="190"/>
      <c r="E252" s="190"/>
      <c r="F252" s="190"/>
      <c r="G252" s="191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/>
      <c r="C253" s="190"/>
      <c r="D253" s="190"/>
      <c r="E253" s="190"/>
      <c r="F253" s="190"/>
      <c r="G253" s="191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/>
      <c r="C254" s="190"/>
      <c r="D254" s="190"/>
      <c r="E254" s="190"/>
      <c r="F254" s="190"/>
      <c r="G254" s="191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/>
      <c r="C255" s="190"/>
      <c r="D255" s="190"/>
      <c r="E255" s="190"/>
      <c r="F255" s="190"/>
      <c r="G255" s="191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/>
      <c r="C256" s="190"/>
      <c r="D256" s="190"/>
      <c r="E256" s="190"/>
      <c r="F256" s="190"/>
      <c r="G256" s="191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/>
      <c r="C257" s="190"/>
      <c r="D257" s="190"/>
      <c r="E257" s="190"/>
      <c r="F257" s="190"/>
      <c r="G257" s="191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/>
      <c r="C258" s="190"/>
      <c r="D258" s="190"/>
      <c r="E258" s="190"/>
      <c r="F258" s="190"/>
      <c r="G258" s="191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/>
      <c r="C259" s="190"/>
      <c r="D259" s="190"/>
      <c r="E259" s="190"/>
      <c r="F259" s="190"/>
      <c r="G259" s="191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/>
      <c r="C260" s="190"/>
      <c r="D260" s="190"/>
      <c r="E260" s="190"/>
      <c r="F260" s="190"/>
      <c r="G260" s="191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/>
      <c r="C261" s="190"/>
      <c r="D261" s="190"/>
      <c r="E261" s="190"/>
      <c r="F261" s="190"/>
      <c r="G261" s="191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/>
      <c r="C262" s="190"/>
      <c r="D262" s="190"/>
      <c r="E262" s="190"/>
      <c r="F262" s="190"/>
      <c r="G262" s="191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/>
      <c r="C263" s="190"/>
      <c r="D263" s="190"/>
      <c r="E263" s="190"/>
      <c r="F263" s="190"/>
      <c r="G263" s="191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/>
      <c r="C264" s="190"/>
      <c r="D264" s="190"/>
      <c r="E264" s="190"/>
      <c r="F264" s="190"/>
      <c r="G264" s="191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/>
      <c r="C265" s="190"/>
      <c r="D265" s="190"/>
      <c r="E265" s="190"/>
      <c r="F265" s="190"/>
      <c r="G265" s="191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/>
      <c r="C266" s="190"/>
      <c r="D266" s="190"/>
      <c r="E266" s="190"/>
      <c r="F266" s="190"/>
      <c r="G266" s="191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/>
      <c r="C267" s="190"/>
      <c r="D267" s="190"/>
      <c r="E267" s="190"/>
      <c r="F267" s="190"/>
      <c r="G267" s="191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/>
      <c r="C268" s="190"/>
      <c r="D268" s="190"/>
      <c r="E268" s="190"/>
      <c r="F268" s="190"/>
      <c r="G268" s="191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/>
      <c r="C269" s="190"/>
      <c r="D269" s="190"/>
      <c r="E269" s="190"/>
      <c r="F269" s="190"/>
      <c r="G269" s="191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/>
      <c r="C270" s="190"/>
      <c r="D270" s="190"/>
      <c r="E270" s="190"/>
      <c r="F270" s="190"/>
      <c r="G270" s="191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/>
      <c r="C271" s="190"/>
      <c r="D271" s="190"/>
      <c r="E271" s="190"/>
      <c r="F271" s="190"/>
      <c r="G271" s="191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/>
      <c r="C272" s="190"/>
      <c r="D272" s="190"/>
      <c r="E272" s="190"/>
      <c r="F272" s="190"/>
      <c r="G272" s="191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/>
      <c r="C273" s="190"/>
      <c r="D273" s="190"/>
      <c r="E273" s="190"/>
      <c r="F273" s="190"/>
      <c r="G273" s="191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/>
      <c r="C274" s="190"/>
      <c r="D274" s="190"/>
      <c r="E274" s="190"/>
      <c r="F274" s="190"/>
      <c r="G274" s="191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/>
      <c r="C275" s="190"/>
      <c r="D275" s="190"/>
      <c r="E275" s="190"/>
      <c r="F275" s="190"/>
      <c r="G275" s="191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/>
      <c r="C276" s="190"/>
      <c r="D276" s="190"/>
      <c r="E276" s="190"/>
      <c r="F276" s="190"/>
      <c r="G276" s="191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/>
      <c r="C277" s="190"/>
      <c r="D277" s="190"/>
      <c r="E277" s="190"/>
      <c r="F277" s="190"/>
      <c r="G277" s="191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/>
      <c r="C278" s="190"/>
      <c r="D278" s="190"/>
      <c r="E278" s="190"/>
      <c r="F278" s="190"/>
      <c r="G278" s="191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/>
      <c r="C279" s="190"/>
      <c r="D279" s="190"/>
      <c r="E279" s="190"/>
      <c r="F279" s="190"/>
      <c r="G279" s="191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/>
      <c r="C280" s="190"/>
      <c r="D280" s="190"/>
      <c r="E280" s="190"/>
      <c r="F280" s="190"/>
      <c r="G280" s="191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/>
      <c r="C281" s="190"/>
      <c r="D281" s="190"/>
      <c r="E281" s="190"/>
      <c r="F281" s="190"/>
      <c r="G281" s="191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/>
      <c r="C282" s="190"/>
      <c r="D282" s="190"/>
      <c r="E282" s="190"/>
      <c r="F282" s="190"/>
      <c r="G282" s="191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/>
      <c r="C283" s="190"/>
      <c r="D283" s="190"/>
      <c r="E283" s="190"/>
      <c r="F283" s="190"/>
      <c r="G283" s="191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/>
      <c r="C284" s="190"/>
      <c r="D284" s="190"/>
      <c r="E284" s="190"/>
      <c r="F284" s="190"/>
      <c r="G284" s="191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/>
      <c r="C285" s="190"/>
      <c r="D285" s="190"/>
      <c r="E285" s="190"/>
      <c r="F285" s="190"/>
      <c r="G285" s="191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/>
      <c r="C286" s="190"/>
      <c r="D286" s="190"/>
      <c r="E286" s="190"/>
      <c r="F286" s="190"/>
      <c r="G286" s="191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/>
      <c r="C287" s="190"/>
      <c r="D287" s="190"/>
      <c r="E287" s="190"/>
      <c r="F287" s="190"/>
      <c r="G287" s="191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/>
      <c r="C288" s="190"/>
      <c r="D288" s="190"/>
      <c r="E288" s="190"/>
      <c r="F288" s="190"/>
      <c r="G288" s="191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/>
      <c r="C289" s="190"/>
      <c r="D289" s="190"/>
      <c r="E289" s="190"/>
      <c r="F289" s="190"/>
      <c r="G289" s="19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/>
      <c r="C290" s="190"/>
      <c r="D290" s="190"/>
      <c r="E290" s="190"/>
      <c r="F290" s="190"/>
      <c r="G290" s="191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/>
      <c r="C291" s="190"/>
      <c r="D291" s="190"/>
      <c r="E291" s="190"/>
      <c r="F291" s="190"/>
      <c r="G291" s="191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/>
      <c r="C292" s="190"/>
      <c r="D292" s="190"/>
      <c r="E292" s="190"/>
      <c r="F292" s="190"/>
      <c r="G292" s="191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/>
      <c r="C293" s="190"/>
      <c r="D293" s="190"/>
      <c r="E293" s="190"/>
      <c r="F293" s="190"/>
      <c r="G293" s="191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/>
      <c r="C294" s="190"/>
      <c r="D294" s="190"/>
      <c r="E294" s="190"/>
      <c r="F294" s="190"/>
      <c r="G294" s="191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/>
      <c r="C295" s="190"/>
      <c r="D295" s="190"/>
      <c r="E295" s="190"/>
      <c r="F295" s="190"/>
      <c r="G295" s="191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/>
      <c r="C296" s="190"/>
      <c r="D296" s="190"/>
      <c r="E296" s="190"/>
      <c r="F296" s="190"/>
      <c r="G296" s="19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/>
      <c r="C297" s="190"/>
      <c r="D297" s="190"/>
      <c r="E297" s="190"/>
      <c r="F297" s="190"/>
      <c r="G297" s="191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/>
      <c r="C298" s="190"/>
      <c r="D298" s="190"/>
      <c r="E298" s="190"/>
      <c r="F298" s="190"/>
      <c r="G298" s="191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/>
      <c r="C299" s="190"/>
      <c r="D299" s="190"/>
      <c r="E299" s="190"/>
      <c r="F299" s="190"/>
      <c r="G299" s="191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/>
      <c r="C300" s="190"/>
      <c r="D300" s="190"/>
      <c r="E300" s="190"/>
      <c r="F300" s="190"/>
      <c r="G300" s="191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/>
      <c r="C301" s="190"/>
      <c r="D301" s="190"/>
      <c r="E301" s="190"/>
      <c r="F301" s="190"/>
      <c r="G301" s="191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/>
      <c r="C302" s="190"/>
      <c r="D302" s="190"/>
      <c r="E302" s="190"/>
      <c r="F302" s="190"/>
      <c r="G302" s="191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/>
      <c r="C303" s="190"/>
      <c r="D303" s="190"/>
      <c r="E303" s="190"/>
      <c r="F303" s="190"/>
      <c r="G303" s="191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/>
      <c r="C304" s="190"/>
      <c r="D304" s="190"/>
      <c r="E304" s="190"/>
      <c r="F304" s="190"/>
      <c r="G304" s="19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/>
      <c r="C305" s="190"/>
      <c r="D305" s="190"/>
      <c r="E305" s="190"/>
      <c r="F305" s="190"/>
      <c r="G305" s="191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/>
      <c r="C306" s="190"/>
      <c r="D306" s="190"/>
      <c r="E306" s="190"/>
      <c r="F306" s="190"/>
      <c r="G306" s="191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/>
      <c r="C307" s="190"/>
      <c r="D307" s="190"/>
      <c r="E307" s="190"/>
      <c r="F307" s="190"/>
      <c r="G307" s="191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/>
      <c r="C308" s="190"/>
      <c r="D308" s="190"/>
      <c r="E308" s="190"/>
      <c r="F308" s="190"/>
      <c r="G308" s="191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/>
      <c r="C309" s="190"/>
      <c r="D309" s="190"/>
      <c r="E309" s="190"/>
      <c r="F309" s="190"/>
      <c r="G309" s="191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/>
      <c r="C310" s="190"/>
      <c r="D310" s="190"/>
      <c r="E310" s="190"/>
      <c r="F310" s="190"/>
      <c r="G310" s="191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/>
      <c r="C311" s="190"/>
      <c r="D311" s="190"/>
      <c r="E311" s="190"/>
      <c r="F311" s="190"/>
      <c r="G311" s="191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/>
      <c r="C312" s="190"/>
      <c r="D312" s="190"/>
      <c r="E312" s="190"/>
      <c r="F312" s="190"/>
      <c r="G312" s="191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/>
      <c r="C313" s="190"/>
      <c r="D313" s="190"/>
      <c r="E313" s="190"/>
      <c r="F313" s="190"/>
      <c r="G313" s="191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/>
      <c r="C314" s="190"/>
      <c r="D314" s="190"/>
      <c r="E314" s="190"/>
      <c r="F314" s="190"/>
      <c r="G314" s="191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/>
      <c r="C315" s="190"/>
      <c r="D315" s="190"/>
      <c r="E315" s="190"/>
      <c r="F315" s="190"/>
      <c r="G315" s="191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/>
      <c r="C316" s="190"/>
      <c r="D316" s="190"/>
      <c r="E316" s="190"/>
      <c r="F316" s="190"/>
      <c r="G316" s="191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/>
      <c r="C317" s="190"/>
      <c r="D317" s="190"/>
      <c r="E317" s="190"/>
      <c r="F317" s="190"/>
      <c r="G317" s="191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/>
      <c r="C318" s="190"/>
      <c r="D318" s="190"/>
      <c r="E318" s="190"/>
      <c r="F318" s="190"/>
      <c r="G318" s="191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/>
      <c r="C319" s="190"/>
      <c r="D319" s="190"/>
      <c r="E319" s="190"/>
      <c r="F319" s="190"/>
      <c r="G319" s="191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/>
      <c r="C320" s="190"/>
      <c r="D320" s="190"/>
      <c r="E320" s="190"/>
      <c r="F320" s="190"/>
      <c r="G320" s="191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/>
      <c r="C321" s="190"/>
      <c r="D321" s="190"/>
      <c r="E321" s="190"/>
      <c r="F321" s="190"/>
      <c r="G321" s="191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/>
      <c r="C322" s="190"/>
      <c r="D322" s="190"/>
      <c r="E322" s="190"/>
      <c r="F322" s="190"/>
      <c r="G322" s="191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/>
      <c r="C323" s="190"/>
      <c r="D323" s="190"/>
      <c r="E323" s="190"/>
      <c r="F323" s="190"/>
      <c r="G323" s="191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/>
      <c r="C324" s="190"/>
      <c r="D324" s="190"/>
      <c r="E324" s="190"/>
      <c r="F324" s="190"/>
      <c r="G324" s="191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/>
      <c r="C325" s="190"/>
      <c r="D325" s="190"/>
      <c r="E325" s="190"/>
      <c r="F325" s="190"/>
      <c r="G325" s="191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/>
      <c r="C326" s="190"/>
      <c r="D326" s="190"/>
      <c r="E326" s="190"/>
      <c r="F326" s="190"/>
      <c r="G326" s="191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/>
      <c r="C327" s="190"/>
      <c r="D327" s="190"/>
      <c r="E327" s="190"/>
      <c r="F327" s="190"/>
      <c r="G327" s="191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/>
      <c r="C328" s="190"/>
      <c r="D328" s="190"/>
      <c r="E328" s="190"/>
      <c r="F328" s="190"/>
      <c r="G328" s="191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/>
      <c r="C329" s="190"/>
      <c r="D329" s="190"/>
      <c r="E329" s="190"/>
      <c r="F329" s="190"/>
      <c r="G329" s="191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/>
      <c r="C330" s="190"/>
      <c r="D330" s="190"/>
      <c r="E330" s="190"/>
      <c r="F330" s="190"/>
      <c r="G330" s="191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/>
      <c r="C331" s="190"/>
      <c r="D331" s="190"/>
      <c r="E331" s="190"/>
      <c r="F331" s="190"/>
      <c r="G331" s="191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/>
      <c r="C332" s="190"/>
      <c r="D332" s="190"/>
      <c r="E332" s="190"/>
      <c r="F332" s="190"/>
      <c r="G332" s="191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/>
      <c r="C333" s="190"/>
      <c r="D333" s="190"/>
      <c r="E333" s="190"/>
      <c r="F333" s="190"/>
      <c r="G333" s="191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/>
      <c r="C334" s="190"/>
      <c r="D334" s="190"/>
      <c r="E334" s="190"/>
      <c r="F334" s="190"/>
      <c r="G334" s="191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/>
      <c r="C335" s="190"/>
      <c r="D335" s="190"/>
      <c r="E335" s="190"/>
      <c r="F335" s="190"/>
      <c r="G335" s="191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/>
      <c r="C336" s="190"/>
      <c r="D336" s="190"/>
      <c r="E336" s="190"/>
      <c r="F336" s="190"/>
      <c r="G336" s="191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/>
      <c r="C337" s="190"/>
      <c r="D337" s="190"/>
      <c r="E337" s="190"/>
      <c r="F337" s="190"/>
      <c r="G337" s="191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/>
      <c r="C338" s="190"/>
      <c r="D338" s="190"/>
      <c r="E338" s="190"/>
      <c r="F338" s="190"/>
      <c r="G338" s="191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/>
      <c r="C339" s="190"/>
      <c r="D339" s="190"/>
      <c r="E339" s="190"/>
      <c r="F339" s="190"/>
      <c r="G339" s="191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/>
      <c r="C340" s="190"/>
      <c r="D340" s="190"/>
      <c r="E340" s="190"/>
      <c r="F340" s="190"/>
      <c r="G340" s="191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/>
      <c r="C341" s="190"/>
      <c r="D341" s="190"/>
      <c r="E341" s="190"/>
      <c r="F341" s="190"/>
      <c r="G341" s="191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/>
      <c r="C342" s="190"/>
      <c r="D342" s="190"/>
      <c r="E342" s="190"/>
      <c r="F342" s="190"/>
      <c r="G342" s="191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/>
      <c r="C343" s="190"/>
      <c r="D343" s="190"/>
      <c r="E343" s="190"/>
      <c r="F343" s="190"/>
      <c r="G343" s="191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/>
      <c r="C344" s="190"/>
      <c r="D344" s="190"/>
      <c r="E344" s="190"/>
      <c r="F344" s="190"/>
      <c r="G344" s="191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/>
      <c r="C345" s="190"/>
      <c r="D345" s="190"/>
      <c r="E345" s="190"/>
      <c r="F345" s="190"/>
      <c r="G345" s="191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/>
      <c r="C346" s="190"/>
      <c r="D346" s="190"/>
      <c r="E346" s="190"/>
      <c r="F346" s="190"/>
      <c r="G346" s="191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/>
      <c r="C347" s="190"/>
      <c r="D347" s="190"/>
      <c r="E347" s="190"/>
      <c r="F347" s="190"/>
      <c r="G347" s="191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/>
      <c r="C348" s="190"/>
      <c r="D348" s="190"/>
      <c r="E348" s="190"/>
      <c r="F348" s="190"/>
      <c r="G348" s="191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/>
      <c r="C349" s="190"/>
      <c r="D349" s="190"/>
      <c r="E349" s="190"/>
      <c r="F349" s="190"/>
      <c r="G349" s="191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/>
      <c r="C350" s="190"/>
      <c r="D350" s="190"/>
      <c r="E350" s="190"/>
      <c r="F350" s="190"/>
      <c r="G350" s="191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/>
      <c r="C351" s="190"/>
      <c r="D351" s="190"/>
      <c r="E351" s="190"/>
      <c r="F351" s="190"/>
      <c r="G351" s="191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/>
      <c r="C352" s="190"/>
      <c r="D352" s="190"/>
      <c r="E352" s="190"/>
      <c r="F352" s="190"/>
      <c r="G352" s="191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/>
      <c r="C353" s="190"/>
      <c r="D353" s="190"/>
      <c r="E353" s="190"/>
      <c r="F353" s="190"/>
      <c r="G353" s="191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/>
      <c r="C354" s="190"/>
      <c r="D354" s="190"/>
      <c r="E354" s="190"/>
      <c r="F354" s="190"/>
      <c r="G354" s="191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/>
      <c r="C355" s="190"/>
      <c r="D355" s="190"/>
      <c r="E355" s="190"/>
      <c r="F355" s="190"/>
      <c r="G355" s="191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/>
      <c r="C356" s="190"/>
      <c r="D356" s="190"/>
      <c r="E356" s="190"/>
      <c r="F356" s="190"/>
      <c r="G356" s="191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/>
      <c r="C357" s="190"/>
      <c r="D357" s="190"/>
      <c r="E357" s="190"/>
      <c r="F357" s="190"/>
      <c r="G357" s="191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/>
      <c r="C358" s="190"/>
      <c r="D358" s="190"/>
      <c r="E358" s="190"/>
      <c r="F358" s="190"/>
      <c r="G358" s="191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/>
      <c r="C359" s="190"/>
      <c r="D359" s="190"/>
      <c r="E359" s="190"/>
      <c r="F359" s="190"/>
      <c r="G359" s="191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/>
      <c r="C360" s="190"/>
      <c r="D360" s="190"/>
      <c r="E360" s="190"/>
      <c r="F360" s="190"/>
      <c r="G360" s="191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/>
      <c r="C361" s="190"/>
      <c r="D361" s="190"/>
      <c r="E361" s="190"/>
      <c r="F361" s="190"/>
      <c r="G361" s="191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/>
      <c r="C362" s="190"/>
      <c r="D362" s="190"/>
      <c r="E362" s="190"/>
      <c r="F362" s="190"/>
      <c r="G362" s="191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/>
      <c r="C363" s="190"/>
      <c r="D363" s="190"/>
      <c r="E363" s="190"/>
      <c r="F363" s="190"/>
      <c r="G363" s="191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/>
      <c r="C364" s="190"/>
      <c r="D364" s="190"/>
      <c r="E364" s="190"/>
      <c r="F364" s="190"/>
      <c r="G364" s="191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/>
      <c r="C365" s="190"/>
      <c r="D365" s="190"/>
      <c r="E365" s="190"/>
      <c r="F365" s="190"/>
      <c r="G365" s="191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/>
      <c r="C366" s="190"/>
      <c r="D366" s="190"/>
      <c r="E366" s="190"/>
      <c r="F366" s="190"/>
      <c r="G366" s="191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/>
      <c r="C367" s="190"/>
      <c r="D367" s="190"/>
      <c r="E367" s="190"/>
      <c r="F367" s="190"/>
      <c r="G367" s="191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/>
      <c r="C368" s="190"/>
      <c r="D368" s="190"/>
      <c r="E368" s="190"/>
      <c r="F368" s="190"/>
      <c r="G368" s="191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/>
      <c r="C369" s="190"/>
      <c r="D369" s="190"/>
      <c r="E369" s="190"/>
      <c r="F369" s="190"/>
      <c r="G369" s="191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/>
      <c r="C370" s="190"/>
      <c r="D370" s="190"/>
      <c r="E370" s="190"/>
      <c r="F370" s="190"/>
      <c r="G370" s="191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/>
      <c r="C371" s="190"/>
      <c r="D371" s="190"/>
      <c r="E371" s="190"/>
      <c r="F371" s="190"/>
      <c r="G371" s="191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/>
      <c r="C372" s="190"/>
      <c r="D372" s="190"/>
      <c r="E372" s="190"/>
      <c r="F372" s="190"/>
      <c r="G372" s="191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/>
      <c r="C373" s="190"/>
      <c r="D373" s="190"/>
      <c r="E373" s="190"/>
      <c r="F373" s="190"/>
      <c r="G373" s="191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/>
      <c r="C374" s="190"/>
      <c r="D374" s="190"/>
      <c r="E374" s="190"/>
      <c r="F374" s="190"/>
      <c r="G374" s="191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/>
      <c r="C375" s="190"/>
      <c r="D375" s="190"/>
      <c r="E375" s="190"/>
      <c r="F375" s="190"/>
      <c r="G375" s="191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/>
      <c r="C376" s="190"/>
      <c r="D376" s="190"/>
      <c r="E376" s="190"/>
      <c r="F376" s="190"/>
      <c r="G376" s="191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/>
      <c r="C377" s="190"/>
      <c r="D377" s="190"/>
      <c r="E377" s="190"/>
      <c r="F377" s="190"/>
      <c r="G377" s="191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/>
      <c r="C378" s="190"/>
      <c r="D378" s="190"/>
      <c r="E378" s="190"/>
      <c r="F378" s="190"/>
      <c r="G378" s="19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/>
      <c r="C379" s="190"/>
      <c r="D379" s="190"/>
      <c r="E379" s="190"/>
      <c r="F379" s="190"/>
      <c r="G379" s="191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/>
      <c r="C380" s="190"/>
      <c r="D380" s="190"/>
      <c r="E380" s="190"/>
      <c r="F380" s="190"/>
      <c r="G380" s="191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/>
      <c r="C381" s="190"/>
      <c r="D381" s="190"/>
      <c r="E381" s="190"/>
      <c r="F381" s="190"/>
      <c r="G381" s="191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/>
      <c r="C382" s="190"/>
      <c r="D382" s="190"/>
      <c r="E382" s="190"/>
      <c r="F382" s="190"/>
      <c r="G382" s="191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/>
      <c r="C383" s="190"/>
      <c r="D383" s="190"/>
      <c r="E383" s="190"/>
      <c r="F383" s="190"/>
      <c r="G383" s="191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/>
      <c r="C384" s="190"/>
      <c r="D384" s="190"/>
      <c r="E384" s="190"/>
      <c r="F384" s="190"/>
      <c r="G384" s="191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/>
      <c r="C385" s="190"/>
      <c r="D385" s="190"/>
      <c r="E385" s="190"/>
      <c r="F385" s="190"/>
      <c r="G385" s="191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/>
      <c r="C386" s="190"/>
      <c r="D386" s="190"/>
      <c r="E386" s="190"/>
      <c r="F386" s="190"/>
      <c r="G386" s="191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/>
      <c r="C387" s="190"/>
      <c r="D387" s="190"/>
      <c r="E387" s="190"/>
      <c r="F387" s="190"/>
      <c r="G387" s="191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/>
      <c r="C388" s="190"/>
      <c r="D388" s="190"/>
      <c r="E388" s="190"/>
      <c r="F388" s="190"/>
      <c r="G388" s="191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/>
      <c r="C389" s="190"/>
      <c r="D389" s="190"/>
      <c r="E389" s="190"/>
      <c r="F389" s="190"/>
      <c r="G389" s="191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/>
      <c r="C390" s="190"/>
      <c r="D390" s="190"/>
      <c r="E390" s="190"/>
      <c r="F390" s="190"/>
      <c r="G390" s="191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/>
      <c r="C391" s="190"/>
      <c r="D391" s="190"/>
      <c r="E391" s="190"/>
      <c r="F391" s="190"/>
      <c r="G391" s="191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/>
      <c r="C392" s="190"/>
      <c r="D392" s="190"/>
      <c r="E392" s="190"/>
      <c r="F392" s="190"/>
      <c r="G392" s="191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/>
      <c r="C393" s="190"/>
      <c r="D393" s="190"/>
      <c r="E393" s="190"/>
      <c r="F393" s="190"/>
      <c r="G393" s="191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/>
      <c r="C394" s="190"/>
      <c r="D394" s="190"/>
      <c r="E394" s="190"/>
      <c r="F394" s="190"/>
      <c r="G394" s="191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/>
      <c r="C395" s="190"/>
      <c r="D395" s="190"/>
      <c r="E395" s="190"/>
      <c r="F395" s="190"/>
      <c r="G395" s="191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/>
      <c r="C396" s="190"/>
      <c r="D396" s="190"/>
      <c r="E396" s="190"/>
      <c r="F396" s="190"/>
      <c r="G396" s="191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/>
      <c r="C397" s="190"/>
      <c r="D397" s="190"/>
      <c r="E397" s="190"/>
      <c r="F397" s="190"/>
      <c r="G397" s="191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/>
      <c r="C398" s="190"/>
      <c r="D398" s="190"/>
      <c r="E398" s="190"/>
      <c r="F398" s="190"/>
      <c r="G398" s="191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/>
      <c r="C399" s="190"/>
      <c r="D399" s="190"/>
      <c r="E399" s="190"/>
      <c r="F399" s="190"/>
      <c r="G399" s="191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/>
      <c r="C400" s="190"/>
      <c r="D400" s="190"/>
      <c r="E400" s="190"/>
      <c r="F400" s="190"/>
      <c r="G400" s="191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/>
      <c r="C401" s="190"/>
      <c r="D401" s="190"/>
      <c r="E401" s="190"/>
      <c r="F401" s="190"/>
      <c r="G401" s="191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/>
      <c r="C402" s="190"/>
      <c r="D402" s="190"/>
      <c r="E402" s="190"/>
      <c r="F402" s="190"/>
      <c r="G402" s="191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/>
      <c r="C403" s="190"/>
      <c r="D403" s="190"/>
      <c r="E403" s="190"/>
      <c r="F403" s="190"/>
      <c r="G403" s="191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/>
      <c r="C404" s="190"/>
      <c r="D404" s="190"/>
      <c r="E404" s="190"/>
      <c r="F404" s="190"/>
      <c r="G404" s="191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/>
      <c r="C405" s="190"/>
      <c r="D405" s="190"/>
      <c r="E405" s="190"/>
      <c r="F405" s="190"/>
      <c r="G405" s="191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/>
      <c r="C406" s="190"/>
      <c r="D406" s="190"/>
      <c r="E406" s="190"/>
      <c r="F406" s="190"/>
      <c r="G406" s="191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/>
      <c r="C407" s="190"/>
      <c r="D407" s="190"/>
      <c r="E407" s="190"/>
      <c r="F407" s="190"/>
      <c r="G407" s="191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/>
      <c r="C408" s="190"/>
      <c r="D408" s="190"/>
      <c r="E408" s="190"/>
      <c r="F408" s="190"/>
      <c r="G408" s="191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/>
      <c r="C409" s="190"/>
      <c r="D409" s="190"/>
      <c r="E409" s="190"/>
      <c r="F409" s="190"/>
      <c r="G409" s="191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/>
      <c r="C410" s="190"/>
      <c r="D410" s="190"/>
      <c r="E410" s="190"/>
      <c r="F410" s="190"/>
      <c r="G410" s="191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/>
      <c r="C411" s="190"/>
      <c r="D411" s="190"/>
      <c r="E411" s="190"/>
      <c r="F411" s="190"/>
      <c r="G411" s="191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/>
      <c r="C412" s="190"/>
      <c r="D412" s="190"/>
      <c r="E412" s="190"/>
      <c r="F412" s="190"/>
      <c r="G412" s="191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/>
      <c r="C413" s="190"/>
      <c r="D413" s="190"/>
      <c r="E413" s="190"/>
      <c r="F413" s="190"/>
      <c r="G413" s="191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/>
      <c r="C414" s="190"/>
      <c r="D414" s="190"/>
      <c r="E414" s="190"/>
      <c r="F414" s="190"/>
      <c r="G414" s="191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/>
      <c r="C415" s="190"/>
      <c r="D415" s="190"/>
      <c r="E415" s="190"/>
      <c r="F415" s="190"/>
      <c r="G415" s="191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/>
      <c r="C416" s="190"/>
      <c r="D416" s="190"/>
      <c r="E416" s="190"/>
      <c r="F416" s="190"/>
      <c r="G416" s="191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/>
      <c r="C417" s="190"/>
      <c r="D417" s="190"/>
      <c r="E417" s="190"/>
      <c r="F417" s="190"/>
      <c r="G417" s="191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/>
      <c r="C418" s="190"/>
      <c r="D418" s="190"/>
      <c r="E418" s="190"/>
      <c r="F418" s="190"/>
      <c r="G418" s="191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/>
      <c r="C419" s="190"/>
      <c r="D419" s="190"/>
      <c r="E419" s="190"/>
      <c r="F419" s="190"/>
      <c r="G419" s="191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/>
      <c r="C420" s="190"/>
      <c r="D420" s="190"/>
      <c r="E420" s="190"/>
      <c r="F420" s="190"/>
      <c r="G420" s="191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/>
      <c r="C421" s="190"/>
      <c r="D421" s="190"/>
      <c r="E421" s="190"/>
      <c r="F421" s="190"/>
      <c r="G421" s="191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/>
      <c r="C422" s="190"/>
      <c r="D422" s="190"/>
      <c r="E422" s="190"/>
      <c r="F422" s="190"/>
      <c r="G422" s="191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/>
      <c r="C423" s="190"/>
      <c r="D423" s="190"/>
      <c r="E423" s="190"/>
      <c r="F423" s="190"/>
      <c r="G423" s="191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/>
      <c r="C424" s="190"/>
      <c r="D424" s="190"/>
      <c r="E424" s="190"/>
      <c r="F424" s="190"/>
      <c r="G424" s="191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/>
      <c r="C425" s="190"/>
      <c r="D425" s="190"/>
      <c r="E425" s="190"/>
      <c r="F425" s="190"/>
      <c r="G425" s="191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/>
      <c r="C426" s="190"/>
      <c r="D426" s="190"/>
      <c r="E426" s="190"/>
      <c r="F426" s="190"/>
      <c r="G426" s="191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/>
      <c r="C427" s="190"/>
      <c r="D427" s="190"/>
      <c r="E427" s="190"/>
      <c r="F427" s="190"/>
      <c r="G427" s="191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/>
      <c r="C428" s="190"/>
      <c r="D428" s="190"/>
      <c r="E428" s="190"/>
      <c r="F428" s="190"/>
      <c r="G428" s="191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/>
      <c r="C429" s="190"/>
      <c r="D429" s="190"/>
      <c r="E429" s="190"/>
      <c r="F429" s="190"/>
      <c r="G429" s="191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/>
      <c r="C430" s="190"/>
      <c r="D430" s="190"/>
      <c r="E430" s="190"/>
      <c r="F430" s="190"/>
      <c r="G430" s="191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/>
      <c r="C431" s="190"/>
      <c r="D431" s="190"/>
      <c r="E431" s="190"/>
      <c r="F431" s="190"/>
      <c r="G431" s="191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/>
      <c r="C432" s="190"/>
      <c r="D432" s="190"/>
      <c r="E432" s="190"/>
      <c r="F432" s="190"/>
      <c r="G432" s="191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/>
      <c r="C433" s="190"/>
      <c r="D433" s="190"/>
      <c r="E433" s="190"/>
      <c r="F433" s="190"/>
      <c r="G433" s="191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/>
      <c r="C434" s="190"/>
      <c r="D434" s="190"/>
      <c r="E434" s="190"/>
      <c r="F434" s="190"/>
      <c r="G434" s="191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/>
      <c r="C435" s="190"/>
      <c r="D435" s="190"/>
      <c r="E435" s="190"/>
      <c r="F435" s="190"/>
      <c r="G435" s="191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/>
      <c r="C436" s="190"/>
      <c r="D436" s="190"/>
      <c r="E436" s="190"/>
      <c r="F436" s="190"/>
      <c r="G436" s="191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/>
      <c r="C437" s="190"/>
      <c r="D437" s="190"/>
      <c r="E437" s="190"/>
      <c r="F437" s="190"/>
      <c r="G437" s="191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/>
      <c r="C438" s="190"/>
      <c r="D438" s="190"/>
      <c r="E438" s="190"/>
      <c r="F438" s="190"/>
      <c r="G438" s="191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/>
      <c r="C439" s="190"/>
      <c r="D439" s="190"/>
      <c r="E439" s="190"/>
      <c r="F439" s="190"/>
      <c r="G439" s="191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/>
      <c r="C440" s="190"/>
      <c r="D440" s="190"/>
      <c r="E440" s="190"/>
      <c r="F440" s="190"/>
      <c r="G440" s="191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/>
      <c r="C441" s="190"/>
      <c r="D441" s="190"/>
      <c r="E441" s="190"/>
      <c r="F441" s="190"/>
      <c r="G441" s="191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/>
      <c r="C442" s="190"/>
      <c r="D442" s="190"/>
      <c r="E442" s="190"/>
      <c r="F442" s="190"/>
      <c r="G442" s="191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/>
      <c r="C443" s="190"/>
      <c r="D443" s="190"/>
      <c r="E443" s="190"/>
      <c r="F443" s="190"/>
      <c r="G443" s="191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/>
      <c r="C444" s="190"/>
      <c r="D444" s="190"/>
      <c r="E444" s="190"/>
      <c r="F444" s="190"/>
      <c r="G444" s="191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/>
      <c r="C445" s="190"/>
      <c r="D445" s="190"/>
      <c r="E445" s="190"/>
      <c r="F445" s="190"/>
      <c r="G445" s="191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/>
      <c r="C446" s="190"/>
      <c r="D446" s="190"/>
      <c r="E446" s="190"/>
      <c r="F446" s="190"/>
      <c r="G446" s="191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/>
      <c r="C447" s="190"/>
      <c r="D447" s="190"/>
      <c r="E447" s="190"/>
      <c r="F447" s="190"/>
      <c r="G447" s="191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/>
      <c r="C448" s="190"/>
      <c r="D448" s="190"/>
      <c r="E448" s="190"/>
      <c r="F448" s="190"/>
      <c r="G448" s="191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/>
      <c r="C449" s="190"/>
      <c r="D449" s="190"/>
      <c r="E449" s="190"/>
      <c r="F449" s="190"/>
      <c r="G449" s="191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/>
      <c r="C450" s="190"/>
      <c r="D450" s="190"/>
      <c r="E450" s="190"/>
      <c r="F450" s="190"/>
      <c r="G450" s="191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/>
      <c r="C451" s="190"/>
      <c r="D451" s="190"/>
      <c r="E451" s="190"/>
      <c r="F451" s="190"/>
      <c r="G451" s="191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/>
      <c r="C452" s="190"/>
      <c r="D452" s="190"/>
      <c r="E452" s="190"/>
      <c r="F452" s="190"/>
      <c r="G452" s="191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/>
      <c r="C453" s="190"/>
      <c r="D453" s="190"/>
      <c r="E453" s="190"/>
      <c r="F453" s="190"/>
      <c r="G453" s="191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/>
      <c r="C454" s="190"/>
      <c r="D454" s="190"/>
      <c r="E454" s="190"/>
      <c r="F454" s="190"/>
      <c r="G454" s="191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/>
      <c r="C455" s="190"/>
      <c r="D455" s="190"/>
      <c r="E455" s="190"/>
      <c r="F455" s="190"/>
      <c r="G455" s="191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/>
      <c r="C456" s="190"/>
      <c r="D456" s="190"/>
      <c r="E456" s="190"/>
      <c r="F456" s="190"/>
      <c r="G456" s="191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/>
      <c r="C457" s="190"/>
      <c r="D457" s="190"/>
      <c r="E457" s="190"/>
      <c r="F457" s="190"/>
      <c r="G457" s="191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/>
      <c r="C458" s="190"/>
      <c r="D458" s="190"/>
      <c r="E458" s="190"/>
      <c r="F458" s="190"/>
      <c r="G458" s="191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/>
      <c r="C459" s="190"/>
      <c r="D459" s="190"/>
      <c r="E459" s="190"/>
      <c r="F459" s="190"/>
      <c r="G459" s="191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/>
      <c r="C460" s="190"/>
      <c r="D460" s="190"/>
      <c r="E460" s="190"/>
      <c r="F460" s="190"/>
      <c r="G460" s="191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/>
      <c r="C461" s="190"/>
      <c r="D461" s="190"/>
      <c r="E461" s="190"/>
      <c r="F461" s="190"/>
      <c r="G461" s="191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/>
      <c r="C462" s="190"/>
      <c r="D462" s="190"/>
      <c r="E462" s="190"/>
      <c r="F462" s="190"/>
      <c r="G462" s="191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/>
      <c r="C463" s="190"/>
      <c r="D463" s="190"/>
      <c r="E463" s="190"/>
      <c r="F463" s="190"/>
      <c r="G463" s="191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/>
      <c r="C464" s="190"/>
      <c r="D464" s="190"/>
      <c r="E464" s="190"/>
      <c r="F464" s="190"/>
      <c r="G464" s="191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/>
      <c r="C465" s="190"/>
      <c r="D465" s="190"/>
      <c r="E465" s="190"/>
      <c r="F465" s="190"/>
      <c r="G465" s="191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/>
      <c r="C466" s="190"/>
      <c r="D466" s="190"/>
      <c r="E466" s="190"/>
      <c r="F466" s="190"/>
      <c r="G466" s="191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/>
      <c r="C467" s="190"/>
      <c r="D467" s="190"/>
      <c r="E467" s="190"/>
      <c r="F467" s="190"/>
      <c r="G467" s="191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/>
      <c r="C468" s="190"/>
      <c r="D468" s="190"/>
      <c r="E468" s="190"/>
      <c r="F468" s="190"/>
      <c r="G468" s="191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/>
      <c r="C469" s="190"/>
      <c r="D469" s="190"/>
      <c r="E469" s="190"/>
      <c r="F469" s="190"/>
      <c r="G469" s="191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/>
      <c r="C470" s="190"/>
      <c r="D470" s="190"/>
      <c r="E470" s="190"/>
      <c r="F470" s="190"/>
      <c r="G470" s="191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/>
      <c r="C471" s="190"/>
      <c r="D471" s="190"/>
      <c r="E471" s="190"/>
      <c r="F471" s="190"/>
      <c r="G471" s="191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/>
      <c r="C472" s="190"/>
      <c r="D472" s="190"/>
      <c r="E472" s="190"/>
      <c r="F472" s="190"/>
      <c r="G472" s="191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/>
      <c r="C473" s="190"/>
      <c r="D473" s="190"/>
      <c r="E473" s="190"/>
      <c r="F473" s="190"/>
      <c r="G473" s="191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/>
      <c r="C474" s="190"/>
      <c r="D474" s="190"/>
      <c r="E474" s="190"/>
      <c r="F474" s="190"/>
      <c r="G474" s="191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/>
      <c r="C475" s="190"/>
      <c r="D475" s="190"/>
      <c r="E475" s="190"/>
      <c r="F475" s="190"/>
      <c r="G475" s="191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/>
      <c r="C476" s="190"/>
      <c r="D476" s="190"/>
      <c r="E476" s="190"/>
      <c r="F476" s="190"/>
      <c r="G476" s="191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/>
      <c r="C477" s="190"/>
      <c r="D477" s="190"/>
      <c r="E477" s="190"/>
      <c r="F477" s="190"/>
      <c r="G477" s="191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/>
      <c r="C478" s="190"/>
      <c r="D478" s="190"/>
      <c r="E478" s="190"/>
      <c r="F478" s="190"/>
      <c r="G478" s="191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/>
      <c r="C479" s="190"/>
      <c r="D479" s="190"/>
      <c r="E479" s="190"/>
      <c r="F479" s="190"/>
      <c r="G479" s="191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/>
      <c r="C480" s="190"/>
      <c r="D480" s="190"/>
      <c r="E480" s="190"/>
      <c r="F480" s="190"/>
      <c r="G480" s="191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/>
      <c r="C481" s="190"/>
      <c r="D481" s="190"/>
      <c r="E481" s="190"/>
      <c r="F481" s="190"/>
      <c r="G481" s="191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/>
      <c r="C482" s="190"/>
      <c r="D482" s="190"/>
      <c r="E482" s="190"/>
      <c r="F482" s="190"/>
      <c r="G482" s="191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/>
      <c r="C483" s="190"/>
      <c r="D483" s="190"/>
      <c r="E483" s="190"/>
      <c r="F483" s="190"/>
      <c r="G483" s="191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/>
      <c r="C484" s="190"/>
      <c r="D484" s="190"/>
      <c r="E484" s="190"/>
      <c r="F484" s="190"/>
      <c r="G484" s="191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/>
      <c r="C485" s="190"/>
      <c r="D485" s="190"/>
      <c r="E485" s="190"/>
      <c r="F485" s="190"/>
      <c r="G485" s="191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/>
      <c r="C486" s="190"/>
      <c r="D486" s="190"/>
      <c r="E486" s="190"/>
      <c r="F486" s="190"/>
      <c r="G486" s="191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/>
      <c r="C487" s="190"/>
      <c r="D487" s="190"/>
      <c r="E487" s="190"/>
      <c r="F487" s="190"/>
      <c r="G487" s="191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/>
      <c r="C488" s="190"/>
      <c r="D488" s="190"/>
      <c r="E488" s="190"/>
      <c r="F488" s="190"/>
      <c r="G488" s="191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/>
      <c r="C489" s="190"/>
      <c r="D489" s="190"/>
      <c r="E489" s="190"/>
      <c r="F489" s="190"/>
      <c r="G489" s="191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/>
      <c r="C490" s="190"/>
      <c r="D490" s="190"/>
      <c r="E490" s="190"/>
      <c r="F490" s="190"/>
      <c r="G490" s="191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/>
      <c r="C491" s="190"/>
      <c r="D491" s="190"/>
      <c r="E491" s="190"/>
      <c r="F491" s="190"/>
      <c r="G491" s="191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/>
      <c r="C492" s="190"/>
      <c r="D492" s="190"/>
      <c r="E492" s="190"/>
      <c r="F492" s="190"/>
      <c r="G492" s="191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/>
      <c r="C493" s="190"/>
      <c r="D493" s="190"/>
      <c r="E493" s="190"/>
      <c r="F493" s="190"/>
      <c r="G493" s="191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/>
      <c r="C494" s="190"/>
      <c r="D494" s="190"/>
      <c r="E494" s="190"/>
      <c r="F494" s="190"/>
      <c r="G494" s="191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/>
      <c r="C495" s="190"/>
      <c r="D495" s="190"/>
      <c r="E495" s="190"/>
      <c r="F495" s="190"/>
      <c r="G495" s="191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/>
      <c r="C496" s="190"/>
      <c r="D496" s="190"/>
      <c r="E496" s="190"/>
      <c r="F496" s="190"/>
      <c r="G496" s="191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/>
      <c r="C497" s="190"/>
      <c r="D497" s="190"/>
      <c r="E497" s="190"/>
      <c r="F497" s="190"/>
      <c r="G497" s="191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/>
      <c r="C498" s="190"/>
      <c r="D498" s="190"/>
      <c r="E498" s="190"/>
      <c r="F498" s="190"/>
      <c r="G498" s="191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/>
      <c r="C499" s="190"/>
      <c r="D499" s="190"/>
      <c r="E499" s="190"/>
      <c r="F499" s="190"/>
      <c r="G499" s="191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/>
      <c r="C500" s="190"/>
      <c r="D500" s="190"/>
      <c r="E500" s="190"/>
      <c r="F500" s="190"/>
      <c r="G500" s="191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/>
      <c r="C501" s="190"/>
      <c r="D501" s="190"/>
      <c r="E501" s="190"/>
      <c r="F501" s="190"/>
      <c r="G501" s="191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/>
      <c r="C502" s="190"/>
      <c r="D502" s="190"/>
      <c r="E502" s="190"/>
      <c r="F502" s="190"/>
      <c r="G502" s="191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/>
      <c r="C503" s="190"/>
      <c r="D503" s="190"/>
      <c r="E503" s="190"/>
      <c r="F503" s="190"/>
      <c r="G503" s="191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/>
      <c r="C504" s="190"/>
      <c r="D504" s="190"/>
      <c r="E504" s="190"/>
      <c r="F504" s="190"/>
      <c r="G504" s="191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/>
      <c r="C505" s="190"/>
      <c r="D505" s="190"/>
      <c r="E505" s="190"/>
      <c r="F505" s="190"/>
      <c r="G505" s="191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/>
      <c r="C506" s="190"/>
      <c r="D506" s="190"/>
      <c r="E506" s="190"/>
      <c r="F506" s="190"/>
      <c r="G506" s="191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/>
      <c r="C507" s="190"/>
      <c r="D507" s="190"/>
      <c r="E507" s="190"/>
      <c r="F507" s="190"/>
      <c r="G507" s="191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/>
      <c r="C508" s="190"/>
      <c r="D508" s="190"/>
      <c r="E508" s="190"/>
      <c r="F508" s="190"/>
      <c r="G508" s="191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/>
      <c r="C509" s="190"/>
      <c r="D509" s="190"/>
      <c r="E509" s="190"/>
      <c r="F509" s="190"/>
      <c r="G509" s="191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/>
      <c r="C510" s="190"/>
      <c r="D510" s="190"/>
      <c r="E510" s="190"/>
      <c r="F510" s="190"/>
      <c r="G510" s="191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/>
      <c r="C511" s="190"/>
      <c r="D511" s="190"/>
      <c r="E511" s="190"/>
      <c r="F511" s="190"/>
      <c r="G511" s="191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/>
      <c r="C512" s="190"/>
      <c r="D512" s="190"/>
      <c r="E512" s="190"/>
      <c r="F512" s="190"/>
      <c r="G512" s="191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/>
      <c r="C513" s="190"/>
      <c r="D513" s="190"/>
      <c r="E513" s="190"/>
      <c r="F513" s="190"/>
      <c r="G513" s="191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/>
      <c r="C514" s="190"/>
      <c r="D514" s="190"/>
      <c r="E514" s="190"/>
      <c r="F514" s="190"/>
      <c r="G514" s="191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/>
      <c r="C515" s="190"/>
      <c r="D515" s="190"/>
      <c r="E515" s="190"/>
      <c r="F515" s="190"/>
      <c r="G515" s="191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/>
      <c r="C516" s="190"/>
      <c r="D516" s="190"/>
      <c r="E516" s="190"/>
      <c r="F516" s="190"/>
      <c r="G516" s="191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/>
      <c r="C517" s="190"/>
      <c r="D517" s="190"/>
      <c r="E517" s="190"/>
      <c r="F517" s="190"/>
      <c r="G517" s="191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/>
      <c r="C518" s="190"/>
      <c r="D518" s="190"/>
      <c r="E518" s="190"/>
      <c r="F518" s="190"/>
      <c r="G518" s="191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/>
      <c r="C519" s="190"/>
      <c r="D519" s="190"/>
      <c r="E519" s="190"/>
      <c r="F519" s="190"/>
      <c r="G519" s="191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/>
      <c r="C520" s="190"/>
      <c r="D520" s="190"/>
      <c r="E520" s="190"/>
      <c r="F520" s="190"/>
      <c r="G520" s="191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/>
      <c r="C521" s="190"/>
      <c r="D521" s="190"/>
      <c r="E521" s="190"/>
      <c r="F521" s="190"/>
      <c r="G521" s="191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/>
      <c r="C522" s="190"/>
      <c r="D522" s="190"/>
      <c r="E522" s="190"/>
      <c r="F522" s="190"/>
      <c r="G522" s="191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/>
      <c r="C523" s="190"/>
      <c r="D523" s="190"/>
      <c r="E523" s="190"/>
      <c r="F523" s="190"/>
      <c r="G523" s="191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/>
      <c r="C524" s="190"/>
      <c r="D524" s="190"/>
      <c r="E524" s="190"/>
      <c r="F524" s="190"/>
      <c r="G524" s="191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/>
      <c r="C525" s="190"/>
      <c r="D525" s="190"/>
      <c r="E525" s="190"/>
      <c r="F525" s="190"/>
      <c r="G525" s="191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/>
      <c r="C526" s="190"/>
      <c r="D526" s="190"/>
      <c r="E526" s="190"/>
      <c r="F526" s="190"/>
      <c r="G526" s="191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/>
      <c r="C527" s="190"/>
      <c r="D527" s="190"/>
      <c r="E527" s="190"/>
      <c r="F527" s="190"/>
      <c r="G527" s="191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/>
      <c r="C528" s="190"/>
      <c r="D528" s="190"/>
      <c r="E528" s="190"/>
      <c r="F528" s="190"/>
      <c r="G528" s="191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/>
      <c r="C529" s="190"/>
      <c r="D529" s="190"/>
      <c r="E529" s="190"/>
      <c r="F529" s="190"/>
      <c r="G529" s="191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/>
      <c r="C530" s="190"/>
      <c r="D530" s="190"/>
      <c r="E530" s="190"/>
      <c r="F530" s="190"/>
      <c r="G530" s="191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/>
      <c r="C531" s="190"/>
      <c r="D531" s="190"/>
      <c r="E531" s="190"/>
      <c r="F531" s="190"/>
      <c r="G531" s="191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/>
      <c r="C532" s="190"/>
      <c r="D532" s="190"/>
      <c r="E532" s="190"/>
      <c r="F532" s="190"/>
      <c r="G532" s="191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/>
      <c r="C533" s="190"/>
      <c r="D533" s="190"/>
      <c r="E533" s="190"/>
      <c r="F533" s="190"/>
      <c r="G533" s="191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/>
      <c r="C534" s="190"/>
      <c r="D534" s="190"/>
      <c r="E534" s="190"/>
      <c r="F534" s="190"/>
      <c r="G534" s="191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/>
      <c r="C535" s="190"/>
      <c r="D535" s="190"/>
      <c r="E535" s="190"/>
      <c r="F535" s="190"/>
      <c r="G535" s="191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/>
      <c r="C536" s="190"/>
      <c r="D536" s="190"/>
      <c r="E536" s="190"/>
      <c r="F536" s="190"/>
      <c r="G536" s="191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/>
      <c r="C537" s="190"/>
      <c r="D537" s="190"/>
      <c r="E537" s="190"/>
      <c r="F537" s="190"/>
      <c r="G537" s="191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/>
      <c r="C538" s="190"/>
      <c r="D538" s="190"/>
      <c r="E538" s="190"/>
      <c r="F538" s="190"/>
      <c r="G538" s="191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/>
      <c r="C539" s="190"/>
      <c r="D539" s="190"/>
      <c r="E539" s="190"/>
      <c r="F539" s="190"/>
      <c r="G539" s="191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/>
      <c r="C540" s="190"/>
      <c r="D540" s="190"/>
      <c r="E540" s="190"/>
      <c r="F540" s="190"/>
      <c r="G540" s="191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/>
      <c r="C541" s="190"/>
      <c r="D541" s="190"/>
      <c r="E541" s="190"/>
      <c r="F541" s="190"/>
      <c r="G541" s="191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/>
      <c r="C542" s="190"/>
      <c r="D542" s="190"/>
      <c r="E542" s="190"/>
      <c r="F542" s="190"/>
      <c r="G542" s="191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/>
      <c r="C543" s="190"/>
      <c r="D543" s="190"/>
      <c r="E543" s="190"/>
      <c r="F543" s="190"/>
      <c r="G543" s="191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/>
      <c r="C544" s="190"/>
      <c r="D544" s="190"/>
      <c r="E544" s="190"/>
      <c r="F544" s="190"/>
      <c r="G544" s="191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/>
      <c r="C545" s="190"/>
      <c r="D545" s="190"/>
      <c r="E545" s="190"/>
      <c r="F545" s="190"/>
      <c r="G545" s="191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/>
      <c r="C546" s="190"/>
      <c r="D546" s="190"/>
      <c r="E546" s="190"/>
      <c r="F546" s="190"/>
      <c r="G546" s="191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/>
      <c r="C547" s="190"/>
      <c r="D547" s="190"/>
      <c r="E547" s="190"/>
      <c r="F547" s="190"/>
      <c r="G547" s="191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/>
      <c r="C548" s="190"/>
      <c r="D548" s="190"/>
      <c r="E548" s="190"/>
      <c r="F548" s="190"/>
      <c r="G548" s="191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/>
      <c r="C549" s="190"/>
      <c r="D549" s="190"/>
      <c r="E549" s="190"/>
      <c r="F549" s="190"/>
      <c r="G549" s="191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/>
      <c r="C550" s="190"/>
      <c r="D550" s="190"/>
      <c r="E550" s="190"/>
      <c r="F550" s="190"/>
      <c r="G550" s="191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/>
      <c r="C551" s="190"/>
      <c r="D551" s="190"/>
      <c r="E551" s="190"/>
      <c r="F551" s="190"/>
      <c r="G551" s="191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/>
      <c r="C552" s="190"/>
      <c r="D552" s="190"/>
      <c r="E552" s="190"/>
      <c r="F552" s="190"/>
      <c r="G552" s="191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/>
      <c r="C553" s="190"/>
      <c r="D553" s="190"/>
      <c r="E553" s="190"/>
      <c r="F553" s="190"/>
      <c r="G553" s="191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/>
      <c r="C554" s="190"/>
      <c r="D554" s="190"/>
      <c r="E554" s="190"/>
      <c r="F554" s="190"/>
      <c r="G554" s="191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/>
      <c r="C555" s="190"/>
      <c r="D555" s="190"/>
      <c r="E555" s="190"/>
      <c r="F555" s="190"/>
      <c r="G555" s="191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/>
      <c r="C556" s="190"/>
      <c r="D556" s="190"/>
      <c r="E556" s="190"/>
      <c r="F556" s="190"/>
      <c r="G556" s="191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/>
      <c r="C557" s="190"/>
      <c r="D557" s="190"/>
      <c r="E557" s="190"/>
      <c r="F557" s="190"/>
      <c r="G557" s="191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/>
      <c r="C558" s="190"/>
      <c r="D558" s="190"/>
      <c r="E558" s="190"/>
      <c r="F558" s="190"/>
      <c r="G558" s="191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/>
      <c r="C559" s="190"/>
      <c r="D559" s="190"/>
      <c r="E559" s="190"/>
      <c r="F559" s="190"/>
      <c r="G559" s="191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/>
      <c r="C560" s="190"/>
      <c r="D560" s="190"/>
      <c r="E560" s="190"/>
      <c r="F560" s="190"/>
      <c r="G560" s="191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/>
      <c r="C561" s="190"/>
      <c r="D561" s="190"/>
      <c r="E561" s="190"/>
      <c r="F561" s="190"/>
      <c r="G561" s="191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/>
      <c r="C562" s="190"/>
      <c r="D562" s="190"/>
      <c r="E562" s="190"/>
      <c r="F562" s="190"/>
      <c r="G562" s="191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/>
      <c r="C563" s="190"/>
      <c r="D563" s="190"/>
      <c r="E563" s="190"/>
      <c r="F563" s="190"/>
      <c r="G563" s="191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/>
      <c r="C564" s="190"/>
      <c r="D564" s="190"/>
      <c r="E564" s="190"/>
      <c r="F564" s="190"/>
      <c r="G564" s="191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/>
      <c r="C565" s="190"/>
      <c r="D565" s="190"/>
      <c r="E565" s="190"/>
      <c r="F565" s="190"/>
      <c r="G565" s="191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/>
      <c r="C566" s="190"/>
      <c r="D566" s="190"/>
      <c r="E566" s="190"/>
      <c r="F566" s="190"/>
      <c r="G566" s="191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/>
      <c r="C567" s="190"/>
      <c r="D567" s="190"/>
      <c r="E567" s="190"/>
      <c r="F567" s="190"/>
      <c r="G567" s="191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/>
      <c r="C568" s="190"/>
      <c r="D568" s="190"/>
      <c r="E568" s="190"/>
      <c r="F568" s="190"/>
      <c r="G568" s="191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/>
      <c r="C569" s="190"/>
      <c r="D569" s="190"/>
      <c r="E569" s="190"/>
      <c r="F569" s="190"/>
      <c r="G569" s="191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/>
      <c r="C570" s="190"/>
      <c r="D570" s="190"/>
      <c r="E570" s="190"/>
      <c r="F570" s="190"/>
      <c r="G570" s="191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/>
      <c r="C571" s="190"/>
      <c r="D571" s="190"/>
      <c r="E571" s="190"/>
      <c r="F571" s="190"/>
      <c r="G571" s="191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/>
      <c r="C572" s="190"/>
      <c r="D572" s="190"/>
      <c r="E572" s="190"/>
      <c r="F572" s="190"/>
      <c r="G572" s="191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/>
      <c r="C573" s="190"/>
      <c r="D573" s="190"/>
      <c r="E573" s="190"/>
      <c r="F573" s="190"/>
      <c r="G573" s="191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/>
      <c r="C574" s="190"/>
      <c r="D574" s="190"/>
      <c r="E574" s="190"/>
      <c r="F574" s="190"/>
      <c r="G574" s="191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/>
      <c r="C575" s="190"/>
      <c r="D575" s="190"/>
      <c r="E575" s="190"/>
      <c r="F575" s="190"/>
      <c r="G575" s="191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/>
      <c r="C576" s="190"/>
      <c r="D576" s="190"/>
      <c r="E576" s="190"/>
      <c r="F576" s="190"/>
      <c r="G576" s="191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/>
      <c r="C577" s="190"/>
      <c r="D577" s="190"/>
      <c r="E577" s="190"/>
      <c r="F577" s="190"/>
      <c r="G577" s="191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/>
      <c r="C578" s="190"/>
      <c r="D578" s="190"/>
      <c r="E578" s="190"/>
      <c r="F578" s="190"/>
      <c r="G578" s="191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/>
      <c r="C579" s="190"/>
      <c r="D579" s="190"/>
      <c r="E579" s="190"/>
      <c r="F579" s="190"/>
      <c r="G579" s="191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/>
      <c r="C580" s="190"/>
      <c r="D580" s="190"/>
      <c r="E580" s="190"/>
      <c r="F580" s="190"/>
      <c r="G580" s="191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/>
      <c r="C581" s="190"/>
      <c r="D581" s="190"/>
      <c r="E581" s="190"/>
      <c r="F581" s="190"/>
      <c r="G581" s="191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/>
      <c r="C582" s="190"/>
      <c r="D582" s="190"/>
      <c r="E582" s="190"/>
      <c r="F582" s="190"/>
      <c r="G582" s="191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/>
      <c r="C583" s="190"/>
      <c r="D583" s="190"/>
      <c r="E583" s="190"/>
      <c r="F583" s="190"/>
      <c r="G583" s="191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/>
      <c r="C584" s="190"/>
      <c r="D584" s="190"/>
      <c r="E584" s="190"/>
      <c r="F584" s="190"/>
      <c r="G584" s="191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/>
      <c r="C585" s="190"/>
      <c r="D585" s="190"/>
      <c r="E585" s="190"/>
      <c r="F585" s="190"/>
      <c r="G585" s="191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/>
      <c r="C586" s="190"/>
      <c r="D586" s="190"/>
      <c r="E586" s="190"/>
      <c r="F586" s="190"/>
      <c r="G586" s="191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/>
      <c r="C587" s="190"/>
      <c r="D587" s="190"/>
      <c r="E587" s="190"/>
      <c r="F587" s="190"/>
      <c r="G587" s="191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/>
      <c r="C588" s="190"/>
      <c r="D588" s="190"/>
      <c r="E588" s="190"/>
      <c r="F588" s="190"/>
      <c r="G588" s="191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/>
      <c r="C589" s="190"/>
      <c r="D589" s="190"/>
      <c r="E589" s="190"/>
      <c r="F589" s="190"/>
      <c r="G589" s="191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/>
      <c r="C590" s="190"/>
      <c r="D590" s="190"/>
      <c r="E590" s="190"/>
      <c r="F590" s="190"/>
      <c r="G590" s="191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/>
      <c r="C591" s="190"/>
      <c r="D591" s="190"/>
      <c r="E591" s="190"/>
      <c r="F591" s="190"/>
      <c r="G591" s="191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/>
      <c r="C592" s="190"/>
      <c r="D592" s="190"/>
      <c r="E592" s="190"/>
      <c r="F592" s="190"/>
      <c r="G592" s="191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/>
      <c r="C593" s="190"/>
      <c r="D593" s="190"/>
      <c r="E593" s="190"/>
      <c r="F593" s="190"/>
      <c r="G593" s="191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/>
      <c r="C594" s="190"/>
      <c r="D594" s="190"/>
      <c r="E594" s="190"/>
      <c r="F594" s="190"/>
      <c r="G594" s="191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/>
      <c r="C595" s="190"/>
      <c r="D595" s="190"/>
      <c r="E595" s="190"/>
      <c r="F595" s="190"/>
      <c r="G595" s="191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/>
      <c r="C596" s="190"/>
      <c r="D596" s="190"/>
      <c r="E596" s="190"/>
      <c r="F596" s="190"/>
      <c r="G596" s="191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/>
      <c r="C597" s="190"/>
      <c r="D597" s="190"/>
      <c r="E597" s="190"/>
      <c r="F597" s="190"/>
      <c r="G597" s="191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/>
      <c r="C598" s="190"/>
      <c r="D598" s="190"/>
      <c r="E598" s="190"/>
      <c r="F598" s="190"/>
      <c r="G598" s="191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/>
      <c r="C599" s="190"/>
      <c r="D599" s="190"/>
      <c r="E599" s="190"/>
      <c r="F599" s="190"/>
      <c r="G599" s="191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/>
      <c r="C600" s="190"/>
      <c r="D600" s="190"/>
      <c r="E600" s="190"/>
      <c r="F600" s="190"/>
      <c r="G600" s="191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/>
      <c r="C601" s="190"/>
      <c r="D601" s="190"/>
      <c r="E601" s="190"/>
      <c r="F601" s="190"/>
      <c r="G601" s="191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/>
      <c r="C602" s="190"/>
      <c r="D602" s="190"/>
      <c r="E602" s="190"/>
      <c r="F602" s="190"/>
      <c r="G602" s="191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/>
      <c r="C603" s="190"/>
      <c r="D603" s="190"/>
      <c r="E603" s="190"/>
      <c r="F603" s="190"/>
      <c r="G603" s="191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/>
      <c r="C604" s="190"/>
      <c r="D604" s="190"/>
      <c r="E604" s="190"/>
      <c r="F604" s="190"/>
      <c r="G604" s="191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/>
      <c r="C605" s="190"/>
      <c r="D605" s="190"/>
      <c r="E605" s="190"/>
      <c r="F605" s="190"/>
      <c r="G605" s="191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/>
      <c r="C606" s="190"/>
      <c r="D606" s="190"/>
      <c r="E606" s="190"/>
      <c r="F606" s="190"/>
      <c r="G606" s="191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/>
      <c r="C607" s="190"/>
      <c r="D607" s="190"/>
      <c r="E607" s="190"/>
      <c r="F607" s="190"/>
      <c r="G607" s="191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/>
      <c r="C608" s="190"/>
      <c r="D608" s="190"/>
      <c r="E608" s="190"/>
      <c r="F608" s="190"/>
      <c r="G608" s="191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/>
      <c r="C609" s="190"/>
      <c r="D609" s="190"/>
      <c r="E609" s="190"/>
      <c r="F609" s="190"/>
      <c r="G609" s="191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/>
      <c r="C610" s="190"/>
      <c r="D610" s="190"/>
      <c r="E610" s="190"/>
      <c r="F610" s="190"/>
      <c r="G610" s="191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/>
      <c r="C611" s="190"/>
      <c r="D611" s="190"/>
      <c r="E611" s="190"/>
      <c r="F611" s="190"/>
      <c r="G611" s="191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/>
      <c r="C612" s="190"/>
      <c r="D612" s="190"/>
      <c r="E612" s="190"/>
      <c r="F612" s="190"/>
      <c r="G612" s="191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/>
      <c r="C613" s="190"/>
      <c r="D613" s="190"/>
      <c r="E613" s="190"/>
      <c r="F613" s="190"/>
      <c r="G613" s="191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/>
      <c r="C614" s="190"/>
      <c r="D614" s="190"/>
      <c r="E614" s="190"/>
      <c r="F614" s="190"/>
      <c r="G614" s="191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/>
      <c r="C615" s="190"/>
      <c r="D615" s="190"/>
      <c r="E615" s="190"/>
      <c r="F615" s="190"/>
      <c r="G615" s="191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/>
      <c r="C616" s="190"/>
      <c r="D616" s="190"/>
      <c r="E616" s="190"/>
      <c r="F616" s="190"/>
      <c r="G616" s="191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/>
      <c r="C617" s="190"/>
      <c r="D617" s="190"/>
      <c r="E617" s="190"/>
      <c r="F617" s="190"/>
      <c r="G617" s="191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/>
      <c r="C618" s="190"/>
      <c r="D618" s="190"/>
      <c r="E618" s="190"/>
      <c r="F618" s="190"/>
      <c r="G618" s="191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/>
      <c r="C619" s="190"/>
      <c r="D619" s="190"/>
      <c r="E619" s="190"/>
      <c r="F619" s="190"/>
      <c r="G619" s="191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/>
      <c r="C620" s="190"/>
      <c r="D620" s="190"/>
      <c r="E620" s="190"/>
      <c r="F620" s="190"/>
      <c r="G620" s="191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/>
      <c r="C621" s="190"/>
      <c r="D621" s="190"/>
      <c r="E621" s="190"/>
      <c r="F621" s="190"/>
      <c r="G621" s="191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/>
      <c r="C622" s="190"/>
      <c r="D622" s="190"/>
      <c r="E622" s="190"/>
      <c r="F622" s="190"/>
      <c r="G622" s="191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/>
      <c r="C623" s="190"/>
      <c r="D623" s="190"/>
      <c r="E623" s="190"/>
      <c r="F623" s="190"/>
      <c r="G623" s="191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/>
      <c r="C624" s="190"/>
      <c r="D624" s="190"/>
      <c r="E624" s="190"/>
      <c r="F624" s="190"/>
      <c r="G624" s="191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/>
      <c r="C625" s="190"/>
      <c r="D625" s="190"/>
      <c r="E625" s="190"/>
      <c r="F625" s="190"/>
      <c r="G625" s="191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/>
      <c r="C626" s="190"/>
      <c r="D626" s="190"/>
      <c r="E626" s="190"/>
      <c r="F626" s="190"/>
      <c r="G626" s="191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/>
      <c r="C627" s="190"/>
      <c r="D627" s="190"/>
      <c r="E627" s="190"/>
      <c r="F627" s="190"/>
      <c r="G627" s="191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/>
      <c r="C628" s="190"/>
      <c r="D628" s="190"/>
      <c r="E628" s="190"/>
      <c r="F628" s="190"/>
      <c r="G628" s="191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/>
      <c r="C629" s="190"/>
      <c r="D629" s="190"/>
      <c r="E629" s="190"/>
      <c r="F629" s="190"/>
      <c r="G629" s="191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/>
      <c r="C630" s="190"/>
      <c r="D630" s="190"/>
      <c r="E630" s="190"/>
      <c r="F630" s="190"/>
      <c r="G630" s="191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/>
      <c r="C631" s="190"/>
      <c r="D631" s="190"/>
      <c r="E631" s="190"/>
      <c r="F631" s="190"/>
      <c r="G631" s="191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/>
      <c r="C632" s="190"/>
      <c r="D632" s="190"/>
      <c r="E632" s="190"/>
      <c r="F632" s="190"/>
      <c r="G632" s="191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/>
      <c r="C633" s="190"/>
      <c r="D633" s="190"/>
      <c r="E633" s="190"/>
      <c r="F633" s="190"/>
      <c r="G633" s="191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/>
      <c r="C634" s="190"/>
      <c r="D634" s="190"/>
      <c r="E634" s="190"/>
      <c r="F634" s="190"/>
      <c r="G634" s="191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/>
      <c r="C635" s="190"/>
      <c r="D635" s="190"/>
      <c r="E635" s="190"/>
      <c r="F635" s="190"/>
      <c r="G635" s="191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/>
      <c r="C636" s="190"/>
      <c r="D636" s="190"/>
      <c r="E636" s="190"/>
      <c r="F636" s="190"/>
      <c r="G636" s="191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/>
      <c r="C637" s="190"/>
      <c r="D637" s="190"/>
      <c r="E637" s="190"/>
      <c r="F637" s="190"/>
      <c r="G637" s="191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/>
      <c r="C638" s="190"/>
      <c r="D638" s="190"/>
      <c r="E638" s="190"/>
      <c r="F638" s="190"/>
      <c r="G638" s="191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/>
      <c r="C639" s="190"/>
      <c r="D639" s="190"/>
      <c r="E639" s="190"/>
      <c r="F639" s="190"/>
      <c r="G639" s="191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/>
      <c r="C640" s="190"/>
      <c r="D640" s="190"/>
      <c r="E640" s="190"/>
      <c r="F640" s="190"/>
      <c r="G640" s="191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/>
      <c r="C641" s="190"/>
      <c r="D641" s="190"/>
      <c r="E641" s="190"/>
      <c r="F641" s="190"/>
      <c r="G641" s="191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/>
      <c r="C642" s="190"/>
      <c r="D642" s="190"/>
      <c r="E642" s="190"/>
      <c r="F642" s="190"/>
      <c r="G642" s="191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/>
      <c r="C643" s="190"/>
      <c r="D643" s="190"/>
      <c r="E643" s="190"/>
      <c r="F643" s="190"/>
      <c r="G643" s="191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/>
      <c r="C644" s="190"/>
      <c r="D644" s="190"/>
      <c r="E644" s="190"/>
      <c r="F644" s="190"/>
      <c r="G644" s="191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/>
      <c r="C645" s="190"/>
      <c r="D645" s="190"/>
      <c r="E645" s="190"/>
      <c r="F645" s="190"/>
      <c r="G645" s="191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/>
      <c r="C646" s="190"/>
      <c r="D646" s="190"/>
      <c r="E646" s="190"/>
      <c r="F646" s="190"/>
      <c r="G646" s="191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/>
      <c r="C647" s="190"/>
      <c r="D647" s="190"/>
      <c r="E647" s="190"/>
      <c r="F647" s="190"/>
      <c r="G647" s="191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/>
      <c r="C648" s="190"/>
      <c r="D648" s="190"/>
      <c r="E648" s="190"/>
      <c r="F648" s="190"/>
      <c r="G648" s="191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/>
      <c r="C649" s="190"/>
      <c r="D649" s="190"/>
      <c r="E649" s="190"/>
      <c r="F649" s="190"/>
      <c r="G649" s="191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/>
      <c r="C650" s="190"/>
      <c r="D650" s="190"/>
      <c r="E650" s="190"/>
      <c r="F650" s="190"/>
      <c r="G650" s="191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/>
      <c r="C651" s="190"/>
      <c r="D651" s="190"/>
      <c r="E651" s="190"/>
      <c r="F651" s="190"/>
      <c r="G651" s="191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/>
      <c r="C652" s="190"/>
      <c r="D652" s="190"/>
      <c r="E652" s="190"/>
      <c r="F652" s="190"/>
      <c r="G652" s="191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/>
      <c r="C653" s="190"/>
      <c r="D653" s="190"/>
      <c r="E653" s="190"/>
      <c r="F653" s="190"/>
      <c r="G653" s="191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/>
      <c r="C654" s="190"/>
      <c r="D654" s="190"/>
      <c r="E654" s="190"/>
      <c r="F654" s="190"/>
      <c r="G654" s="191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/>
      <c r="C655" s="190"/>
      <c r="D655" s="190"/>
      <c r="E655" s="190"/>
      <c r="F655" s="190"/>
      <c r="G655" s="191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/>
      <c r="C656" s="190"/>
      <c r="D656" s="190"/>
      <c r="E656" s="190"/>
      <c r="F656" s="190"/>
      <c r="G656" s="191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/>
      <c r="C657" s="190"/>
      <c r="D657" s="190"/>
      <c r="E657" s="190"/>
      <c r="F657" s="190"/>
      <c r="G657" s="191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/>
      <c r="C658" s="190"/>
      <c r="D658" s="190"/>
      <c r="E658" s="190"/>
      <c r="F658" s="190"/>
      <c r="G658" s="191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/>
      <c r="C659" s="190"/>
      <c r="D659" s="190"/>
      <c r="E659" s="190"/>
      <c r="F659" s="190"/>
      <c r="G659" s="191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/>
      <c r="C660" s="190"/>
      <c r="D660" s="190"/>
      <c r="E660" s="190"/>
      <c r="F660" s="190"/>
      <c r="G660" s="191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/>
      <c r="C661" s="190"/>
      <c r="D661" s="190"/>
      <c r="E661" s="190"/>
      <c r="F661" s="190"/>
      <c r="G661" s="191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/>
      <c r="C662" s="190"/>
      <c r="D662" s="190"/>
      <c r="E662" s="190"/>
      <c r="F662" s="190"/>
      <c r="G662" s="191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/>
      <c r="C663" s="190"/>
      <c r="D663" s="190"/>
      <c r="E663" s="190"/>
      <c r="F663" s="190"/>
      <c r="G663" s="191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/>
      <c r="C664" s="190"/>
      <c r="D664" s="190"/>
      <c r="E664" s="190"/>
      <c r="F664" s="190"/>
      <c r="G664" s="191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/>
      <c r="C665" s="190"/>
      <c r="D665" s="190"/>
      <c r="E665" s="190"/>
      <c r="F665" s="190"/>
      <c r="G665" s="191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/>
      <c r="C666" s="190"/>
      <c r="D666" s="190"/>
      <c r="E666" s="190"/>
      <c r="F666" s="190"/>
      <c r="G666" s="191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/>
      <c r="C667" s="190"/>
      <c r="D667" s="190"/>
      <c r="E667" s="190"/>
      <c r="F667" s="190"/>
      <c r="G667" s="191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/>
      <c r="C668" s="190"/>
      <c r="D668" s="190"/>
      <c r="E668" s="190"/>
      <c r="F668" s="190"/>
      <c r="G668" s="191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/>
      <c r="C669" s="190"/>
      <c r="D669" s="190"/>
      <c r="E669" s="190"/>
      <c r="F669" s="190"/>
      <c r="G669" s="191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/>
      <c r="C670" s="190"/>
      <c r="D670" s="190"/>
      <c r="E670" s="190"/>
      <c r="F670" s="190"/>
      <c r="G670" s="191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/>
      <c r="C671" s="190"/>
      <c r="D671" s="190"/>
      <c r="E671" s="190"/>
      <c r="F671" s="190"/>
      <c r="G671" s="191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/>
      <c r="C672" s="190"/>
      <c r="D672" s="190"/>
      <c r="E672" s="190"/>
      <c r="F672" s="190"/>
      <c r="G672" s="191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/>
      <c r="C673" s="190"/>
      <c r="D673" s="190"/>
      <c r="E673" s="190"/>
      <c r="F673" s="190"/>
      <c r="G673" s="191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/>
      <c r="C674" s="190"/>
      <c r="D674" s="190"/>
      <c r="E674" s="190"/>
      <c r="F674" s="190"/>
      <c r="G674" s="191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/>
      <c r="C675" s="190"/>
      <c r="D675" s="190"/>
      <c r="E675" s="190"/>
      <c r="F675" s="190"/>
      <c r="G675" s="191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/>
      <c r="C676" s="190"/>
      <c r="D676" s="190"/>
      <c r="E676" s="190"/>
      <c r="F676" s="190"/>
      <c r="G676" s="191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/>
      <c r="C678" s="190"/>
      <c r="D678" s="190"/>
      <c r="E678" s="190"/>
      <c r="F678" s="190"/>
      <c r="G678" s="191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/>
      <c r="C679" s="190"/>
      <c r="D679" s="190"/>
      <c r="E679" s="190"/>
      <c r="F679" s="190"/>
      <c r="G679" s="191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/>
      <c r="C680" s="190"/>
      <c r="D680" s="190"/>
      <c r="E680" s="190"/>
      <c r="F680" s="190"/>
      <c r="G680" s="191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/>
      <c r="C681" s="190"/>
      <c r="D681" s="190"/>
      <c r="E681" s="190"/>
      <c r="F681" s="190"/>
      <c r="G681" s="191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/>
      <c r="C682" s="190"/>
      <c r="D682" s="190"/>
      <c r="E682" s="190"/>
      <c r="F682" s="190"/>
      <c r="G682" s="191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/>
      <c r="C683" s="190"/>
      <c r="D683" s="190"/>
      <c r="E683" s="190"/>
      <c r="F683" s="190"/>
      <c r="G683" s="191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/>
      <c r="C684" s="190"/>
      <c r="D684" s="190"/>
      <c r="E684" s="190"/>
      <c r="F684" s="190"/>
      <c r="G684" s="191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/>
      <c r="C685" s="190"/>
      <c r="D685" s="190"/>
      <c r="E685" s="190"/>
      <c r="F685" s="190"/>
      <c r="G685" s="191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/>
      <c r="C686" s="190"/>
      <c r="D686" s="190"/>
      <c r="E686" s="190"/>
      <c r="F686" s="190"/>
      <c r="G686" s="191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/>
      <c r="C687" s="190"/>
      <c r="D687" s="190"/>
      <c r="E687" s="190"/>
      <c r="F687" s="190"/>
      <c r="G687" s="191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/>
      <c r="C688" s="190"/>
      <c r="D688" s="190"/>
      <c r="E688" s="190"/>
      <c r="F688" s="190"/>
      <c r="G688" s="191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/>
      <c r="C689" s="190"/>
      <c r="D689" s="190"/>
      <c r="E689" s="190"/>
      <c r="F689" s="190"/>
      <c r="G689" s="191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/>
      <c r="C690" s="190"/>
      <c r="D690" s="190"/>
      <c r="E690" s="190"/>
      <c r="F690" s="190"/>
      <c r="G690" s="191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/>
      <c r="C691" s="190"/>
      <c r="D691" s="190"/>
      <c r="E691" s="190"/>
      <c r="F691" s="190"/>
      <c r="G691" s="191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/>
      <c r="C692" s="190"/>
      <c r="D692" s="190"/>
      <c r="E692" s="190"/>
      <c r="F692" s="190"/>
      <c r="G692" s="191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/>
      <c r="C693" s="190"/>
      <c r="D693" s="190"/>
      <c r="E693" s="190"/>
      <c r="F693" s="190"/>
      <c r="G693" s="191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/>
      <c r="C694" s="190"/>
      <c r="D694" s="190"/>
      <c r="E694" s="190"/>
      <c r="F694" s="190"/>
      <c r="G694" s="191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/>
      <c r="C695" s="190"/>
      <c r="D695" s="190"/>
      <c r="E695" s="190"/>
      <c r="F695" s="190"/>
      <c r="G695" s="191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/>
      <c r="C696" s="190"/>
      <c r="D696" s="190"/>
      <c r="E696" s="190"/>
      <c r="F696" s="190"/>
      <c r="G696" s="191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/>
      <c r="C697" s="190"/>
      <c r="D697" s="190"/>
      <c r="E697" s="190"/>
      <c r="F697" s="190"/>
      <c r="G697" s="191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/>
      <c r="C698" s="190"/>
      <c r="D698" s="190"/>
      <c r="E698" s="190"/>
      <c r="F698" s="190"/>
      <c r="G698" s="191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/>
      <c r="C699" s="190"/>
      <c r="D699" s="190"/>
      <c r="E699" s="190"/>
      <c r="F699" s="190"/>
      <c r="G699" s="191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/>
      <c r="C700" s="190"/>
      <c r="D700" s="190"/>
      <c r="E700" s="190"/>
      <c r="F700" s="190"/>
      <c r="G700" s="191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/>
      <c r="C701" s="190"/>
      <c r="D701" s="190"/>
      <c r="E701" s="190"/>
      <c r="F701" s="190"/>
      <c r="G701" s="191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/>
      <c r="C702" s="190"/>
      <c r="D702" s="190"/>
      <c r="E702" s="190"/>
      <c r="F702" s="190"/>
      <c r="G702" s="191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/>
      <c r="C703" s="190"/>
      <c r="D703" s="190"/>
      <c r="E703" s="190"/>
      <c r="F703" s="190"/>
      <c r="G703" s="191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/>
      <c r="C704" s="190"/>
      <c r="D704" s="190"/>
      <c r="E704" s="190"/>
      <c r="F704" s="190"/>
      <c r="G704" s="191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/>
      <c r="C705" s="190"/>
      <c r="D705" s="190"/>
      <c r="E705" s="190"/>
      <c r="F705" s="190"/>
      <c r="G705" s="191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/>
      <c r="C706" s="190"/>
      <c r="D706" s="190"/>
      <c r="E706" s="190"/>
      <c r="F706" s="190"/>
      <c r="G706" s="191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/>
      <c r="C707" s="190"/>
      <c r="D707" s="190"/>
      <c r="E707" s="190"/>
      <c r="F707" s="190"/>
      <c r="G707" s="191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/>
      <c r="C708" s="190"/>
      <c r="D708" s="190"/>
      <c r="E708" s="190"/>
      <c r="F708" s="190"/>
      <c r="G708" s="191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/>
      <c r="C709" s="190"/>
      <c r="D709" s="190"/>
      <c r="E709" s="190"/>
      <c r="F709" s="190"/>
      <c r="G709" s="191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/>
      <c r="C710" s="190"/>
      <c r="D710" s="190"/>
      <c r="E710" s="190"/>
      <c r="F710" s="190"/>
      <c r="G710" s="191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/>
      <c r="C711" s="190"/>
      <c r="D711" s="190"/>
      <c r="E711" s="190"/>
      <c r="F711" s="190"/>
      <c r="G711" s="191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/>
      <c r="C712" s="190"/>
      <c r="D712" s="190"/>
      <c r="E712" s="190"/>
      <c r="F712" s="190"/>
      <c r="G712" s="191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/>
      <c r="C713" s="190"/>
      <c r="D713" s="190"/>
      <c r="E713" s="190"/>
      <c r="F713" s="190"/>
      <c r="G713" s="191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/>
      <c r="C714" s="190"/>
      <c r="D714" s="190"/>
      <c r="E714" s="190"/>
      <c r="F714" s="190"/>
      <c r="G714" s="191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/>
      <c r="C715" s="190"/>
      <c r="D715" s="190"/>
      <c r="E715" s="190"/>
      <c r="F715" s="190"/>
      <c r="G715" s="191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/>
      <c r="C716" s="190"/>
      <c r="D716" s="190"/>
      <c r="E716" s="190"/>
      <c r="F716" s="190"/>
      <c r="G716" s="191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/>
      <c r="C717" s="190"/>
      <c r="D717" s="190"/>
      <c r="E717" s="190"/>
      <c r="F717" s="190"/>
      <c r="G717" s="191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/>
      <c r="C718" s="190"/>
      <c r="D718" s="190"/>
      <c r="E718" s="190"/>
      <c r="F718" s="190"/>
      <c r="G718" s="191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/>
      <c r="C719" s="190"/>
      <c r="D719" s="190"/>
      <c r="E719" s="190"/>
      <c r="F719" s="190"/>
      <c r="G719" s="191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/>
      <c r="C720" s="190"/>
      <c r="D720" s="190"/>
      <c r="E720" s="190"/>
      <c r="F720" s="190"/>
      <c r="G720" s="191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/>
      <c r="C721" s="190"/>
      <c r="D721" s="190"/>
      <c r="E721" s="190"/>
      <c r="F721" s="190"/>
      <c r="G721" s="191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/>
      <c r="C722" s="190"/>
      <c r="D722" s="190"/>
      <c r="E722" s="190"/>
      <c r="F722" s="190"/>
      <c r="G722" s="191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/>
      <c r="C723" s="190"/>
      <c r="D723" s="190"/>
      <c r="E723" s="190"/>
      <c r="F723" s="190"/>
      <c r="G723" s="191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/>
      <c r="C724" s="190"/>
      <c r="D724" s="190"/>
      <c r="E724" s="190"/>
      <c r="F724" s="190"/>
      <c r="G724" s="191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/>
      <c r="C725" s="190"/>
      <c r="D725" s="190"/>
      <c r="E725" s="190"/>
      <c r="F725" s="190"/>
      <c r="G725" s="191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/>
      <c r="C726" s="190"/>
      <c r="D726" s="190"/>
      <c r="E726" s="190"/>
      <c r="F726" s="190"/>
      <c r="G726" s="191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/>
      <c r="C727" s="190"/>
      <c r="D727" s="190"/>
      <c r="E727" s="190"/>
      <c r="F727" s="190"/>
      <c r="G727" s="191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/>
      <c r="C728" s="190"/>
      <c r="D728" s="190"/>
      <c r="E728" s="190"/>
      <c r="F728" s="190"/>
      <c r="G728" s="191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/>
      <c r="C729" s="190"/>
      <c r="D729" s="190"/>
      <c r="E729" s="190"/>
      <c r="F729" s="190"/>
      <c r="G729" s="191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/>
      <c r="C730" s="190"/>
      <c r="D730" s="190"/>
      <c r="E730" s="190"/>
      <c r="F730" s="190"/>
      <c r="G730" s="191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/>
      <c r="C731" s="190"/>
      <c r="D731" s="190"/>
      <c r="E731" s="190"/>
      <c r="F731" s="190"/>
      <c r="G731" s="191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/>
      <c r="C732" s="190"/>
      <c r="D732" s="190"/>
      <c r="E732" s="190"/>
      <c r="F732" s="190"/>
      <c r="G732" s="191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/>
      <c r="C733" s="190"/>
      <c r="D733" s="190"/>
      <c r="E733" s="190"/>
      <c r="F733" s="190"/>
      <c r="G733" s="191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/>
      <c r="C734" s="190"/>
      <c r="D734" s="190"/>
      <c r="E734" s="190"/>
      <c r="F734" s="190"/>
      <c r="G734" s="191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/>
      <c r="C735" s="190"/>
      <c r="D735" s="190"/>
      <c r="E735" s="190"/>
      <c r="F735" s="190"/>
      <c r="G735" s="191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/>
      <c r="C736" s="190"/>
      <c r="D736" s="190"/>
      <c r="E736" s="190"/>
      <c r="F736" s="190"/>
      <c r="G736" s="191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/>
      <c r="C737" s="190"/>
      <c r="D737" s="190"/>
      <c r="E737" s="190"/>
      <c r="F737" s="190"/>
      <c r="G737" s="191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/>
      <c r="C738" s="190"/>
      <c r="D738" s="190"/>
      <c r="E738" s="190"/>
      <c r="F738" s="190"/>
      <c r="G738" s="191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/>
      <c r="C739" s="190"/>
      <c r="D739" s="190"/>
      <c r="E739" s="190"/>
      <c r="F739" s="190"/>
      <c r="G739" s="191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/>
      <c r="C740" s="190"/>
      <c r="D740" s="190"/>
      <c r="E740" s="190"/>
      <c r="F740" s="190"/>
      <c r="G740" s="191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/>
      <c r="C741" s="190"/>
      <c r="D741" s="190"/>
      <c r="E741" s="190"/>
      <c r="F741" s="190"/>
      <c r="G741" s="191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/>
      <c r="C742" s="190"/>
      <c r="D742" s="190"/>
      <c r="E742" s="190"/>
      <c r="F742" s="190"/>
      <c r="G742" s="191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/>
      <c r="C743" s="190"/>
      <c r="D743" s="190"/>
      <c r="E743" s="190"/>
      <c r="F743" s="190"/>
      <c r="G743" s="191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/>
      <c r="C744" s="190"/>
      <c r="D744" s="190"/>
      <c r="E744" s="190"/>
      <c r="F744" s="190"/>
      <c r="G744" s="191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/>
      <c r="C745" s="190"/>
      <c r="D745" s="190"/>
      <c r="E745" s="190"/>
      <c r="F745" s="190"/>
      <c r="G745" s="191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/>
      <c r="C746" s="190"/>
      <c r="D746" s="190"/>
      <c r="E746" s="190"/>
      <c r="F746" s="190"/>
      <c r="G746" s="191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/>
      <c r="C747" s="190"/>
      <c r="D747" s="190"/>
      <c r="E747" s="190"/>
      <c r="F747" s="190"/>
      <c r="G747" s="191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/>
      <c r="C748" s="190"/>
      <c r="D748" s="190"/>
      <c r="E748" s="190"/>
      <c r="F748" s="190"/>
      <c r="G748" s="191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/>
      <c r="C749" s="190"/>
      <c r="D749" s="190"/>
      <c r="E749" s="190"/>
      <c r="F749" s="190"/>
      <c r="G749" s="191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/>
      <c r="C750" s="190"/>
      <c r="D750" s="190"/>
      <c r="E750" s="190"/>
      <c r="F750" s="190"/>
      <c r="G750" s="191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/>
      <c r="C751" s="190"/>
      <c r="D751" s="190"/>
      <c r="E751" s="190"/>
      <c r="F751" s="190"/>
      <c r="G751" s="191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/>
      <c r="C752" s="190"/>
      <c r="D752" s="190"/>
      <c r="E752" s="190"/>
      <c r="F752" s="190"/>
      <c r="G752" s="191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/>
      <c r="C753" s="190"/>
      <c r="D753" s="190"/>
      <c r="E753" s="190"/>
      <c r="F753" s="190"/>
      <c r="G753" s="191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" t="str">
        <f>IFERROR(__xludf.DUMMYFUNCTION("googlefinance(""Currency:BTCUSD"",""price"",DATE(2009,1,3),TODAY())"),"Date")</f>
        <v>Date</v>
      </c>
      <c r="B1" s="1" t="str">
        <f>IFERROR(__xludf.DUMMYFUNCTION("""COMPUTED_VALUE"""),"Close")</f>
        <v>Close</v>
      </c>
      <c r="C1" s="4" t="s">
        <v>328</v>
      </c>
      <c r="D1" s="4" t="s">
        <v>329</v>
      </c>
      <c r="E1" s="4" t="s">
        <v>330</v>
      </c>
      <c r="F1" s="4" t="s">
        <v>331</v>
      </c>
      <c r="G1" s="4" t="s">
        <v>332</v>
      </c>
      <c r="H1" s="4" t="s">
        <v>333</v>
      </c>
      <c r="I1" s="4" t="s">
        <v>334</v>
      </c>
    </row>
    <row r="2">
      <c r="A2" s="266">
        <f>IFERROR(__xludf.DUMMYFUNCTION("""COMPUTED_VALUE"""),42496.99861111111)</f>
        <v>42496.99861</v>
      </c>
      <c r="B2" s="1">
        <f>IFERROR(__xludf.DUMMYFUNCTION("""COMPUTED_VALUE"""),453.99)</f>
        <v>453.99</v>
      </c>
      <c r="C2" s="58">
        <f t="shared" ref="C2:C3241" si="1">A2-DATE(2009,1,3)</f>
        <v>2680.998611</v>
      </c>
      <c r="D2" s="1">
        <f t="shared" ref="D2:D3241" si="2">EXP(-39.8+5.8*LN(C2))</f>
        <v>397.3743554</v>
      </c>
      <c r="E2" s="1">
        <f t="shared" ref="E2:E3241" si="3">D2*1.8</f>
        <v>715.2738397</v>
      </c>
      <c r="F2" s="1">
        <f t="shared" ref="F2:F3241" si="4">D2*3.4</f>
        <v>1351.072808</v>
      </c>
      <c r="G2" s="1">
        <f t="shared" ref="G2:G3241" si="5">D2*6</f>
        <v>2384.246132</v>
      </c>
      <c r="H2" s="1">
        <f t="shared" ref="H2:H3241" si="6">D2*11</f>
        <v>4371.117909</v>
      </c>
      <c r="I2" s="1">
        <f t="shared" ref="I2:I3241" si="7">D2*18</f>
        <v>7152.738397</v>
      </c>
    </row>
    <row r="3">
      <c r="A3" s="266">
        <f>IFERROR(__xludf.DUMMYFUNCTION("""COMPUTED_VALUE"""),42499.99861111111)</f>
        <v>42499.99861</v>
      </c>
      <c r="B3" s="1">
        <f>IFERROR(__xludf.DUMMYFUNCTION("""COMPUTED_VALUE"""),462.78)</f>
        <v>462.78</v>
      </c>
      <c r="C3" s="58">
        <f t="shared" si="1"/>
        <v>2683.998611</v>
      </c>
      <c r="D3" s="1">
        <f t="shared" si="2"/>
        <v>399.9602982</v>
      </c>
      <c r="E3" s="1">
        <f t="shared" si="3"/>
        <v>719.9285367</v>
      </c>
      <c r="F3" s="1">
        <f t="shared" si="4"/>
        <v>1359.865014</v>
      </c>
      <c r="G3" s="1">
        <f t="shared" si="5"/>
        <v>2399.761789</v>
      </c>
      <c r="H3" s="1">
        <f t="shared" si="6"/>
        <v>4399.56328</v>
      </c>
      <c r="I3" s="1">
        <f t="shared" si="7"/>
        <v>7199.285367</v>
      </c>
    </row>
    <row r="4">
      <c r="A4" s="266">
        <f>IFERROR(__xludf.DUMMYFUNCTION("""COMPUTED_VALUE"""),42500.99861111111)</f>
        <v>42500.99861</v>
      </c>
      <c r="B4" s="1">
        <f>IFERROR(__xludf.DUMMYFUNCTION("""COMPUTED_VALUE"""),458.6)</f>
        <v>458.6</v>
      </c>
      <c r="C4" s="58">
        <f t="shared" si="1"/>
        <v>2684.998611</v>
      </c>
      <c r="D4" s="1">
        <f t="shared" si="2"/>
        <v>400.8253676</v>
      </c>
      <c r="E4" s="1">
        <f t="shared" si="3"/>
        <v>721.4856616</v>
      </c>
      <c r="F4" s="1">
        <f t="shared" si="4"/>
        <v>1362.80625</v>
      </c>
      <c r="G4" s="1">
        <f t="shared" si="5"/>
        <v>2404.952205</v>
      </c>
      <c r="H4" s="1">
        <f t="shared" si="6"/>
        <v>4409.079043</v>
      </c>
      <c r="I4" s="1">
        <f t="shared" si="7"/>
        <v>7214.856616</v>
      </c>
    </row>
    <row r="5">
      <c r="A5" s="266">
        <f>IFERROR(__xludf.DUMMYFUNCTION("""COMPUTED_VALUE"""),42501.99861111111)</f>
        <v>42501.99861</v>
      </c>
      <c r="B5" s="1">
        <f>IFERROR(__xludf.DUMMYFUNCTION("""COMPUTED_VALUE"""),455.55)</f>
        <v>455.55</v>
      </c>
      <c r="C5" s="58">
        <f t="shared" si="1"/>
        <v>2685.998611</v>
      </c>
      <c r="D5" s="1">
        <f t="shared" si="2"/>
        <v>401.6919848</v>
      </c>
      <c r="E5" s="1">
        <f t="shared" si="3"/>
        <v>723.0455727</v>
      </c>
      <c r="F5" s="1">
        <f t="shared" si="4"/>
        <v>1365.752748</v>
      </c>
      <c r="G5" s="1">
        <f t="shared" si="5"/>
        <v>2410.151909</v>
      </c>
      <c r="H5" s="1">
        <f t="shared" si="6"/>
        <v>4418.611833</v>
      </c>
      <c r="I5" s="1">
        <f t="shared" si="7"/>
        <v>7230.455727</v>
      </c>
    </row>
    <row r="6" hidden="1">
      <c r="A6" s="266">
        <f>IFERROR(__xludf.DUMMYFUNCTION("""COMPUTED_VALUE"""),42502.99861111111)</f>
        <v>42502.99861</v>
      </c>
      <c r="B6" s="1">
        <f>IFERROR(__xludf.DUMMYFUNCTION("""COMPUTED_VALUE"""),454.36)</f>
        <v>454.36</v>
      </c>
      <c r="C6" s="58">
        <f t="shared" si="1"/>
        <v>2686.998611</v>
      </c>
      <c r="D6" s="1">
        <f t="shared" si="2"/>
        <v>402.5601521</v>
      </c>
      <c r="E6" s="1">
        <f t="shared" si="3"/>
        <v>724.6082738</v>
      </c>
      <c r="F6" s="1">
        <f t="shared" si="4"/>
        <v>1368.704517</v>
      </c>
      <c r="G6" s="1">
        <f t="shared" si="5"/>
        <v>2415.360913</v>
      </c>
      <c r="H6" s="1">
        <f t="shared" si="6"/>
        <v>4428.161674</v>
      </c>
      <c r="I6" s="1">
        <f t="shared" si="7"/>
        <v>7246.082738</v>
      </c>
    </row>
    <row r="7" hidden="1">
      <c r="A7" s="266">
        <f>IFERROR(__xludf.DUMMYFUNCTION("""COMPUTED_VALUE"""),42503.99861111111)</f>
        <v>42503.99861</v>
      </c>
      <c r="B7" s="1">
        <f>IFERROR(__xludf.DUMMYFUNCTION("""COMPUTED_VALUE"""),457.63)</f>
        <v>457.63</v>
      </c>
      <c r="C7" s="58">
        <f t="shared" si="1"/>
        <v>2687.998611</v>
      </c>
      <c r="D7" s="1">
        <f t="shared" si="2"/>
        <v>403.4298717</v>
      </c>
      <c r="E7" s="1">
        <f t="shared" si="3"/>
        <v>726.1737691</v>
      </c>
      <c r="F7" s="1">
        <f t="shared" si="4"/>
        <v>1371.661564</v>
      </c>
      <c r="G7" s="1">
        <f t="shared" si="5"/>
        <v>2420.57923</v>
      </c>
      <c r="H7" s="1">
        <f t="shared" si="6"/>
        <v>4437.728589</v>
      </c>
      <c r="I7" s="1">
        <f t="shared" si="7"/>
        <v>7261.737691</v>
      </c>
    </row>
    <row r="8" hidden="1">
      <c r="A8" s="266">
        <f>IFERROR(__xludf.DUMMYFUNCTION("""COMPUTED_VALUE"""),42506.99861111111)</f>
        <v>42506.99861</v>
      </c>
      <c r="B8" s="1">
        <f>IFERROR(__xludf.DUMMYFUNCTION("""COMPUTED_VALUE"""),459.21)</f>
        <v>459.21</v>
      </c>
      <c r="C8" s="58">
        <f t="shared" si="1"/>
        <v>2690.998611</v>
      </c>
      <c r="D8" s="1">
        <f t="shared" si="2"/>
        <v>406.048366</v>
      </c>
      <c r="E8" s="1">
        <f t="shared" si="3"/>
        <v>730.8870589</v>
      </c>
      <c r="F8" s="1">
        <f t="shared" si="4"/>
        <v>1380.564445</v>
      </c>
      <c r="G8" s="1">
        <f t="shared" si="5"/>
        <v>2436.290196</v>
      </c>
      <c r="H8" s="1">
        <f t="shared" si="6"/>
        <v>4466.532027</v>
      </c>
      <c r="I8" s="1">
        <f t="shared" si="7"/>
        <v>7308.870589</v>
      </c>
    </row>
    <row r="9" hidden="1">
      <c r="A9" s="266">
        <f>IFERROR(__xludf.DUMMYFUNCTION("""COMPUTED_VALUE"""),42507.99861111111)</f>
        <v>42507.99861</v>
      </c>
      <c r="B9" s="1">
        <f>IFERROR(__xludf.DUMMYFUNCTION("""COMPUTED_VALUE"""),457.51)</f>
        <v>457.51</v>
      </c>
      <c r="C9" s="58">
        <f t="shared" si="1"/>
        <v>2691.998611</v>
      </c>
      <c r="D9" s="1">
        <f t="shared" si="2"/>
        <v>406.9243167</v>
      </c>
      <c r="E9" s="1">
        <f t="shared" si="3"/>
        <v>732.46377</v>
      </c>
      <c r="F9" s="1">
        <f t="shared" si="4"/>
        <v>1383.542677</v>
      </c>
      <c r="G9" s="1">
        <f t="shared" si="5"/>
        <v>2441.5459</v>
      </c>
      <c r="H9" s="1">
        <f t="shared" si="6"/>
        <v>4476.167483</v>
      </c>
      <c r="I9" s="1">
        <f t="shared" si="7"/>
        <v>7324.6377</v>
      </c>
    </row>
    <row r="10" hidden="1">
      <c r="A10" s="266">
        <f>IFERROR(__xludf.DUMMYFUNCTION("""COMPUTED_VALUE"""),42508.99861111111)</f>
        <v>42508.99861</v>
      </c>
      <c r="B10" s="1">
        <f>IFERROR(__xludf.DUMMYFUNCTION("""COMPUTED_VALUE"""),458.57)</f>
        <v>458.57</v>
      </c>
      <c r="C10" s="58">
        <f t="shared" si="1"/>
        <v>2692.998611</v>
      </c>
      <c r="D10" s="1">
        <f t="shared" si="2"/>
        <v>407.8018306</v>
      </c>
      <c r="E10" s="1">
        <f t="shared" si="3"/>
        <v>734.043295</v>
      </c>
      <c r="F10" s="1">
        <f t="shared" si="4"/>
        <v>1386.526224</v>
      </c>
      <c r="G10" s="1">
        <f t="shared" si="5"/>
        <v>2446.810983</v>
      </c>
      <c r="H10" s="1">
        <f t="shared" si="6"/>
        <v>4485.820136</v>
      </c>
      <c r="I10" s="1">
        <f t="shared" si="7"/>
        <v>7340.43295</v>
      </c>
    </row>
    <row r="11" hidden="1">
      <c r="A11" s="266">
        <f>IFERROR(__xludf.DUMMYFUNCTION("""COMPUTED_VALUE"""),42509.99861111111)</f>
        <v>42509.99861</v>
      </c>
      <c r="B11" s="1">
        <f>IFERROR(__xludf.DUMMYFUNCTION("""COMPUTED_VALUE"""),453.71)</f>
        <v>453.71</v>
      </c>
      <c r="C11" s="58">
        <f t="shared" si="1"/>
        <v>2693.998611</v>
      </c>
      <c r="D11" s="1">
        <f t="shared" si="2"/>
        <v>408.6809099</v>
      </c>
      <c r="E11" s="1">
        <f t="shared" si="3"/>
        <v>735.6256379</v>
      </c>
      <c r="F11" s="1">
        <f t="shared" si="4"/>
        <v>1389.515094</v>
      </c>
      <c r="G11" s="1">
        <f t="shared" si="5"/>
        <v>2452.08546</v>
      </c>
      <c r="H11" s="1">
        <f t="shared" si="6"/>
        <v>4495.490009</v>
      </c>
      <c r="I11" s="1">
        <f t="shared" si="7"/>
        <v>7356.256379</v>
      </c>
    </row>
    <row r="12" hidden="1">
      <c r="A12" s="266">
        <f>IFERROR(__xludf.DUMMYFUNCTION("""COMPUTED_VALUE"""),42510.99861111111)</f>
        <v>42510.99861</v>
      </c>
      <c r="B12" s="1">
        <f>IFERROR(__xludf.DUMMYFUNCTION("""COMPUTED_VALUE"""),443.83)</f>
        <v>443.83</v>
      </c>
      <c r="C12" s="58">
        <f t="shared" si="1"/>
        <v>2694.998611</v>
      </c>
      <c r="D12" s="1">
        <f t="shared" si="2"/>
        <v>409.561557</v>
      </c>
      <c r="E12" s="1">
        <f t="shared" si="3"/>
        <v>737.2108026</v>
      </c>
      <c r="F12" s="1">
        <f t="shared" si="4"/>
        <v>1392.509294</v>
      </c>
      <c r="G12" s="1">
        <f t="shared" si="5"/>
        <v>2457.369342</v>
      </c>
      <c r="H12" s="1">
        <f t="shared" si="6"/>
        <v>4505.177127</v>
      </c>
      <c r="I12" s="1">
        <f t="shared" si="7"/>
        <v>7372.108026</v>
      </c>
    </row>
    <row r="13" hidden="1">
      <c r="A13" s="266">
        <f>IFERROR(__xludf.DUMMYFUNCTION("""COMPUTED_VALUE"""),42513.99861111111)</f>
        <v>42513.99861</v>
      </c>
      <c r="B13" s="1">
        <f>IFERROR(__xludf.DUMMYFUNCTION("""COMPUTED_VALUE"""),443.77)</f>
        <v>443.77</v>
      </c>
      <c r="C13" s="58">
        <f t="shared" si="1"/>
        <v>2697.998611</v>
      </c>
      <c r="D13" s="1">
        <f t="shared" si="2"/>
        <v>412.2129264</v>
      </c>
      <c r="E13" s="1">
        <f t="shared" si="3"/>
        <v>741.9832675</v>
      </c>
      <c r="F13" s="1">
        <f t="shared" si="4"/>
        <v>1401.52395</v>
      </c>
      <c r="G13" s="1">
        <f t="shared" si="5"/>
        <v>2473.277558</v>
      </c>
      <c r="H13" s="1">
        <f t="shared" si="6"/>
        <v>4534.34219</v>
      </c>
      <c r="I13" s="1">
        <f t="shared" si="7"/>
        <v>7419.832675</v>
      </c>
    </row>
    <row r="14" hidden="1">
      <c r="A14" s="266">
        <f>IFERROR(__xludf.DUMMYFUNCTION("""COMPUTED_VALUE"""),42514.99861111111)</f>
        <v>42514.99861</v>
      </c>
      <c r="B14" s="1">
        <f>IFERROR(__xludf.DUMMYFUNCTION("""COMPUTED_VALUE"""),449.94)</f>
        <v>449.94</v>
      </c>
      <c r="C14" s="58">
        <f t="shared" si="1"/>
        <v>2698.998611</v>
      </c>
      <c r="D14" s="1">
        <f t="shared" si="2"/>
        <v>413.0998663</v>
      </c>
      <c r="E14" s="1">
        <f t="shared" si="3"/>
        <v>743.5797594</v>
      </c>
      <c r="F14" s="1">
        <f t="shared" si="4"/>
        <v>1404.539546</v>
      </c>
      <c r="G14" s="1">
        <f t="shared" si="5"/>
        <v>2478.599198</v>
      </c>
      <c r="H14" s="1">
        <f t="shared" si="6"/>
        <v>4544.09853</v>
      </c>
      <c r="I14" s="1">
        <f t="shared" si="7"/>
        <v>7435.797594</v>
      </c>
    </row>
    <row r="15" hidden="1">
      <c r="A15" s="266">
        <f>IFERROR(__xludf.DUMMYFUNCTION("""COMPUTED_VALUE"""),42515.99861111111)</f>
        <v>42515.99861</v>
      </c>
      <c r="B15" s="1">
        <f>IFERROR(__xludf.DUMMYFUNCTION("""COMPUTED_VALUE"""),451.98)</f>
        <v>451.98</v>
      </c>
      <c r="C15" s="58">
        <f t="shared" si="1"/>
        <v>2699.998611</v>
      </c>
      <c r="D15" s="1">
        <f t="shared" si="2"/>
        <v>413.9883851</v>
      </c>
      <c r="E15" s="1">
        <f t="shared" si="3"/>
        <v>745.1790931</v>
      </c>
      <c r="F15" s="1">
        <f t="shared" si="4"/>
        <v>1407.560509</v>
      </c>
      <c r="G15" s="1">
        <f t="shared" si="5"/>
        <v>2483.93031</v>
      </c>
      <c r="H15" s="1">
        <f t="shared" si="6"/>
        <v>4553.872236</v>
      </c>
      <c r="I15" s="1">
        <f t="shared" si="7"/>
        <v>7451.790931</v>
      </c>
    </row>
    <row r="16" hidden="1">
      <c r="A16" s="266">
        <f>IFERROR(__xludf.DUMMYFUNCTION("""COMPUTED_VALUE"""),42516.99861111111)</f>
        <v>42516.99861</v>
      </c>
      <c r="B16" s="1">
        <f>IFERROR(__xludf.DUMMYFUNCTION("""COMPUTED_VALUE"""),454.65)</f>
        <v>454.65</v>
      </c>
      <c r="C16" s="58">
        <f t="shared" si="1"/>
        <v>2700.998611</v>
      </c>
      <c r="D16" s="1">
        <f t="shared" si="2"/>
        <v>414.8784848</v>
      </c>
      <c r="E16" s="1">
        <f t="shared" si="3"/>
        <v>746.7812726</v>
      </c>
      <c r="F16" s="1">
        <f t="shared" si="4"/>
        <v>1410.586848</v>
      </c>
      <c r="G16" s="1">
        <f t="shared" si="5"/>
        <v>2489.270909</v>
      </c>
      <c r="H16" s="1">
        <f t="shared" si="6"/>
        <v>4563.663332</v>
      </c>
      <c r="I16" s="1">
        <f t="shared" si="7"/>
        <v>7467.812726</v>
      </c>
    </row>
    <row r="17" hidden="1">
      <c r="A17" s="266">
        <f>IFERROR(__xludf.DUMMYFUNCTION("""COMPUTED_VALUE"""),42517.99861111111)</f>
        <v>42517.99861</v>
      </c>
      <c r="B17" s="1">
        <f>IFERROR(__xludf.DUMMYFUNCTION("""COMPUTED_VALUE"""),473.31)</f>
        <v>473.31</v>
      </c>
      <c r="C17" s="58">
        <f t="shared" si="1"/>
        <v>2701.998611</v>
      </c>
      <c r="D17" s="1">
        <f t="shared" si="2"/>
        <v>415.7701677</v>
      </c>
      <c r="E17" s="1">
        <f t="shared" si="3"/>
        <v>748.3863019</v>
      </c>
      <c r="F17" s="1">
        <f t="shared" si="4"/>
        <v>1413.61857</v>
      </c>
      <c r="G17" s="1">
        <f t="shared" si="5"/>
        <v>2494.621006</v>
      </c>
      <c r="H17" s="1">
        <f t="shared" si="6"/>
        <v>4573.471845</v>
      </c>
      <c r="I17" s="1">
        <f t="shared" si="7"/>
        <v>7483.863019</v>
      </c>
    </row>
    <row r="18" hidden="1">
      <c r="A18" s="266">
        <f>IFERROR(__xludf.DUMMYFUNCTION("""COMPUTED_VALUE"""),42520.99861111111)</f>
        <v>42520.99861</v>
      </c>
      <c r="B18" s="1">
        <f>IFERROR(__xludf.DUMMYFUNCTION("""COMPUTED_VALUE"""),534.79)</f>
        <v>534.79</v>
      </c>
      <c r="C18" s="58">
        <f t="shared" si="1"/>
        <v>2704.998611</v>
      </c>
      <c r="D18" s="1">
        <f t="shared" si="2"/>
        <v>418.4547381</v>
      </c>
      <c r="E18" s="1">
        <f t="shared" si="3"/>
        <v>753.2185286</v>
      </c>
      <c r="F18" s="1">
        <f t="shared" si="4"/>
        <v>1422.74611</v>
      </c>
      <c r="G18" s="1">
        <f t="shared" si="5"/>
        <v>2510.728429</v>
      </c>
      <c r="H18" s="1">
        <f t="shared" si="6"/>
        <v>4603.002119</v>
      </c>
      <c r="I18" s="1">
        <f t="shared" si="7"/>
        <v>7532.185286</v>
      </c>
    </row>
    <row r="19" hidden="1">
      <c r="A19" s="266">
        <f>IFERROR(__xludf.DUMMYFUNCTION("""COMPUTED_VALUE"""),42521.99861111111)</f>
        <v>42521.99861</v>
      </c>
      <c r="B19" s="1">
        <f>IFERROR(__xludf.DUMMYFUNCTION("""COMPUTED_VALUE"""),536.65)</f>
        <v>536.65</v>
      </c>
      <c r="C19" s="58">
        <f t="shared" si="1"/>
        <v>2705.998611</v>
      </c>
      <c r="D19" s="1">
        <f t="shared" si="2"/>
        <v>419.3527762</v>
      </c>
      <c r="E19" s="1">
        <f t="shared" si="3"/>
        <v>754.8349972</v>
      </c>
      <c r="F19" s="1">
        <f t="shared" si="4"/>
        <v>1425.799439</v>
      </c>
      <c r="G19" s="1">
        <f t="shared" si="5"/>
        <v>2516.116657</v>
      </c>
      <c r="H19" s="1">
        <f t="shared" si="6"/>
        <v>4612.880538</v>
      </c>
      <c r="I19" s="1">
        <f t="shared" si="7"/>
        <v>7548.349972</v>
      </c>
    </row>
    <row r="20" hidden="1">
      <c r="A20" s="266">
        <f>IFERROR(__xludf.DUMMYFUNCTION("""COMPUTED_VALUE"""),42522.99861111111)</f>
        <v>42522.99861</v>
      </c>
      <c r="B20" s="1">
        <f>IFERROR(__xludf.DUMMYFUNCTION("""COMPUTED_VALUE"""),534.75)</f>
        <v>534.75</v>
      </c>
      <c r="C20" s="58">
        <f t="shared" si="1"/>
        <v>2706.998611</v>
      </c>
      <c r="D20" s="1">
        <f t="shared" si="2"/>
        <v>420.2524087</v>
      </c>
      <c r="E20" s="1">
        <f t="shared" si="3"/>
        <v>756.4543357</v>
      </c>
      <c r="F20" s="1">
        <f t="shared" si="4"/>
        <v>1428.85819</v>
      </c>
      <c r="G20" s="1">
        <f t="shared" si="5"/>
        <v>2521.514452</v>
      </c>
      <c r="H20" s="1">
        <f t="shared" si="6"/>
        <v>4622.776496</v>
      </c>
      <c r="I20" s="1">
        <f t="shared" si="7"/>
        <v>7564.543357</v>
      </c>
    </row>
    <row r="21" hidden="1">
      <c r="A21" s="266">
        <f>IFERROR(__xludf.DUMMYFUNCTION("""COMPUTED_VALUE"""),42523.99861111111)</f>
        <v>42523.99861</v>
      </c>
      <c r="B21" s="1">
        <f>IFERROR(__xludf.DUMMYFUNCTION("""COMPUTED_VALUE"""),538.55)</f>
        <v>538.55</v>
      </c>
      <c r="C21" s="58">
        <f t="shared" si="1"/>
        <v>2707.998611</v>
      </c>
      <c r="D21" s="1">
        <f t="shared" si="2"/>
        <v>421.1536379</v>
      </c>
      <c r="E21" s="1">
        <f t="shared" si="3"/>
        <v>758.0765482</v>
      </c>
      <c r="F21" s="1">
        <f t="shared" si="4"/>
        <v>1431.922369</v>
      </c>
      <c r="G21" s="1">
        <f t="shared" si="5"/>
        <v>2526.921827</v>
      </c>
      <c r="H21" s="1">
        <f t="shared" si="6"/>
        <v>4632.690017</v>
      </c>
      <c r="I21" s="1">
        <f t="shared" si="7"/>
        <v>7580.765482</v>
      </c>
    </row>
    <row r="22" hidden="1">
      <c r="A22" s="266">
        <f>IFERROR(__xludf.DUMMYFUNCTION("""COMPUTED_VALUE"""),42524.99861111111)</f>
        <v>42524.99861</v>
      </c>
      <c r="B22" s="1">
        <f>IFERROR(__xludf.DUMMYFUNCTION("""COMPUTED_VALUE"""),558.72)</f>
        <v>558.72</v>
      </c>
      <c r="C22" s="58">
        <f t="shared" si="1"/>
        <v>2708.998611</v>
      </c>
      <c r="D22" s="1">
        <f t="shared" si="2"/>
        <v>422.0564659</v>
      </c>
      <c r="E22" s="1">
        <f t="shared" si="3"/>
        <v>759.7016386</v>
      </c>
      <c r="F22" s="1">
        <f t="shared" si="4"/>
        <v>1434.991984</v>
      </c>
      <c r="G22" s="1">
        <f t="shared" si="5"/>
        <v>2532.338795</v>
      </c>
      <c r="H22" s="1">
        <f t="shared" si="6"/>
        <v>4642.621125</v>
      </c>
      <c r="I22" s="1">
        <f t="shared" si="7"/>
        <v>7597.016386</v>
      </c>
    </row>
    <row r="23" hidden="1">
      <c r="A23" s="266">
        <f>IFERROR(__xludf.DUMMYFUNCTION("""COMPUTED_VALUE"""),42527.99861111111)</f>
        <v>42527.99861</v>
      </c>
      <c r="B23" s="1">
        <f>IFERROR(__xludf.DUMMYFUNCTION("""COMPUTED_VALUE"""),582.99)</f>
        <v>582.99</v>
      </c>
      <c r="C23" s="58">
        <f t="shared" si="1"/>
        <v>2711.998611</v>
      </c>
      <c r="D23" s="1">
        <f t="shared" si="2"/>
        <v>424.7745656</v>
      </c>
      <c r="E23" s="1">
        <f t="shared" si="3"/>
        <v>764.594218</v>
      </c>
      <c r="F23" s="1">
        <f t="shared" si="4"/>
        <v>1444.233523</v>
      </c>
      <c r="G23" s="1">
        <f t="shared" si="5"/>
        <v>2548.647393</v>
      </c>
      <c r="H23" s="1">
        <f t="shared" si="6"/>
        <v>4672.520221</v>
      </c>
      <c r="I23" s="1">
        <f t="shared" si="7"/>
        <v>7645.94218</v>
      </c>
    </row>
    <row r="24" hidden="1">
      <c r="A24" s="266">
        <f>IFERROR(__xludf.DUMMYFUNCTION("""COMPUTED_VALUE"""),42528.99861111111)</f>
        <v>42528.99861</v>
      </c>
      <c r="B24" s="1">
        <f>IFERROR(__xludf.DUMMYFUNCTION("""COMPUTED_VALUE"""),583.83)</f>
        <v>583.83</v>
      </c>
      <c r="C24" s="58">
        <f t="shared" si="1"/>
        <v>2712.998611</v>
      </c>
      <c r="D24" s="1">
        <f t="shared" si="2"/>
        <v>425.6838115</v>
      </c>
      <c r="E24" s="1">
        <f t="shared" si="3"/>
        <v>766.2308607</v>
      </c>
      <c r="F24" s="1">
        <f t="shared" si="4"/>
        <v>1447.324959</v>
      </c>
      <c r="G24" s="1">
        <f t="shared" si="5"/>
        <v>2554.102869</v>
      </c>
      <c r="H24" s="1">
        <f t="shared" si="6"/>
        <v>4682.521927</v>
      </c>
      <c r="I24" s="1">
        <f t="shared" si="7"/>
        <v>7662.308607</v>
      </c>
    </row>
    <row r="25" hidden="1">
      <c r="A25" s="266">
        <f>IFERROR(__xludf.DUMMYFUNCTION("""COMPUTED_VALUE"""),42529.99861111111)</f>
        <v>42529.99861</v>
      </c>
      <c r="B25" s="1">
        <f>IFERROR(__xludf.DUMMYFUNCTION("""COMPUTED_VALUE"""),578.97)</f>
        <v>578.97</v>
      </c>
      <c r="C25" s="58">
        <f t="shared" si="1"/>
        <v>2713.998611</v>
      </c>
      <c r="D25" s="1">
        <f t="shared" si="2"/>
        <v>426.5946676</v>
      </c>
      <c r="E25" s="1">
        <f t="shared" si="3"/>
        <v>767.8704016</v>
      </c>
      <c r="F25" s="1">
        <f t="shared" si="4"/>
        <v>1450.42187</v>
      </c>
      <c r="G25" s="1">
        <f t="shared" si="5"/>
        <v>2559.568005</v>
      </c>
      <c r="H25" s="1">
        <f t="shared" si="6"/>
        <v>4692.541343</v>
      </c>
      <c r="I25" s="1">
        <f t="shared" si="7"/>
        <v>7678.704016</v>
      </c>
    </row>
    <row r="26" hidden="1">
      <c r="A26" s="266">
        <f>IFERROR(__xludf.DUMMYFUNCTION("""COMPUTED_VALUE"""),42530.99861111111)</f>
        <v>42530.99861</v>
      </c>
      <c r="B26" s="1">
        <f>IFERROR(__xludf.DUMMYFUNCTION("""COMPUTED_VALUE"""),579.94)</f>
        <v>579.94</v>
      </c>
      <c r="C26" s="58">
        <f t="shared" si="1"/>
        <v>2714.998611</v>
      </c>
      <c r="D26" s="1">
        <f t="shared" si="2"/>
        <v>427.507136</v>
      </c>
      <c r="E26" s="1">
        <f t="shared" si="3"/>
        <v>769.5128448</v>
      </c>
      <c r="F26" s="1">
        <f t="shared" si="4"/>
        <v>1453.524262</v>
      </c>
      <c r="G26" s="1">
        <f t="shared" si="5"/>
        <v>2565.042816</v>
      </c>
      <c r="H26" s="1">
        <f t="shared" si="6"/>
        <v>4702.578496</v>
      </c>
      <c r="I26" s="1">
        <f t="shared" si="7"/>
        <v>7695.128448</v>
      </c>
    </row>
    <row r="27" hidden="1">
      <c r="A27" s="266">
        <f>IFERROR(__xludf.DUMMYFUNCTION("""COMPUTED_VALUE"""),42531.99861111111)</f>
        <v>42531.99861</v>
      </c>
      <c r="B27" s="1">
        <f>IFERROR(__xludf.DUMMYFUNCTION("""COMPUTED_VALUE"""),579.29)</f>
        <v>579.29</v>
      </c>
      <c r="C27" s="58">
        <f t="shared" si="1"/>
        <v>2715.998611</v>
      </c>
      <c r="D27" s="1">
        <f t="shared" si="2"/>
        <v>428.4212191</v>
      </c>
      <c r="E27" s="1">
        <f t="shared" si="3"/>
        <v>771.1581944</v>
      </c>
      <c r="F27" s="1">
        <f t="shared" si="4"/>
        <v>1456.632145</v>
      </c>
      <c r="G27" s="1">
        <f t="shared" si="5"/>
        <v>2570.527315</v>
      </c>
      <c r="H27" s="1">
        <f t="shared" si="6"/>
        <v>4712.63341</v>
      </c>
      <c r="I27" s="1">
        <f t="shared" si="7"/>
        <v>7711.581944</v>
      </c>
    </row>
    <row r="28" hidden="1">
      <c r="A28" s="266">
        <f>IFERROR(__xludf.DUMMYFUNCTION("""COMPUTED_VALUE"""),42534.99861111111)</f>
        <v>42534.99861</v>
      </c>
      <c r="B28" s="1">
        <f>IFERROR(__xludf.DUMMYFUNCTION("""COMPUTED_VALUE"""),688.61)</f>
        <v>688.61</v>
      </c>
      <c r="C28" s="58">
        <f t="shared" si="1"/>
        <v>2718.998611</v>
      </c>
      <c r="D28" s="1">
        <f t="shared" si="2"/>
        <v>431.1731787</v>
      </c>
      <c r="E28" s="1">
        <f t="shared" si="3"/>
        <v>776.1117217</v>
      </c>
      <c r="F28" s="1">
        <f t="shared" si="4"/>
        <v>1465.988808</v>
      </c>
      <c r="G28" s="1">
        <f t="shared" si="5"/>
        <v>2587.039072</v>
      </c>
      <c r="H28" s="1">
        <f t="shared" si="6"/>
        <v>4742.904966</v>
      </c>
      <c r="I28" s="1">
        <f t="shared" si="7"/>
        <v>7761.117217</v>
      </c>
    </row>
    <row r="29" hidden="1">
      <c r="A29" s="266">
        <f>IFERROR(__xludf.DUMMYFUNCTION("""COMPUTED_VALUE"""),42535.99861111111)</f>
        <v>42535.99861</v>
      </c>
      <c r="B29" s="1">
        <f>IFERROR(__xludf.DUMMYFUNCTION("""COMPUTED_VALUE"""),687.81)</f>
        <v>687.81</v>
      </c>
      <c r="C29" s="58">
        <f t="shared" si="1"/>
        <v>2719.998611</v>
      </c>
      <c r="D29" s="1">
        <f t="shared" si="2"/>
        <v>432.093743</v>
      </c>
      <c r="E29" s="1">
        <f t="shared" si="3"/>
        <v>777.7687373</v>
      </c>
      <c r="F29" s="1">
        <f t="shared" si="4"/>
        <v>1469.118726</v>
      </c>
      <c r="G29" s="1">
        <f t="shared" si="5"/>
        <v>2592.562458</v>
      </c>
      <c r="H29" s="1">
        <f t="shared" si="6"/>
        <v>4753.031172</v>
      </c>
      <c r="I29" s="1">
        <f t="shared" si="7"/>
        <v>7777.687373</v>
      </c>
    </row>
    <row r="30" hidden="1">
      <c r="A30" s="266">
        <f>IFERROR(__xludf.DUMMYFUNCTION("""COMPUTED_VALUE"""),42536.99861111111)</f>
        <v>42536.99861</v>
      </c>
      <c r="B30" s="1">
        <f>IFERROR(__xludf.DUMMYFUNCTION("""COMPUTED_VALUE"""),685.42)</f>
        <v>685.42</v>
      </c>
      <c r="C30" s="58">
        <f t="shared" si="1"/>
        <v>2720.998611</v>
      </c>
      <c r="D30" s="1">
        <f t="shared" si="2"/>
        <v>433.0159331</v>
      </c>
      <c r="E30" s="1">
        <f t="shared" si="3"/>
        <v>779.4286797</v>
      </c>
      <c r="F30" s="1">
        <f t="shared" si="4"/>
        <v>1472.254173</v>
      </c>
      <c r="G30" s="1">
        <f t="shared" si="5"/>
        <v>2598.095599</v>
      </c>
      <c r="H30" s="1">
        <f t="shared" si="6"/>
        <v>4763.175265</v>
      </c>
      <c r="I30" s="1">
        <f t="shared" si="7"/>
        <v>7794.286797</v>
      </c>
    </row>
    <row r="31" hidden="1">
      <c r="A31" s="266">
        <f>IFERROR(__xludf.DUMMYFUNCTION("""COMPUTED_VALUE"""),42537.99861111111)</f>
        <v>42537.99861</v>
      </c>
      <c r="B31" s="1">
        <f>IFERROR(__xludf.DUMMYFUNCTION("""COMPUTED_VALUE"""),740.35)</f>
        <v>740.35</v>
      </c>
      <c r="C31" s="58">
        <f t="shared" si="1"/>
        <v>2721.998611</v>
      </c>
      <c r="D31" s="1">
        <f t="shared" si="2"/>
        <v>433.9397516</v>
      </c>
      <c r="E31" s="1">
        <f t="shared" si="3"/>
        <v>781.0915528</v>
      </c>
      <c r="F31" s="1">
        <f t="shared" si="4"/>
        <v>1475.395155</v>
      </c>
      <c r="G31" s="1">
        <f t="shared" si="5"/>
        <v>2603.638509</v>
      </c>
      <c r="H31" s="1">
        <f t="shared" si="6"/>
        <v>4773.337267</v>
      </c>
      <c r="I31" s="1">
        <f t="shared" si="7"/>
        <v>7810.915528</v>
      </c>
    </row>
    <row r="32" hidden="1">
      <c r="A32" s="266">
        <f>IFERROR(__xludf.DUMMYFUNCTION("""COMPUTED_VALUE"""),42538.99861111111)</f>
        <v>42538.99861</v>
      </c>
      <c r="B32" s="1">
        <f>IFERROR(__xludf.DUMMYFUNCTION("""COMPUTED_VALUE"""),748.94)</f>
        <v>748.94</v>
      </c>
      <c r="C32" s="58">
        <f t="shared" si="1"/>
        <v>2722.998611</v>
      </c>
      <c r="D32" s="1">
        <f t="shared" si="2"/>
        <v>434.8652005</v>
      </c>
      <c r="E32" s="1">
        <f t="shared" si="3"/>
        <v>782.7573609</v>
      </c>
      <c r="F32" s="1">
        <f t="shared" si="4"/>
        <v>1478.541682</v>
      </c>
      <c r="G32" s="1">
        <f t="shared" si="5"/>
        <v>2609.191203</v>
      </c>
      <c r="H32" s="1">
        <f t="shared" si="6"/>
        <v>4783.517206</v>
      </c>
      <c r="I32" s="1">
        <f t="shared" si="7"/>
        <v>7827.573609</v>
      </c>
    </row>
    <row r="33" hidden="1">
      <c r="A33" s="266">
        <f>IFERROR(__xludf.DUMMYFUNCTION("""COMPUTED_VALUE"""),42541.99861111111)</f>
        <v>42541.99861</v>
      </c>
      <c r="B33" s="1">
        <f>IFERROR(__xludf.DUMMYFUNCTION("""COMPUTED_VALUE"""),749.97)</f>
        <v>749.97</v>
      </c>
      <c r="C33" s="58">
        <f t="shared" si="1"/>
        <v>2725.998611</v>
      </c>
      <c r="D33" s="1">
        <f t="shared" si="2"/>
        <v>437.6513531</v>
      </c>
      <c r="E33" s="1">
        <f t="shared" si="3"/>
        <v>787.7724357</v>
      </c>
      <c r="F33" s="1">
        <f t="shared" si="4"/>
        <v>1488.014601</v>
      </c>
      <c r="G33" s="1">
        <f t="shared" si="5"/>
        <v>2625.908119</v>
      </c>
      <c r="H33" s="1">
        <f t="shared" si="6"/>
        <v>4814.164885</v>
      </c>
      <c r="I33" s="1">
        <f t="shared" si="7"/>
        <v>7877.724357</v>
      </c>
    </row>
    <row r="34" hidden="1">
      <c r="A34" s="266">
        <f>IFERROR(__xludf.DUMMYFUNCTION("""COMPUTED_VALUE"""),42542.99861111111)</f>
        <v>42542.99861</v>
      </c>
      <c r="B34" s="1">
        <f>IFERROR(__xludf.DUMMYFUNCTION("""COMPUTED_VALUE"""),683.11)</f>
        <v>683.11</v>
      </c>
      <c r="C34" s="58">
        <f t="shared" si="1"/>
        <v>2726.998611</v>
      </c>
      <c r="D34" s="1">
        <f t="shared" si="2"/>
        <v>438.5833469</v>
      </c>
      <c r="E34" s="1">
        <f t="shared" si="3"/>
        <v>789.4500244</v>
      </c>
      <c r="F34" s="1">
        <f t="shared" si="4"/>
        <v>1491.183379</v>
      </c>
      <c r="G34" s="1">
        <f t="shared" si="5"/>
        <v>2631.500081</v>
      </c>
      <c r="H34" s="1">
        <f t="shared" si="6"/>
        <v>4824.416816</v>
      </c>
      <c r="I34" s="1">
        <f t="shared" si="7"/>
        <v>7894.500244</v>
      </c>
    </row>
    <row r="35" hidden="1">
      <c r="A35" s="266">
        <f>IFERROR(__xludf.DUMMYFUNCTION("""COMPUTED_VALUE"""),42543.99861111111)</f>
        <v>42543.99861</v>
      </c>
      <c r="B35" s="1">
        <f>IFERROR(__xludf.DUMMYFUNCTION("""COMPUTED_VALUE"""),652.82)</f>
        <v>652.82</v>
      </c>
      <c r="C35" s="58">
        <f t="shared" si="1"/>
        <v>2727.998611</v>
      </c>
      <c r="D35" s="1">
        <f t="shared" si="2"/>
        <v>439.5169826</v>
      </c>
      <c r="E35" s="1">
        <f t="shared" si="3"/>
        <v>791.1305687</v>
      </c>
      <c r="F35" s="1">
        <f t="shared" si="4"/>
        <v>1494.357741</v>
      </c>
      <c r="G35" s="1">
        <f t="shared" si="5"/>
        <v>2637.101896</v>
      </c>
      <c r="H35" s="1">
        <f t="shared" si="6"/>
        <v>4834.686808</v>
      </c>
      <c r="I35" s="1">
        <f t="shared" si="7"/>
        <v>7911.305687</v>
      </c>
    </row>
    <row r="36" hidden="1">
      <c r="A36" s="266">
        <f>IFERROR(__xludf.DUMMYFUNCTION("""COMPUTED_VALUE"""),42544.99861111111)</f>
        <v>42544.99861</v>
      </c>
      <c r="B36" s="1">
        <f>IFERROR(__xludf.DUMMYFUNCTION("""COMPUTED_VALUE"""),592.86)</f>
        <v>592.86</v>
      </c>
      <c r="C36" s="58">
        <f t="shared" si="1"/>
        <v>2728.998611</v>
      </c>
      <c r="D36" s="1">
        <f t="shared" si="2"/>
        <v>440.4522625</v>
      </c>
      <c r="E36" s="1">
        <f t="shared" si="3"/>
        <v>792.8140725</v>
      </c>
      <c r="F36" s="1">
        <f t="shared" si="4"/>
        <v>1497.537692</v>
      </c>
      <c r="G36" s="1">
        <f t="shared" si="5"/>
        <v>2642.713575</v>
      </c>
      <c r="H36" s="1">
        <f t="shared" si="6"/>
        <v>4844.974887</v>
      </c>
      <c r="I36" s="1">
        <f t="shared" si="7"/>
        <v>7928.140725</v>
      </c>
    </row>
    <row r="37" hidden="1">
      <c r="A37" s="266">
        <f>IFERROR(__xludf.DUMMYFUNCTION("""COMPUTED_VALUE"""),42545.99861111111)</f>
        <v>42545.99861</v>
      </c>
      <c r="B37" s="1">
        <f>IFERROR(__xludf.DUMMYFUNCTION("""COMPUTED_VALUE"""),655.22)</f>
        <v>655.22</v>
      </c>
      <c r="C37" s="58">
        <f t="shared" si="1"/>
        <v>2729.998611</v>
      </c>
      <c r="D37" s="1">
        <f t="shared" si="2"/>
        <v>441.3891889</v>
      </c>
      <c r="E37" s="1">
        <f t="shared" si="3"/>
        <v>794.50054</v>
      </c>
      <c r="F37" s="1">
        <f t="shared" si="4"/>
        <v>1500.723242</v>
      </c>
      <c r="G37" s="1">
        <f t="shared" si="5"/>
        <v>2648.335133</v>
      </c>
      <c r="H37" s="1">
        <f t="shared" si="6"/>
        <v>4855.281077</v>
      </c>
      <c r="I37" s="1">
        <f t="shared" si="7"/>
        <v>7945.0054</v>
      </c>
    </row>
    <row r="38" hidden="1">
      <c r="A38" s="266">
        <f>IFERROR(__xludf.DUMMYFUNCTION("""COMPUTED_VALUE"""),42548.99861111111)</f>
        <v>42548.99861</v>
      </c>
      <c r="B38" s="1">
        <f>IFERROR(__xludf.DUMMYFUNCTION("""COMPUTED_VALUE"""),640.08)</f>
        <v>640.08</v>
      </c>
      <c r="C38" s="58">
        <f t="shared" si="1"/>
        <v>2732.998611</v>
      </c>
      <c r="D38" s="1">
        <f t="shared" si="2"/>
        <v>444.20987</v>
      </c>
      <c r="E38" s="1">
        <f t="shared" si="3"/>
        <v>799.5777659</v>
      </c>
      <c r="F38" s="1">
        <f t="shared" si="4"/>
        <v>1510.313558</v>
      </c>
      <c r="G38" s="1">
        <f t="shared" si="5"/>
        <v>2665.25922</v>
      </c>
      <c r="H38" s="1">
        <f t="shared" si="6"/>
        <v>4886.30857</v>
      </c>
      <c r="I38" s="1">
        <f t="shared" si="7"/>
        <v>7995.777659</v>
      </c>
    </row>
    <row r="39" hidden="1">
      <c r="A39" s="266">
        <f>IFERROR(__xludf.DUMMYFUNCTION("""COMPUTED_VALUE"""),42549.99861111111)</f>
        <v>42549.99861</v>
      </c>
      <c r="B39" s="1">
        <f>IFERROR(__xludf.DUMMYFUNCTION("""COMPUTED_VALUE"""),649.98)</f>
        <v>649.98</v>
      </c>
      <c r="C39" s="58">
        <f t="shared" si="1"/>
        <v>2733.998611</v>
      </c>
      <c r="D39" s="1">
        <f t="shared" si="2"/>
        <v>445.1534053</v>
      </c>
      <c r="E39" s="1">
        <f t="shared" si="3"/>
        <v>801.2761296</v>
      </c>
      <c r="F39" s="1">
        <f t="shared" si="4"/>
        <v>1513.521578</v>
      </c>
      <c r="G39" s="1">
        <f t="shared" si="5"/>
        <v>2670.920432</v>
      </c>
      <c r="H39" s="1">
        <f t="shared" si="6"/>
        <v>4896.687458</v>
      </c>
      <c r="I39" s="1">
        <f t="shared" si="7"/>
        <v>8012.761296</v>
      </c>
    </row>
    <row r="40" hidden="1">
      <c r="A40" s="266">
        <f>IFERROR(__xludf.DUMMYFUNCTION("""COMPUTED_VALUE"""),42550.99861111111)</f>
        <v>42550.99861</v>
      </c>
      <c r="B40" s="1">
        <f>IFERROR(__xludf.DUMMYFUNCTION("""COMPUTED_VALUE"""),636.6)</f>
        <v>636.6</v>
      </c>
      <c r="C40" s="58">
        <f t="shared" si="1"/>
        <v>2734.998611</v>
      </c>
      <c r="D40" s="1">
        <f t="shared" si="2"/>
        <v>446.0985987</v>
      </c>
      <c r="E40" s="1">
        <f t="shared" si="3"/>
        <v>802.9774776</v>
      </c>
      <c r="F40" s="1">
        <f t="shared" si="4"/>
        <v>1516.735235</v>
      </c>
      <c r="G40" s="1">
        <f t="shared" si="5"/>
        <v>2676.591592</v>
      </c>
      <c r="H40" s="1">
        <f t="shared" si="6"/>
        <v>4907.084585</v>
      </c>
      <c r="I40" s="1">
        <f t="shared" si="7"/>
        <v>8029.774776</v>
      </c>
    </row>
    <row r="41" hidden="1">
      <c r="A41" s="266">
        <f>IFERROR(__xludf.DUMMYFUNCTION("""COMPUTED_VALUE"""),42551.99861111111)</f>
        <v>42551.99861</v>
      </c>
      <c r="B41" s="1">
        <f>IFERROR(__xludf.DUMMYFUNCTION("""COMPUTED_VALUE"""),660.54)</f>
        <v>660.54</v>
      </c>
      <c r="C41" s="58">
        <f t="shared" si="1"/>
        <v>2735.998611</v>
      </c>
      <c r="D41" s="1">
        <f t="shared" si="2"/>
        <v>447.0454523</v>
      </c>
      <c r="E41" s="1">
        <f t="shared" si="3"/>
        <v>804.6818141</v>
      </c>
      <c r="F41" s="1">
        <f t="shared" si="4"/>
        <v>1519.954538</v>
      </c>
      <c r="G41" s="1">
        <f t="shared" si="5"/>
        <v>2682.272714</v>
      </c>
      <c r="H41" s="1">
        <f t="shared" si="6"/>
        <v>4917.499975</v>
      </c>
      <c r="I41" s="1">
        <f t="shared" si="7"/>
        <v>8046.818141</v>
      </c>
    </row>
    <row r="42" hidden="1">
      <c r="A42" s="266">
        <f>IFERROR(__xludf.DUMMYFUNCTION("""COMPUTED_VALUE"""),42552.99861111111)</f>
        <v>42552.99861</v>
      </c>
      <c r="B42" s="1">
        <f>IFERROR(__xludf.DUMMYFUNCTION("""COMPUTED_VALUE"""),677.35)</f>
        <v>677.35</v>
      </c>
      <c r="C42" s="58">
        <f t="shared" si="1"/>
        <v>2736.998611</v>
      </c>
      <c r="D42" s="1">
        <f t="shared" si="2"/>
        <v>447.9939685</v>
      </c>
      <c r="E42" s="1">
        <f t="shared" si="3"/>
        <v>806.3891434</v>
      </c>
      <c r="F42" s="1">
        <f t="shared" si="4"/>
        <v>1523.179493</v>
      </c>
      <c r="G42" s="1">
        <f t="shared" si="5"/>
        <v>2687.963811</v>
      </c>
      <c r="H42" s="1">
        <f t="shared" si="6"/>
        <v>4927.933654</v>
      </c>
      <c r="I42" s="1">
        <f t="shared" si="7"/>
        <v>8063.891434</v>
      </c>
    </row>
    <row r="43" hidden="1">
      <c r="A43" s="266">
        <f>IFERROR(__xludf.DUMMYFUNCTION("""COMPUTED_VALUE"""),42555.99861111111)</f>
        <v>42555.99861</v>
      </c>
      <c r="B43" s="1">
        <f>IFERROR(__xludf.DUMMYFUNCTION("""COMPUTED_VALUE"""),670.68)</f>
        <v>670.68</v>
      </c>
      <c r="C43" s="58">
        <f t="shared" si="1"/>
        <v>2739.998611</v>
      </c>
      <c r="D43" s="1">
        <f t="shared" si="2"/>
        <v>450.849516</v>
      </c>
      <c r="E43" s="1">
        <f t="shared" si="3"/>
        <v>811.5291288</v>
      </c>
      <c r="F43" s="1">
        <f t="shared" si="4"/>
        <v>1532.888354</v>
      </c>
      <c r="G43" s="1">
        <f t="shared" si="5"/>
        <v>2705.097096</v>
      </c>
      <c r="H43" s="1">
        <f t="shared" si="6"/>
        <v>4959.344676</v>
      </c>
      <c r="I43" s="1">
        <f t="shared" si="7"/>
        <v>8115.291288</v>
      </c>
    </row>
    <row r="44" hidden="1">
      <c r="A44" s="266">
        <f>IFERROR(__xludf.DUMMYFUNCTION("""COMPUTED_VALUE"""),42556.99861111111)</f>
        <v>42556.99861</v>
      </c>
      <c r="B44" s="1">
        <f>IFERROR(__xludf.DUMMYFUNCTION("""COMPUTED_VALUE"""),673.01)</f>
        <v>673.01</v>
      </c>
      <c r="C44" s="58">
        <f t="shared" si="1"/>
        <v>2740.998611</v>
      </c>
      <c r="D44" s="1">
        <f t="shared" si="2"/>
        <v>451.8047058</v>
      </c>
      <c r="E44" s="1">
        <f t="shared" si="3"/>
        <v>813.2484704</v>
      </c>
      <c r="F44" s="1">
        <f t="shared" si="4"/>
        <v>1536.136</v>
      </c>
      <c r="G44" s="1">
        <f t="shared" si="5"/>
        <v>2710.828235</v>
      </c>
      <c r="H44" s="1">
        <f t="shared" si="6"/>
        <v>4969.851764</v>
      </c>
      <c r="I44" s="1">
        <f t="shared" si="7"/>
        <v>8132.484704</v>
      </c>
    </row>
    <row r="45" hidden="1">
      <c r="A45" s="266">
        <f>IFERROR(__xludf.DUMMYFUNCTION("""COMPUTED_VALUE"""),42557.99861111111)</f>
        <v>42557.99861</v>
      </c>
      <c r="B45" s="1">
        <f>IFERROR(__xludf.DUMMYFUNCTION("""COMPUTED_VALUE"""),675.41)</f>
        <v>675.41</v>
      </c>
      <c r="C45" s="58">
        <f t="shared" si="1"/>
        <v>2741.998611</v>
      </c>
      <c r="D45" s="1">
        <f t="shared" si="2"/>
        <v>452.7615698</v>
      </c>
      <c r="E45" s="1">
        <f t="shared" si="3"/>
        <v>814.9708256</v>
      </c>
      <c r="F45" s="1">
        <f t="shared" si="4"/>
        <v>1539.389337</v>
      </c>
      <c r="G45" s="1">
        <f t="shared" si="5"/>
        <v>2716.569419</v>
      </c>
      <c r="H45" s="1">
        <f t="shared" si="6"/>
        <v>4980.377267</v>
      </c>
      <c r="I45" s="1">
        <f t="shared" si="7"/>
        <v>8149.708256</v>
      </c>
    </row>
    <row r="46" hidden="1">
      <c r="A46" s="266">
        <f>IFERROR(__xludf.DUMMYFUNCTION("""COMPUTED_VALUE"""),42558.99861111111)</f>
        <v>42558.99861</v>
      </c>
      <c r="B46" s="1">
        <f>IFERROR(__xludf.DUMMYFUNCTION("""COMPUTED_VALUE"""),644.24)</f>
        <v>644.24</v>
      </c>
      <c r="C46" s="58">
        <f t="shared" si="1"/>
        <v>2742.998611</v>
      </c>
      <c r="D46" s="1">
        <f t="shared" si="2"/>
        <v>453.7201102</v>
      </c>
      <c r="E46" s="1">
        <f t="shared" si="3"/>
        <v>816.6961984</v>
      </c>
      <c r="F46" s="1">
        <f t="shared" si="4"/>
        <v>1542.648375</v>
      </c>
      <c r="G46" s="1">
        <f t="shared" si="5"/>
        <v>2722.320661</v>
      </c>
      <c r="H46" s="1">
        <f t="shared" si="6"/>
        <v>4990.921213</v>
      </c>
      <c r="I46" s="1">
        <f t="shared" si="7"/>
        <v>8166.961984</v>
      </c>
    </row>
    <row r="47" hidden="1">
      <c r="A47" s="266">
        <f>IFERROR(__xludf.DUMMYFUNCTION("""COMPUTED_VALUE"""),42559.99861111111)</f>
        <v>42559.99861</v>
      </c>
      <c r="B47" s="1">
        <f>IFERROR(__xludf.DUMMYFUNCTION("""COMPUTED_VALUE"""),647.62)</f>
        <v>647.62</v>
      </c>
      <c r="C47" s="58">
        <f t="shared" si="1"/>
        <v>2743.998611</v>
      </c>
      <c r="D47" s="1">
        <f t="shared" si="2"/>
        <v>454.6803295</v>
      </c>
      <c r="E47" s="1">
        <f t="shared" si="3"/>
        <v>818.4245932</v>
      </c>
      <c r="F47" s="1">
        <f t="shared" si="4"/>
        <v>1545.91312</v>
      </c>
      <c r="G47" s="1">
        <f t="shared" si="5"/>
        <v>2728.081977</v>
      </c>
      <c r="H47" s="1">
        <f t="shared" si="6"/>
        <v>5001.483625</v>
      </c>
      <c r="I47" s="1">
        <f t="shared" si="7"/>
        <v>8184.245932</v>
      </c>
    </row>
    <row r="48" hidden="1">
      <c r="A48" s="266">
        <f>IFERROR(__xludf.DUMMYFUNCTION("""COMPUTED_VALUE"""),42562.99861111111)</f>
        <v>42562.99861</v>
      </c>
      <c r="B48" s="1">
        <f>IFERROR(__xludf.DUMMYFUNCTION("""COMPUTED_VALUE"""),651.39)</f>
        <v>651.39</v>
      </c>
      <c r="C48" s="58">
        <f t="shared" si="1"/>
        <v>2746.998611</v>
      </c>
      <c r="D48" s="1">
        <f t="shared" si="2"/>
        <v>457.5710837</v>
      </c>
      <c r="E48" s="1">
        <f t="shared" si="3"/>
        <v>823.6279507</v>
      </c>
      <c r="F48" s="1">
        <f t="shared" si="4"/>
        <v>1555.741685</v>
      </c>
      <c r="G48" s="1">
        <f t="shared" si="5"/>
        <v>2745.426502</v>
      </c>
      <c r="H48" s="1">
        <f t="shared" si="6"/>
        <v>5033.281921</v>
      </c>
      <c r="I48" s="1">
        <f t="shared" si="7"/>
        <v>8236.279507</v>
      </c>
    </row>
    <row r="49" hidden="1">
      <c r="A49" s="266">
        <f>IFERROR(__xludf.DUMMYFUNCTION("""COMPUTED_VALUE"""),42563.99861111111)</f>
        <v>42563.99861</v>
      </c>
      <c r="B49" s="1">
        <f>IFERROR(__xludf.DUMMYFUNCTION("""COMPUTED_VALUE"""),660.29)</f>
        <v>660.29</v>
      </c>
      <c r="C49" s="58">
        <f t="shared" si="1"/>
        <v>2747.998611</v>
      </c>
      <c r="D49" s="1">
        <f t="shared" si="2"/>
        <v>458.5380416</v>
      </c>
      <c r="E49" s="1">
        <f t="shared" si="3"/>
        <v>825.3684749</v>
      </c>
      <c r="F49" s="1">
        <f t="shared" si="4"/>
        <v>1559.029341</v>
      </c>
      <c r="G49" s="1">
        <f t="shared" si="5"/>
        <v>2751.22825</v>
      </c>
      <c r="H49" s="1">
        <f t="shared" si="6"/>
        <v>5043.918458</v>
      </c>
      <c r="I49" s="1">
        <f t="shared" si="7"/>
        <v>8253.684749</v>
      </c>
    </row>
    <row r="50" hidden="1">
      <c r="A50" s="266">
        <f>IFERROR(__xludf.DUMMYFUNCTION("""COMPUTED_VALUE"""),42564.99861111111)</f>
        <v>42564.99861</v>
      </c>
      <c r="B50" s="1">
        <f>IFERROR(__xludf.DUMMYFUNCTION("""COMPUTED_VALUE"""),664.46)</f>
        <v>664.46</v>
      </c>
      <c r="C50" s="58">
        <f t="shared" si="1"/>
        <v>2748.998611</v>
      </c>
      <c r="D50" s="1">
        <f t="shared" si="2"/>
        <v>459.50669</v>
      </c>
      <c r="E50" s="1">
        <f t="shared" si="3"/>
        <v>827.112042</v>
      </c>
      <c r="F50" s="1">
        <f t="shared" si="4"/>
        <v>1562.322746</v>
      </c>
      <c r="G50" s="1">
        <f t="shared" si="5"/>
        <v>2757.04014</v>
      </c>
      <c r="H50" s="1">
        <f t="shared" si="6"/>
        <v>5054.57359</v>
      </c>
      <c r="I50" s="1">
        <f t="shared" si="7"/>
        <v>8271.12042</v>
      </c>
    </row>
    <row r="51" hidden="1">
      <c r="A51" s="266">
        <f>IFERROR(__xludf.DUMMYFUNCTION("""COMPUTED_VALUE"""),42565.99861111111)</f>
        <v>42565.99861</v>
      </c>
      <c r="B51" s="1">
        <f>IFERROR(__xludf.DUMMYFUNCTION("""COMPUTED_VALUE"""),659.88)</f>
        <v>659.88</v>
      </c>
      <c r="C51" s="58">
        <f t="shared" si="1"/>
        <v>2749.998611</v>
      </c>
      <c r="D51" s="1">
        <f t="shared" si="2"/>
        <v>460.4770312</v>
      </c>
      <c r="E51" s="1">
        <f t="shared" si="3"/>
        <v>828.8586562</v>
      </c>
      <c r="F51" s="1">
        <f t="shared" si="4"/>
        <v>1565.621906</v>
      </c>
      <c r="G51" s="1">
        <f t="shared" si="5"/>
        <v>2762.862187</v>
      </c>
      <c r="H51" s="1">
        <f t="shared" si="6"/>
        <v>5065.247343</v>
      </c>
      <c r="I51" s="1">
        <f t="shared" si="7"/>
        <v>8288.586562</v>
      </c>
    </row>
    <row r="52" hidden="1">
      <c r="A52" s="266">
        <f>IFERROR(__xludf.DUMMYFUNCTION("""COMPUTED_VALUE"""),42566.99861111111)</f>
        <v>42566.99861</v>
      </c>
      <c r="B52" s="1">
        <f>IFERROR(__xludf.DUMMYFUNCTION("""COMPUTED_VALUE"""),666.24)</f>
        <v>666.24</v>
      </c>
      <c r="C52" s="58">
        <f t="shared" si="1"/>
        <v>2750.998611</v>
      </c>
      <c r="D52" s="1">
        <f t="shared" si="2"/>
        <v>461.4490676</v>
      </c>
      <c r="E52" s="1">
        <f t="shared" si="3"/>
        <v>830.6083217</v>
      </c>
      <c r="F52" s="1">
        <f t="shared" si="4"/>
        <v>1568.92683</v>
      </c>
      <c r="G52" s="1">
        <f t="shared" si="5"/>
        <v>2768.694406</v>
      </c>
      <c r="H52" s="1">
        <f t="shared" si="6"/>
        <v>5075.939744</v>
      </c>
      <c r="I52" s="1">
        <f t="shared" si="7"/>
        <v>8306.083217</v>
      </c>
    </row>
    <row r="53" hidden="1">
      <c r="A53" s="266">
        <f>IFERROR(__xludf.DUMMYFUNCTION("""COMPUTED_VALUE"""),42569.99861111111)</f>
        <v>42569.99861</v>
      </c>
      <c r="B53" s="1">
        <f>IFERROR(__xludf.DUMMYFUNCTION("""COMPUTED_VALUE"""),678.23)</f>
        <v>678.23</v>
      </c>
      <c r="C53" s="58">
        <f t="shared" si="1"/>
        <v>2753.998611</v>
      </c>
      <c r="D53" s="1">
        <f t="shared" si="2"/>
        <v>464.3753712</v>
      </c>
      <c r="E53" s="1">
        <f t="shared" si="3"/>
        <v>835.8756682</v>
      </c>
      <c r="F53" s="1">
        <f t="shared" si="4"/>
        <v>1578.876262</v>
      </c>
      <c r="G53" s="1">
        <f t="shared" si="5"/>
        <v>2786.252227</v>
      </c>
      <c r="H53" s="1">
        <f t="shared" si="6"/>
        <v>5108.129083</v>
      </c>
      <c r="I53" s="1">
        <f t="shared" si="7"/>
        <v>8358.756682</v>
      </c>
    </row>
    <row r="54" hidden="1">
      <c r="A54" s="266">
        <f>IFERROR(__xludf.DUMMYFUNCTION("""COMPUTED_VALUE"""),42570.99861111111)</f>
        <v>42570.99861</v>
      </c>
      <c r="B54" s="1">
        <f>IFERROR(__xludf.DUMMYFUNCTION("""COMPUTED_VALUE"""),672.05)</f>
        <v>672.05</v>
      </c>
      <c r="C54" s="58">
        <f t="shared" si="1"/>
        <v>2754.998611</v>
      </c>
      <c r="D54" s="1">
        <f t="shared" si="2"/>
        <v>465.3542117</v>
      </c>
      <c r="E54" s="1">
        <f t="shared" si="3"/>
        <v>837.6375811</v>
      </c>
      <c r="F54" s="1">
        <f t="shared" si="4"/>
        <v>1582.20432</v>
      </c>
      <c r="G54" s="1">
        <f t="shared" si="5"/>
        <v>2792.12527</v>
      </c>
      <c r="H54" s="1">
        <f t="shared" si="6"/>
        <v>5118.896329</v>
      </c>
      <c r="I54" s="1">
        <f t="shared" si="7"/>
        <v>8376.375811</v>
      </c>
    </row>
    <row r="55" hidden="1">
      <c r="A55" s="266">
        <f>IFERROR(__xludf.DUMMYFUNCTION("""COMPUTED_VALUE"""),42571.99861111111)</f>
        <v>42571.99861</v>
      </c>
      <c r="B55" s="1">
        <f>IFERROR(__xludf.DUMMYFUNCTION("""COMPUTED_VALUE"""),669.22)</f>
        <v>669.22</v>
      </c>
      <c r="C55" s="58">
        <f t="shared" si="1"/>
        <v>2755.998611</v>
      </c>
      <c r="D55" s="1">
        <f t="shared" si="2"/>
        <v>466.3347591</v>
      </c>
      <c r="E55" s="1">
        <f t="shared" si="3"/>
        <v>839.4025664</v>
      </c>
      <c r="F55" s="1">
        <f t="shared" si="4"/>
        <v>1585.538181</v>
      </c>
      <c r="G55" s="1">
        <f t="shared" si="5"/>
        <v>2798.008555</v>
      </c>
      <c r="H55" s="1">
        <f t="shared" si="6"/>
        <v>5129.68235</v>
      </c>
      <c r="I55" s="1">
        <f t="shared" si="7"/>
        <v>8394.025664</v>
      </c>
    </row>
    <row r="56" hidden="1">
      <c r="A56" s="266">
        <f>IFERROR(__xludf.DUMMYFUNCTION("""COMPUTED_VALUE"""),42572.99861111111)</f>
        <v>42572.99861</v>
      </c>
      <c r="B56" s="1">
        <f>IFERROR(__xludf.DUMMYFUNCTION("""COMPUTED_VALUE"""),663.66)</f>
        <v>663.66</v>
      </c>
      <c r="C56" s="58">
        <f t="shared" si="1"/>
        <v>2756.998611</v>
      </c>
      <c r="D56" s="1">
        <f t="shared" si="2"/>
        <v>467.3170158</v>
      </c>
      <c r="E56" s="1">
        <f t="shared" si="3"/>
        <v>841.1706285</v>
      </c>
      <c r="F56" s="1">
        <f t="shared" si="4"/>
        <v>1588.877854</v>
      </c>
      <c r="G56" s="1">
        <f t="shared" si="5"/>
        <v>2803.902095</v>
      </c>
      <c r="H56" s="1">
        <f t="shared" si="6"/>
        <v>5140.487174</v>
      </c>
      <c r="I56" s="1">
        <f t="shared" si="7"/>
        <v>8411.706285</v>
      </c>
    </row>
    <row r="57" hidden="1">
      <c r="A57" s="266">
        <f>IFERROR(__xludf.DUMMYFUNCTION("""COMPUTED_VALUE"""),42573.99861111111)</f>
        <v>42573.99861</v>
      </c>
      <c r="B57" s="1">
        <f>IFERROR(__xludf.DUMMYFUNCTION("""COMPUTED_VALUE"""),659.77)</f>
        <v>659.77</v>
      </c>
      <c r="C57" s="58">
        <f t="shared" si="1"/>
        <v>2757.998611</v>
      </c>
      <c r="D57" s="1">
        <f t="shared" si="2"/>
        <v>468.3009841</v>
      </c>
      <c r="E57" s="1">
        <f t="shared" si="3"/>
        <v>842.9417714</v>
      </c>
      <c r="F57" s="1">
        <f t="shared" si="4"/>
        <v>1592.223346</v>
      </c>
      <c r="G57" s="1">
        <f t="shared" si="5"/>
        <v>2809.805905</v>
      </c>
      <c r="H57" s="1">
        <f t="shared" si="6"/>
        <v>5151.310825</v>
      </c>
      <c r="I57" s="1">
        <f t="shared" si="7"/>
        <v>8429.417714</v>
      </c>
    </row>
    <row r="58" hidden="1">
      <c r="A58" s="266">
        <f>IFERROR(__xludf.DUMMYFUNCTION("""COMPUTED_VALUE"""),42576.99861111111)</f>
        <v>42576.99861</v>
      </c>
      <c r="B58" s="1">
        <f>IFERROR(__xludf.DUMMYFUNCTION("""COMPUTED_VALUE"""),656.38)</f>
        <v>656.38</v>
      </c>
      <c r="C58" s="58">
        <f t="shared" si="1"/>
        <v>2760.998611</v>
      </c>
      <c r="D58" s="1">
        <f t="shared" si="2"/>
        <v>471.2631824</v>
      </c>
      <c r="E58" s="1">
        <f t="shared" si="3"/>
        <v>848.2737283</v>
      </c>
      <c r="F58" s="1">
        <f t="shared" si="4"/>
        <v>1602.29482</v>
      </c>
      <c r="G58" s="1">
        <f t="shared" si="5"/>
        <v>2827.579094</v>
      </c>
      <c r="H58" s="1">
        <f t="shared" si="6"/>
        <v>5183.895006</v>
      </c>
      <c r="I58" s="1">
        <f t="shared" si="7"/>
        <v>8482.737283</v>
      </c>
    </row>
    <row r="59" hidden="1">
      <c r="A59" s="266">
        <f>IFERROR(__xludf.DUMMYFUNCTION("""COMPUTED_VALUE"""),42577.99861111111)</f>
        <v>42577.99861</v>
      </c>
      <c r="B59" s="1">
        <f>IFERROR(__xludf.DUMMYFUNCTION("""COMPUTED_VALUE"""),652.1)</f>
        <v>652.1</v>
      </c>
      <c r="C59" s="58">
        <f t="shared" si="1"/>
        <v>2761.998611</v>
      </c>
      <c r="D59" s="1">
        <f t="shared" si="2"/>
        <v>472.2540208</v>
      </c>
      <c r="E59" s="1">
        <f t="shared" si="3"/>
        <v>850.0572374</v>
      </c>
      <c r="F59" s="1">
        <f t="shared" si="4"/>
        <v>1605.663671</v>
      </c>
      <c r="G59" s="1">
        <f t="shared" si="5"/>
        <v>2833.524125</v>
      </c>
      <c r="H59" s="1">
        <f t="shared" si="6"/>
        <v>5194.794229</v>
      </c>
      <c r="I59" s="1">
        <f t="shared" si="7"/>
        <v>8500.572374</v>
      </c>
    </row>
    <row r="60" hidden="1">
      <c r="A60" s="266">
        <f>IFERROR(__xludf.DUMMYFUNCTION("""COMPUTED_VALUE"""),42578.99861111111)</f>
        <v>42578.99861</v>
      </c>
      <c r="B60" s="1">
        <f>IFERROR(__xludf.DUMMYFUNCTION("""COMPUTED_VALUE"""),652.78)</f>
        <v>652.78</v>
      </c>
      <c r="C60" s="58">
        <f t="shared" si="1"/>
        <v>2762.998611</v>
      </c>
      <c r="D60" s="1">
        <f t="shared" si="2"/>
        <v>473.2465827</v>
      </c>
      <c r="E60" s="1">
        <f t="shared" si="3"/>
        <v>851.8438488</v>
      </c>
      <c r="F60" s="1">
        <f t="shared" si="4"/>
        <v>1609.038381</v>
      </c>
      <c r="G60" s="1">
        <f t="shared" si="5"/>
        <v>2839.479496</v>
      </c>
      <c r="H60" s="1">
        <f t="shared" si="6"/>
        <v>5205.712409</v>
      </c>
      <c r="I60" s="1">
        <f t="shared" si="7"/>
        <v>8518.438488</v>
      </c>
    </row>
    <row r="61" hidden="1">
      <c r="A61" s="266">
        <f>IFERROR(__xludf.DUMMYFUNCTION("""COMPUTED_VALUE"""),42579.99861111111)</f>
        <v>42579.99861</v>
      </c>
      <c r="B61" s="1">
        <f>IFERROR(__xludf.DUMMYFUNCTION("""COMPUTED_VALUE"""),655.96)</f>
        <v>655.96</v>
      </c>
      <c r="C61" s="58">
        <f t="shared" si="1"/>
        <v>2763.998611</v>
      </c>
      <c r="D61" s="1">
        <f t="shared" si="2"/>
        <v>474.2408703</v>
      </c>
      <c r="E61" s="1">
        <f t="shared" si="3"/>
        <v>853.6335666</v>
      </c>
      <c r="F61" s="1">
        <f t="shared" si="4"/>
        <v>1612.418959</v>
      </c>
      <c r="G61" s="1">
        <f t="shared" si="5"/>
        <v>2845.445222</v>
      </c>
      <c r="H61" s="1">
        <f t="shared" si="6"/>
        <v>5216.649574</v>
      </c>
      <c r="I61" s="1">
        <f t="shared" si="7"/>
        <v>8536.335666</v>
      </c>
    </row>
    <row r="62" hidden="1">
      <c r="A62" s="266">
        <f>IFERROR(__xludf.DUMMYFUNCTION("""COMPUTED_VALUE"""),42580.99861111111)</f>
        <v>42580.99861</v>
      </c>
      <c r="B62" s="1">
        <f>IFERROR(__xludf.DUMMYFUNCTION("""COMPUTED_VALUE"""),655.85)</f>
        <v>655.85</v>
      </c>
      <c r="C62" s="58">
        <f t="shared" si="1"/>
        <v>2764.998611</v>
      </c>
      <c r="D62" s="1">
        <f t="shared" si="2"/>
        <v>475.2368862</v>
      </c>
      <c r="E62" s="1">
        <f t="shared" si="3"/>
        <v>855.4263952</v>
      </c>
      <c r="F62" s="1">
        <f t="shared" si="4"/>
        <v>1615.805413</v>
      </c>
      <c r="G62" s="1">
        <f t="shared" si="5"/>
        <v>2851.421317</v>
      </c>
      <c r="H62" s="1">
        <f t="shared" si="6"/>
        <v>5227.605748</v>
      </c>
      <c r="I62" s="1">
        <f t="shared" si="7"/>
        <v>8554.263952</v>
      </c>
    </row>
    <row r="63" hidden="1">
      <c r="A63" s="266">
        <f>IFERROR(__xludf.DUMMYFUNCTION("""COMPUTED_VALUE"""),42583.99861111111)</f>
        <v>42583.99861</v>
      </c>
      <c r="B63" s="1">
        <f>IFERROR(__xludf.DUMMYFUNCTION("""COMPUTED_VALUE"""),620.98)</f>
        <v>620.98</v>
      </c>
      <c r="C63" s="58">
        <f t="shared" si="1"/>
        <v>2767.998611</v>
      </c>
      <c r="D63" s="1">
        <f t="shared" si="2"/>
        <v>478.2353268</v>
      </c>
      <c r="E63" s="1">
        <f t="shared" si="3"/>
        <v>860.8235882</v>
      </c>
      <c r="F63" s="1">
        <f t="shared" si="4"/>
        <v>1626.000111</v>
      </c>
      <c r="G63" s="1">
        <f t="shared" si="5"/>
        <v>2869.411961</v>
      </c>
      <c r="H63" s="1">
        <f t="shared" si="6"/>
        <v>5260.588595</v>
      </c>
      <c r="I63" s="1">
        <f t="shared" si="7"/>
        <v>8608.235882</v>
      </c>
    </row>
    <row r="64" hidden="1">
      <c r="A64" s="266">
        <f>IFERROR(__xludf.DUMMYFUNCTION("""COMPUTED_VALUE"""),42584.99861111111)</f>
        <v>42584.99861</v>
      </c>
      <c r="B64" s="1">
        <f>IFERROR(__xludf.DUMMYFUNCTION("""COMPUTED_VALUE"""),593.22)</f>
        <v>593.22</v>
      </c>
      <c r="C64" s="58">
        <f t="shared" si="1"/>
        <v>2768.998611</v>
      </c>
      <c r="D64" s="1">
        <f t="shared" si="2"/>
        <v>479.2382793</v>
      </c>
      <c r="E64" s="1">
        <f t="shared" si="3"/>
        <v>862.6289027</v>
      </c>
      <c r="F64" s="1">
        <f t="shared" si="4"/>
        <v>1629.410149</v>
      </c>
      <c r="G64" s="1">
        <f t="shared" si="5"/>
        <v>2875.429676</v>
      </c>
      <c r="H64" s="1">
        <f t="shared" si="6"/>
        <v>5271.621072</v>
      </c>
      <c r="I64" s="1">
        <f t="shared" si="7"/>
        <v>8626.289027</v>
      </c>
    </row>
    <row r="65" hidden="1">
      <c r="A65" s="266">
        <f>IFERROR(__xludf.DUMMYFUNCTION("""COMPUTED_VALUE"""),42585.99861111111)</f>
        <v>42585.99861</v>
      </c>
      <c r="B65" s="1">
        <f>IFERROR(__xludf.DUMMYFUNCTION("""COMPUTED_VALUE"""),550.06)</f>
        <v>550.06</v>
      </c>
      <c r="C65" s="58">
        <f t="shared" si="1"/>
        <v>2769.998611</v>
      </c>
      <c r="D65" s="1">
        <f t="shared" si="2"/>
        <v>480.2429718</v>
      </c>
      <c r="E65" s="1">
        <f t="shared" si="3"/>
        <v>864.4373493</v>
      </c>
      <c r="F65" s="1">
        <f t="shared" si="4"/>
        <v>1632.826104</v>
      </c>
      <c r="G65" s="1">
        <f t="shared" si="5"/>
        <v>2881.457831</v>
      </c>
      <c r="H65" s="1">
        <f t="shared" si="6"/>
        <v>5282.67269</v>
      </c>
      <c r="I65" s="1">
        <f t="shared" si="7"/>
        <v>8644.373493</v>
      </c>
    </row>
    <row r="66" hidden="1">
      <c r="A66" s="266">
        <f>IFERROR(__xludf.DUMMYFUNCTION("""COMPUTED_VALUE"""),42586.99861111111)</f>
        <v>42586.99861</v>
      </c>
      <c r="B66" s="1">
        <f>IFERROR(__xludf.DUMMYFUNCTION("""COMPUTED_VALUE"""),573.64)</f>
        <v>573.64</v>
      </c>
      <c r="C66" s="58">
        <f t="shared" si="1"/>
        <v>2770.998611</v>
      </c>
      <c r="D66" s="1">
        <f t="shared" si="2"/>
        <v>481.2494069</v>
      </c>
      <c r="E66" s="1">
        <f t="shared" si="3"/>
        <v>866.2489324</v>
      </c>
      <c r="F66" s="1">
        <f t="shared" si="4"/>
        <v>1636.247983</v>
      </c>
      <c r="G66" s="1">
        <f t="shared" si="5"/>
        <v>2887.496441</v>
      </c>
      <c r="H66" s="1">
        <f t="shared" si="6"/>
        <v>5293.743476</v>
      </c>
      <c r="I66" s="1">
        <f t="shared" si="7"/>
        <v>8662.489324</v>
      </c>
    </row>
    <row r="67" hidden="1">
      <c r="A67" s="266">
        <f>IFERROR(__xludf.DUMMYFUNCTION("""COMPUTED_VALUE"""),42587.99861111111)</f>
        <v>42587.99861</v>
      </c>
      <c r="B67" s="1">
        <f>IFERROR(__xludf.DUMMYFUNCTION("""COMPUTED_VALUE"""),573.55)</f>
        <v>573.55</v>
      </c>
      <c r="C67" s="58">
        <f t="shared" si="1"/>
        <v>2771.998611</v>
      </c>
      <c r="D67" s="1">
        <f t="shared" si="2"/>
        <v>482.2575868</v>
      </c>
      <c r="E67" s="1">
        <f t="shared" si="3"/>
        <v>868.0636562</v>
      </c>
      <c r="F67" s="1">
        <f t="shared" si="4"/>
        <v>1639.675795</v>
      </c>
      <c r="G67" s="1">
        <f t="shared" si="5"/>
        <v>2893.545521</v>
      </c>
      <c r="H67" s="1">
        <f t="shared" si="6"/>
        <v>5304.833455</v>
      </c>
      <c r="I67" s="1">
        <f t="shared" si="7"/>
        <v>8680.636562</v>
      </c>
    </row>
    <row r="68" hidden="1">
      <c r="A68" s="266">
        <f>IFERROR(__xludf.DUMMYFUNCTION("""COMPUTED_VALUE"""),42590.99861111111)</f>
        <v>42590.99861</v>
      </c>
      <c r="B68" s="1">
        <f>IFERROR(__xludf.DUMMYFUNCTION("""COMPUTED_VALUE"""),590.27)</f>
        <v>590.27</v>
      </c>
      <c r="C68" s="58">
        <f t="shared" si="1"/>
        <v>2774.998611</v>
      </c>
      <c r="D68" s="1">
        <f t="shared" si="2"/>
        <v>485.2926199</v>
      </c>
      <c r="E68" s="1">
        <f t="shared" si="3"/>
        <v>873.5267158</v>
      </c>
      <c r="F68" s="1">
        <f t="shared" si="4"/>
        <v>1649.994908</v>
      </c>
      <c r="G68" s="1">
        <f t="shared" si="5"/>
        <v>2911.755719</v>
      </c>
      <c r="H68" s="1">
        <f t="shared" si="6"/>
        <v>5338.218819</v>
      </c>
      <c r="I68" s="1">
        <f t="shared" si="7"/>
        <v>8735.267158</v>
      </c>
    </row>
    <row r="69" hidden="1">
      <c r="A69" s="266">
        <f>IFERROR(__xludf.DUMMYFUNCTION("""COMPUTED_VALUE"""),42591.99861111111)</f>
        <v>42591.99861</v>
      </c>
      <c r="B69" s="1">
        <f>IFERROR(__xludf.DUMMYFUNCTION("""COMPUTED_VALUE"""),587.4)</f>
        <v>587.4</v>
      </c>
      <c r="C69" s="58">
        <f t="shared" si="1"/>
        <v>2775.998611</v>
      </c>
      <c r="D69" s="1">
        <f t="shared" si="2"/>
        <v>486.3078033</v>
      </c>
      <c r="E69" s="1">
        <f t="shared" si="3"/>
        <v>875.354046</v>
      </c>
      <c r="F69" s="1">
        <f t="shared" si="4"/>
        <v>1653.446531</v>
      </c>
      <c r="G69" s="1">
        <f t="shared" si="5"/>
        <v>2917.84682</v>
      </c>
      <c r="H69" s="1">
        <f t="shared" si="6"/>
        <v>5349.385836</v>
      </c>
      <c r="I69" s="1">
        <f t="shared" si="7"/>
        <v>8753.54046</v>
      </c>
    </row>
    <row r="70" hidden="1">
      <c r="A70" s="266">
        <f>IFERROR(__xludf.DUMMYFUNCTION("""COMPUTED_VALUE"""),42592.99861111111)</f>
        <v>42592.99861</v>
      </c>
      <c r="B70" s="1">
        <f>IFERROR(__xludf.DUMMYFUNCTION("""COMPUTED_VALUE"""),591.05)</f>
        <v>591.05</v>
      </c>
      <c r="C70" s="58">
        <f t="shared" si="1"/>
        <v>2776.998611</v>
      </c>
      <c r="D70" s="1">
        <f t="shared" si="2"/>
        <v>487.3247436</v>
      </c>
      <c r="E70" s="1">
        <f t="shared" si="3"/>
        <v>877.1845385</v>
      </c>
      <c r="F70" s="1">
        <f t="shared" si="4"/>
        <v>1656.904128</v>
      </c>
      <c r="G70" s="1">
        <f t="shared" si="5"/>
        <v>2923.948462</v>
      </c>
      <c r="H70" s="1">
        <f t="shared" si="6"/>
        <v>5360.57218</v>
      </c>
      <c r="I70" s="1">
        <f t="shared" si="7"/>
        <v>8771.845385</v>
      </c>
    </row>
    <row r="71" hidden="1">
      <c r="A71" s="266">
        <f>IFERROR(__xludf.DUMMYFUNCTION("""COMPUTED_VALUE"""),42593.99861111111)</f>
        <v>42593.99861</v>
      </c>
      <c r="B71" s="1">
        <f>IFERROR(__xludf.DUMMYFUNCTION("""COMPUTED_VALUE"""),593.13)</f>
        <v>593.13</v>
      </c>
      <c r="C71" s="58">
        <f t="shared" si="1"/>
        <v>2777.998611</v>
      </c>
      <c r="D71" s="1">
        <f t="shared" si="2"/>
        <v>488.3434432</v>
      </c>
      <c r="E71" s="1">
        <f t="shared" si="3"/>
        <v>879.0181978</v>
      </c>
      <c r="F71" s="1">
        <f t="shared" si="4"/>
        <v>1660.367707</v>
      </c>
      <c r="G71" s="1">
        <f t="shared" si="5"/>
        <v>2930.060659</v>
      </c>
      <c r="H71" s="1">
        <f t="shared" si="6"/>
        <v>5371.777876</v>
      </c>
      <c r="I71" s="1">
        <f t="shared" si="7"/>
        <v>8790.181978</v>
      </c>
    </row>
    <row r="72" hidden="1">
      <c r="A72" s="266">
        <f>IFERROR(__xludf.DUMMYFUNCTION("""COMPUTED_VALUE"""),42594.99861111111)</f>
        <v>42594.99861</v>
      </c>
      <c r="B72" s="1">
        <f>IFERROR(__xludf.DUMMYFUNCTION("""COMPUTED_VALUE"""),587.5)</f>
        <v>587.5</v>
      </c>
      <c r="C72" s="58">
        <f t="shared" si="1"/>
        <v>2778.998611</v>
      </c>
      <c r="D72" s="1">
        <f t="shared" si="2"/>
        <v>489.3639045</v>
      </c>
      <c r="E72" s="1">
        <f t="shared" si="3"/>
        <v>880.8550282</v>
      </c>
      <c r="F72" s="1">
        <f t="shared" si="4"/>
        <v>1663.837275</v>
      </c>
      <c r="G72" s="1">
        <f t="shared" si="5"/>
        <v>2936.183427</v>
      </c>
      <c r="H72" s="1">
        <f t="shared" si="6"/>
        <v>5383.00295</v>
      </c>
      <c r="I72" s="1">
        <f t="shared" si="7"/>
        <v>8808.550282</v>
      </c>
    </row>
    <row r="73" hidden="1">
      <c r="A73" s="266">
        <f>IFERROR(__xludf.DUMMYFUNCTION("""COMPUTED_VALUE"""),42597.99861111111)</f>
        <v>42597.99861</v>
      </c>
      <c r="B73" s="1">
        <f>IFERROR(__xludf.DUMMYFUNCTION("""COMPUTED_VALUE"""),569.29)</f>
        <v>569.29</v>
      </c>
      <c r="C73" s="58">
        <f t="shared" si="1"/>
        <v>2781.998611</v>
      </c>
      <c r="D73" s="1">
        <f t="shared" si="2"/>
        <v>492.4358827</v>
      </c>
      <c r="E73" s="1">
        <f t="shared" si="3"/>
        <v>886.3845889</v>
      </c>
      <c r="F73" s="1">
        <f t="shared" si="4"/>
        <v>1674.282001</v>
      </c>
      <c r="G73" s="1">
        <f t="shared" si="5"/>
        <v>2954.615296</v>
      </c>
      <c r="H73" s="1">
        <f t="shared" si="6"/>
        <v>5416.79471</v>
      </c>
      <c r="I73" s="1">
        <f t="shared" si="7"/>
        <v>8863.845889</v>
      </c>
    </row>
    <row r="74" hidden="1">
      <c r="A74" s="266">
        <f>IFERROR(__xludf.DUMMYFUNCTION("""COMPUTED_VALUE"""),42598.99861111111)</f>
        <v>42598.99861</v>
      </c>
      <c r="B74" s="1">
        <f>IFERROR(__xludf.DUMMYFUNCTION("""COMPUTED_VALUE"""),571.58)</f>
        <v>571.58</v>
      </c>
      <c r="C74" s="58">
        <f t="shared" si="1"/>
        <v>2782.998611</v>
      </c>
      <c r="D74" s="1">
        <f t="shared" si="2"/>
        <v>493.463415</v>
      </c>
      <c r="E74" s="1">
        <f t="shared" si="3"/>
        <v>888.2341469</v>
      </c>
      <c r="F74" s="1">
        <f t="shared" si="4"/>
        <v>1677.775611</v>
      </c>
      <c r="G74" s="1">
        <f t="shared" si="5"/>
        <v>2960.78049</v>
      </c>
      <c r="H74" s="1">
        <f t="shared" si="6"/>
        <v>5428.097564</v>
      </c>
      <c r="I74" s="1">
        <f t="shared" si="7"/>
        <v>8882.341469</v>
      </c>
    </row>
    <row r="75" hidden="1">
      <c r="A75" s="266">
        <f>IFERROR(__xludf.DUMMYFUNCTION("""COMPUTED_VALUE"""),42599.99861111111)</f>
        <v>42599.99861</v>
      </c>
      <c r="B75" s="1">
        <f>IFERROR(__xludf.DUMMYFUNCTION("""COMPUTED_VALUE"""),574.78)</f>
        <v>574.78</v>
      </c>
      <c r="C75" s="58">
        <f t="shared" si="1"/>
        <v>2783.998611</v>
      </c>
      <c r="D75" s="1">
        <f t="shared" si="2"/>
        <v>494.4927209</v>
      </c>
      <c r="E75" s="1">
        <f t="shared" si="3"/>
        <v>890.0868977</v>
      </c>
      <c r="F75" s="1">
        <f t="shared" si="4"/>
        <v>1681.275251</v>
      </c>
      <c r="G75" s="1">
        <f t="shared" si="5"/>
        <v>2966.956326</v>
      </c>
      <c r="H75" s="1">
        <f t="shared" si="6"/>
        <v>5439.41993</v>
      </c>
      <c r="I75" s="1">
        <f t="shared" si="7"/>
        <v>8900.868977</v>
      </c>
    </row>
    <row r="76" hidden="1">
      <c r="A76" s="266">
        <f>IFERROR(__xludf.DUMMYFUNCTION("""COMPUTED_VALUE"""),42600.99861111111)</f>
        <v>42600.99861</v>
      </c>
      <c r="B76" s="1">
        <f>IFERROR(__xludf.DUMMYFUNCTION("""COMPUTED_VALUE"""),573.88)</f>
        <v>573.88</v>
      </c>
      <c r="C76" s="58">
        <f t="shared" si="1"/>
        <v>2784.998611</v>
      </c>
      <c r="D76" s="1">
        <f t="shared" si="2"/>
        <v>495.5238031</v>
      </c>
      <c r="E76" s="1">
        <f t="shared" si="3"/>
        <v>891.9428456</v>
      </c>
      <c r="F76" s="1">
        <f t="shared" si="4"/>
        <v>1684.780931</v>
      </c>
      <c r="G76" s="1">
        <f t="shared" si="5"/>
        <v>2973.142819</v>
      </c>
      <c r="H76" s="1">
        <f t="shared" si="6"/>
        <v>5450.761834</v>
      </c>
      <c r="I76" s="1">
        <f t="shared" si="7"/>
        <v>8919.428456</v>
      </c>
    </row>
    <row r="77" hidden="1">
      <c r="A77" s="266">
        <f>IFERROR(__xludf.DUMMYFUNCTION("""COMPUTED_VALUE"""),42601.99861111111)</f>
        <v>42601.99861</v>
      </c>
      <c r="B77" s="1">
        <f>IFERROR(__xludf.DUMMYFUNCTION("""COMPUTED_VALUE"""),573.83)</f>
        <v>573.83</v>
      </c>
      <c r="C77" s="58">
        <f t="shared" si="1"/>
        <v>2785.998611</v>
      </c>
      <c r="D77" s="1">
        <f t="shared" si="2"/>
        <v>496.5566639</v>
      </c>
      <c r="E77" s="1">
        <f t="shared" si="3"/>
        <v>893.8019951</v>
      </c>
      <c r="F77" s="1">
        <f t="shared" si="4"/>
        <v>1688.292657</v>
      </c>
      <c r="G77" s="1">
        <f t="shared" si="5"/>
        <v>2979.339984</v>
      </c>
      <c r="H77" s="1">
        <f t="shared" si="6"/>
        <v>5462.123303</v>
      </c>
      <c r="I77" s="1">
        <f t="shared" si="7"/>
        <v>8938.019951</v>
      </c>
    </row>
    <row r="78" hidden="1">
      <c r="A78" s="266">
        <f>IFERROR(__xludf.DUMMYFUNCTION("""COMPUTED_VALUE"""),42604.99861111111)</f>
        <v>42604.99861</v>
      </c>
      <c r="B78" s="1">
        <f>IFERROR(__xludf.DUMMYFUNCTION("""COMPUTED_VALUE"""),582.64)</f>
        <v>582.64</v>
      </c>
      <c r="C78" s="58">
        <f t="shared" si="1"/>
        <v>2788.998611</v>
      </c>
      <c r="D78" s="1">
        <f t="shared" si="2"/>
        <v>499.6659424</v>
      </c>
      <c r="E78" s="1">
        <f t="shared" si="3"/>
        <v>899.3986963</v>
      </c>
      <c r="F78" s="1">
        <f t="shared" si="4"/>
        <v>1698.864204</v>
      </c>
      <c r="G78" s="1">
        <f t="shared" si="5"/>
        <v>2997.995654</v>
      </c>
      <c r="H78" s="1">
        <f t="shared" si="6"/>
        <v>5496.325366</v>
      </c>
      <c r="I78" s="1">
        <f t="shared" si="7"/>
        <v>8993.986963</v>
      </c>
    </row>
    <row r="79" hidden="1">
      <c r="A79" s="266">
        <f>IFERROR(__xludf.DUMMYFUNCTION("""COMPUTED_VALUE"""),42605.99861111111)</f>
        <v>42605.99861</v>
      </c>
      <c r="B79" s="1">
        <f>IFERROR(__xludf.DUMMYFUNCTION("""COMPUTED_VALUE"""),583.85)</f>
        <v>583.85</v>
      </c>
      <c r="C79" s="58">
        <f t="shared" si="1"/>
        <v>2789.998611</v>
      </c>
      <c r="D79" s="1">
        <f t="shared" si="2"/>
        <v>500.705942</v>
      </c>
      <c r="E79" s="1">
        <f t="shared" si="3"/>
        <v>901.2706956</v>
      </c>
      <c r="F79" s="1">
        <f t="shared" si="4"/>
        <v>1702.400203</v>
      </c>
      <c r="G79" s="1">
        <f t="shared" si="5"/>
        <v>3004.235652</v>
      </c>
      <c r="H79" s="1">
        <f t="shared" si="6"/>
        <v>5507.765362</v>
      </c>
      <c r="I79" s="1">
        <f t="shared" si="7"/>
        <v>9012.706956</v>
      </c>
    </row>
    <row r="80" hidden="1">
      <c r="A80" s="266">
        <f>IFERROR(__xludf.DUMMYFUNCTION("""COMPUTED_VALUE"""),42606.99861111111)</f>
        <v>42606.99861</v>
      </c>
      <c r="B80" s="1">
        <f>IFERROR(__xludf.DUMMYFUNCTION("""COMPUTED_VALUE"""),580.31)</f>
        <v>580.31</v>
      </c>
      <c r="C80" s="58">
        <f t="shared" si="1"/>
        <v>2790.998611</v>
      </c>
      <c r="D80" s="1">
        <f t="shared" si="2"/>
        <v>501.7477324</v>
      </c>
      <c r="E80" s="1">
        <f t="shared" si="3"/>
        <v>903.1459183</v>
      </c>
      <c r="F80" s="1">
        <f t="shared" si="4"/>
        <v>1705.94229</v>
      </c>
      <c r="G80" s="1">
        <f t="shared" si="5"/>
        <v>3010.486394</v>
      </c>
      <c r="H80" s="1">
        <f t="shared" si="6"/>
        <v>5519.225056</v>
      </c>
      <c r="I80" s="1">
        <f t="shared" si="7"/>
        <v>9031.459183</v>
      </c>
    </row>
    <row r="81" hidden="1">
      <c r="A81" s="266">
        <f>IFERROR(__xludf.DUMMYFUNCTION("""COMPUTED_VALUE"""),42607.99861111111)</f>
        <v>42607.99861</v>
      </c>
      <c r="B81" s="1">
        <f>IFERROR(__xludf.DUMMYFUNCTION("""COMPUTED_VALUE"""),575.55)</f>
        <v>575.55</v>
      </c>
      <c r="C81" s="58">
        <f t="shared" si="1"/>
        <v>2791.998611</v>
      </c>
      <c r="D81" s="1">
        <f t="shared" si="2"/>
        <v>502.791316</v>
      </c>
      <c r="E81" s="1">
        <f t="shared" si="3"/>
        <v>905.0243688</v>
      </c>
      <c r="F81" s="1">
        <f t="shared" si="4"/>
        <v>1709.490474</v>
      </c>
      <c r="G81" s="1">
        <f t="shared" si="5"/>
        <v>3016.747896</v>
      </c>
      <c r="H81" s="1">
        <f t="shared" si="6"/>
        <v>5530.704476</v>
      </c>
      <c r="I81" s="1">
        <f t="shared" si="7"/>
        <v>9050.243688</v>
      </c>
    </row>
    <row r="82" hidden="1">
      <c r="A82" s="266">
        <f>IFERROR(__xludf.DUMMYFUNCTION("""COMPUTED_VALUE"""),42608.99861111111)</f>
        <v>42608.99861</v>
      </c>
      <c r="B82" s="1">
        <f>IFERROR(__xludf.DUMMYFUNCTION("""COMPUTED_VALUE"""),577.17)</f>
        <v>577.17</v>
      </c>
      <c r="C82" s="58">
        <f t="shared" si="1"/>
        <v>2792.998611</v>
      </c>
      <c r="D82" s="1">
        <f t="shared" si="2"/>
        <v>503.8366953</v>
      </c>
      <c r="E82" s="1">
        <f t="shared" si="3"/>
        <v>906.9060515</v>
      </c>
      <c r="F82" s="1">
        <f t="shared" si="4"/>
        <v>1713.044764</v>
      </c>
      <c r="G82" s="1">
        <f t="shared" si="5"/>
        <v>3023.020172</v>
      </c>
      <c r="H82" s="1">
        <f t="shared" si="6"/>
        <v>5542.203648</v>
      </c>
      <c r="I82" s="1">
        <f t="shared" si="7"/>
        <v>9069.060515</v>
      </c>
    </row>
    <row r="83" hidden="1">
      <c r="A83" s="266">
        <f>IFERROR(__xludf.DUMMYFUNCTION("""COMPUTED_VALUE"""),42611.99861111111)</f>
        <v>42611.99861</v>
      </c>
      <c r="B83" s="1">
        <f>IFERROR(__xludf.DUMMYFUNCTION("""COMPUTED_VALUE"""),574.7)</f>
        <v>574.7</v>
      </c>
      <c r="C83" s="58">
        <f t="shared" si="1"/>
        <v>2795.998611</v>
      </c>
      <c r="D83" s="1">
        <f t="shared" si="2"/>
        <v>506.9836316</v>
      </c>
      <c r="E83" s="1">
        <f t="shared" si="3"/>
        <v>912.570537</v>
      </c>
      <c r="F83" s="1">
        <f t="shared" si="4"/>
        <v>1723.744348</v>
      </c>
      <c r="G83" s="1">
        <f t="shared" si="5"/>
        <v>3041.90179</v>
      </c>
      <c r="H83" s="1">
        <f t="shared" si="6"/>
        <v>5576.819948</v>
      </c>
      <c r="I83" s="1">
        <f t="shared" si="7"/>
        <v>9125.70537</v>
      </c>
    </row>
    <row r="84" hidden="1">
      <c r="A84" s="266">
        <f>IFERROR(__xludf.DUMMYFUNCTION("""COMPUTED_VALUE"""),42612.99861111111)</f>
        <v>42612.99861</v>
      </c>
      <c r="B84" s="1">
        <f>IFERROR(__xludf.DUMMYFUNCTION("""COMPUTED_VALUE"""),576.7)</f>
        <v>576.7</v>
      </c>
      <c r="C84" s="58">
        <f t="shared" si="1"/>
        <v>2796.998611</v>
      </c>
      <c r="D84" s="1">
        <f t="shared" si="2"/>
        <v>508.0362181</v>
      </c>
      <c r="E84" s="1">
        <f t="shared" si="3"/>
        <v>914.4651926</v>
      </c>
      <c r="F84" s="1">
        <f t="shared" si="4"/>
        <v>1727.323142</v>
      </c>
      <c r="G84" s="1">
        <f t="shared" si="5"/>
        <v>3048.217309</v>
      </c>
      <c r="H84" s="1">
        <f t="shared" si="6"/>
        <v>5588.398399</v>
      </c>
      <c r="I84" s="1">
        <f t="shared" si="7"/>
        <v>9144.651926</v>
      </c>
    </row>
    <row r="85" hidden="1">
      <c r="A85" s="266">
        <f>IFERROR(__xludf.DUMMYFUNCTION("""COMPUTED_VALUE"""),42613.99861111111)</f>
        <v>42613.99861</v>
      </c>
      <c r="B85" s="1">
        <f>IFERROR(__xludf.DUMMYFUNCTION("""COMPUTED_VALUE"""),574.64)</f>
        <v>574.64</v>
      </c>
      <c r="C85" s="58">
        <f t="shared" si="1"/>
        <v>2797.998611</v>
      </c>
      <c r="D85" s="1">
        <f t="shared" si="2"/>
        <v>509.0906125</v>
      </c>
      <c r="E85" s="1">
        <f t="shared" si="3"/>
        <v>916.3631024</v>
      </c>
      <c r="F85" s="1">
        <f t="shared" si="4"/>
        <v>1730.908082</v>
      </c>
      <c r="G85" s="1">
        <f t="shared" si="5"/>
        <v>3054.543675</v>
      </c>
      <c r="H85" s="1">
        <f t="shared" si="6"/>
        <v>5599.996737</v>
      </c>
      <c r="I85" s="1">
        <f t="shared" si="7"/>
        <v>9163.631024</v>
      </c>
    </row>
    <row r="86" hidden="1">
      <c r="A86" s="266">
        <f>IFERROR(__xludf.DUMMYFUNCTION("""COMPUTED_VALUE"""),42614.99861111111)</f>
        <v>42614.99861</v>
      </c>
      <c r="B86" s="1">
        <f>IFERROR(__xludf.DUMMYFUNCTION("""COMPUTED_VALUE"""),573.07)</f>
        <v>573.07</v>
      </c>
      <c r="C86" s="58">
        <f t="shared" si="1"/>
        <v>2798.998611</v>
      </c>
      <c r="D86" s="1">
        <f t="shared" si="2"/>
        <v>510.1468172</v>
      </c>
      <c r="E86" s="1">
        <f t="shared" si="3"/>
        <v>918.264271</v>
      </c>
      <c r="F86" s="1">
        <f t="shared" si="4"/>
        <v>1734.499179</v>
      </c>
      <c r="G86" s="1">
        <f t="shared" si="5"/>
        <v>3060.880903</v>
      </c>
      <c r="H86" s="1">
        <f t="shared" si="6"/>
        <v>5611.614989</v>
      </c>
      <c r="I86" s="1">
        <f t="shared" si="7"/>
        <v>9182.64271</v>
      </c>
    </row>
    <row r="87" hidden="1">
      <c r="A87" s="266">
        <f>IFERROR(__xludf.DUMMYFUNCTION("""COMPUTED_VALUE"""),42615.99861111111)</f>
        <v>42615.99861</v>
      </c>
      <c r="B87" s="1">
        <f>IFERROR(__xludf.DUMMYFUNCTION("""COMPUTED_VALUE"""),573.31)</f>
        <v>573.31</v>
      </c>
      <c r="C87" s="58">
        <f t="shared" si="1"/>
        <v>2799.998611</v>
      </c>
      <c r="D87" s="1">
        <f t="shared" si="2"/>
        <v>511.2048348</v>
      </c>
      <c r="E87" s="1">
        <f t="shared" si="3"/>
        <v>920.1687026</v>
      </c>
      <c r="F87" s="1">
        <f t="shared" si="4"/>
        <v>1738.096438</v>
      </c>
      <c r="G87" s="1">
        <f t="shared" si="5"/>
        <v>3067.229009</v>
      </c>
      <c r="H87" s="1">
        <f t="shared" si="6"/>
        <v>5623.253183</v>
      </c>
      <c r="I87" s="1">
        <f t="shared" si="7"/>
        <v>9201.687026</v>
      </c>
    </row>
    <row r="88" hidden="1">
      <c r="A88" s="266">
        <f>IFERROR(__xludf.DUMMYFUNCTION("""COMPUTED_VALUE"""),42618.99861111111)</f>
        <v>42618.99861</v>
      </c>
      <c r="B88" s="1">
        <f>IFERROR(__xludf.DUMMYFUNCTION("""COMPUTED_VALUE"""),606.29)</f>
        <v>606.29</v>
      </c>
      <c r="C88" s="58">
        <f t="shared" si="1"/>
        <v>2802.998611</v>
      </c>
      <c r="D88" s="1">
        <f t="shared" si="2"/>
        <v>514.3897892</v>
      </c>
      <c r="E88" s="1">
        <f t="shared" si="3"/>
        <v>925.9016206</v>
      </c>
      <c r="F88" s="1">
        <f t="shared" si="4"/>
        <v>1748.925283</v>
      </c>
      <c r="G88" s="1">
        <f t="shared" si="5"/>
        <v>3086.338735</v>
      </c>
      <c r="H88" s="1">
        <f t="shared" si="6"/>
        <v>5658.287681</v>
      </c>
      <c r="I88" s="1">
        <f t="shared" si="7"/>
        <v>9259.016206</v>
      </c>
    </row>
    <row r="89" hidden="1">
      <c r="A89" s="266">
        <f>IFERROR(__xludf.DUMMYFUNCTION("""COMPUTED_VALUE"""),42619.99861111111)</f>
        <v>42619.99861</v>
      </c>
      <c r="B89" s="1">
        <f>IFERROR(__xludf.DUMMYFUNCTION("""COMPUTED_VALUE"""),608.3)</f>
        <v>608.3</v>
      </c>
      <c r="C89" s="58">
        <f t="shared" si="1"/>
        <v>2803.998611</v>
      </c>
      <c r="D89" s="1">
        <f t="shared" si="2"/>
        <v>515.4550828</v>
      </c>
      <c r="E89" s="1">
        <f t="shared" si="3"/>
        <v>927.8191491</v>
      </c>
      <c r="F89" s="1">
        <f t="shared" si="4"/>
        <v>1752.547282</v>
      </c>
      <c r="G89" s="1">
        <f t="shared" si="5"/>
        <v>3092.730497</v>
      </c>
      <c r="H89" s="1">
        <f t="shared" si="6"/>
        <v>5670.005911</v>
      </c>
      <c r="I89" s="1">
        <f t="shared" si="7"/>
        <v>9278.191491</v>
      </c>
    </row>
    <row r="90" hidden="1">
      <c r="A90" s="266">
        <f>IFERROR(__xludf.DUMMYFUNCTION("""COMPUTED_VALUE"""),42620.99861111111)</f>
        <v>42620.99861</v>
      </c>
      <c r="B90" s="1">
        <f>IFERROR(__xludf.DUMMYFUNCTION("""COMPUTED_VALUE"""),611.99)</f>
        <v>611.99</v>
      </c>
      <c r="C90" s="58">
        <f t="shared" si="1"/>
        <v>2804.998611</v>
      </c>
      <c r="D90" s="1">
        <f t="shared" si="2"/>
        <v>516.5222016</v>
      </c>
      <c r="E90" s="1">
        <f t="shared" si="3"/>
        <v>929.7399628</v>
      </c>
      <c r="F90" s="1">
        <f t="shared" si="4"/>
        <v>1756.175485</v>
      </c>
      <c r="G90" s="1">
        <f t="shared" si="5"/>
        <v>3099.133209</v>
      </c>
      <c r="H90" s="1">
        <f t="shared" si="6"/>
        <v>5681.744217</v>
      </c>
      <c r="I90" s="1">
        <f t="shared" si="7"/>
        <v>9297.399628</v>
      </c>
    </row>
    <row r="91" hidden="1">
      <c r="A91" s="266">
        <f>IFERROR(__xludf.DUMMYFUNCTION("""COMPUTED_VALUE"""),42621.99861111111)</f>
        <v>42621.99861</v>
      </c>
      <c r="B91" s="1">
        <f>IFERROR(__xludf.DUMMYFUNCTION("""COMPUTED_VALUE"""),622.63)</f>
        <v>622.63</v>
      </c>
      <c r="C91" s="58">
        <f t="shared" si="1"/>
        <v>2805.998611</v>
      </c>
      <c r="D91" s="1">
        <f t="shared" si="2"/>
        <v>517.591148</v>
      </c>
      <c r="E91" s="1">
        <f t="shared" si="3"/>
        <v>931.6640664</v>
      </c>
      <c r="F91" s="1">
        <f t="shared" si="4"/>
        <v>1759.809903</v>
      </c>
      <c r="G91" s="1">
        <f t="shared" si="5"/>
        <v>3105.546888</v>
      </c>
      <c r="H91" s="1">
        <f t="shared" si="6"/>
        <v>5693.502628</v>
      </c>
      <c r="I91" s="1">
        <f t="shared" si="7"/>
        <v>9316.640664</v>
      </c>
    </row>
    <row r="92" hidden="1">
      <c r="A92" s="266">
        <f>IFERROR(__xludf.DUMMYFUNCTION("""COMPUTED_VALUE"""),42622.99861111111)</f>
        <v>42622.99861</v>
      </c>
      <c r="B92" s="1">
        <f>IFERROR(__xludf.DUMMYFUNCTION("""COMPUTED_VALUE"""),623.47)</f>
        <v>623.47</v>
      </c>
      <c r="C92" s="58">
        <f t="shared" si="1"/>
        <v>2806.998611</v>
      </c>
      <c r="D92" s="1">
        <f t="shared" si="2"/>
        <v>518.6619245</v>
      </c>
      <c r="E92" s="1">
        <f t="shared" si="3"/>
        <v>933.5914642</v>
      </c>
      <c r="F92" s="1">
        <f t="shared" si="4"/>
        <v>1763.450543</v>
      </c>
      <c r="G92" s="1">
        <f t="shared" si="5"/>
        <v>3111.971547</v>
      </c>
      <c r="H92" s="1">
        <f t="shared" si="6"/>
        <v>5705.28117</v>
      </c>
      <c r="I92" s="1">
        <f t="shared" si="7"/>
        <v>9335.914642</v>
      </c>
    </row>
    <row r="93" hidden="1">
      <c r="A93" s="266">
        <f>IFERROR(__xludf.DUMMYFUNCTION("""COMPUTED_VALUE"""),42625.99861111111)</f>
        <v>42625.99861</v>
      </c>
      <c r="B93" s="1">
        <f>IFERROR(__xludf.DUMMYFUNCTION("""COMPUTED_VALUE"""),607.51)</f>
        <v>607.51</v>
      </c>
      <c r="C93" s="58">
        <f t="shared" si="1"/>
        <v>2809.998611</v>
      </c>
      <c r="D93" s="1">
        <f t="shared" si="2"/>
        <v>521.8852597</v>
      </c>
      <c r="E93" s="1">
        <f t="shared" si="3"/>
        <v>939.3934675</v>
      </c>
      <c r="F93" s="1">
        <f t="shared" si="4"/>
        <v>1774.409883</v>
      </c>
      <c r="G93" s="1">
        <f t="shared" si="5"/>
        <v>3131.311558</v>
      </c>
      <c r="H93" s="1">
        <f t="shared" si="6"/>
        <v>5740.737857</v>
      </c>
      <c r="I93" s="1">
        <f t="shared" si="7"/>
        <v>9393.934675</v>
      </c>
    </row>
    <row r="94" hidden="1">
      <c r="A94" s="266">
        <f>IFERROR(__xludf.DUMMYFUNCTION("""COMPUTED_VALUE"""),42626.99861111111)</f>
        <v>42626.99861</v>
      </c>
      <c r="B94" s="1">
        <f>IFERROR(__xludf.DUMMYFUNCTION("""COMPUTED_VALUE"""),609.22)</f>
        <v>609.22</v>
      </c>
      <c r="C94" s="58">
        <f t="shared" si="1"/>
        <v>2810.998611</v>
      </c>
      <c r="D94" s="1">
        <f t="shared" si="2"/>
        <v>522.9633816</v>
      </c>
      <c r="E94" s="1">
        <f t="shared" si="3"/>
        <v>941.3340869</v>
      </c>
      <c r="F94" s="1">
        <f t="shared" si="4"/>
        <v>1778.075497</v>
      </c>
      <c r="G94" s="1">
        <f t="shared" si="5"/>
        <v>3137.78029</v>
      </c>
      <c r="H94" s="1">
        <f t="shared" si="6"/>
        <v>5752.597197</v>
      </c>
      <c r="I94" s="1">
        <f t="shared" si="7"/>
        <v>9413.340869</v>
      </c>
    </row>
    <row r="95" hidden="1">
      <c r="A95" s="266">
        <f>IFERROR(__xludf.DUMMYFUNCTION("""COMPUTED_VALUE"""),42627.99861111111)</f>
        <v>42627.99861</v>
      </c>
      <c r="B95" s="1">
        <f>IFERROR(__xludf.DUMMYFUNCTION("""COMPUTED_VALUE"""),610.89)</f>
        <v>610.89</v>
      </c>
      <c r="C95" s="58">
        <f t="shared" si="1"/>
        <v>2811.998611</v>
      </c>
      <c r="D95" s="1">
        <f t="shared" si="2"/>
        <v>524.043346</v>
      </c>
      <c r="E95" s="1">
        <f t="shared" si="3"/>
        <v>943.2780228</v>
      </c>
      <c r="F95" s="1">
        <f t="shared" si="4"/>
        <v>1781.747376</v>
      </c>
      <c r="G95" s="1">
        <f t="shared" si="5"/>
        <v>3144.260076</v>
      </c>
      <c r="H95" s="1">
        <f t="shared" si="6"/>
        <v>5764.476806</v>
      </c>
      <c r="I95" s="1">
        <f t="shared" si="7"/>
        <v>9432.780228</v>
      </c>
    </row>
    <row r="96" hidden="1">
      <c r="A96" s="266">
        <f>IFERROR(__xludf.DUMMYFUNCTION("""COMPUTED_VALUE"""),42628.99861111111)</f>
        <v>42628.99861</v>
      </c>
      <c r="B96" s="1">
        <f>IFERROR(__xludf.DUMMYFUNCTION("""COMPUTED_VALUE"""),610.37)</f>
        <v>610.37</v>
      </c>
      <c r="C96" s="58">
        <f t="shared" si="1"/>
        <v>2812.998611</v>
      </c>
      <c r="D96" s="1">
        <f t="shared" si="2"/>
        <v>525.1251555</v>
      </c>
      <c r="E96" s="1">
        <f t="shared" si="3"/>
        <v>945.2252798</v>
      </c>
      <c r="F96" s="1">
        <f t="shared" si="4"/>
        <v>1785.425529</v>
      </c>
      <c r="G96" s="1">
        <f t="shared" si="5"/>
        <v>3150.750933</v>
      </c>
      <c r="H96" s="1">
        <f t="shared" si="6"/>
        <v>5776.37671</v>
      </c>
      <c r="I96" s="1">
        <f t="shared" si="7"/>
        <v>9452.252798</v>
      </c>
    </row>
    <row r="97" hidden="1">
      <c r="A97" s="266">
        <f>IFERROR(__xludf.DUMMYFUNCTION("""COMPUTED_VALUE"""),42629.99861111111)</f>
        <v>42629.99861</v>
      </c>
      <c r="B97" s="1">
        <f>IFERROR(__xludf.DUMMYFUNCTION("""COMPUTED_VALUE"""),609.07)</f>
        <v>609.07</v>
      </c>
      <c r="C97" s="58">
        <f t="shared" si="1"/>
        <v>2813.998611</v>
      </c>
      <c r="D97" s="1">
        <f t="shared" si="2"/>
        <v>526.2088125</v>
      </c>
      <c r="E97" s="1">
        <f t="shared" si="3"/>
        <v>947.1758624</v>
      </c>
      <c r="F97" s="1">
        <f t="shared" si="4"/>
        <v>1789.109962</v>
      </c>
      <c r="G97" s="1">
        <f t="shared" si="5"/>
        <v>3157.252875</v>
      </c>
      <c r="H97" s="1">
        <f t="shared" si="6"/>
        <v>5788.296937</v>
      </c>
      <c r="I97" s="1">
        <f t="shared" si="7"/>
        <v>9471.758624</v>
      </c>
    </row>
    <row r="98" hidden="1">
      <c r="A98" s="266">
        <f>IFERROR(__xludf.DUMMYFUNCTION("""COMPUTED_VALUE"""),42632.99861111111)</f>
        <v>42632.99861</v>
      </c>
      <c r="B98" s="1">
        <f>IFERROR(__xludf.DUMMYFUNCTION("""COMPUTED_VALUE"""),610.38)</f>
        <v>610.38</v>
      </c>
      <c r="C98" s="58">
        <f t="shared" si="1"/>
        <v>2816.998611</v>
      </c>
      <c r="D98" s="1">
        <f t="shared" si="2"/>
        <v>529.4708937</v>
      </c>
      <c r="E98" s="1">
        <f t="shared" si="3"/>
        <v>953.0476086</v>
      </c>
      <c r="F98" s="1">
        <f t="shared" si="4"/>
        <v>1800.201038</v>
      </c>
      <c r="G98" s="1">
        <f t="shared" si="5"/>
        <v>3176.825362</v>
      </c>
      <c r="H98" s="1">
        <f t="shared" si="6"/>
        <v>5824.17983</v>
      </c>
      <c r="I98" s="1">
        <f t="shared" si="7"/>
        <v>9530.476086</v>
      </c>
    </row>
    <row r="99" hidden="1">
      <c r="A99" s="266">
        <f>IFERROR(__xludf.DUMMYFUNCTION("""COMPUTED_VALUE"""),42633.99861111111)</f>
        <v>42633.99861</v>
      </c>
      <c r="B99" s="1">
        <f>IFERROR(__xludf.DUMMYFUNCTION("""COMPUTED_VALUE"""),609.13)</f>
        <v>609.13</v>
      </c>
      <c r="C99" s="58">
        <f t="shared" si="1"/>
        <v>2817.998611</v>
      </c>
      <c r="D99" s="1">
        <f t="shared" si="2"/>
        <v>530.5619658</v>
      </c>
      <c r="E99" s="1">
        <f t="shared" si="3"/>
        <v>955.0115384</v>
      </c>
      <c r="F99" s="1">
        <f t="shared" si="4"/>
        <v>1803.910684</v>
      </c>
      <c r="G99" s="1">
        <f t="shared" si="5"/>
        <v>3183.371795</v>
      </c>
      <c r="H99" s="1">
        <f t="shared" si="6"/>
        <v>5836.181624</v>
      </c>
      <c r="I99" s="1">
        <f t="shared" si="7"/>
        <v>9550.115384</v>
      </c>
    </row>
    <row r="100" hidden="1">
      <c r="A100" s="266">
        <f>IFERROR(__xludf.DUMMYFUNCTION("""COMPUTED_VALUE"""),42634.99861111111)</f>
        <v>42634.99861</v>
      </c>
      <c r="B100" s="1">
        <f>IFERROR(__xludf.DUMMYFUNCTION("""COMPUTED_VALUE"""),597.56)</f>
        <v>597.56</v>
      </c>
      <c r="C100" s="58">
        <f t="shared" si="1"/>
        <v>2818.998611</v>
      </c>
      <c r="D100" s="1">
        <f t="shared" si="2"/>
        <v>531.654898</v>
      </c>
      <c r="E100" s="1">
        <f t="shared" si="3"/>
        <v>956.9788164</v>
      </c>
      <c r="F100" s="1">
        <f t="shared" si="4"/>
        <v>1807.626653</v>
      </c>
      <c r="G100" s="1">
        <f t="shared" si="5"/>
        <v>3189.929388</v>
      </c>
      <c r="H100" s="1">
        <f t="shared" si="6"/>
        <v>5848.203878</v>
      </c>
      <c r="I100" s="1">
        <f t="shared" si="7"/>
        <v>9569.788164</v>
      </c>
    </row>
    <row r="101" hidden="1">
      <c r="A101" s="266">
        <f>IFERROR(__xludf.DUMMYFUNCTION("""COMPUTED_VALUE"""),42635.99861111111)</f>
        <v>42635.99861</v>
      </c>
      <c r="B101" s="1">
        <f>IFERROR(__xludf.DUMMYFUNCTION("""COMPUTED_VALUE"""),596.93)</f>
        <v>596.93</v>
      </c>
      <c r="C101" s="58">
        <f t="shared" si="1"/>
        <v>2819.998611</v>
      </c>
      <c r="D101" s="1">
        <f t="shared" si="2"/>
        <v>532.7496927</v>
      </c>
      <c r="E101" s="1">
        <f t="shared" si="3"/>
        <v>958.9494469</v>
      </c>
      <c r="F101" s="1">
        <f t="shared" si="4"/>
        <v>1811.348955</v>
      </c>
      <c r="G101" s="1">
        <f t="shared" si="5"/>
        <v>3196.498156</v>
      </c>
      <c r="H101" s="1">
        <f t="shared" si="6"/>
        <v>5860.24662</v>
      </c>
      <c r="I101" s="1">
        <f t="shared" si="7"/>
        <v>9589.494469</v>
      </c>
    </row>
    <row r="102" hidden="1">
      <c r="A102" s="266">
        <f>IFERROR(__xludf.DUMMYFUNCTION("""COMPUTED_VALUE"""),42636.99861111111)</f>
        <v>42636.99861</v>
      </c>
      <c r="B102" s="1">
        <f>IFERROR(__xludf.DUMMYFUNCTION("""COMPUTED_VALUE"""),599.36)</f>
        <v>599.36</v>
      </c>
      <c r="C102" s="58">
        <f t="shared" si="1"/>
        <v>2820.998611</v>
      </c>
      <c r="D102" s="1">
        <f t="shared" si="2"/>
        <v>533.8463525</v>
      </c>
      <c r="E102" s="1">
        <f t="shared" si="3"/>
        <v>960.9234346</v>
      </c>
      <c r="F102" s="1">
        <f t="shared" si="4"/>
        <v>1815.077599</v>
      </c>
      <c r="G102" s="1">
        <f t="shared" si="5"/>
        <v>3203.078115</v>
      </c>
      <c r="H102" s="1">
        <f t="shared" si="6"/>
        <v>5872.309878</v>
      </c>
      <c r="I102" s="1">
        <f t="shared" si="7"/>
        <v>9609.234346</v>
      </c>
    </row>
    <row r="103" hidden="1">
      <c r="A103" s="266">
        <f>IFERROR(__xludf.DUMMYFUNCTION("""COMPUTED_VALUE"""),42639.99861111111)</f>
        <v>42639.99861</v>
      </c>
      <c r="B103" s="1">
        <f>IFERROR(__xludf.DUMMYFUNCTION("""COMPUTED_VALUE"""),604.7)</f>
        <v>604.7</v>
      </c>
      <c r="C103" s="58">
        <f t="shared" si="1"/>
        <v>2823.998611</v>
      </c>
      <c r="D103" s="1">
        <f t="shared" si="2"/>
        <v>537.1475475</v>
      </c>
      <c r="E103" s="1">
        <f t="shared" si="3"/>
        <v>966.8655856</v>
      </c>
      <c r="F103" s="1">
        <f t="shared" si="4"/>
        <v>1826.301662</v>
      </c>
      <c r="G103" s="1">
        <f t="shared" si="5"/>
        <v>3222.885285</v>
      </c>
      <c r="H103" s="1">
        <f t="shared" si="6"/>
        <v>5908.623023</v>
      </c>
      <c r="I103" s="1">
        <f t="shared" si="7"/>
        <v>9668.655856</v>
      </c>
    </row>
    <row r="104" hidden="1">
      <c r="A104" s="266">
        <f>IFERROR(__xludf.DUMMYFUNCTION("""COMPUTED_VALUE"""),42640.99861111111)</f>
        <v>42640.99861</v>
      </c>
      <c r="B104" s="1">
        <f>IFERROR(__xludf.DUMMYFUNCTION("""COMPUTED_VALUE"""),606.25)</f>
        <v>606.25</v>
      </c>
      <c r="C104" s="58">
        <f t="shared" si="1"/>
        <v>2824.998611</v>
      </c>
      <c r="D104" s="1">
        <f t="shared" si="2"/>
        <v>538.2516928</v>
      </c>
      <c r="E104" s="1">
        <f t="shared" si="3"/>
        <v>968.853047</v>
      </c>
      <c r="F104" s="1">
        <f t="shared" si="4"/>
        <v>1830.055756</v>
      </c>
      <c r="G104" s="1">
        <f t="shared" si="5"/>
        <v>3229.510157</v>
      </c>
      <c r="H104" s="1">
        <f t="shared" si="6"/>
        <v>5920.768621</v>
      </c>
      <c r="I104" s="1">
        <f t="shared" si="7"/>
        <v>9688.53047</v>
      </c>
    </row>
    <row r="105" hidden="1">
      <c r="A105" s="266">
        <f>IFERROR(__xludf.DUMMYFUNCTION("""COMPUTED_VALUE"""),42641.99861111111)</f>
        <v>42641.99861</v>
      </c>
      <c r="B105" s="1">
        <f>IFERROR(__xludf.DUMMYFUNCTION("""COMPUTED_VALUE"""),605.2)</f>
        <v>605.2</v>
      </c>
      <c r="C105" s="58">
        <f t="shared" si="1"/>
        <v>2825.998611</v>
      </c>
      <c r="D105" s="1">
        <f t="shared" si="2"/>
        <v>539.3577157</v>
      </c>
      <c r="E105" s="1">
        <f t="shared" si="3"/>
        <v>970.8438883</v>
      </c>
      <c r="F105" s="1">
        <f t="shared" si="4"/>
        <v>1833.816233</v>
      </c>
      <c r="G105" s="1">
        <f t="shared" si="5"/>
        <v>3236.146294</v>
      </c>
      <c r="H105" s="1">
        <f t="shared" si="6"/>
        <v>5932.934873</v>
      </c>
      <c r="I105" s="1">
        <f t="shared" si="7"/>
        <v>9708.438883</v>
      </c>
    </row>
    <row r="106" hidden="1">
      <c r="A106" s="266">
        <f>IFERROR(__xludf.DUMMYFUNCTION("""COMPUTED_VALUE"""),42642.99861111111)</f>
        <v>42642.99861</v>
      </c>
      <c r="B106" s="1">
        <f>IFERROR(__xludf.DUMMYFUNCTION("""COMPUTED_VALUE"""),605.27)</f>
        <v>605.27</v>
      </c>
      <c r="C106" s="58">
        <f t="shared" si="1"/>
        <v>2826.998611</v>
      </c>
      <c r="D106" s="1">
        <f t="shared" si="2"/>
        <v>540.4656188</v>
      </c>
      <c r="E106" s="1">
        <f t="shared" si="3"/>
        <v>972.8381139</v>
      </c>
      <c r="F106" s="1">
        <f t="shared" si="4"/>
        <v>1837.583104</v>
      </c>
      <c r="G106" s="1">
        <f t="shared" si="5"/>
        <v>3242.793713</v>
      </c>
      <c r="H106" s="1">
        <f t="shared" si="6"/>
        <v>5945.121807</v>
      </c>
      <c r="I106" s="1">
        <f t="shared" si="7"/>
        <v>9728.381139</v>
      </c>
    </row>
    <row r="107" hidden="1">
      <c r="A107" s="266">
        <f>IFERROR(__xludf.DUMMYFUNCTION("""COMPUTED_VALUE"""),42643.99861111111)</f>
        <v>42643.99861</v>
      </c>
      <c r="B107" s="1">
        <f>IFERROR(__xludf.DUMMYFUNCTION("""COMPUTED_VALUE"""),605.09)</f>
        <v>605.09</v>
      </c>
      <c r="C107" s="58">
        <f t="shared" si="1"/>
        <v>2827.998611</v>
      </c>
      <c r="D107" s="1">
        <f t="shared" si="2"/>
        <v>541.5754047</v>
      </c>
      <c r="E107" s="1">
        <f t="shared" si="3"/>
        <v>974.8357284</v>
      </c>
      <c r="F107" s="1">
        <f t="shared" si="4"/>
        <v>1841.356376</v>
      </c>
      <c r="G107" s="1">
        <f t="shared" si="5"/>
        <v>3249.452428</v>
      </c>
      <c r="H107" s="1">
        <f t="shared" si="6"/>
        <v>5957.329451</v>
      </c>
      <c r="I107" s="1">
        <f t="shared" si="7"/>
        <v>9748.357284</v>
      </c>
    </row>
    <row r="108" hidden="1">
      <c r="A108" s="266">
        <f>IFERROR(__xludf.DUMMYFUNCTION("""COMPUTED_VALUE"""),42646.99861111111)</f>
        <v>42646.99861</v>
      </c>
      <c r="B108" s="1">
        <f>IFERROR(__xludf.DUMMYFUNCTION("""COMPUTED_VALUE"""),611.23)</f>
        <v>611.23</v>
      </c>
      <c r="C108" s="58">
        <f t="shared" si="1"/>
        <v>2830.998611</v>
      </c>
      <c r="D108" s="1">
        <f t="shared" si="2"/>
        <v>544.9160838</v>
      </c>
      <c r="E108" s="1">
        <f t="shared" si="3"/>
        <v>980.8489509</v>
      </c>
      <c r="F108" s="1">
        <f t="shared" si="4"/>
        <v>1852.714685</v>
      </c>
      <c r="G108" s="1">
        <f t="shared" si="5"/>
        <v>3269.496503</v>
      </c>
      <c r="H108" s="1">
        <f t="shared" si="6"/>
        <v>5994.076922</v>
      </c>
      <c r="I108" s="1">
        <f t="shared" si="7"/>
        <v>9808.489509</v>
      </c>
    </row>
    <row r="109" hidden="1">
      <c r="A109" s="266">
        <f>IFERROR(__xludf.DUMMYFUNCTION("""COMPUTED_VALUE"""),42647.99861111111)</f>
        <v>42647.99861</v>
      </c>
      <c r="B109" s="1">
        <f>IFERROR(__xludf.DUMMYFUNCTION("""COMPUTED_VALUE"""),609.94)</f>
        <v>609.94</v>
      </c>
      <c r="C109" s="58">
        <f t="shared" si="1"/>
        <v>2831.998611</v>
      </c>
      <c r="D109" s="1">
        <f t="shared" si="2"/>
        <v>546.0334259</v>
      </c>
      <c r="E109" s="1">
        <f t="shared" si="3"/>
        <v>982.8601666</v>
      </c>
      <c r="F109" s="1">
        <f t="shared" si="4"/>
        <v>1856.513648</v>
      </c>
      <c r="G109" s="1">
        <f t="shared" si="5"/>
        <v>3276.200555</v>
      </c>
      <c r="H109" s="1">
        <f t="shared" si="6"/>
        <v>6006.367685</v>
      </c>
      <c r="I109" s="1">
        <f t="shared" si="7"/>
        <v>9828.601666</v>
      </c>
    </row>
    <row r="110" hidden="1">
      <c r="A110" s="266">
        <f>IFERROR(__xludf.DUMMYFUNCTION("""COMPUTED_VALUE"""),42648.99861111111)</f>
        <v>42648.99861</v>
      </c>
      <c r="B110" s="1">
        <f>IFERROR(__xludf.DUMMYFUNCTION("""COMPUTED_VALUE"""),610.93)</f>
        <v>610.93</v>
      </c>
      <c r="C110" s="58">
        <f t="shared" si="1"/>
        <v>2832.998611</v>
      </c>
      <c r="D110" s="1">
        <f t="shared" si="2"/>
        <v>547.1526634</v>
      </c>
      <c r="E110" s="1">
        <f t="shared" si="3"/>
        <v>984.874794</v>
      </c>
      <c r="F110" s="1">
        <f t="shared" si="4"/>
        <v>1860.319055</v>
      </c>
      <c r="G110" s="1">
        <f t="shared" si="5"/>
        <v>3282.91598</v>
      </c>
      <c r="H110" s="1">
        <f t="shared" si="6"/>
        <v>6018.679297</v>
      </c>
      <c r="I110" s="1">
        <f t="shared" si="7"/>
        <v>9848.74794</v>
      </c>
    </row>
    <row r="111" hidden="1">
      <c r="A111" s="266">
        <f>IFERROR(__xludf.DUMMYFUNCTION("""COMPUTED_VALUE"""),42649.99861111111)</f>
        <v>42649.99861</v>
      </c>
      <c r="B111" s="1">
        <f>IFERROR(__xludf.DUMMYFUNCTION("""COMPUTED_VALUE"""),611.74)</f>
        <v>611.74</v>
      </c>
      <c r="C111" s="58">
        <f t="shared" si="1"/>
        <v>2833.998611</v>
      </c>
      <c r="D111" s="1">
        <f t="shared" si="2"/>
        <v>548.2737988</v>
      </c>
      <c r="E111" s="1">
        <f t="shared" si="3"/>
        <v>986.8928378</v>
      </c>
      <c r="F111" s="1">
        <f t="shared" si="4"/>
        <v>1864.130916</v>
      </c>
      <c r="G111" s="1">
        <f t="shared" si="5"/>
        <v>3289.642793</v>
      </c>
      <c r="H111" s="1">
        <f t="shared" si="6"/>
        <v>6031.011787</v>
      </c>
      <c r="I111" s="1">
        <f t="shared" si="7"/>
        <v>9868.928378</v>
      </c>
    </row>
    <row r="112" hidden="1">
      <c r="A112" s="266">
        <f>IFERROR(__xludf.DUMMYFUNCTION("""COMPUTED_VALUE"""),42650.99861111111)</f>
        <v>42650.99861</v>
      </c>
      <c r="B112" s="1">
        <f>IFERROR(__xludf.DUMMYFUNCTION("""COMPUTED_VALUE"""),614.73)</f>
        <v>614.73</v>
      </c>
      <c r="C112" s="58">
        <f t="shared" si="1"/>
        <v>2834.998611</v>
      </c>
      <c r="D112" s="1">
        <f t="shared" si="2"/>
        <v>549.3968347</v>
      </c>
      <c r="E112" s="1">
        <f t="shared" si="3"/>
        <v>988.9143025</v>
      </c>
      <c r="F112" s="1">
        <f t="shared" si="4"/>
        <v>1867.949238</v>
      </c>
      <c r="G112" s="1">
        <f t="shared" si="5"/>
        <v>3296.381008</v>
      </c>
      <c r="H112" s="1">
        <f t="shared" si="6"/>
        <v>6043.365182</v>
      </c>
      <c r="I112" s="1">
        <f t="shared" si="7"/>
        <v>9889.143025</v>
      </c>
    </row>
    <row r="113" hidden="1">
      <c r="A113" s="266">
        <f>IFERROR(__xludf.DUMMYFUNCTION("""COMPUTED_VALUE"""),42653.99861111111)</f>
        <v>42653.99861</v>
      </c>
      <c r="B113" s="1">
        <f>IFERROR(__xludf.DUMMYFUNCTION("""COMPUTED_VALUE"""),616.71)</f>
        <v>616.71</v>
      </c>
      <c r="C113" s="58">
        <f t="shared" si="1"/>
        <v>2837.998611</v>
      </c>
      <c r="D113" s="1">
        <f t="shared" si="2"/>
        <v>552.777371</v>
      </c>
      <c r="E113" s="1">
        <f t="shared" si="3"/>
        <v>994.9992677</v>
      </c>
      <c r="F113" s="1">
        <f t="shared" si="4"/>
        <v>1879.443061</v>
      </c>
      <c r="G113" s="1">
        <f t="shared" si="5"/>
        <v>3316.664226</v>
      </c>
      <c r="H113" s="1">
        <f t="shared" si="6"/>
        <v>6080.551081</v>
      </c>
      <c r="I113" s="1">
        <f t="shared" si="7"/>
        <v>9949.992677</v>
      </c>
    </row>
    <row r="114" hidden="1">
      <c r="A114" s="266">
        <f>IFERROR(__xludf.DUMMYFUNCTION("""COMPUTED_VALUE"""),42654.99861111111)</f>
        <v>42654.99861</v>
      </c>
      <c r="B114" s="1">
        <f>IFERROR(__xludf.DUMMYFUNCTION("""COMPUTED_VALUE"""),632.01)</f>
        <v>632.01</v>
      </c>
      <c r="C114" s="58">
        <f t="shared" si="1"/>
        <v>2838.998611</v>
      </c>
      <c r="D114" s="1">
        <f t="shared" si="2"/>
        <v>553.9080344</v>
      </c>
      <c r="E114" s="1">
        <f t="shared" si="3"/>
        <v>997.0344619</v>
      </c>
      <c r="F114" s="1">
        <f t="shared" si="4"/>
        <v>1883.287317</v>
      </c>
      <c r="G114" s="1">
        <f t="shared" si="5"/>
        <v>3323.448206</v>
      </c>
      <c r="H114" s="1">
        <f t="shared" si="6"/>
        <v>6092.988378</v>
      </c>
      <c r="I114" s="1">
        <f t="shared" si="7"/>
        <v>9970.344619</v>
      </c>
    </row>
    <row r="115" hidden="1">
      <c r="A115" s="266">
        <f>IFERROR(__xludf.DUMMYFUNCTION("""COMPUTED_VALUE"""),42655.99861111111)</f>
        <v>42655.99861</v>
      </c>
      <c r="B115" s="1">
        <f>IFERROR(__xludf.DUMMYFUNCTION("""COMPUTED_VALUE"""),637.97)</f>
        <v>637.97</v>
      </c>
      <c r="C115" s="58">
        <f t="shared" si="1"/>
        <v>2839.998611</v>
      </c>
      <c r="D115" s="1">
        <f t="shared" si="2"/>
        <v>555.0406111</v>
      </c>
      <c r="E115" s="1">
        <f t="shared" si="3"/>
        <v>999.0731</v>
      </c>
      <c r="F115" s="1">
        <f t="shared" si="4"/>
        <v>1887.138078</v>
      </c>
      <c r="G115" s="1">
        <f t="shared" si="5"/>
        <v>3330.243667</v>
      </c>
      <c r="H115" s="1">
        <f t="shared" si="6"/>
        <v>6105.446722</v>
      </c>
      <c r="I115" s="1">
        <f t="shared" si="7"/>
        <v>9990.731</v>
      </c>
    </row>
    <row r="116" hidden="1">
      <c r="A116" s="266">
        <f>IFERROR(__xludf.DUMMYFUNCTION("""COMPUTED_VALUE"""),42656.99861111111)</f>
        <v>42656.99861</v>
      </c>
      <c r="B116" s="1">
        <f>IFERROR(__xludf.DUMMYFUNCTION("""COMPUTED_VALUE"""),636.8)</f>
        <v>636.8</v>
      </c>
      <c r="C116" s="58">
        <f t="shared" si="1"/>
        <v>2840.998611</v>
      </c>
      <c r="D116" s="1">
        <f t="shared" si="2"/>
        <v>556.1751036</v>
      </c>
      <c r="E116" s="1">
        <f t="shared" si="3"/>
        <v>1001.115187</v>
      </c>
      <c r="F116" s="1">
        <f t="shared" si="4"/>
        <v>1890.995352</v>
      </c>
      <c r="G116" s="1">
        <f t="shared" si="5"/>
        <v>3337.050622</v>
      </c>
      <c r="H116" s="1">
        <f t="shared" si="6"/>
        <v>6117.92614</v>
      </c>
      <c r="I116" s="1">
        <f t="shared" si="7"/>
        <v>10011.15187</v>
      </c>
    </row>
    <row r="117" hidden="1">
      <c r="A117" s="266">
        <f>IFERROR(__xludf.DUMMYFUNCTION("""COMPUTED_VALUE"""),42657.99861111111)</f>
        <v>42657.99861</v>
      </c>
      <c r="B117" s="1">
        <f>IFERROR(__xludf.DUMMYFUNCTION("""COMPUTED_VALUE"""),637.97)</f>
        <v>637.97</v>
      </c>
      <c r="C117" s="58">
        <f t="shared" si="1"/>
        <v>2841.998611</v>
      </c>
      <c r="D117" s="1">
        <f t="shared" si="2"/>
        <v>557.3115146</v>
      </c>
      <c r="E117" s="1">
        <f t="shared" si="3"/>
        <v>1003.160726</v>
      </c>
      <c r="F117" s="1">
        <f t="shared" si="4"/>
        <v>1894.85915</v>
      </c>
      <c r="G117" s="1">
        <f t="shared" si="5"/>
        <v>3343.869088</v>
      </c>
      <c r="H117" s="1">
        <f t="shared" si="6"/>
        <v>6130.42666</v>
      </c>
      <c r="I117" s="1">
        <f t="shared" si="7"/>
        <v>10031.60726</v>
      </c>
    </row>
    <row r="118" hidden="1">
      <c r="A118" s="266">
        <f>IFERROR(__xludf.DUMMYFUNCTION("""COMPUTED_VALUE"""),42660.99861111111)</f>
        <v>42660.99861</v>
      </c>
      <c r="B118" s="1">
        <f>IFERROR(__xludf.DUMMYFUNCTION("""COMPUTED_VALUE"""),638.93)</f>
        <v>638.93</v>
      </c>
      <c r="C118" s="58">
        <f t="shared" si="1"/>
        <v>2844.998611</v>
      </c>
      <c r="D118" s="1">
        <f t="shared" si="2"/>
        <v>560.7322835</v>
      </c>
      <c r="E118" s="1">
        <f t="shared" si="3"/>
        <v>1009.31811</v>
      </c>
      <c r="F118" s="1">
        <f t="shared" si="4"/>
        <v>1906.489764</v>
      </c>
      <c r="G118" s="1">
        <f t="shared" si="5"/>
        <v>3364.393701</v>
      </c>
      <c r="H118" s="1">
        <f t="shared" si="6"/>
        <v>6168.055118</v>
      </c>
      <c r="I118" s="1">
        <f t="shared" si="7"/>
        <v>10093.1811</v>
      </c>
    </row>
    <row r="119" hidden="1">
      <c r="A119" s="266">
        <f>IFERROR(__xludf.DUMMYFUNCTION("""COMPUTED_VALUE"""),42661.99861111111)</f>
        <v>42661.99861</v>
      </c>
      <c r="B119" s="1">
        <f>IFERROR(__xludf.DUMMYFUNCTION("""COMPUTED_VALUE"""),637.23)</f>
        <v>637.23</v>
      </c>
      <c r="C119" s="58">
        <f t="shared" si="1"/>
        <v>2845.998611</v>
      </c>
      <c r="D119" s="1">
        <f t="shared" si="2"/>
        <v>561.8763937</v>
      </c>
      <c r="E119" s="1">
        <f t="shared" si="3"/>
        <v>1011.377509</v>
      </c>
      <c r="F119" s="1">
        <f t="shared" si="4"/>
        <v>1910.379739</v>
      </c>
      <c r="G119" s="1">
        <f t="shared" si="5"/>
        <v>3371.258362</v>
      </c>
      <c r="H119" s="1">
        <f t="shared" si="6"/>
        <v>6180.640331</v>
      </c>
      <c r="I119" s="1">
        <f t="shared" si="7"/>
        <v>10113.77509</v>
      </c>
    </row>
    <row r="120" hidden="1">
      <c r="A120" s="266">
        <f>IFERROR(__xludf.DUMMYFUNCTION("""COMPUTED_VALUE"""),42662.99861111111)</f>
        <v>42662.99861</v>
      </c>
      <c r="B120" s="1">
        <f>IFERROR(__xludf.DUMMYFUNCTION("""COMPUTED_VALUE"""),633.18)</f>
        <v>633.18</v>
      </c>
      <c r="C120" s="58">
        <f t="shared" si="1"/>
        <v>2846.998611</v>
      </c>
      <c r="D120" s="1">
        <f t="shared" si="2"/>
        <v>563.0224352</v>
      </c>
      <c r="E120" s="1">
        <f t="shared" si="3"/>
        <v>1013.440383</v>
      </c>
      <c r="F120" s="1">
        <f t="shared" si="4"/>
        <v>1914.27628</v>
      </c>
      <c r="G120" s="1">
        <f t="shared" si="5"/>
        <v>3378.134611</v>
      </c>
      <c r="H120" s="1">
        <f t="shared" si="6"/>
        <v>6193.246787</v>
      </c>
      <c r="I120" s="1">
        <f t="shared" si="7"/>
        <v>10134.40383</v>
      </c>
    </row>
    <row r="121" hidden="1">
      <c r="A121" s="266">
        <f>IFERROR(__xludf.DUMMYFUNCTION("""COMPUTED_VALUE"""),42663.99861111111)</f>
        <v>42663.99861</v>
      </c>
      <c r="B121" s="1">
        <f>IFERROR(__xludf.DUMMYFUNCTION("""COMPUTED_VALUE"""),629.52)</f>
        <v>629.52</v>
      </c>
      <c r="C121" s="58">
        <f t="shared" si="1"/>
        <v>2847.998611</v>
      </c>
      <c r="D121" s="1">
        <f t="shared" si="2"/>
        <v>564.1704105</v>
      </c>
      <c r="E121" s="1">
        <f t="shared" si="3"/>
        <v>1015.506739</v>
      </c>
      <c r="F121" s="1">
        <f t="shared" si="4"/>
        <v>1918.179396</v>
      </c>
      <c r="G121" s="1">
        <f t="shared" si="5"/>
        <v>3385.022463</v>
      </c>
      <c r="H121" s="1">
        <f t="shared" si="6"/>
        <v>6205.874516</v>
      </c>
      <c r="I121" s="1">
        <f t="shared" si="7"/>
        <v>10155.06739</v>
      </c>
    </row>
    <row r="122" hidden="1">
      <c r="A122" s="266">
        <f>IFERROR(__xludf.DUMMYFUNCTION("""COMPUTED_VALUE"""),42664.99861111111)</f>
        <v>42664.99861</v>
      </c>
      <c r="B122" s="1">
        <f>IFERROR(__xludf.DUMMYFUNCTION("""COMPUTED_VALUE"""),631.82)</f>
        <v>631.82</v>
      </c>
      <c r="C122" s="58">
        <f t="shared" si="1"/>
        <v>2848.998611</v>
      </c>
      <c r="D122" s="1">
        <f t="shared" si="2"/>
        <v>565.3203223</v>
      </c>
      <c r="E122" s="1">
        <f t="shared" si="3"/>
        <v>1017.57658</v>
      </c>
      <c r="F122" s="1">
        <f t="shared" si="4"/>
        <v>1922.089096</v>
      </c>
      <c r="G122" s="1">
        <f t="shared" si="5"/>
        <v>3391.921934</v>
      </c>
      <c r="H122" s="1">
        <f t="shared" si="6"/>
        <v>6218.523545</v>
      </c>
      <c r="I122" s="1">
        <f t="shared" si="7"/>
        <v>10175.7658</v>
      </c>
    </row>
    <row r="123" hidden="1">
      <c r="A123" s="266">
        <f>IFERROR(__xludf.DUMMYFUNCTION("""COMPUTED_VALUE"""),42667.99861111111)</f>
        <v>42667.99861</v>
      </c>
      <c r="B123" s="1">
        <f>IFERROR(__xludf.DUMMYFUNCTION("""COMPUTED_VALUE"""),652.29)</f>
        <v>652.29</v>
      </c>
      <c r="C123" s="58">
        <f t="shared" si="1"/>
        <v>2851.998611</v>
      </c>
      <c r="D123" s="1">
        <f t="shared" si="2"/>
        <v>568.7817019</v>
      </c>
      <c r="E123" s="1">
        <f t="shared" si="3"/>
        <v>1023.807063</v>
      </c>
      <c r="F123" s="1">
        <f t="shared" si="4"/>
        <v>1933.857787</v>
      </c>
      <c r="G123" s="1">
        <f t="shared" si="5"/>
        <v>3412.690212</v>
      </c>
      <c r="H123" s="1">
        <f t="shared" si="6"/>
        <v>6256.598721</v>
      </c>
      <c r="I123" s="1">
        <f t="shared" si="7"/>
        <v>10238.07063</v>
      </c>
    </row>
    <row r="124" hidden="1">
      <c r="A124" s="266">
        <f>IFERROR(__xludf.DUMMYFUNCTION("""COMPUTED_VALUE"""),42668.99861111111)</f>
        <v>42668.99861</v>
      </c>
      <c r="B124" s="1">
        <f>IFERROR(__xludf.DUMMYFUNCTION("""COMPUTED_VALUE"""),655.51)</f>
        <v>655.51</v>
      </c>
      <c r="C124" s="58">
        <f t="shared" si="1"/>
        <v>2852.998611</v>
      </c>
      <c r="D124" s="1">
        <f t="shared" si="2"/>
        <v>569.9393852</v>
      </c>
      <c r="E124" s="1">
        <f t="shared" si="3"/>
        <v>1025.890893</v>
      </c>
      <c r="F124" s="1">
        <f t="shared" si="4"/>
        <v>1937.79391</v>
      </c>
      <c r="G124" s="1">
        <f t="shared" si="5"/>
        <v>3419.636311</v>
      </c>
      <c r="H124" s="1">
        <f t="shared" si="6"/>
        <v>6269.333238</v>
      </c>
      <c r="I124" s="1">
        <f t="shared" si="7"/>
        <v>10258.90893</v>
      </c>
    </row>
    <row r="125" hidden="1">
      <c r="A125" s="266">
        <f>IFERROR(__xludf.DUMMYFUNCTION("""COMPUTED_VALUE"""),42669.99861111111)</f>
        <v>42669.99861</v>
      </c>
      <c r="B125" s="1">
        <f>IFERROR(__xludf.DUMMYFUNCTION("""COMPUTED_VALUE"""),665.41)</f>
        <v>665.41</v>
      </c>
      <c r="C125" s="58">
        <f t="shared" si="1"/>
        <v>2853.998611</v>
      </c>
      <c r="D125" s="1">
        <f t="shared" si="2"/>
        <v>571.0990179</v>
      </c>
      <c r="E125" s="1">
        <f t="shared" si="3"/>
        <v>1027.978232</v>
      </c>
      <c r="F125" s="1">
        <f t="shared" si="4"/>
        <v>1941.736661</v>
      </c>
      <c r="G125" s="1">
        <f t="shared" si="5"/>
        <v>3426.594108</v>
      </c>
      <c r="H125" s="1">
        <f t="shared" si="6"/>
        <v>6282.089197</v>
      </c>
      <c r="I125" s="1">
        <f t="shared" si="7"/>
        <v>10279.78232</v>
      </c>
    </row>
    <row r="126" hidden="1">
      <c r="A126" s="266">
        <f>IFERROR(__xludf.DUMMYFUNCTION("""COMPUTED_VALUE"""),42670.99861111111)</f>
        <v>42670.99861</v>
      </c>
      <c r="B126" s="1">
        <f>IFERROR(__xludf.DUMMYFUNCTION("""COMPUTED_VALUE"""),682.22)</f>
        <v>682.22</v>
      </c>
      <c r="C126" s="58">
        <f t="shared" si="1"/>
        <v>2854.998611</v>
      </c>
      <c r="D126" s="1">
        <f t="shared" si="2"/>
        <v>572.2606026</v>
      </c>
      <c r="E126" s="1">
        <f t="shared" si="3"/>
        <v>1030.069085</v>
      </c>
      <c r="F126" s="1">
        <f t="shared" si="4"/>
        <v>1945.686049</v>
      </c>
      <c r="G126" s="1">
        <f t="shared" si="5"/>
        <v>3433.563616</v>
      </c>
      <c r="H126" s="1">
        <f t="shared" si="6"/>
        <v>6294.866629</v>
      </c>
      <c r="I126" s="1">
        <f t="shared" si="7"/>
        <v>10300.69085</v>
      </c>
    </row>
    <row r="127" hidden="1">
      <c r="A127" s="266">
        <f>IFERROR(__xludf.DUMMYFUNCTION("""COMPUTED_VALUE"""),42671.99861111111)</f>
        <v>42671.99861</v>
      </c>
      <c r="B127" s="1">
        <f>IFERROR(__xludf.DUMMYFUNCTION("""COMPUTED_VALUE"""),686.47)</f>
        <v>686.47</v>
      </c>
      <c r="C127" s="58">
        <f t="shared" si="1"/>
        <v>2855.998611</v>
      </c>
      <c r="D127" s="1">
        <f t="shared" si="2"/>
        <v>573.4241418</v>
      </c>
      <c r="E127" s="1">
        <f t="shared" si="3"/>
        <v>1032.163455</v>
      </c>
      <c r="F127" s="1">
        <f t="shared" si="4"/>
        <v>1949.642082</v>
      </c>
      <c r="G127" s="1">
        <f t="shared" si="5"/>
        <v>3440.544851</v>
      </c>
      <c r="H127" s="1">
        <f t="shared" si="6"/>
        <v>6307.66556</v>
      </c>
      <c r="I127" s="1">
        <f t="shared" si="7"/>
        <v>10321.63455</v>
      </c>
    </row>
    <row r="128" hidden="1">
      <c r="A128" s="266">
        <f>IFERROR(__xludf.DUMMYFUNCTION("""COMPUTED_VALUE"""),42674.99861111111)</f>
        <v>42674.99861</v>
      </c>
      <c r="B128" s="1">
        <f>IFERROR(__xludf.DUMMYFUNCTION("""COMPUTED_VALUE"""),700.89)</f>
        <v>700.89</v>
      </c>
      <c r="C128" s="58">
        <f t="shared" si="1"/>
        <v>2858.998611</v>
      </c>
      <c r="D128" s="1">
        <f t="shared" si="2"/>
        <v>576.926513</v>
      </c>
      <c r="E128" s="1">
        <f t="shared" si="3"/>
        <v>1038.467723</v>
      </c>
      <c r="F128" s="1">
        <f t="shared" si="4"/>
        <v>1961.550144</v>
      </c>
      <c r="G128" s="1">
        <f t="shared" si="5"/>
        <v>3461.559078</v>
      </c>
      <c r="H128" s="1">
        <f t="shared" si="6"/>
        <v>6346.191643</v>
      </c>
      <c r="I128" s="1">
        <f t="shared" si="7"/>
        <v>10384.67723</v>
      </c>
    </row>
    <row r="129" hidden="1">
      <c r="A129" s="266">
        <f>IFERROR(__xludf.DUMMYFUNCTION("""COMPUTED_VALUE"""),42675.99861111111)</f>
        <v>42675.99861</v>
      </c>
      <c r="B129" s="1">
        <f>IFERROR(__xludf.DUMMYFUNCTION("""COMPUTED_VALUE"""),722.68)</f>
        <v>722.68</v>
      </c>
      <c r="C129" s="58">
        <f t="shared" si="1"/>
        <v>2859.998611</v>
      </c>
      <c r="D129" s="1">
        <f t="shared" si="2"/>
        <v>578.0978965</v>
      </c>
      <c r="E129" s="1">
        <f t="shared" si="3"/>
        <v>1040.576214</v>
      </c>
      <c r="F129" s="1">
        <f t="shared" si="4"/>
        <v>1965.532848</v>
      </c>
      <c r="G129" s="1">
        <f t="shared" si="5"/>
        <v>3468.587379</v>
      </c>
      <c r="H129" s="1">
        <f t="shared" si="6"/>
        <v>6359.076862</v>
      </c>
      <c r="I129" s="1">
        <f t="shared" si="7"/>
        <v>10405.76214</v>
      </c>
    </row>
    <row r="130" hidden="1">
      <c r="A130" s="266">
        <f>IFERROR(__xludf.DUMMYFUNCTION("""COMPUTED_VALUE"""),42676.99861111111)</f>
        <v>42676.99861</v>
      </c>
      <c r="B130" s="1">
        <f>IFERROR(__xludf.DUMMYFUNCTION("""COMPUTED_VALUE"""),727.2)</f>
        <v>727.2</v>
      </c>
      <c r="C130" s="58">
        <f t="shared" si="1"/>
        <v>2860.998611</v>
      </c>
      <c r="D130" s="1">
        <f t="shared" si="2"/>
        <v>579.2712477</v>
      </c>
      <c r="E130" s="1">
        <f t="shared" si="3"/>
        <v>1042.688246</v>
      </c>
      <c r="F130" s="1">
        <f t="shared" si="4"/>
        <v>1969.522242</v>
      </c>
      <c r="G130" s="1">
        <f t="shared" si="5"/>
        <v>3475.627486</v>
      </c>
      <c r="H130" s="1">
        <f t="shared" si="6"/>
        <v>6371.983725</v>
      </c>
      <c r="I130" s="1">
        <f t="shared" si="7"/>
        <v>10426.88246</v>
      </c>
    </row>
    <row r="131" hidden="1">
      <c r="A131" s="266">
        <f>IFERROR(__xludf.DUMMYFUNCTION("""COMPUTED_VALUE"""),42677.99861111111)</f>
        <v>42677.99861</v>
      </c>
      <c r="B131" s="1">
        <f>IFERROR(__xludf.DUMMYFUNCTION("""COMPUTED_VALUE"""),725.45)</f>
        <v>725.45</v>
      </c>
      <c r="C131" s="58">
        <f t="shared" si="1"/>
        <v>2861.998611</v>
      </c>
      <c r="D131" s="1">
        <f t="shared" si="2"/>
        <v>580.4465691</v>
      </c>
      <c r="E131" s="1">
        <f t="shared" si="3"/>
        <v>1044.803824</v>
      </c>
      <c r="F131" s="1">
        <f t="shared" si="4"/>
        <v>1973.518335</v>
      </c>
      <c r="G131" s="1">
        <f t="shared" si="5"/>
        <v>3482.679415</v>
      </c>
      <c r="H131" s="1">
        <f t="shared" si="6"/>
        <v>6384.91226</v>
      </c>
      <c r="I131" s="1">
        <f t="shared" si="7"/>
        <v>10448.03824</v>
      </c>
    </row>
    <row r="132" hidden="1">
      <c r="A132" s="266">
        <f>IFERROR(__xludf.DUMMYFUNCTION("""COMPUTED_VALUE"""),42678.99861111111)</f>
        <v>42678.99861</v>
      </c>
      <c r="B132" s="1">
        <f>IFERROR(__xludf.DUMMYFUNCTION("""COMPUTED_VALUE"""),700.4)</f>
        <v>700.4</v>
      </c>
      <c r="C132" s="58">
        <f t="shared" si="1"/>
        <v>2862.998611</v>
      </c>
      <c r="D132" s="1">
        <f t="shared" si="2"/>
        <v>581.6238633</v>
      </c>
      <c r="E132" s="1">
        <f t="shared" si="3"/>
        <v>1046.922954</v>
      </c>
      <c r="F132" s="1">
        <f t="shared" si="4"/>
        <v>1977.521135</v>
      </c>
      <c r="G132" s="1">
        <f t="shared" si="5"/>
        <v>3489.74318</v>
      </c>
      <c r="H132" s="1">
        <f t="shared" si="6"/>
        <v>6397.862497</v>
      </c>
      <c r="I132" s="1">
        <f t="shared" si="7"/>
        <v>10469.22954</v>
      </c>
    </row>
    <row r="133" hidden="1">
      <c r="A133" s="266">
        <f>IFERROR(__xludf.DUMMYFUNCTION("""COMPUTED_VALUE"""),42681.99861111111)</f>
        <v>42681.99861</v>
      </c>
      <c r="B133" s="1">
        <f>IFERROR(__xludf.DUMMYFUNCTION("""COMPUTED_VALUE"""),706.36)</f>
        <v>706.36</v>
      </c>
      <c r="C133" s="58">
        <f t="shared" si="1"/>
        <v>2865.998611</v>
      </c>
      <c r="D133" s="1">
        <f t="shared" si="2"/>
        <v>585.1676094</v>
      </c>
      <c r="E133" s="1">
        <f t="shared" si="3"/>
        <v>1053.301697</v>
      </c>
      <c r="F133" s="1">
        <f t="shared" si="4"/>
        <v>1989.569872</v>
      </c>
      <c r="G133" s="1">
        <f t="shared" si="5"/>
        <v>3511.005656</v>
      </c>
      <c r="H133" s="1">
        <f t="shared" si="6"/>
        <v>6436.843703</v>
      </c>
      <c r="I133" s="1">
        <f t="shared" si="7"/>
        <v>10533.01697</v>
      </c>
    </row>
    <row r="134" hidden="1">
      <c r="A134" s="266">
        <f>IFERROR(__xludf.DUMMYFUNCTION("""COMPUTED_VALUE"""),42682.99861111111)</f>
        <v>42682.99861</v>
      </c>
      <c r="B134" s="1">
        <f>IFERROR(__xludf.DUMMYFUNCTION("""COMPUTED_VALUE"""),707.75)</f>
        <v>707.75</v>
      </c>
      <c r="C134" s="58">
        <f t="shared" si="1"/>
        <v>2866.998611</v>
      </c>
      <c r="D134" s="1">
        <f t="shared" si="2"/>
        <v>586.3528212</v>
      </c>
      <c r="E134" s="1">
        <f t="shared" si="3"/>
        <v>1055.435078</v>
      </c>
      <c r="F134" s="1">
        <f t="shared" si="4"/>
        <v>1993.599592</v>
      </c>
      <c r="G134" s="1">
        <f t="shared" si="5"/>
        <v>3518.116927</v>
      </c>
      <c r="H134" s="1">
        <f t="shared" si="6"/>
        <v>6449.881033</v>
      </c>
      <c r="I134" s="1">
        <f t="shared" si="7"/>
        <v>10554.35078</v>
      </c>
    </row>
    <row r="135" hidden="1">
      <c r="A135" s="266">
        <f>IFERROR(__xludf.DUMMYFUNCTION("""COMPUTED_VALUE"""),42683.99861111111)</f>
        <v>42683.99861</v>
      </c>
      <c r="B135" s="1">
        <f>IFERROR(__xludf.DUMMYFUNCTION("""COMPUTED_VALUE"""),726.36)</f>
        <v>726.36</v>
      </c>
      <c r="C135" s="58">
        <f t="shared" si="1"/>
        <v>2867.998611</v>
      </c>
      <c r="D135" s="1">
        <f t="shared" si="2"/>
        <v>587.540019</v>
      </c>
      <c r="E135" s="1">
        <f t="shared" si="3"/>
        <v>1057.572034</v>
      </c>
      <c r="F135" s="1">
        <f t="shared" si="4"/>
        <v>1997.636065</v>
      </c>
      <c r="G135" s="1">
        <f t="shared" si="5"/>
        <v>3525.240114</v>
      </c>
      <c r="H135" s="1">
        <f t="shared" si="6"/>
        <v>6462.940209</v>
      </c>
      <c r="I135" s="1">
        <f t="shared" si="7"/>
        <v>10575.72034</v>
      </c>
    </row>
    <row r="136" hidden="1">
      <c r="A136" s="266">
        <f>IFERROR(__xludf.DUMMYFUNCTION("""COMPUTED_VALUE"""),42684.99861111111)</f>
        <v>42684.99861</v>
      </c>
      <c r="B136" s="1">
        <f>IFERROR(__xludf.DUMMYFUNCTION("""COMPUTED_VALUE"""),716.04)</f>
        <v>716.04</v>
      </c>
      <c r="C136" s="58">
        <f t="shared" si="1"/>
        <v>2868.998611</v>
      </c>
      <c r="D136" s="1">
        <f t="shared" si="2"/>
        <v>588.7292055</v>
      </c>
      <c r="E136" s="1">
        <f t="shared" si="3"/>
        <v>1059.71257</v>
      </c>
      <c r="F136" s="1">
        <f t="shared" si="4"/>
        <v>2001.679299</v>
      </c>
      <c r="G136" s="1">
        <f t="shared" si="5"/>
        <v>3532.375233</v>
      </c>
      <c r="H136" s="1">
        <f t="shared" si="6"/>
        <v>6476.02126</v>
      </c>
      <c r="I136" s="1">
        <f t="shared" si="7"/>
        <v>10597.1257</v>
      </c>
    </row>
    <row r="137" hidden="1">
      <c r="A137" s="266">
        <f>IFERROR(__xludf.DUMMYFUNCTION("""COMPUTED_VALUE"""),42685.99861111111)</f>
        <v>42685.99861</v>
      </c>
      <c r="B137" s="1">
        <f>IFERROR(__xludf.DUMMYFUNCTION("""COMPUTED_VALUE"""),715.56)</f>
        <v>715.56</v>
      </c>
      <c r="C137" s="58">
        <f t="shared" si="1"/>
        <v>2869.998611</v>
      </c>
      <c r="D137" s="1">
        <f t="shared" si="2"/>
        <v>589.9203831</v>
      </c>
      <c r="E137" s="1">
        <f t="shared" si="3"/>
        <v>1061.85669</v>
      </c>
      <c r="F137" s="1">
        <f t="shared" si="4"/>
        <v>2005.729303</v>
      </c>
      <c r="G137" s="1">
        <f t="shared" si="5"/>
        <v>3539.522299</v>
      </c>
      <c r="H137" s="1">
        <f t="shared" si="6"/>
        <v>6489.124214</v>
      </c>
      <c r="I137" s="1">
        <f t="shared" si="7"/>
        <v>10618.5669</v>
      </c>
    </row>
    <row r="138" hidden="1">
      <c r="A138" s="266">
        <f>IFERROR(__xludf.DUMMYFUNCTION("""COMPUTED_VALUE"""),42688.99861111111)</f>
        <v>42688.99861</v>
      </c>
      <c r="B138" s="1">
        <f>IFERROR(__xludf.DUMMYFUNCTION("""COMPUTED_VALUE"""),703.24)</f>
        <v>703.24</v>
      </c>
      <c r="C138" s="58">
        <f t="shared" si="1"/>
        <v>2872.998611</v>
      </c>
      <c r="D138" s="1">
        <f t="shared" si="2"/>
        <v>593.50589</v>
      </c>
      <c r="E138" s="1">
        <f t="shared" si="3"/>
        <v>1068.310602</v>
      </c>
      <c r="F138" s="1">
        <f t="shared" si="4"/>
        <v>2017.920026</v>
      </c>
      <c r="G138" s="1">
        <f t="shared" si="5"/>
        <v>3561.03534</v>
      </c>
      <c r="H138" s="1">
        <f t="shared" si="6"/>
        <v>6528.56479</v>
      </c>
      <c r="I138" s="1">
        <f t="shared" si="7"/>
        <v>10683.10602</v>
      </c>
    </row>
    <row r="139" hidden="1">
      <c r="A139" s="266">
        <f>IFERROR(__xludf.DUMMYFUNCTION("""COMPUTED_VALUE"""),42689.99861111111)</f>
        <v>42689.99861</v>
      </c>
      <c r="B139" s="1">
        <f>IFERROR(__xludf.DUMMYFUNCTION("""COMPUTED_VALUE"""),712.67)</f>
        <v>712.67</v>
      </c>
      <c r="C139" s="58">
        <f t="shared" si="1"/>
        <v>2873.998611</v>
      </c>
      <c r="D139" s="1">
        <f t="shared" si="2"/>
        <v>594.7050591</v>
      </c>
      <c r="E139" s="1">
        <f t="shared" si="3"/>
        <v>1070.469106</v>
      </c>
      <c r="F139" s="1">
        <f t="shared" si="4"/>
        <v>2021.997201</v>
      </c>
      <c r="G139" s="1">
        <f t="shared" si="5"/>
        <v>3568.230354</v>
      </c>
      <c r="H139" s="1">
        <f t="shared" si="6"/>
        <v>6541.75565</v>
      </c>
      <c r="I139" s="1">
        <f t="shared" si="7"/>
        <v>10704.69106</v>
      </c>
    </row>
    <row r="140" hidden="1">
      <c r="A140" s="266">
        <f>IFERROR(__xludf.DUMMYFUNCTION("""COMPUTED_VALUE"""),42690.99861111111)</f>
        <v>42690.99861</v>
      </c>
      <c r="B140" s="1">
        <f>IFERROR(__xludf.DUMMYFUNCTION("""COMPUTED_VALUE"""),727.09)</f>
        <v>727.09</v>
      </c>
      <c r="C140" s="58">
        <f t="shared" si="1"/>
        <v>2874.998611</v>
      </c>
      <c r="D140" s="1">
        <f t="shared" si="2"/>
        <v>595.9062326</v>
      </c>
      <c r="E140" s="1">
        <f t="shared" si="3"/>
        <v>1072.631219</v>
      </c>
      <c r="F140" s="1">
        <f t="shared" si="4"/>
        <v>2026.081191</v>
      </c>
      <c r="G140" s="1">
        <f t="shared" si="5"/>
        <v>3575.437396</v>
      </c>
      <c r="H140" s="1">
        <f t="shared" si="6"/>
        <v>6554.968558</v>
      </c>
      <c r="I140" s="1">
        <f t="shared" si="7"/>
        <v>10726.31219</v>
      </c>
    </row>
    <row r="141" hidden="1">
      <c r="A141" s="266">
        <f>IFERROR(__xludf.DUMMYFUNCTION("""COMPUTED_VALUE"""),42691.99861111111)</f>
        <v>42691.99861</v>
      </c>
      <c r="B141" s="1">
        <f>IFERROR(__xludf.DUMMYFUNCTION("""COMPUTED_VALUE"""),744.86)</f>
        <v>744.86</v>
      </c>
      <c r="C141" s="58">
        <f t="shared" si="1"/>
        <v>2875.998611</v>
      </c>
      <c r="D141" s="1">
        <f t="shared" si="2"/>
        <v>597.1094132</v>
      </c>
      <c r="E141" s="1">
        <f t="shared" si="3"/>
        <v>1074.796944</v>
      </c>
      <c r="F141" s="1">
        <f t="shared" si="4"/>
        <v>2030.172005</v>
      </c>
      <c r="G141" s="1">
        <f t="shared" si="5"/>
        <v>3582.656479</v>
      </c>
      <c r="H141" s="1">
        <f t="shared" si="6"/>
        <v>6568.203545</v>
      </c>
      <c r="I141" s="1">
        <f t="shared" si="7"/>
        <v>10747.96944</v>
      </c>
    </row>
    <row r="142" hidden="1">
      <c r="A142" s="266">
        <f>IFERROR(__xludf.DUMMYFUNCTION("""COMPUTED_VALUE"""),42692.99861111111)</f>
        <v>42692.99861</v>
      </c>
      <c r="B142" s="1">
        <f>IFERROR(__xludf.DUMMYFUNCTION("""COMPUTED_VALUE"""),743.64)</f>
        <v>743.64</v>
      </c>
      <c r="C142" s="58">
        <f t="shared" si="1"/>
        <v>2876.998611</v>
      </c>
      <c r="D142" s="1">
        <f t="shared" si="2"/>
        <v>598.3146036</v>
      </c>
      <c r="E142" s="1">
        <f t="shared" si="3"/>
        <v>1076.966287</v>
      </c>
      <c r="F142" s="1">
        <f t="shared" si="4"/>
        <v>2034.269652</v>
      </c>
      <c r="G142" s="1">
        <f t="shared" si="5"/>
        <v>3589.887622</v>
      </c>
      <c r="H142" s="1">
        <f t="shared" si="6"/>
        <v>6581.46064</v>
      </c>
      <c r="I142" s="1">
        <f t="shared" si="7"/>
        <v>10769.66287</v>
      </c>
    </row>
    <row r="143" hidden="1">
      <c r="A143" s="266">
        <f>IFERROR(__xludf.DUMMYFUNCTION("""COMPUTED_VALUE"""),42695.99861111111)</f>
        <v>42695.99861</v>
      </c>
      <c r="B143" s="1">
        <f>IFERROR(__xludf.DUMMYFUNCTION("""COMPUTED_VALUE"""),735.54)</f>
        <v>735.54</v>
      </c>
      <c r="C143" s="58">
        <f t="shared" si="1"/>
        <v>2879.998611</v>
      </c>
      <c r="D143" s="1">
        <f t="shared" si="2"/>
        <v>601.94226</v>
      </c>
      <c r="E143" s="1">
        <f t="shared" si="3"/>
        <v>1083.496068</v>
      </c>
      <c r="F143" s="1">
        <f t="shared" si="4"/>
        <v>2046.603684</v>
      </c>
      <c r="G143" s="1">
        <f t="shared" si="5"/>
        <v>3611.65356</v>
      </c>
      <c r="H143" s="1">
        <f t="shared" si="6"/>
        <v>6621.36486</v>
      </c>
      <c r="I143" s="1">
        <f t="shared" si="7"/>
        <v>10834.96068</v>
      </c>
    </row>
    <row r="144" hidden="1">
      <c r="A144" s="266">
        <f>IFERROR(__xludf.DUMMYFUNCTION("""COMPUTED_VALUE"""),42696.99861111111)</f>
        <v>42696.99861</v>
      </c>
      <c r="B144" s="1">
        <f>IFERROR(__xludf.DUMMYFUNCTION("""COMPUTED_VALUE"""),742.1)</f>
        <v>742.1</v>
      </c>
      <c r="C144" s="58">
        <f t="shared" si="1"/>
        <v>2880.998611</v>
      </c>
      <c r="D144" s="1">
        <f t="shared" si="2"/>
        <v>603.1555161</v>
      </c>
      <c r="E144" s="1">
        <f t="shared" si="3"/>
        <v>1085.679929</v>
      </c>
      <c r="F144" s="1">
        <f t="shared" si="4"/>
        <v>2050.728755</v>
      </c>
      <c r="G144" s="1">
        <f t="shared" si="5"/>
        <v>3618.933096</v>
      </c>
      <c r="H144" s="1">
        <f t="shared" si="6"/>
        <v>6634.710677</v>
      </c>
      <c r="I144" s="1">
        <f t="shared" si="7"/>
        <v>10856.79929</v>
      </c>
    </row>
    <row r="145" hidden="1">
      <c r="A145" s="266">
        <f>IFERROR(__xludf.DUMMYFUNCTION("""COMPUTED_VALUE"""),42697.99861111111)</f>
        <v>42697.99861</v>
      </c>
      <c r="B145" s="1">
        <f>IFERROR(__xludf.DUMMYFUNCTION("""COMPUTED_VALUE"""),742.37)</f>
        <v>742.37</v>
      </c>
      <c r="C145" s="58">
        <f t="shared" si="1"/>
        <v>2881.998611</v>
      </c>
      <c r="D145" s="1">
        <f t="shared" si="2"/>
        <v>604.3707952</v>
      </c>
      <c r="E145" s="1">
        <f t="shared" si="3"/>
        <v>1087.867431</v>
      </c>
      <c r="F145" s="1">
        <f t="shared" si="4"/>
        <v>2054.860704</v>
      </c>
      <c r="G145" s="1">
        <f t="shared" si="5"/>
        <v>3626.224771</v>
      </c>
      <c r="H145" s="1">
        <f t="shared" si="6"/>
        <v>6648.078747</v>
      </c>
      <c r="I145" s="1">
        <f t="shared" si="7"/>
        <v>10878.67431</v>
      </c>
    </row>
    <row r="146" hidden="1">
      <c r="A146" s="266">
        <f>IFERROR(__xludf.DUMMYFUNCTION("""COMPUTED_VALUE"""),42698.99861111111)</f>
        <v>42698.99861</v>
      </c>
      <c r="B146" s="1">
        <f>IFERROR(__xludf.DUMMYFUNCTION("""COMPUTED_VALUE"""),738.37)</f>
        <v>738.37</v>
      </c>
      <c r="C146" s="58">
        <f t="shared" si="1"/>
        <v>2882.998611</v>
      </c>
      <c r="D146" s="1">
        <f t="shared" si="2"/>
        <v>605.5881001</v>
      </c>
      <c r="E146" s="1">
        <f t="shared" si="3"/>
        <v>1090.05858</v>
      </c>
      <c r="F146" s="1">
        <f t="shared" si="4"/>
        <v>2058.99954</v>
      </c>
      <c r="G146" s="1">
        <f t="shared" si="5"/>
        <v>3633.528601</v>
      </c>
      <c r="H146" s="1">
        <f t="shared" si="6"/>
        <v>6661.469101</v>
      </c>
      <c r="I146" s="1">
        <f t="shared" si="7"/>
        <v>10900.5858</v>
      </c>
    </row>
    <row r="147" hidden="1">
      <c r="A147" s="266">
        <f>IFERROR(__xludf.DUMMYFUNCTION("""COMPUTED_VALUE"""),42699.99861111111)</f>
        <v>42699.99861</v>
      </c>
      <c r="B147" s="1">
        <f>IFERROR(__xludf.DUMMYFUNCTION("""COMPUTED_VALUE"""),735.01)</f>
        <v>735.01</v>
      </c>
      <c r="C147" s="58">
        <f t="shared" si="1"/>
        <v>2883.998611</v>
      </c>
      <c r="D147" s="1">
        <f t="shared" si="2"/>
        <v>606.8074334</v>
      </c>
      <c r="E147" s="1">
        <f t="shared" si="3"/>
        <v>1092.25338</v>
      </c>
      <c r="F147" s="1">
        <f t="shared" si="4"/>
        <v>2063.145274</v>
      </c>
      <c r="G147" s="1">
        <f t="shared" si="5"/>
        <v>3640.8446</v>
      </c>
      <c r="H147" s="1">
        <f t="shared" si="6"/>
        <v>6674.881767</v>
      </c>
      <c r="I147" s="1">
        <f t="shared" si="7"/>
        <v>10922.5338</v>
      </c>
    </row>
    <row r="148" hidden="1">
      <c r="A148" s="266">
        <f>IFERROR(__xludf.DUMMYFUNCTION("""COMPUTED_VALUE"""),42702.99861111111)</f>
        <v>42702.99861</v>
      </c>
      <c r="B148" s="1">
        <f>IFERROR(__xludf.DUMMYFUNCTION("""COMPUTED_VALUE"""),731.64)</f>
        <v>731.64</v>
      </c>
      <c r="C148" s="58">
        <f t="shared" si="1"/>
        <v>2886.998611</v>
      </c>
      <c r="D148" s="1">
        <f t="shared" si="2"/>
        <v>610.4776306</v>
      </c>
      <c r="E148" s="1">
        <f t="shared" si="3"/>
        <v>1098.859735</v>
      </c>
      <c r="F148" s="1">
        <f t="shared" si="4"/>
        <v>2075.623944</v>
      </c>
      <c r="G148" s="1">
        <f t="shared" si="5"/>
        <v>3662.865784</v>
      </c>
      <c r="H148" s="1">
        <f t="shared" si="6"/>
        <v>6715.253937</v>
      </c>
      <c r="I148" s="1">
        <f t="shared" si="7"/>
        <v>10988.59735</v>
      </c>
    </row>
    <row r="149" hidden="1">
      <c r="A149" s="266">
        <f>IFERROR(__xludf.DUMMYFUNCTION("""COMPUTED_VALUE"""),42703.99861111111)</f>
        <v>42703.99861</v>
      </c>
      <c r="B149" s="1">
        <f>IFERROR(__xludf.DUMMYFUNCTION("""COMPUTED_VALUE"""),732.26)</f>
        <v>732.26</v>
      </c>
      <c r="C149" s="58">
        <f t="shared" si="1"/>
        <v>2887.998611</v>
      </c>
      <c r="D149" s="1">
        <f t="shared" si="2"/>
        <v>611.7051044</v>
      </c>
      <c r="E149" s="1">
        <f t="shared" si="3"/>
        <v>1101.069188</v>
      </c>
      <c r="F149" s="1">
        <f t="shared" si="4"/>
        <v>2079.797355</v>
      </c>
      <c r="G149" s="1">
        <f t="shared" si="5"/>
        <v>3670.230626</v>
      </c>
      <c r="H149" s="1">
        <f t="shared" si="6"/>
        <v>6728.756148</v>
      </c>
      <c r="I149" s="1">
        <f t="shared" si="7"/>
        <v>11010.69188</v>
      </c>
    </row>
    <row r="150" hidden="1">
      <c r="A150" s="266">
        <f>IFERROR(__xludf.DUMMYFUNCTION("""COMPUTED_VALUE"""),42704.99861111111)</f>
        <v>42704.99861</v>
      </c>
      <c r="B150" s="1">
        <f>IFERROR(__xludf.DUMMYFUNCTION("""COMPUTED_VALUE"""),737.8)</f>
        <v>737.8</v>
      </c>
      <c r="C150" s="58">
        <f t="shared" si="1"/>
        <v>2888.998611</v>
      </c>
      <c r="D150" s="1">
        <f t="shared" si="2"/>
        <v>612.9346199</v>
      </c>
      <c r="E150" s="1">
        <f t="shared" si="3"/>
        <v>1103.282316</v>
      </c>
      <c r="F150" s="1">
        <f t="shared" si="4"/>
        <v>2083.977708</v>
      </c>
      <c r="G150" s="1">
        <f t="shared" si="5"/>
        <v>3677.60772</v>
      </c>
      <c r="H150" s="1">
        <f t="shared" si="6"/>
        <v>6742.280819</v>
      </c>
      <c r="I150" s="1">
        <f t="shared" si="7"/>
        <v>11032.82316</v>
      </c>
    </row>
    <row r="151" hidden="1">
      <c r="A151" s="266">
        <f>IFERROR(__xludf.DUMMYFUNCTION("""COMPUTED_VALUE"""),42705.99861111111)</f>
        <v>42705.99861</v>
      </c>
      <c r="B151" s="1">
        <f>IFERROR(__xludf.DUMMYFUNCTION("""COMPUTED_VALUE"""),748.29)</f>
        <v>748.29</v>
      </c>
      <c r="C151" s="58">
        <f t="shared" si="1"/>
        <v>2889.998611</v>
      </c>
      <c r="D151" s="1">
        <f t="shared" si="2"/>
        <v>614.16618</v>
      </c>
      <c r="E151" s="1">
        <f t="shared" si="3"/>
        <v>1105.499124</v>
      </c>
      <c r="F151" s="1">
        <f t="shared" si="4"/>
        <v>2088.165012</v>
      </c>
      <c r="G151" s="1">
        <f t="shared" si="5"/>
        <v>3684.99708</v>
      </c>
      <c r="H151" s="1">
        <f t="shared" si="6"/>
        <v>6755.82798</v>
      </c>
      <c r="I151" s="1">
        <f t="shared" si="7"/>
        <v>11054.99124</v>
      </c>
    </row>
    <row r="152" hidden="1">
      <c r="A152" s="266">
        <f>IFERROR(__xludf.DUMMYFUNCTION("""COMPUTED_VALUE"""),42706.99861111111)</f>
        <v>42706.99861</v>
      </c>
      <c r="B152" s="1">
        <f>IFERROR(__xludf.DUMMYFUNCTION("""COMPUTED_VALUE"""),768.36)</f>
        <v>768.36</v>
      </c>
      <c r="C152" s="58">
        <f t="shared" si="1"/>
        <v>2890.998611</v>
      </c>
      <c r="D152" s="1">
        <f t="shared" si="2"/>
        <v>615.3997873</v>
      </c>
      <c r="E152" s="1">
        <f t="shared" si="3"/>
        <v>1107.719617</v>
      </c>
      <c r="F152" s="1">
        <f t="shared" si="4"/>
        <v>2092.359277</v>
      </c>
      <c r="G152" s="1">
        <f t="shared" si="5"/>
        <v>3692.398724</v>
      </c>
      <c r="H152" s="1">
        <f t="shared" si="6"/>
        <v>6769.39766</v>
      </c>
      <c r="I152" s="1">
        <f t="shared" si="7"/>
        <v>11077.19617</v>
      </c>
    </row>
    <row r="153" hidden="1">
      <c r="A153" s="266">
        <f>IFERROR(__xludf.DUMMYFUNCTION("""COMPUTED_VALUE"""),42709.99861111111)</f>
        <v>42709.99861</v>
      </c>
      <c r="B153" s="1">
        <f>IFERROR(__xludf.DUMMYFUNCTION("""COMPUTED_VALUE"""),754.78)</f>
        <v>754.78</v>
      </c>
      <c r="C153" s="58">
        <f t="shared" si="1"/>
        <v>2893.998611</v>
      </c>
      <c r="D153" s="1">
        <f t="shared" si="2"/>
        <v>619.1129193</v>
      </c>
      <c r="E153" s="1">
        <f t="shared" si="3"/>
        <v>1114.403255</v>
      </c>
      <c r="F153" s="1">
        <f t="shared" si="4"/>
        <v>2104.983926</v>
      </c>
      <c r="G153" s="1">
        <f t="shared" si="5"/>
        <v>3714.677516</v>
      </c>
      <c r="H153" s="1">
        <f t="shared" si="6"/>
        <v>6810.242112</v>
      </c>
      <c r="I153" s="1">
        <f t="shared" si="7"/>
        <v>11144.03255</v>
      </c>
    </row>
    <row r="154" hidden="1">
      <c r="A154" s="266">
        <f>IFERROR(__xludf.DUMMYFUNCTION("""COMPUTED_VALUE"""),42710.99861111111)</f>
        <v>42710.99861</v>
      </c>
      <c r="B154" s="1">
        <f>IFERROR(__xludf.DUMMYFUNCTION("""COMPUTED_VALUE"""),756.1)</f>
        <v>756.1</v>
      </c>
      <c r="C154" s="58">
        <f t="shared" si="1"/>
        <v>2894.998611</v>
      </c>
      <c r="D154" s="1">
        <f t="shared" si="2"/>
        <v>620.3547423</v>
      </c>
      <c r="E154" s="1">
        <f t="shared" si="3"/>
        <v>1116.638536</v>
      </c>
      <c r="F154" s="1">
        <f t="shared" si="4"/>
        <v>2109.206124</v>
      </c>
      <c r="G154" s="1">
        <f t="shared" si="5"/>
        <v>3722.128454</v>
      </c>
      <c r="H154" s="1">
        <f t="shared" si="6"/>
        <v>6823.902166</v>
      </c>
      <c r="I154" s="1">
        <f t="shared" si="7"/>
        <v>11166.38536</v>
      </c>
    </row>
    <row r="155" hidden="1">
      <c r="A155" s="266">
        <f>IFERROR(__xludf.DUMMYFUNCTION("""COMPUTED_VALUE"""),42711.99861111111)</f>
        <v>42711.99861</v>
      </c>
      <c r="B155" s="1">
        <f>IFERROR(__xludf.DUMMYFUNCTION("""COMPUTED_VALUE"""),761.17)</f>
        <v>761.17</v>
      </c>
      <c r="C155" s="58">
        <f t="shared" si="1"/>
        <v>2895.998611</v>
      </c>
      <c r="D155" s="1">
        <f t="shared" si="2"/>
        <v>621.5986261</v>
      </c>
      <c r="E155" s="1">
        <f t="shared" si="3"/>
        <v>1118.877527</v>
      </c>
      <c r="F155" s="1">
        <f t="shared" si="4"/>
        <v>2113.435329</v>
      </c>
      <c r="G155" s="1">
        <f t="shared" si="5"/>
        <v>3729.591756</v>
      </c>
      <c r="H155" s="1">
        <f t="shared" si="6"/>
        <v>6837.584887</v>
      </c>
      <c r="I155" s="1">
        <f t="shared" si="7"/>
        <v>11188.77527</v>
      </c>
    </row>
    <row r="156" hidden="1">
      <c r="A156" s="266">
        <f>IFERROR(__xludf.DUMMYFUNCTION("""COMPUTED_VALUE"""),42712.99861111111)</f>
        <v>42712.99861</v>
      </c>
      <c r="B156" s="1">
        <f>IFERROR(__xludf.DUMMYFUNCTION("""COMPUTED_VALUE"""),767.03)</f>
        <v>767.03</v>
      </c>
      <c r="C156" s="58">
        <f t="shared" si="1"/>
        <v>2896.998611</v>
      </c>
      <c r="D156" s="1">
        <f t="shared" si="2"/>
        <v>622.8445732</v>
      </c>
      <c r="E156" s="1">
        <f t="shared" si="3"/>
        <v>1121.120232</v>
      </c>
      <c r="F156" s="1">
        <f t="shared" si="4"/>
        <v>2117.671549</v>
      </c>
      <c r="G156" s="1">
        <f t="shared" si="5"/>
        <v>3737.067439</v>
      </c>
      <c r="H156" s="1">
        <f t="shared" si="6"/>
        <v>6851.290305</v>
      </c>
      <c r="I156" s="1">
        <f t="shared" si="7"/>
        <v>11211.20232</v>
      </c>
    </row>
    <row r="157" hidden="1">
      <c r="A157" s="266">
        <f>IFERROR(__xludf.DUMMYFUNCTION("""COMPUTED_VALUE"""),42713.99861111111)</f>
        <v>42713.99861</v>
      </c>
      <c r="B157" s="1">
        <f>IFERROR(__xludf.DUMMYFUNCTION("""COMPUTED_VALUE"""),769.14)</f>
        <v>769.14</v>
      </c>
      <c r="C157" s="58">
        <f t="shared" si="1"/>
        <v>2897.998611</v>
      </c>
      <c r="D157" s="1">
        <f t="shared" si="2"/>
        <v>624.0925864</v>
      </c>
      <c r="E157" s="1">
        <f t="shared" si="3"/>
        <v>1123.366656</v>
      </c>
      <c r="F157" s="1">
        <f t="shared" si="4"/>
        <v>2121.914794</v>
      </c>
      <c r="G157" s="1">
        <f t="shared" si="5"/>
        <v>3744.555518</v>
      </c>
      <c r="H157" s="1">
        <f t="shared" si="6"/>
        <v>6865.01845</v>
      </c>
      <c r="I157" s="1">
        <f t="shared" si="7"/>
        <v>11233.66656</v>
      </c>
    </row>
    <row r="158" hidden="1">
      <c r="A158" s="266">
        <f>IFERROR(__xludf.DUMMYFUNCTION("""COMPUTED_VALUE"""),42716.99861111111)</f>
        <v>42716.99861</v>
      </c>
      <c r="B158" s="1">
        <f>IFERROR(__xludf.DUMMYFUNCTION("""COMPUTED_VALUE"""),774.73)</f>
        <v>774.73</v>
      </c>
      <c r="C158" s="58">
        <f t="shared" si="1"/>
        <v>2900.998611</v>
      </c>
      <c r="D158" s="1">
        <f t="shared" si="2"/>
        <v>627.8490498</v>
      </c>
      <c r="E158" s="1">
        <f t="shared" si="3"/>
        <v>1130.12829</v>
      </c>
      <c r="F158" s="1">
        <f t="shared" si="4"/>
        <v>2134.686769</v>
      </c>
      <c r="G158" s="1">
        <f t="shared" si="5"/>
        <v>3767.094299</v>
      </c>
      <c r="H158" s="1">
        <f t="shared" si="6"/>
        <v>6906.339548</v>
      </c>
      <c r="I158" s="1">
        <f t="shared" si="7"/>
        <v>11301.2829</v>
      </c>
    </row>
    <row r="159" hidden="1">
      <c r="A159" s="266">
        <f>IFERROR(__xludf.DUMMYFUNCTION("""COMPUTED_VALUE"""),42717.99861111111)</f>
        <v>42717.99861</v>
      </c>
      <c r="B159" s="1">
        <f>IFERROR(__xludf.DUMMYFUNCTION("""COMPUTED_VALUE"""),777.98)</f>
        <v>777.98</v>
      </c>
      <c r="C159" s="58">
        <f t="shared" si="1"/>
        <v>2901.998611</v>
      </c>
      <c r="D159" s="1">
        <f t="shared" si="2"/>
        <v>629.1053546</v>
      </c>
      <c r="E159" s="1">
        <f t="shared" si="3"/>
        <v>1132.389638</v>
      </c>
      <c r="F159" s="1">
        <f t="shared" si="4"/>
        <v>2138.958206</v>
      </c>
      <c r="G159" s="1">
        <f t="shared" si="5"/>
        <v>3774.632128</v>
      </c>
      <c r="H159" s="1">
        <f t="shared" si="6"/>
        <v>6920.158901</v>
      </c>
      <c r="I159" s="1">
        <f t="shared" si="7"/>
        <v>11323.89638</v>
      </c>
    </row>
    <row r="160" hidden="1">
      <c r="A160" s="266">
        <f>IFERROR(__xludf.DUMMYFUNCTION("""COMPUTED_VALUE"""),42718.99861111111)</f>
        <v>42718.99861</v>
      </c>
      <c r="B160" s="1">
        <f>IFERROR(__xludf.DUMMYFUNCTION("""COMPUTED_VALUE"""),776.81)</f>
        <v>776.81</v>
      </c>
      <c r="C160" s="58">
        <f t="shared" si="1"/>
        <v>2902.998611</v>
      </c>
      <c r="D160" s="1">
        <f t="shared" si="2"/>
        <v>630.3637391</v>
      </c>
      <c r="E160" s="1">
        <f t="shared" si="3"/>
        <v>1134.65473</v>
      </c>
      <c r="F160" s="1">
        <f t="shared" si="4"/>
        <v>2143.236713</v>
      </c>
      <c r="G160" s="1">
        <f t="shared" si="5"/>
        <v>3782.182435</v>
      </c>
      <c r="H160" s="1">
        <f t="shared" si="6"/>
        <v>6934.00113</v>
      </c>
      <c r="I160" s="1">
        <f t="shared" si="7"/>
        <v>11346.5473</v>
      </c>
    </row>
    <row r="161" hidden="1">
      <c r="A161" s="266">
        <f>IFERROR(__xludf.DUMMYFUNCTION("""COMPUTED_VALUE"""),42719.99861111111)</f>
        <v>42719.99861</v>
      </c>
      <c r="B161" s="1">
        <f>IFERROR(__xludf.DUMMYFUNCTION("""COMPUTED_VALUE"""),776.86)</f>
        <v>776.86</v>
      </c>
      <c r="C161" s="58">
        <f t="shared" si="1"/>
        <v>2903.998611</v>
      </c>
      <c r="D161" s="1">
        <f t="shared" si="2"/>
        <v>631.624206</v>
      </c>
      <c r="E161" s="1">
        <f t="shared" si="3"/>
        <v>1136.923571</v>
      </c>
      <c r="F161" s="1">
        <f t="shared" si="4"/>
        <v>2147.5223</v>
      </c>
      <c r="G161" s="1">
        <f t="shared" si="5"/>
        <v>3789.745236</v>
      </c>
      <c r="H161" s="1">
        <f t="shared" si="6"/>
        <v>6947.866266</v>
      </c>
      <c r="I161" s="1">
        <f t="shared" si="7"/>
        <v>11369.23571</v>
      </c>
    </row>
    <row r="162" hidden="1">
      <c r="A162" s="266">
        <f>IFERROR(__xludf.DUMMYFUNCTION("""COMPUTED_VALUE"""),42720.99861111111)</f>
        <v>42720.99861</v>
      </c>
      <c r="B162" s="1">
        <f>IFERROR(__xludf.DUMMYFUNCTION("""COMPUTED_VALUE"""),778.93)</f>
        <v>778.93</v>
      </c>
      <c r="C162" s="58">
        <f t="shared" si="1"/>
        <v>2904.998611</v>
      </c>
      <c r="D162" s="1">
        <f t="shared" si="2"/>
        <v>632.886758</v>
      </c>
      <c r="E162" s="1">
        <f t="shared" si="3"/>
        <v>1139.196164</v>
      </c>
      <c r="F162" s="1">
        <f t="shared" si="4"/>
        <v>2151.814977</v>
      </c>
      <c r="G162" s="1">
        <f t="shared" si="5"/>
        <v>3797.320548</v>
      </c>
      <c r="H162" s="1">
        <f t="shared" si="6"/>
        <v>6961.754338</v>
      </c>
      <c r="I162" s="1">
        <f t="shared" si="7"/>
        <v>11391.96164</v>
      </c>
    </row>
    <row r="163" hidden="1">
      <c r="A163" s="266">
        <f>IFERROR(__xludf.DUMMYFUNCTION("""COMPUTED_VALUE"""),42723.99861111111)</f>
        <v>42723.99861</v>
      </c>
      <c r="B163" s="1">
        <f>IFERROR(__xludf.DUMMYFUNCTION("""COMPUTED_VALUE"""),789.31)</f>
        <v>789.31</v>
      </c>
      <c r="C163" s="58">
        <f t="shared" si="1"/>
        <v>2907.998611</v>
      </c>
      <c r="D163" s="1">
        <f t="shared" si="2"/>
        <v>636.6869523</v>
      </c>
      <c r="E163" s="1">
        <f t="shared" si="3"/>
        <v>1146.036514</v>
      </c>
      <c r="F163" s="1">
        <f t="shared" si="4"/>
        <v>2164.735638</v>
      </c>
      <c r="G163" s="1">
        <f t="shared" si="5"/>
        <v>3820.121714</v>
      </c>
      <c r="H163" s="1">
        <f t="shared" si="6"/>
        <v>7003.556475</v>
      </c>
      <c r="I163" s="1">
        <f t="shared" si="7"/>
        <v>11460.36514</v>
      </c>
    </row>
    <row r="164" hidden="1">
      <c r="A164" s="266">
        <f>IFERROR(__xludf.DUMMYFUNCTION("""COMPUTED_VALUE"""),42724.99861111111)</f>
        <v>42724.99861</v>
      </c>
      <c r="B164" s="1">
        <f>IFERROR(__xludf.DUMMYFUNCTION("""COMPUTED_VALUE"""),790.24)</f>
        <v>790.24</v>
      </c>
      <c r="C164" s="58">
        <f t="shared" si="1"/>
        <v>2908.998611</v>
      </c>
      <c r="D164" s="1">
        <f t="shared" si="2"/>
        <v>637.9578722</v>
      </c>
      <c r="E164" s="1">
        <f t="shared" si="3"/>
        <v>1148.32417</v>
      </c>
      <c r="F164" s="1">
        <f t="shared" si="4"/>
        <v>2169.056765</v>
      </c>
      <c r="G164" s="1">
        <f t="shared" si="5"/>
        <v>3827.747233</v>
      </c>
      <c r="H164" s="1">
        <f t="shared" si="6"/>
        <v>7017.536594</v>
      </c>
      <c r="I164" s="1">
        <f t="shared" si="7"/>
        <v>11483.2417</v>
      </c>
    </row>
    <row r="165" hidden="1">
      <c r="A165" s="266">
        <f>IFERROR(__xludf.DUMMYFUNCTION("""COMPUTED_VALUE"""),42725.99861111111)</f>
        <v>42725.99861</v>
      </c>
      <c r="B165" s="1">
        <f>IFERROR(__xludf.DUMMYFUNCTION("""COMPUTED_VALUE"""),816.27)</f>
        <v>816.27</v>
      </c>
      <c r="C165" s="58">
        <f t="shared" si="1"/>
        <v>2909.998611</v>
      </c>
      <c r="D165" s="1">
        <f t="shared" si="2"/>
        <v>639.2308909</v>
      </c>
      <c r="E165" s="1">
        <f t="shared" si="3"/>
        <v>1150.615604</v>
      </c>
      <c r="F165" s="1">
        <f t="shared" si="4"/>
        <v>2173.385029</v>
      </c>
      <c r="G165" s="1">
        <f t="shared" si="5"/>
        <v>3835.385345</v>
      </c>
      <c r="H165" s="1">
        <f t="shared" si="6"/>
        <v>7031.5398</v>
      </c>
      <c r="I165" s="1">
        <f t="shared" si="7"/>
        <v>11506.15604</v>
      </c>
    </row>
    <row r="166" hidden="1">
      <c r="A166" s="266">
        <f>IFERROR(__xludf.DUMMYFUNCTION("""COMPUTED_VALUE"""),42726.99861111111)</f>
        <v>42726.99861</v>
      </c>
      <c r="B166" s="1">
        <f>IFERROR(__xludf.DUMMYFUNCTION("""COMPUTED_VALUE"""),854.61)</f>
        <v>854.61</v>
      </c>
      <c r="C166" s="58">
        <f t="shared" si="1"/>
        <v>2910.998611</v>
      </c>
      <c r="D166" s="1">
        <f t="shared" si="2"/>
        <v>640.5060112</v>
      </c>
      <c r="E166" s="1">
        <f t="shared" si="3"/>
        <v>1152.91082</v>
      </c>
      <c r="F166" s="1">
        <f t="shared" si="4"/>
        <v>2177.720438</v>
      </c>
      <c r="G166" s="1">
        <f t="shared" si="5"/>
        <v>3843.036067</v>
      </c>
      <c r="H166" s="1">
        <f t="shared" si="6"/>
        <v>7045.566123</v>
      </c>
      <c r="I166" s="1">
        <f t="shared" si="7"/>
        <v>11529.1082</v>
      </c>
    </row>
    <row r="167" hidden="1">
      <c r="A167" s="266">
        <f>IFERROR(__xludf.DUMMYFUNCTION("""COMPUTED_VALUE"""),42727.99861111111)</f>
        <v>42727.99861</v>
      </c>
      <c r="B167" s="1">
        <f>IFERROR(__xludf.DUMMYFUNCTION("""COMPUTED_VALUE"""),897.66)</f>
        <v>897.66</v>
      </c>
      <c r="C167" s="58">
        <f t="shared" si="1"/>
        <v>2911.998611</v>
      </c>
      <c r="D167" s="1">
        <f t="shared" si="2"/>
        <v>641.7832358</v>
      </c>
      <c r="E167" s="1">
        <f t="shared" si="3"/>
        <v>1155.209824</v>
      </c>
      <c r="F167" s="1">
        <f t="shared" si="4"/>
        <v>2182.063002</v>
      </c>
      <c r="G167" s="1">
        <f t="shared" si="5"/>
        <v>3850.699415</v>
      </c>
      <c r="H167" s="1">
        <f t="shared" si="6"/>
        <v>7059.615594</v>
      </c>
      <c r="I167" s="1">
        <f t="shared" si="7"/>
        <v>11552.09824</v>
      </c>
    </row>
    <row r="168" hidden="1">
      <c r="A168" s="266">
        <f>IFERROR(__xludf.DUMMYFUNCTION("""COMPUTED_VALUE"""),42730.99861111111)</f>
        <v>42730.99861</v>
      </c>
      <c r="B168" s="1">
        <f>IFERROR(__xludf.DUMMYFUNCTION("""COMPUTED_VALUE"""),900.94)</f>
        <v>900.94</v>
      </c>
      <c r="C168" s="58">
        <f t="shared" si="1"/>
        <v>2914.998611</v>
      </c>
      <c r="D168" s="1">
        <f t="shared" si="2"/>
        <v>645.6275629</v>
      </c>
      <c r="E168" s="1">
        <f t="shared" si="3"/>
        <v>1162.129613</v>
      </c>
      <c r="F168" s="1">
        <f t="shared" si="4"/>
        <v>2195.133714</v>
      </c>
      <c r="G168" s="1">
        <f t="shared" si="5"/>
        <v>3873.765377</v>
      </c>
      <c r="H168" s="1">
        <f t="shared" si="6"/>
        <v>7101.903192</v>
      </c>
      <c r="I168" s="1">
        <f t="shared" si="7"/>
        <v>11621.29613</v>
      </c>
    </row>
    <row r="169" hidden="1">
      <c r="A169" s="266">
        <f>IFERROR(__xludf.DUMMYFUNCTION("""COMPUTED_VALUE"""),42731.99861111111)</f>
        <v>42731.99861</v>
      </c>
      <c r="B169" s="1">
        <f>IFERROR(__xludf.DUMMYFUNCTION("""COMPUTED_VALUE"""),917.1)</f>
        <v>917.1</v>
      </c>
      <c r="C169" s="58">
        <f t="shared" si="1"/>
        <v>2915.998611</v>
      </c>
      <c r="D169" s="1">
        <f t="shared" si="2"/>
        <v>646.9132322</v>
      </c>
      <c r="E169" s="1">
        <f t="shared" si="3"/>
        <v>1164.443818</v>
      </c>
      <c r="F169" s="1">
        <f t="shared" si="4"/>
        <v>2199.504989</v>
      </c>
      <c r="G169" s="1">
        <f t="shared" si="5"/>
        <v>3881.479393</v>
      </c>
      <c r="H169" s="1">
        <f t="shared" si="6"/>
        <v>7116.045554</v>
      </c>
      <c r="I169" s="1">
        <f t="shared" si="7"/>
        <v>11644.43818</v>
      </c>
    </row>
    <row r="170" hidden="1">
      <c r="A170" s="266">
        <f>IFERROR(__xludf.DUMMYFUNCTION("""COMPUTED_VALUE"""),42732.99861111111)</f>
        <v>42732.99861</v>
      </c>
      <c r="B170" s="1">
        <f>IFERROR(__xludf.DUMMYFUNCTION("""COMPUTED_VALUE"""),954.71)</f>
        <v>954.71</v>
      </c>
      <c r="C170" s="58">
        <f t="shared" si="1"/>
        <v>2916.998611</v>
      </c>
      <c r="D170" s="1">
        <f t="shared" si="2"/>
        <v>648.2010196</v>
      </c>
      <c r="E170" s="1">
        <f t="shared" si="3"/>
        <v>1166.761835</v>
      </c>
      <c r="F170" s="1">
        <f t="shared" si="4"/>
        <v>2203.883467</v>
      </c>
      <c r="G170" s="1">
        <f t="shared" si="5"/>
        <v>3889.206117</v>
      </c>
      <c r="H170" s="1">
        <f t="shared" si="6"/>
        <v>7130.211215</v>
      </c>
      <c r="I170" s="1">
        <f t="shared" si="7"/>
        <v>11667.61835</v>
      </c>
    </row>
    <row r="171" hidden="1">
      <c r="A171" s="266">
        <f>IFERROR(__xludf.DUMMYFUNCTION("""COMPUTED_VALUE"""),42733.99861111111)</f>
        <v>42733.99861</v>
      </c>
      <c r="B171" s="1">
        <f>IFERROR(__xludf.DUMMYFUNCTION("""COMPUTED_VALUE"""),969.3)</f>
        <v>969.3</v>
      </c>
      <c r="C171" s="58">
        <f t="shared" si="1"/>
        <v>2917.998611</v>
      </c>
      <c r="D171" s="1">
        <f t="shared" si="2"/>
        <v>649.4909278</v>
      </c>
      <c r="E171" s="1">
        <f t="shared" si="3"/>
        <v>1169.08367</v>
      </c>
      <c r="F171" s="1">
        <f t="shared" si="4"/>
        <v>2208.269155</v>
      </c>
      <c r="G171" s="1">
        <f t="shared" si="5"/>
        <v>3896.945567</v>
      </c>
      <c r="H171" s="1">
        <f t="shared" si="6"/>
        <v>7144.400206</v>
      </c>
      <c r="I171" s="1">
        <f t="shared" si="7"/>
        <v>11690.8367</v>
      </c>
    </row>
    <row r="172" hidden="1">
      <c r="A172" s="266">
        <f>IFERROR(__xludf.DUMMYFUNCTION("""COMPUTED_VALUE"""),42734.99861111111)</f>
        <v>42734.99861</v>
      </c>
      <c r="B172" s="1">
        <f>IFERROR(__xludf.DUMMYFUNCTION("""COMPUTED_VALUE"""),952.96)</f>
        <v>952.96</v>
      </c>
      <c r="C172" s="58">
        <f t="shared" si="1"/>
        <v>2918.998611</v>
      </c>
      <c r="D172" s="1">
        <f t="shared" si="2"/>
        <v>650.7829596</v>
      </c>
      <c r="E172" s="1">
        <f t="shared" si="3"/>
        <v>1171.409327</v>
      </c>
      <c r="F172" s="1">
        <f t="shared" si="4"/>
        <v>2212.662063</v>
      </c>
      <c r="G172" s="1">
        <f t="shared" si="5"/>
        <v>3904.697758</v>
      </c>
      <c r="H172" s="1">
        <f t="shared" si="6"/>
        <v>7158.612556</v>
      </c>
      <c r="I172" s="1">
        <f t="shared" si="7"/>
        <v>11714.09327</v>
      </c>
    </row>
    <row r="173" hidden="1">
      <c r="A173" s="266">
        <f>IFERROR(__xludf.DUMMYFUNCTION("""COMPUTED_VALUE"""),42737.99861111111)</f>
        <v>42737.99861</v>
      </c>
      <c r="B173" s="1">
        <f>IFERROR(__xludf.DUMMYFUNCTION("""COMPUTED_VALUE"""),1012.97)</f>
        <v>1012.97</v>
      </c>
      <c r="C173" s="58">
        <f t="shared" si="1"/>
        <v>2921.998611</v>
      </c>
      <c r="D173" s="1">
        <f t="shared" si="2"/>
        <v>654.6718243</v>
      </c>
      <c r="E173" s="1">
        <f t="shared" si="3"/>
        <v>1178.409284</v>
      </c>
      <c r="F173" s="1">
        <f t="shared" si="4"/>
        <v>2225.884203</v>
      </c>
      <c r="G173" s="1">
        <f t="shared" si="5"/>
        <v>3928.030946</v>
      </c>
      <c r="H173" s="1">
        <f t="shared" si="6"/>
        <v>7201.390068</v>
      </c>
      <c r="I173" s="1">
        <f t="shared" si="7"/>
        <v>11784.09284</v>
      </c>
    </row>
    <row r="174" hidden="1">
      <c r="A174" s="266">
        <f>IFERROR(__xludf.DUMMYFUNCTION("""COMPUTED_VALUE"""),42738.99861111111)</f>
        <v>42738.99861</v>
      </c>
      <c r="B174" s="1">
        <f>IFERROR(__xludf.DUMMYFUNCTION("""COMPUTED_VALUE"""),1020.47)</f>
        <v>1020.47</v>
      </c>
      <c r="C174" s="58">
        <f t="shared" si="1"/>
        <v>2922.998611</v>
      </c>
      <c r="D174" s="1">
        <f t="shared" si="2"/>
        <v>655.9723782</v>
      </c>
      <c r="E174" s="1">
        <f t="shared" si="3"/>
        <v>1180.750281</v>
      </c>
      <c r="F174" s="1">
        <f t="shared" si="4"/>
        <v>2230.306086</v>
      </c>
      <c r="G174" s="1">
        <f t="shared" si="5"/>
        <v>3935.834269</v>
      </c>
      <c r="H174" s="1">
        <f t="shared" si="6"/>
        <v>7215.696161</v>
      </c>
      <c r="I174" s="1">
        <f t="shared" si="7"/>
        <v>11807.50281</v>
      </c>
    </row>
    <row r="175" hidden="1">
      <c r="A175" s="266">
        <f>IFERROR(__xludf.DUMMYFUNCTION("""COMPUTED_VALUE"""),42739.99861111111)</f>
        <v>42739.99861</v>
      </c>
      <c r="B175" s="1">
        <f>IFERROR(__xludf.DUMMYFUNCTION("""COMPUTED_VALUE"""),1077.94)</f>
        <v>1077.94</v>
      </c>
      <c r="C175" s="58">
        <f t="shared" si="1"/>
        <v>2923.998611</v>
      </c>
      <c r="D175" s="1">
        <f t="shared" si="2"/>
        <v>657.2750696</v>
      </c>
      <c r="E175" s="1">
        <f t="shared" si="3"/>
        <v>1183.095125</v>
      </c>
      <c r="F175" s="1">
        <f t="shared" si="4"/>
        <v>2234.735237</v>
      </c>
      <c r="G175" s="1">
        <f t="shared" si="5"/>
        <v>3943.650418</v>
      </c>
      <c r="H175" s="1">
        <f t="shared" si="6"/>
        <v>7230.025766</v>
      </c>
      <c r="I175" s="1">
        <f t="shared" si="7"/>
        <v>11830.95125</v>
      </c>
    </row>
    <row r="176" hidden="1">
      <c r="A176" s="266">
        <f>IFERROR(__xludf.DUMMYFUNCTION("""COMPUTED_VALUE"""),42740.99861111111)</f>
        <v>42740.99861</v>
      </c>
      <c r="B176" s="1">
        <f>IFERROR(__xludf.DUMMYFUNCTION("""COMPUTED_VALUE"""),1047.81)</f>
        <v>1047.81</v>
      </c>
      <c r="C176" s="58">
        <f t="shared" si="1"/>
        <v>2924.998611</v>
      </c>
      <c r="D176" s="1">
        <f t="shared" si="2"/>
        <v>658.5799012</v>
      </c>
      <c r="E176" s="1">
        <f t="shared" si="3"/>
        <v>1185.443822</v>
      </c>
      <c r="F176" s="1">
        <f t="shared" si="4"/>
        <v>2239.171664</v>
      </c>
      <c r="G176" s="1">
        <f t="shared" si="5"/>
        <v>3951.479407</v>
      </c>
      <c r="H176" s="1">
        <f t="shared" si="6"/>
        <v>7244.378913</v>
      </c>
      <c r="I176" s="1">
        <f t="shared" si="7"/>
        <v>11854.43822</v>
      </c>
    </row>
    <row r="177" hidden="1">
      <c r="A177" s="266">
        <f>IFERROR(__xludf.DUMMYFUNCTION("""COMPUTED_VALUE"""),42741.99861111111)</f>
        <v>42741.99861</v>
      </c>
      <c r="B177" s="1">
        <f>IFERROR(__xludf.DUMMYFUNCTION("""COMPUTED_VALUE"""),931.62)</f>
        <v>931.62</v>
      </c>
      <c r="C177" s="58">
        <f t="shared" si="1"/>
        <v>2925.998611</v>
      </c>
      <c r="D177" s="1">
        <f t="shared" si="2"/>
        <v>659.8868758</v>
      </c>
      <c r="E177" s="1">
        <f t="shared" si="3"/>
        <v>1187.796376</v>
      </c>
      <c r="F177" s="1">
        <f t="shared" si="4"/>
        <v>2243.615378</v>
      </c>
      <c r="G177" s="1">
        <f t="shared" si="5"/>
        <v>3959.321255</v>
      </c>
      <c r="H177" s="1">
        <f t="shared" si="6"/>
        <v>7258.755634</v>
      </c>
      <c r="I177" s="1">
        <f t="shared" si="7"/>
        <v>11877.96376</v>
      </c>
    </row>
    <row r="178" hidden="1">
      <c r="A178" s="266">
        <f>IFERROR(__xludf.DUMMYFUNCTION("""COMPUTED_VALUE"""),42744.99861111111)</f>
        <v>42744.99861</v>
      </c>
      <c r="B178" s="1">
        <f>IFERROR(__xludf.DUMMYFUNCTION("""COMPUTED_VALUE"""),894.25)</f>
        <v>894.25</v>
      </c>
      <c r="C178" s="58">
        <f t="shared" si="1"/>
        <v>2928.998611</v>
      </c>
      <c r="D178" s="1">
        <f t="shared" si="2"/>
        <v>663.8206857</v>
      </c>
      <c r="E178" s="1">
        <f t="shared" si="3"/>
        <v>1194.877234</v>
      </c>
      <c r="F178" s="1">
        <f t="shared" si="4"/>
        <v>2256.990331</v>
      </c>
      <c r="G178" s="1">
        <f t="shared" si="5"/>
        <v>3982.924114</v>
      </c>
      <c r="H178" s="1">
        <f t="shared" si="6"/>
        <v>7302.027543</v>
      </c>
      <c r="I178" s="1">
        <f t="shared" si="7"/>
        <v>11948.77234</v>
      </c>
    </row>
    <row r="179" hidden="1">
      <c r="A179" s="266">
        <f>IFERROR(__xludf.DUMMYFUNCTION("""COMPUTED_VALUE"""),42745.99861111111)</f>
        <v>42745.99861</v>
      </c>
      <c r="B179" s="1">
        <f>IFERROR(__xludf.DUMMYFUNCTION("""COMPUTED_VALUE"""),902.01)</f>
        <v>902.01</v>
      </c>
      <c r="C179" s="58">
        <f t="shared" si="1"/>
        <v>2929.998611</v>
      </c>
      <c r="D179" s="1">
        <f t="shared" si="2"/>
        <v>665.1362603</v>
      </c>
      <c r="E179" s="1">
        <f t="shared" si="3"/>
        <v>1197.245268</v>
      </c>
      <c r="F179" s="1">
        <f t="shared" si="4"/>
        <v>2261.463285</v>
      </c>
      <c r="G179" s="1">
        <f t="shared" si="5"/>
        <v>3990.817562</v>
      </c>
      <c r="H179" s="1">
        <f t="shared" si="6"/>
        <v>7316.498863</v>
      </c>
      <c r="I179" s="1">
        <f t="shared" si="7"/>
        <v>11972.45268</v>
      </c>
    </row>
    <row r="180" hidden="1">
      <c r="A180" s="266">
        <f>IFERROR(__xludf.DUMMYFUNCTION("""COMPUTED_VALUE"""),42746.99861111111)</f>
        <v>42746.99861</v>
      </c>
      <c r="B180" s="1">
        <f>IFERROR(__xludf.DUMMYFUNCTION("""COMPUTED_VALUE"""),846.44)</f>
        <v>846.44</v>
      </c>
      <c r="C180" s="58">
        <f t="shared" si="1"/>
        <v>2930.998611</v>
      </c>
      <c r="D180" s="1">
        <f t="shared" si="2"/>
        <v>666.4539918</v>
      </c>
      <c r="E180" s="1">
        <f t="shared" si="3"/>
        <v>1199.617185</v>
      </c>
      <c r="F180" s="1">
        <f t="shared" si="4"/>
        <v>2265.943572</v>
      </c>
      <c r="G180" s="1">
        <f t="shared" si="5"/>
        <v>3998.723951</v>
      </c>
      <c r="H180" s="1">
        <f t="shared" si="6"/>
        <v>7330.99391</v>
      </c>
      <c r="I180" s="1">
        <f t="shared" si="7"/>
        <v>11996.17185</v>
      </c>
    </row>
    <row r="181" hidden="1">
      <c r="A181" s="266">
        <f>IFERROR(__xludf.DUMMYFUNCTION("""COMPUTED_VALUE"""),42747.99861111111)</f>
        <v>42747.99861</v>
      </c>
      <c r="B181" s="1">
        <f>IFERROR(__xludf.DUMMYFUNCTION("""COMPUTED_VALUE"""),784.75)</f>
        <v>784.75</v>
      </c>
      <c r="C181" s="58">
        <f t="shared" si="1"/>
        <v>2931.998611</v>
      </c>
      <c r="D181" s="1">
        <f t="shared" si="2"/>
        <v>667.7738832</v>
      </c>
      <c r="E181" s="1">
        <f t="shared" si="3"/>
        <v>1201.99299</v>
      </c>
      <c r="F181" s="1">
        <f t="shared" si="4"/>
        <v>2270.431203</v>
      </c>
      <c r="G181" s="1">
        <f t="shared" si="5"/>
        <v>4006.643299</v>
      </c>
      <c r="H181" s="1">
        <f t="shared" si="6"/>
        <v>7345.512715</v>
      </c>
      <c r="I181" s="1">
        <f t="shared" si="7"/>
        <v>12019.9299</v>
      </c>
    </row>
    <row r="182" hidden="1">
      <c r="A182" s="266">
        <f>IFERROR(__xludf.DUMMYFUNCTION("""COMPUTED_VALUE"""),42748.99861111111)</f>
        <v>42748.99861</v>
      </c>
      <c r="B182" s="1">
        <f>IFERROR(__xludf.DUMMYFUNCTION("""COMPUTED_VALUE"""),806.94)</f>
        <v>806.94</v>
      </c>
      <c r="C182" s="58">
        <f t="shared" si="1"/>
        <v>2932.998611</v>
      </c>
      <c r="D182" s="1">
        <f t="shared" si="2"/>
        <v>669.0959371</v>
      </c>
      <c r="E182" s="1">
        <f t="shared" si="3"/>
        <v>1204.372687</v>
      </c>
      <c r="F182" s="1">
        <f t="shared" si="4"/>
        <v>2274.926186</v>
      </c>
      <c r="G182" s="1">
        <f t="shared" si="5"/>
        <v>4014.575622</v>
      </c>
      <c r="H182" s="1">
        <f t="shared" si="6"/>
        <v>7360.055308</v>
      </c>
      <c r="I182" s="1">
        <f t="shared" si="7"/>
        <v>12043.72687</v>
      </c>
    </row>
    <row r="183" hidden="1">
      <c r="A183" s="266">
        <f>IFERROR(__xludf.DUMMYFUNCTION("""COMPUTED_VALUE"""),42751.99861111111)</f>
        <v>42751.99861</v>
      </c>
      <c r="B183" s="1">
        <f>IFERROR(__xludf.DUMMYFUNCTION("""COMPUTED_VALUE"""),827.44)</f>
        <v>827.44</v>
      </c>
      <c r="C183" s="58">
        <f t="shared" si="1"/>
        <v>2935.998611</v>
      </c>
      <c r="D183" s="1">
        <f t="shared" si="2"/>
        <v>673.0751023</v>
      </c>
      <c r="E183" s="1">
        <f t="shared" si="3"/>
        <v>1211.535184</v>
      </c>
      <c r="F183" s="1">
        <f t="shared" si="4"/>
        <v>2288.455348</v>
      </c>
      <c r="G183" s="1">
        <f t="shared" si="5"/>
        <v>4038.450614</v>
      </c>
      <c r="H183" s="1">
        <f t="shared" si="6"/>
        <v>7403.826125</v>
      </c>
      <c r="I183" s="1">
        <f t="shared" si="7"/>
        <v>12115.35184</v>
      </c>
    </row>
    <row r="184" hidden="1">
      <c r="A184" s="266">
        <f>IFERROR(__xludf.DUMMYFUNCTION("""COMPUTED_VALUE"""),42752.99861111111)</f>
        <v>42752.99861</v>
      </c>
      <c r="B184" s="1">
        <f>IFERROR(__xludf.DUMMYFUNCTION("""COMPUTED_VALUE"""),874.91)</f>
        <v>874.91</v>
      </c>
      <c r="C184" s="58">
        <f t="shared" si="1"/>
        <v>2936.998611</v>
      </c>
      <c r="D184" s="1">
        <f t="shared" si="2"/>
        <v>674.4058346</v>
      </c>
      <c r="E184" s="1">
        <f t="shared" si="3"/>
        <v>1213.930502</v>
      </c>
      <c r="F184" s="1">
        <f t="shared" si="4"/>
        <v>2292.979838</v>
      </c>
      <c r="G184" s="1">
        <f t="shared" si="5"/>
        <v>4046.435008</v>
      </c>
      <c r="H184" s="1">
        <f t="shared" si="6"/>
        <v>7418.46418</v>
      </c>
      <c r="I184" s="1">
        <f t="shared" si="7"/>
        <v>12139.30502</v>
      </c>
    </row>
    <row r="185" hidden="1">
      <c r="A185" s="266">
        <f>IFERROR(__xludf.DUMMYFUNCTION("""COMPUTED_VALUE"""),42753.99861111111)</f>
        <v>42753.99861</v>
      </c>
      <c r="B185" s="1">
        <f>IFERROR(__xludf.DUMMYFUNCTION("""COMPUTED_VALUE"""),884.54)</f>
        <v>884.54</v>
      </c>
      <c r="C185" s="58">
        <f t="shared" si="1"/>
        <v>2937.998611</v>
      </c>
      <c r="D185" s="1">
        <f t="shared" si="2"/>
        <v>675.7387435</v>
      </c>
      <c r="E185" s="1">
        <f t="shared" si="3"/>
        <v>1216.329738</v>
      </c>
      <c r="F185" s="1">
        <f t="shared" si="4"/>
        <v>2297.511728</v>
      </c>
      <c r="G185" s="1">
        <f t="shared" si="5"/>
        <v>4054.432461</v>
      </c>
      <c r="H185" s="1">
        <f t="shared" si="6"/>
        <v>7433.126178</v>
      </c>
      <c r="I185" s="1">
        <f t="shared" si="7"/>
        <v>12163.29738</v>
      </c>
    </row>
    <row r="186" hidden="1">
      <c r="A186" s="266">
        <f>IFERROR(__xludf.DUMMYFUNCTION("""COMPUTED_VALUE"""),42754.99861111111)</f>
        <v>42754.99861</v>
      </c>
      <c r="B186" s="1">
        <f>IFERROR(__xludf.DUMMYFUNCTION("""COMPUTED_VALUE"""),893.23)</f>
        <v>893.23</v>
      </c>
      <c r="C186" s="58">
        <f t="shared" si="1"/>
        <v>2938.998611</v>
      </c>
      <c r="D186" s="1">
        <f t="shared" si="2"/>
        <v>677.0738318</v>
      </c>
      <c r="E186" s="1">
        <f t="shared" si="3"/>
        <v>1218.732897</v>
      </c>
      <c r="F186" s="1">
        <f t="shared" si="4"/>
        <v>2302.051028</v>
      </c>
      <c r="G186" s="1">
        <f t="shared" si="5"/>
        <v>4062.442991</v>
      </c>
      <c r="H186" s="1">
        <f t="shared" si="6"/>
        <v>7447.81215</v>
      </c>
      <c r="I186" s="1">
        <f t="shared" si="7"/>
        <v>12187.32897</v>
      </c>
    </row>
    <row r="187" hidden="1">
      <c r="A187" s="266">
        <f>IFERROR(__xludf.DUMMYFUNCTION("""COMPUTED_VALUE"""),42755.99861111111)</f>
        <v>42755.99861</v>
      </c>
      <c r="B187" s="1">
        <f>IFERROR(__xludf.DUMMYFUNCTION("""COMPUTED_VALUE"""),895.25)</f>
        <v>895.25</v>
      </c>
      <c r="C187" s="58">
        <f t="shared" si="1"/>
        <v>2939.998611</v>
      </c>
      <c r="D187" s="1">
        <f t="shared" si="2"/>
        <v>678.4111024</v>
      </c>
      <c r="E187" s="1">
        <f t="shared" si="3"/>
        <v>1221.139984</v>
      </c>
      <c r="F187" s="1">
        <f t="shared" si="4"/>
        <v>2306.597748</v>
      </c>
      <c r="G187" s="1">
        <f t="shared" si="5"/>
        <v>4070.466615</v>
      </c>
      <c r="H187" s="1">
        <f t="shared" si="6"/>
        <v>7462.522127</v>
      </c>
      <c r="I187" s="1">
        <f t="shared" si="7"/>
        <v>12211.39984</v>
      </c>
    </row>
    <row r="188" hidden="1">
      <c r="A188" s="266">
        <f>IFERROR(__xludf.DUMMYFUNCTION("""COMPUTED_VALUE"""),42758.99861111111)</f>
        <v>42758.99861</v>
      </c>
      <c r="B188" s="1">
        <f>IFERROR(__xludf.DUMMYFUNCTION("""COMPUTED_VALUE"""),919.61)</f>
        <v>919.61</v>
      </c>
      <c r="C188" s="58">
        <f t="shared" si="1"/>
        <v>2942.998611</v>
      </c>
      <c r="D188" s="1">
        <f t="shared" si="2"/>
        <v>682.436036</v>
      </c>
      <c r="E188" s="1">
        <f t="shared" si="3"/>
        <v>1228.384865</v>
      </c>
      <c r="F188" s="1">
        <f t="shared" si="4"/>
        <v>2320.282522</v>
      </c>
      <c r="G188" s="1">
        <f t="shared" si="5"/>
        <v>4094.616216</v>
      </c>
      <c r="H188" s="1">
        <f t="shared" si="6"/>
        <v>7506.796396</v>
      </c>
      <c r="I188" s="1">
        <f t="shared" si="7"/>
        <v>12283.84865</v>
      </c>
    </row>
    <row r="189" hidden="1">
      <c r="A189" s="266">
        <f>IFERROR(__xludf.DUMMYFUNCTION("""COMPUTED_VALUE"""),42759.99861111111)</f>
        <v>42759.99861</v>
      </c>
      <c r="B189" s="1">
        <f>IFERROR(__xludf.DUMMYFUNCTION("""COMPUTED_VALUE"""),907.25)</f>
        <v>907.25</v>
      </c>
      <c r="C189" s="58">
        <f t="shared" si="1"/>
        <v>2943.998611</v>
      </c>
      <c r="D189" s="1">
        <f t="shared" si="2"/>
        <v>683.7820639</v>
      </c>
      <c r="E189" s="1">
        <f t="shared" si="3"/>
        <v>1230.807715</v>
      </c>
      <c r="F189" s="1">
        <f t="shared" si="4"/>
        <v>2324.859017</v>
      </c>
      <c r="G189" s="1">
        <f t="shared" si="5"/>
        <v>4102.692384</v>
      </c>
      <c r="H189" s="1">
        <f t="shared" si="6"/>
        <v>7521.602703</v>
      </c>
      <c r="I189" s="1">
        <f t="shared" si="7"/>
        <v>12308.07715</v>
      </c>
    </row>
    <row r="190" hidden="1">
      <c r="A190" s="266">
        <f>IFERROR(__xludf.DUMMYFUNCTION("""COMPUTED_VALUE"""),42760.99861111111)</f>
        <v>42760.99861</v>
      </c>
      <c r="B190" s="1">
        <f>IFERROR(__xludf.DUMMYFUNCTION("""COMPUTED_VALUE"""),894.98)</f>
        <v>894.98</v>
      </c>
      <c r="C190" s="58">
        <f t="shared" si="1"/>
        <v>2944.998611</v>
      </c>
      <c r="D190" s="1">
        <f t="shared" si="2"/>
        <v>685.1302882</v>
      </c>
      <c r="E190" s="1">
        <f t="shared" si="3"/>
        <v>1233.234519</v>
      </c>
      <c r="F190" s="1">
        <f t="shared" si="4"/>
        <v>2329.44298</v>
      </c>
      <c r="G190" s="1">
        <f t="shared" si="5"/>
        <v>4110.781729</v>
      </c>
      <c r="H190" s="1">
        <f t="shared" si="6"/>
        <v>7536.43317</v>
      </c>
      <c r="I190" s="1">
        <f t="shared" si="7"/>
        <v>12332.34519</v>
      </c>
    </row>
    <row r="191" hidden="1">
      <c r="A191" s="266">
        <f>IFERROR(__xludf.DUMMYFUNCTION("""COMPUTED_VALUE"""),42761.99861111111)</f>
        <v>42761.99861</v>
      </c>
      <c r="B191" s="1">
        <f>IFERROR(__xludf.DUMMYFUNCTION("""COMPUTED_VALUE"""),906.14)</f>
        <v>906.14</v>
      </c>
      <c r="C191" s="58">
        <f t="shared" si="1"/>
        <v>2945.998611</v>
      </c>
      <c r="D191" s="1">
        <f t="shared" si="2"/>
        <v>686.4807118</v>
      </c>
      <c r="E191" s="1">
        <f t="shared" si="3"/>
        <v>1235.665281</v>
      </c>
      <c r="F191" s="1">
        <f t="shared" si="4"/>
        <v>2334.03442</v>
      </c>
      <c r="G191" s="1">
        <f t="shared" si="5"/>
        <v>4118.884271</v>
      </c>
      <c r="H191" s="1">
        <f t="shared" si="6"/>
        <v>7551.287829</v>
      </c>
      <c r="I191" s="1">
        <f t="shared" si="7"/>
        <v>12356.65281</v>
      </c>
    </row>
    <row r="192" hidden="1">
      <c r="A192" s="266">
        <f>IFERROR(__xludf.DUMMYFUNCTION("""COMPUTED_VALUE"""),42762.99861111111)</f>
        <v>42762.99861</v>
      </c>
      <c r="B192" s="1">
        <f>IFERROR(__xludf.DUMMYFUNCTION("""COMPUTED_VALUE"""),916.64)</f>
        <v>916.64</v>
      </c>
      <c r="C192" s="58">
        <f t="shared" si="1"/>
        <v>2946.998611</v>
      </c>
      <c r="D192" s="1">
        <f t="shared" si="2"/>
        <v>687.8333374</v>
      </c>
      <c r="E192" s="1">
        <f t="shared" si="3"/>
        <v>1238.100007</v>
      </c>
      <c r="F192" s="1">
        <f t="shared" si="4"/>
        <v>2338.633347</v>
      </c>
      <c r="G192" s="1">
        <f t="shared" si="5"/>
        <v>4127.000024</v>
      </c>
      <c r="H192" s="1">
        <f t="shared" si="6"/>
        <v>7566.166711</v>
      </c>
      <c r="I192" s="1">
        <f t="shared" si="7"/>
        <v>12381.00007</v>
      </c>
    </row>
    <row r="193" hidden="1">
      <c r="A193" s="266">
        <f>IFERROR(__xludf.DUMMYFUNCTION("""COMPUTED_VALUE"""),42765.99861111111)</f>
        <v>42765.99861</v>
      </c>
      <c r="B193" s="1">
        <f>IFERROR(__xludf.DUMMYFUNCTION("""COMPUTED_VALUE"""),917.99)</f>
        <v>917.99</v>
      </c>
      <c r="C193" s="58">
        <f t="shared" si="1"/>
        <v>2949.998611</v>
      </c>
      <c r="D193" s="1">
        <f t="shared" si="2"/>
        <v>691.9044551</v>
      </c>
      <c r="E193" s="1">
        <f t="shared" si="3"/>
        <v>1245.428019</v>
      </c>
      <c r="F193" s="1">
        <f t="shared" si="4"/>
        <v>2352.475147</v>
      </c>
      <c r="G193" s="1">
        <f t="shared" si="5"/>
        <v>4151.426731</v>
      </c>
      <c r="H193" s="1">
        <f t="shared" si="6"/>
        <v>7610.949006</v>
      </c>
      <c r="I193" s="1">
        <f t="shared" si="7"/>
        <v>12454.28019</v>
      </c>
    </row>
    <row r="194" hidden="1">
      <c r="A194" s="266">
        <f>IFERROR(__xludf.DUMMYFUNCTION("""COMPUTED_VALUE"""),42766.99861111111)</f>
        <v>42766.99861</v>
      </c>
      <c r="B194" s="1">
        <f>IFERROR(__xludf.DUMMYFUNCTION("""COMPUTED_VALUE"""),940.44)</f>
        <v>940.44</v>
      </c>
      <c r="C194" s="58">
        <f t="shared" si="1"/>
        <v>2950.998611</v>
      </c>
      <c r="D194" s="1">
        <f t="shared" si="2"/>
        <v>693.2659175</v>
      </c>
      <c r="E194" s="1">
        <f t="shared" si="3"/>
        <v>1247.878651</v>
      </c>
      <c r="F194" s="1">
        <f t="shared" si="4"/>
        <v>2357.104119</v>
      </c>
      <c r="G194" s="1">
        <f t="shared" si="5"/>
        <v>4159.595505</v>
      </c>
      <c r="H194" s="1">
        <f t="shared" si="6"/>
        <v>7625.925092</v>
      </c>
      <c r="I194" s="1">
        <f t="shared" si="7"/>
        <v>12478.78651</v>
      </c>
    </row>
    <row r="195" hidden="1">
      <c r="A195" s="266">
        <f>IFERROR(__xludf.DUMMYFUNCTION("""COMPUTED_VALUE"""),42767.99861111111)</f>
        <v>42767.99861</v>
      </c>
      <c r="B195" s="1">
        <f>IFERROR(__xludf.DUMMYFUNCTION("""COMPUTED_VALUE"""),970.03)</f>
        <v>970.03</v>
      </c>
      <c r="C195" s="58">
        <f t="shared" si="1"/>
        <v>2951.998611</v>
      </c>
      <c r="D195" s="1">
        <f t="shared" si="2"/>
        <v>694.6295962</v>
      </c>
      <c r="E195" s="1">
        <f t="shared" si="3"/>
        <v>1250.333273</v>
      </c>
      <c r="F195" s="1">
        <f t="shared" si="4"/>
        <v>2361.740627</v>
      </c>
      <c r="G195" s="1">
        <f t="shared" si="5"/>
        <v>4167.777577</v>
      </c>
      <c r="H195" s="1">
        <f t="shared" si="6"/>
        <v>7640.925558</v>
      </c>
      <c r="I195" s="1">
        <f t="shared" si="7"/>
        <v>12503.33273</v>
      </c>
    </row>
    <row r="196" hidden="1">
      <c r="A196" s="266">
        <f>IFERROR(__xludf.DUMMYFUNCTION("""COMPUTED_VALUE"""),42768.99861111111)</f>
        <v>42768.99861</v>
      </c>
      <c r="B196" s="1">
        <f>IFERROR(__xludf.DUMMYFUNCTION("""COMPUTED_VALUE"""),990.65)</f>
        <v>990.65</v>
      </c>
      <c r="C196" s="58">
        <f t="shared" si="1"/>
        <v>2952.998611</v>
      </c>
      <c r="D196" s="1">
        <f t="shared" si="2"/>
        <v>695.995494</v>
      </c>
      <c r="E196" s="1">
        <f t="shared" si="3"/>
        <v>1252.791889</v>
      </c>
      <c r="F196" s="1">
        <f t="shared" si="4"/>
        <v>2366.38468</v>
      </c>
      <c r="G196" s="1">
        <f t="shared" si="5"/>
        <v>4175.972964</v>
      </c>
      <c r="H196" s="1">
        <f t="shared" si="6"/>
        <v>7655.950434</v>
      </c>
      <c r="I196" s="1">
        <f t="shared" si="7"/>
        <v>12527.91889</v>
      </c>
    </row>
    <row r="197" hidden="1">
      <c r="A197" s="266">
        <f>IFERROR(__xludf.DUMMYFUNCTION("""COMPUTED_VALUE"""),42769.99861111111)</f>
        <v>42769.99861</v>
      </c>
      <c r="B197" s="1">
        <f>IFERROR(__xludf.DUMMYFUNCTION("""COMPUTED_VALUE"""),1010.52)</f>
        <v>1010.52</v>
      </c>
      <c r="C197" s="58">
        <f t="shared" si="1"/>
        <v>2953.998611</v>
      </c>
      <c r="D197" s="1">
        <f t="shared" si="2"/>
        <v>697.3636139</v>
      </c>
      <c r="E197" s="1">
        <f t="shared" si="3"/>
        <v>1255.254505</v>
      </c>
      <c r="F197" s="1">
        <f t="shared" si="4"/>
        <v>2371.036287</v>
      </c>
      <c r="G197" s="1">
        <f t="shared" si="5"/>
        <v>4184.181683</v>
      </c>
      <c r="H197" s="1">
        <f t="shared" si="6"/>
        <v>7670.999753</v>
      </c>
      <c r="I197" s="1">
        <f t="shared" si="7"/>
        <v>12552.54505</v>
      </c>
    </row>
    <row r="198" hidden="1">
      <c r="A198" s="266">
        <f>IFERROR(__xludf.DUMMYFUNCTION("""COMPUTED_VALUE"""),42772.99861111111)</f>
        <v>42772.99861</v>
      </c>
      <c r="B198" s="1">
        <f>IFERROR(__xludf.DUMMYFUNCTION("""COMPUTED_VALUE"""),1018.47)</f>
        <v>1018.47</v>
      </c>
      <c r="C198" s="58">
        <f t="shared" si="1"/>
        <v>2956.998611</v>
      </c>
      <c r="D198" s="1">
        <f t="shared" si="2"/>
        <v>701.4813343</v>
      </c>
      <c r="E198" s="1">
        <f t="shared" si="3"/>
        <v>1262.666402</v>
      </c>
      <c r="F198" s="1">
        <f t="shared" si="4"/>
        <v>2385.036537</v>
      </c>
      <c r="G198" s="1">
        <f t="shared" si="5"/>
        <v>4208.888006</v>
      </c>
      <c r="H198" s="1">
        <f t="shared" si="6"/>
        <v>7716.294677</v>
      </c>
      <c r="I198" s="1">
        <f t="shared" si="7"/>
        <v>12626.66402</v>
      </c>
    </row>
    <row r="199" hidden="1">
      <c r="A199" s="266">
        <f>IFERROR(__xludf.DUMMYFUNCTION("""COMPUTED_VALUE"""),42773.99861111111)</f>
        <v>42773.99861</v>
      </c>
      <c r="B199" s="1">
        <f>IFERROR(__xludf.DUMMYFUNCTION("""COMPUTED_VALUE"""),1040.2)</f>
        <v>1040.2</v>
      </c>
      <c r="C199" s="58">
        <f t="shared" si="1"/>
        <v>2957.998611</v>
      </c>
      <c r="D199" s="1">
        <f t="shared" si="2"/>
        <v>702.8583709</v>
      </c>
      <c r="E199" s="1">
        <f t="shared" si="3"/>
        <v>1265.145068</v>
      </c>
      <c r="F199" s="1">
        <f t="shared" si="4"/>
        <v>2389.718461</v>
      </c>
      <c r="G199" s="1">
        <f t="shared" si="5"/>
        <v>4217.150225</v>
      </c>
      <c r="H199" s="1">
        <f t="shared" si="6"/>
        <v>7731.44208</v>
      </c>
      <c r="I199" s="1">
        <f t="shared" si="7"/>
        <v>12651.45068</v>
      </c>
    </row>
    <row r="200" hidden="1">
      <c r="A200" s="266">
        <f>IFERROR(__xludf.DUMMYFUNCTION("""COMPUTED_VALUE"""),42774.99861111111)</f>
        <v>42774.99861</v>
      </c>
      <c r="B200" s="1">
        <f>IFERROR(__xludf.DUMMYFUNCTION("""COMPUTED_VALUE"""),1050.71)</f>
        <v>1050.71</v>
      </c>
      <c r="C200" s="58">
        <f t="shared" si="1"/>
        <v>2958.998611</v>
      </c>
      <c r="D200" s="1">
        <f t="shared" si="2"/>
        <v>704.2376439</v>
      </c>
      <c r="E200" s="1">
        <f t="shared" si="3"/>
        <v>1267.627759</v>
      </c>
      <c r="F200" s="1">
        <f t="shared" si="4"/>
        <v>2394.407989</v>
      </c>
      <c r="G200" s="1">
        <f t="shared" si="5"/>
        <v>4225.425863</v>
      </c>
      <c r="H200" s="1">
        <f t="shared" si="6"/>
        <v>7746.614083</v>
      </c>
      <c r="I200" s="1">
        <f t="shared" si="7"/>
        <v>12676.27759</v>
      </c>
    </row>
    <row r="201" hidden="1">
      <c r="A201" s="266">
        <f>IFERROR(__xludf.DUMMYFUNCTION("""COMPUTED_VALUE"""),42775.99861111111)</f>
        <v>42775.99861</v>
      </c>
      <c r="B201" s="1">
        <f>IFERROR(__xludf.DUMMYFUNCTION("""COMPUTED_VALUE"""),1021.83)</f>
        <v>1021.83</v>
      </c>
      <c r="C201" s="58">
        <f t="shared" si="1"/>
        <v>2959.998611</v>
      </c>
      <c r="D201" s="1">
        <f t="shared" si="2"/>
        <v>705.6191561</v>
      </c>
      <c r="E201" s="1">
        <f t="shared" si="3"/>
        <v>1270.114481</v>
      </c>
      <c r="F201" s="1">
        <f t="shared" si="4"/>
        <v>2399.105131</v>
      </c>
      <c r="G201" s="1">
        <f t="shared" si="5"/>
        <v>4233.714937</v>
      </c>
      <c r="H201" s="1">
        <f t="shared" si="6"/>
        <v>7761.810717</v>
      </c>
      <c r="I201" s="1">
        <f t="shared" si="7"/>
        <v>12701.14481</v>
      </c>
    </row>
    <row r="202" hidden="1">
      <c r="A202" s="266">
        <f>IFERROR(__xludf.DUMMYFUNCTION("""COMPUTED_VALUE"""),42776.99861111111)</f>
        <v>42776.99861</v>
      </c>
      <c r="B202" s="1">
        <f>IFERROR(__xludf.DUMMYFUNCTION("""COMPUTED_VALUE"""),975.79)</f>
        <v>975.79</v>
      </c>
      <c r="C202" s="58">
        <f t="shared" si="1"/>
        <v>2960.998611</v>
      </c>
      <c r="D202" s="1">
        <f t="shared" si="2"/>
        <v>707.0029104</v>
      </c>
      <c r="E202" s="1">
        <f t="shared" si="3"/>
        <v>1272.605239</v>
      </c>
      <c r="F202" s="1">
        <f t="shared" si="4"/>
        <v>2403.809895</v>
      </c>
      <c r="G202" s="1">
        <f t="shared" si="5"/>
        <v>4242.017462</v>
      </c>
      <c r="H202" s="1">
        <f t="shared" si="6"/>
        <v>7777.032014</v>
      </c>
      <c r="I202" s="1">
        <f t="shared" si="7"/>
        <v>12726.05239</v>
      </c>
    </row>
    <row r="203" hidden="1">
      <c r="A203" s="266">
        <f>IFERROR(__xludf.DUMMYFUNCTION("""COMPUTED_VALUE"""),42779.99861111111)</f>
        <v>42779.99861</v>
      </c>
      <c r="B203" s="1">
        <f>IFERROR(__xludf.DUMMYFUNCTION("""COMPUTED_VALUE"""),996.31)</f>
        <v>996.31</v>
      </c>
      <c r="C203" s="58">
        <f t="shared" si="1"/>
        <v>2963.998611</v>
      </c>
      <c r="D203" s="1">
        <f t="shared" si="2"/>
        <v>711.1676548</v>
      </c>
      <c r="E203" s="1">
        <f t="shared" si="3"/>
        <v>1280.101779</v>
      </c>
      <c r="F203" s="1">
        <f t="shared" si="4"/>
        <v>2417.970026</v>
      </c>
      <c r="G203" s="1">
        <f t="shared" si="5"/>
        <v>4267.005929</v>
      </c>
      <c r="H203" s="1">
        <f t="shared" si="6"/>
        <v>7822.844203</v>
      </c>
      <c r="I203" s="1">
        <f t="shared" si="7"/>
        <v>12801.01779</v>
      </c>
    </row>
    <row r="204" hidden="1">
      <c r="A204" s="266">
        <f>IFERROR(__xludf.DUMMYFUNCTION("""COMPUTED_VALUE"""),42780.99861111111)</f>
        <v>42780.99861</v>
      </c>
      <c r="B204" s="1">
        <f>IFERROR(__xludf.DUMMYFUNCTION("""COMPUTED_VALUE"""),1004.77)</f>
        <v>1004.77</v>
      </c>
      <c r="C204" s="58">
        <f t="shared" si="1"/>
        <v>2964.998611</v>
      </c>
      <c r="D204" s="1">
        <f t="shared" si="2"/>
        <v>712.5604064</v>
      </c>
      <c r="E204" s="1">
        <f t="shared" si="3"/>
        <v>1282.608731</v>
      </c>
      <c r="F204" s="1">
        <f t="shared" si="4"/>
        <v>2422.705382</v>
      </c>
      <c r="G204" s="1">
        <f t="shared" si="5"/>
        <v>4275.362438</v>
      </c>
      <c r="H204" s="1">
        <f t="shared" si="6"/>
        <v>7838.16447</v>
      </c>
      <c r="I204" s="1">
        <f t="shared" si="7"/>
        <v>12826.08731</v>
      </c>
    </row>
    <row r="205" hidden="1">
      <c r="A205" s="266">
        <f>IFERROR(__xludf.DUMMYFUNCTION("""COMPUTED_VALUE"""),42781.99861111111)</f>
        <v>42781.99861</v>
      </c>
      <c r="B205" s="1">
        <f>IFERROR(__xludf.DUMMYFUNCTION("""COMPUTED_VALUE"""),1008.41)</f>
        <v>1008.41</v>
      </c>
      <c r="C205" s="58">
        <f t="shared" si="1"/>
        <v>2965.998611</v>
      </c>
      <c r="D205" s="1">
        <f t="shared" si="2"/>
        <v>713.9554145</v>
      </c>
      <c r="E205" s="1">
        <f t="shared" si="3"/>
        <v>1285.119746</v>
      </c>
      <c r="F205" s="1">
        <f t="shared" si="4"/>
        <v>2427.448409</v>
      </c>
      <c r="G205" s="1">
        <f t="shared" si="5"/>
        <v>4283.732487</v>
      </c>
      <c r="H205" s="1">
        <f t="shared" si="6"/>
        <v>7853.509559</v>
      </c>
      <c r="I205" s="1">
        <f t="shared" si="7"/>
        <v>12851.19746</v>
      </c>
    </row>
    <row r="206" hidden="1">
      <c r="A206" s="266">
        <f>IFERROR(__xludf.DUMMYFUNCTION("""COMPUTED_VALUE"""),42782.99861111111)</f>
        <v>42782.99861</v>
      </c>
      <c r="B206" s="1">
        <f>IFERROR(__xludf.DUMMYFUNCTION("""COMPUTED_VALUE"""),1025.44)</f>
        <v>1025.44</v>
      </c>
      <c r="C206" s="58">
        <f t="shared" si="1"/>
        <v>2966.998611</v>
      </c>
      <c r="D206" s="1">
        <f t="shared" si="2"/>
        <v>715.352682</v>
      </c>
      <c r="E206" s="1">
        <f t="shared" si="3"/>
        <v>1287.634828</v>
      </c>
      <c r="F206" s="1">
        <f t="shared" si="4"/>
        <v>2432.199119</v>
      </c>
      <c r="G206" s="1">
        <f t="shared" si="5"/>
        <v>4292.116092</v>
      </c>
      <c r="H206" s="1">
        <f t="shared" si="6"/>
        <v>7868.879502</v>
      </c>
      <c r="I206" s="1">
        <f t="shared" si="7"/>
        <v>12876.34828</v>
      </c>
    </row>
    <row r="207" hidden="1">
      <c r="A207" s="266">
        <f>IFERROR(__xludf.DUMMYFUNCTION("""COMPUTED_VALUE"""),42783.99861111111)</f>
        <v>42783.99861</v>
      </c>
      <c r="B207" s="1">
        <f>IFERROR(__xludf.DUMMYFUNCTION("""COMPUTED_VALUE"""),1047.11)</f>
        <v>1047.11</v>
      </c>
      <c r="C207" s="58">
        <f t="shared" si="1"/>
        <v>2967.998611</v>
      </c>
      <c r="D207" s="1">
        <f t="shared" si="2"/>
        <v>716.7522119</v>
      </c>
      <c r="E207" s="1">
        <f t="shared" si="3"/>
        <v>1290.153981</v>
      </c>
      <c r="F207" s="1">
        <f t="shared" si="4"/>
        <v>2436.95752</v>
      </c>
      <c r="G207" s="1">
        <f t="shared" si="5"/>
        <v>4300.513271</v>
      </c>
      <c r="H207" s="1">
        <f t="shared" si="6"/>
        <v>7884.274331</v>
      </c>
      <c r="I207" s="1">
        <f t="shared" si="7"/>
        <v>12901.53981</v>
      </c>
    </row>
    <row r="208" hidden="1">
      <c r="A208" s="266">
        <f>IFERROR(__xludf.DUMMYFUNCTION("""COMPUTED_VALUE"""),42786.99861111111)</f>
        <v>42786.99861</v>
      </c>
      <c r="B208" s="1">
        <f>IFERROR(__xludf.DUMMYFUNCTION("""COMPUTED_VALUE"""),1056.3)</f>
        <v>1056.3</v>
      </c>
      <c r="C208" s="58">
        <f t="shared" si="1"/>
        <v>2970.998611</v>
      </c>
      <c r="D208" s="1">
        <f t="shared" si="2"/>
        <v>720.9644044</v>
      </c>
      <c r="E208" s="1">
        <f t="shared" si="3"/>
        <v>1297.735928</v>
      </c>
      <c r="F208" s="1">
        <f t="shared" si="4"/>
        <v>2451.278975</v>
      </c>
      <c r="G208" s="1">
        <f t="shared" si="5"/>
        <v>4325.786426</v>
      </c>
      <c r="H208" s="1">
        <f t="shared" si="6"/>
        <v>7930.608448</v>
      </c>
      <c r="I208" s="1">
        <f t="shared" si="7"/>
        <v>12977.35928</v>
      </c>
    </row>
    <row r="209" hidden="1">
      <c r="A209" s="266">
        <f>IFERROR(__xludf.DUMMYFUNCTION("""COMPUTED_VALUE"""),42787.99861111111)</f>
        <v>42787.99861</v>
      </c>
      <c r="B209" s="1">
        <f>IFERROR(__xludf.DUMMYFUNCTION("""COMPUTED_VALUE"""),1100.31)</f>
        <v>1100.31</v>
      </c>
      <c r="C209" s="58">
        <f t="shared" si="1"/>
        <v>2971.998611</v>
      </c>
      <c r="D209" s="1">
        <f t="shared" si="2"/>
        <v>722.3730126</v>
      </c>
      <c r="E209" s="1">
        <f t="shared" si="3"/>
        <v>1300.271423</v>
      </c>
      <c r="F209" s="1">
        <f t="shared" si="4"/>
        <v>2456.068243</v>
      </c>
      <c r="G209" s="1">
        <f t="shared" si="5"/>
        <v>4334.238075</v>
      </c>
      <c r="H209" s="1">
        <f t="shared" si="6"/>
        <v>7946.103138</v>
      </c>
      <c r="I209" s="1">
        <f t="shared" si="7"/>
        <v>13002.71423</v>
      </c>
    </row>
    <row r="210" hidden="1">
      <c r="A210" s="266">
        <f>IFERROR(__xludf.DUMMYFUNCTION("""COMPUTED_VALUE"""),42788.99861111111)</f>
        <v>42788.99861</v>
      </c>
      <c r="B210" s="1">
        <f>IFERROR(__xludf.DUMMYFUNCTION("""COMPUTED_VALUE"""),1120.37)</f>
        <v>1120.37</v>
      </c>
      <c r="C210" s="58">
        <f t="shared" si="1"/>
        <v>2972.998611</v>
      </c>
      <c r="D210" s="1">
        <f t="shared" si="2"/>
        <v>723.7838976</v>
      </c>
      <c r="E210" s="1">
        <f t="shared" si="3"/>
        <v>1302.811016</v>
      </c>
      <c r="F210" s="1">
        <f t="shared" si="4"/>
        <v>2460.865252</v>
      </c>
      <c r="G210" s="1">
        <f t="shared" si="5"/>
        <v>4342.703385</v>
      </c>
      <c r="H210" s="1">
        <f t="shared" si="6"/>
        <v>7961.622873</v>
      </c>
      <c r="I210" s="1">
        <f t="shared" si="7"/>
        <v>13028.11016</v>
      </c>
    </row>
    <row r="211" hidden="1">
      <c r="A211" s="266">
        <f>IFERROR(__xludf.DUMMYFUNCTION("""COMPUTED_VALUE"""),42789.99861111111)</f>
        <v>42789.99861</v>
      </c>
      <c r="B211" s="1">
        <f>IFERROR(__xludf.DUMMYFUNCTION("""COMPUTED_VALUE"""),1145.58)</f>
        <v>1145.58</v>
      </c>
      <c r="C211" s="58">
        <f t="shared" si="1"/>
        <v>2973.998611</v>
      </c>
      <c r="D211" s="1">
        <f t="shared" si="2"/>
        <v>725.1970623</v>
      </c>
      <c r="E211" s="1">
        <f t="shared" si="3"/>
        <v>1305.354712</v>
      </c>
      <c r="F211" s="1">
        <f t="shared" si="4"/>
        <v>2465.670012</v>
      </c>
      <c r="G211" s="1">
        <f t="shared" si="5"/>
        <v>4351.182374</v>
      </c>
      <c r="H211" s="1">
        <f t="shared" si="6"/>
        <v>7977.167686</v>
      </c>
      <c r="I211" s="1">
        <f t="shared" si="7"/>
        <v>13053.54712</v>
      </c>
    </row>
    <row r="212" hidden="1">
      <c r="A212" s="266">
        <f>IFERROR(__xludf.DUMMYFUNCTION("""COMPUTED_VALUE"""),42790.99861111111)</f>
        <v>42790.99861</v>
      </c>
      <c r="B212" s="1">
        <f>IFERROR(__xludf.DUMMYFUNCTION("""COMPUTED_VALUE"""),1185.01)</f>
        <v>1185.01</v>
      </c>
      <c r="C212" s="58">
        <f t="shared" si="1"/>
        <v>2974.998611</v>
      </c>
      <c r="D212" s="1">
        <f t="shared" si="2"/>
        <v>726.6125098</v>
      </c>
      <c r="E212" s="1">
        <f t="shared" si="3"/>
        <v>1307.902518</v>
      </c>
      <c r="F212" s="1">
        <f t="shared" si="4"/>
        <v>2470.482533</v>
      </c>
      <c r="G212" s="1">
        <f t="shared" si="5"/>
        <v>4359.675059</v>
      </c>
      <c r="H212" s="1">
        <f t="shared" si="6"/>
        <v>7992.737608</v>
      </c>
      <c r="I212" s="1">
        <f t="shared" si="7"/>
        <v>13079.02518</v>
      </c>
    </row>
    <row r="213" hidden="1">
      <c r="A213" s="266">
        <f>IFERROR(__xludf.DUMMYFUNCTION("""COMPUTED_VALUE"""),42793.99861111111)</f>
        <v>42793.99861</v>
      </c>
      <c r="B213" s="1">
        <f>IFERROR(__xludf.DUMMYFUNCTION("""COMPUTED_VALUE"""),1184.47)</f>
        <v>1184.47</v>
      </c>
      <c r="C213" s="58">
        <f t="shared" si="1"/>
        <v>2977.998611</v>
      </c>
      <c r="D213" s="1">
        <f t="shared" si="2"/>
        <v>730.8725774</v>
      </c>
      <c r="E213" s="1">
        <f t="shared" si="3"/>
        <v>1315.570639</v>
      </c>
      <c r="F213" s="1">
        <f t="shared" si="4"/>
        <v>2484.966763</v>
      </c>
      <c r="G213" s="1">
        <f t="shared" si="5"/>
        <v>4385.235464</v>
      </c>
      <c r="H213" s="1">
        <f t="shared" si="6"/>
        <v>8039.598351</v>
      </c>
      <c r="I213" s="1">
        <f t="shared" si="7"/>
        <v>13155.70639</v>
      </c>
    </row>
    <row r="214" hidden="1">
      <c r="A214" s="266">
        <f>IFERROR(__xludf.DUMMYFUNCTION("""COMPUTED_VALUE"""),42794.99861111111)</f>
        <v>42794.99861</v>
      </c>
      <c r="B214" s="1">
        <f>IFERROR(__xludf.DUMMYFUNCTION("""COMPUTED_VALUE"""),1192.12)</f>
        <v>1192.12</v>
      </c>
      <c r="C214" s="58">
        <f t="shared" si="1"/>
        <v>2978.998611</v>
      </c>
      <c r="D214" s="1">
        <f t="shared" si="2"/>
        <v>732.2971847</v>
      </c>
      <c r="E214" s="1">
        <f t="shared" si="3"/>
        <v>1318.134932</v>
      </c>
      <c r="F214" s="1">
        <f t="shared" si="4"/>
        <v>2489.810428</v>
      </c>
      <c r="G214" s="1">
        <f t="shared" si="5"/>
        <v>4393.783108</v>
      </c>
      <c r="H214" s="1">
        <f t="shared" si="6"/>
        <v>8055.269032</v>
      </c>
      <c r="I214" s="1">
        <f t="shared" si="7"/>
        <v>13181.34932</v>
      </c>
    </row>
    <row r="215" hidden="1">
      <c r="A215" s="266">
        <f>IFERROR(__xludf.DUMMYFUNCTION("""COMPUTED_VALUE"""),42795.99861111111)</f>
        <v>42795.99861</v>
      </c>
      <c r="B215" s="1">
        <f>IFERROR(__xludf.DUMMYFUNCTION("""COMPUTED_VALUE"""),1205.0)</f>
        <v>1205</v>
      </c>
      <c r="C215" s="58">
        <f t="shared" si="1"/>
        <v>2979.998611</v>
      </c>
      <c r="D215" s="1">
        <f t="shared" si="2"/>
        <v>733.7240894</v>
      </c>
      <c r="E215" s="1">
        <f t="shared" si="3"/>
        <v>1320.703361</v>
      </c>
      <c r="F215" s="1">
        <f t="shared" si="4"/>
        <v>2494.661904</v>
      </c>
      <c r="G215" s="1">
        <f t="shared" si="5"/>
        <v>4402.344536</v>
      </c>
      <c r="H215" s="1">
        <f t="shared" si="6"/>
        <v>8070.964983</v>
      </c>
      <c r="I215" s="1">
        <f t="shared" si="7"/>
        <v>13207.03361</v>
      </c>
    </row>
    <row r="216" hidden="1">
      <c r="A216" s="266">
        <f>IFERROR(__xludf.DUMMYFUNCTION("""COMPUTED_VALUE"""),42796.99861111111)</f>
        <v>42796.99861</v>
      </c>
      <c r="B216" s="1">
        <f>IFERROR(__xludf.DUMMYFUNCTION("""COMPUTED_VALUE"""),1238.86)</f>
        <v>1238.86</v>
      </c>
      <c r="C216" s="58">
        <f t="shared" si="1"/>
        <v>2980.998611</v>
      </c>
      <c r="D216" s="1">
        <f t="shared" si="2"/>
        <v>735.1532942</v>
      </c>
      <c r="E216" s="1">
        <f t="shared" si="3"/>
        <v>1323.27593</v>
      </c>
      <c r="F216" s="1">
        <f t="shared" si="4"/>
        <v>2499.5212</v>
      </c>
      <c r="G216" s="1">
        <f t="shared" si="5"/>
        <v>4410.919765</v>
      </c>
      <c r="H216" s="1">
        <f t="shared" si="6"/>
        <v>8086.686236</v>
      </c>
      <c r="I216" s="1">
        <f t="shared" si="7"/>
        <v>13232.7593</v>
      </c>
    </row>
    <row r="217" hidden="1">
      <c r="A217" s="266">
        <f>IFERROR(__xludf.DUMMYFUNCTION("""COMPUTED_VALUE"""),42797.99861111111)</f>
        <v>42797.99861</v>
      </c>
      <c r="B217" s="1">
        <f>IFERROR(__xludf.DUMMYFUNCTION("""COMPUTED_VALUE"""),1272.84)</f>
        <v>1272.84</v>
      </c>
      <c r="C217" s="58">
        <f t="shared" si="1"/>
        <v>2981.998611</v>
      </c>
      <c r="D217" s="1">
        <f t="shared" si="2"/>
        <v>736.5848022</v>
      </c>
      <c r="E217" s="1">
        <f t="shared" si="3"/>
        <v>1325.852644</v>
      </c>
      <c r="F217" s="1">
        <f t="shared" si="4"/>
        <v>2504.388328</v>
      </c>
      <c r="G217" s="1">
        <f t="shared" si="5"/>
        <v>4419.508813</v>
      </c>
      <c r="H217" s="1">
        <f t="shared" si="6"/>
        <v>8102.432825</v>
      </c>
      <c r="I217" s="1">
        <f t="shared" si="7"/>
        <v>13258.52644</v>
      </c>
    </row>
    <row r="218" hidden="1">
      <c r="A218" s="266">
        <f>IFERROR(__xludf.DUMMYFUNCTION("""COMPUTED_VALUE"""),42800.99861111111)</f>
        <v>42800.99861</v>
      </c>
      <c r="B218" s="1">
        <f>IFERROR(__xludf.DUMMYFUNCTION("""COMPUTED_VALUE"""),1275.89)</f>
        <v>1275.89</v>
      </c>
      <c r="C218" s="58">
        <f t="shared" si="1"/>
        <v>2984.998611</v>
      </c>
      <c r="D218" s="1">
        <f t="shared" si="2"/>
        <v>740.8931746</v>
      </c>
      <c r="E218" s="1">
        <f t="shared" si="3"/>
        <v>1333.607714</v>
      </c>
      <c r="F218" s="1">
        <f t="shared" si="4"/>
        <v>2519.036794</v>
      </c>
      <c r="G218" s="1">
        <f t="shared" si="5"/>
        <v>4445.359048</v>
      </c>
      <c r="H218" s="1">
        <f t="shared" si="6"/>
        <v>8149.824921</v>
      </c>
      <c r="I218" s="1">
        <f t="shared" si="7"/>
        <v>13336.07714</v>
      </c>
    </row>
    <row r="219" hidden="1">
      <c r="A219" s="266">
        <f>IFERROR(__xludf.DUMMYFUNCTION("""COMPUTED_VALUE"""),42801.99861111111)</f>
        <v>42801.99861</v>
      </c>
      <c r="B219" s="1">
        <f>IFERROR(__xludf.DUMMYFUNCTION("""COMPUTED_VALUE"""),1253.74)</f>
        <v>1253.74</v>
      </c>
      <c r="C219" s="58">
        <f t="shared" si="1"/>
        <v>2985.998611</v>
      </c>
      <c r="D219" s="1">
        <f t="shared" si="2"/>
        <v>742.3339247</v>
      </c>
      <c r="E219" s="1">
        <f t="shared" si="3"/>
        <v>1336.201064</v>
      </c>
      <c r="F219" s="1">
        <f t="shared" si="4"/>
        <v>2523.935344</v>
      </c>
      <c r="G219" s="1">
        <f t="shared" si="5"/>
        <v>4454.003548</v>
      </c>
      <c r="H219" s="1">
        <f t="shared" si="6"/>
        <v>8165.673172</v>
      </c>
      <c r="I219" s="1">
        <f t="shared" si="7"/>
        <v>13362.01064</v>
      </c>
    </row>
    <row r="220" hidden="1">
      <c r="A220" s="266">
        <f>IFERROR(__xludf.DUMMYFUNCTION("""COMPUTED_VALUE"""),42802.99861111111)</f>
        <v>42802.99861</v>
      </c>
      <c r="B220" s="1">
        <f>IFERROR(__xludf.DUMMYFUNCTION("""COMPUTED_VALUE"""),1196.73)</f>
        <v>1196.73</v>
      </c>
      <c r="C220" s="58">
        <f t="shared" si="1"/>
        <v>2986.998611</v>
      </c>
      <c r="D220" s="1">
        <f t="shared" si="2"/>
        <v>743.7769926</v>
      </c>
      <c r="E220" s="1">
        <f t="shared" si="3"/>
        <v>1338.798587</v>
      </c>
      <c r="F220" s="1">
        <f t="shared" si="4"/>
        <v>2528.841775</v>
      </c>
      <c r="G220" s="1">
        <f t="shared" si="5"/>
        <v>4462.661956</v>
      </c>
      <c r="H220" s="1">
        <f t="shared" si="6"/>
        <v>8181.546919</v>
      </c>
      <c r="I220" s="1">
        <f t="shared" si="7"/>
        <v>13387.98587</v>
      </c>
    </row>
    <row r="221" hidden="1">
      <c r="A221" s="266">
        <f>IFERROR(__xludf.DUMMYFUNCTION("""COMPUTED_VALUE"""),42803.99861111111)</f>
        <v>42803.99861</v>
      </c>
      <c r="B221" s="1">
        <f>IFERROR(__xludf.DUMMYFUNCTION("""COMPUTED_VALUE"""),1176.06)</f>
        <v>1176.06</v>
      </c>
      <c r="C221" s="58">
        <f t="shared" si="1"/>
        <v>2987.998611</v>
      </c>
      <c r="D221" s="1">
        <f t="shared" si="2"/>
        <v>745.2223814</v>
      </c>
      <c r="E221" s="1">
        <f t="shared" si="3"/>
        <v>1341.400286</v>
      </c>
      <c r="F221" s="1">
        <f t="shared" si="4"/>
        <v>2533.756097</v>
      </c>
      <c r="G221" s="1">
        <f t="shared" si="5"/>
        <v>4471.334288</v>
      </c>
      <c r="H221" s="1">
        <f t="shared" si="6"/>
        <v>8197.446195</v>
      </c>
      <c r="I221" s="1">
        <f t="shared" si="7"/>
        <v>13414.00286</v>
      </c>
    </row>
    <row r="222" hidden="1">
      <c r="A222" s="266">
        <f>IFERROR(__xludf.DUMMYFUNCTION("""COMPUTED_VALUE"""),42804.99861111111)</f>
        <v>42804.99861</v>
      </c>
      <c r="B222" s="1">
        <f>IFERROR(__xludf.DUMMYFUNCTION("""COMPUTED_VALUE"""),1201.86)</f>
        <v>1201.86</v>
      </c>
      <c r="C222" s="58">
        <f t="shared" si="1"/>
        <v>2988.998611</v>
      </c>
      <c r="D222" s="1">
        <f t="shared" si="2"/>
        <v>746.6700939</v>
      </c>
      <c r="E222" s="1">
        <f t="shared" si="3"/>
        <v>1344.006169</v>
      </c>
      <c r="F222" s="1">
        <f t="shared" si="4"/>
        <v>2538.678319</v>
      </c>
      <c r="G222" s="1">
        <f t="shared" si="5"/>
        <v>4480.020563</v>
      </c>
      <c r="H222" s="1">
        <f t="shared" si="6"/>
        <v>8213.371033</v>
      </c>
      <c r="I222" s="1">
        <f t="shared" si="7"/>
        <v>13440.06169</v>
      </c>
    </row>
    <row r="223" hidden="1">
      <c r="A223" s="266">
        <f>IFERROR(__xludf.DUMMYFUNCTION("""COMPUTED_VALUE"""),42807.99861111111)</f>
        <v>42807.99861</v>
      </c>
      <c r="B223" s="1">
        <f>IFERROR(__xludf.DUMMYFUNCTION("""COMPUTED_VALUE"""),1230.09)</f>
        <v>1230.09</v>
      </c>
      <c r="C223" s="58">
        <f t="shared" si="1"/>
        <v>2991.998611</v>
      </c>
      <c r="D223" s="1">
        <f t="shared" si="2"/>
        <v>751.0272037</v>
      </c>
      <c r="E223" s="1">
        <f t="shared" si="3"/>
        <v>1351.848967</v>
      </c>
      <c r="F223" s="1">
        <f t="shared" si="4"/>
        <v>2553.492493</v>
      </c>
      <c r="G223" s="1">
        <f t="shared" si="5"/>
        <v>4506.163222</v>
      </c>
      <c r="H223" s="1">
        <f t="shared" si="6"/>
        <v>8261.29924</v>
      </c>
      <c r="I223" s="1">
        <f t="shared" si="7"/>
        <v>13518.48967</v>
      </c>
    </row>
    <row r="224" hidden="1">
      <c r="A224" s="266">
        <f>IFERROR(__xludf.DUMMYFUNCTION("""COMPUTED_VALUE"""),42808.99861111111)</f>
        <v>42808.99861</v>
      </c>
      <c r="B224" s="1">
        <f>IFERROR(__xludf.DUMMYFUNCTION("""COMPUTED_VALUE"""),1240.57)</f>
        <v>1240.57</v>
      </c>
      <c r="C224" s="58">
        <f t="shared" si="1"/>
        <v>2992.998611</v>
      </c>
      <c r="D224" s="1">
        <f t="shared" si="2"/>
        <v>752.4842409</v>
      </c>
      <c r="E224" s="1">
        <f t="shared" si="3"/>
        <v>1354.471634</v>
      </c>
      <c r="F224" s="1">
        <f t="shared" si="4"/>
        <v>2558.446419</v>
      </c>
      <c r="G224" s="1">
        <f t="shared" si="5"/>
        <v>4514.905445</v>
      </c>
      <c r="H224" s="1">
        <f t="shared" si="6"/>
        <v>8277.32665</v>
      </c>
      <c r="I224" s="1">
        <f t="shared" si="7"/>
        <v>13544.71634</v>
      </c>
    </row>
    <row r="225" hidden="1">
      <c r="A225" s="266">
        <f>IFERROR(__xludf.DUMMYFUNCTION("""COMPUTED_VALUE"""),42809.99861111111)</f>
        <v>42809.99861</v>
      </c>
      <c r="B225" s="1">
        <f>IFERROR(__xludf.DUMMYFUNCTION("""COMPUTED_VALUE"""),1250.5)</f>
        <v>1250.5</v>
      </c>
      <c r="C225" s="58">
        <f t="shared" si="1"/>
        <v>2993.998611</v>
      </c>
      <c r="D225" s="1">
        <f t="shared" si="2"/>
        <v>753.9436167</v>
      </c>
      <c r="E225" s="1">
        <f t="shared" si="3"/>
        <v>1357.09851</v>
      </c>
      <c r="F225" s="1">
        <f t="shared" si="4"/>
        <v>2563.408297</v>
      </c>
      <c r="G225" s="1">
        <f t="shared" si="5"/>
        <v>4523.6617</v>
      </c>
      <c r="H225" s="1">
        <f t="shared" si="6"/>
        <v>8293.379784</v>
      </c>
      <c r="I225" s="1">
        <f t="shared" si="7"/>
        <v>13570.9851</v>
      </c>
    </row>
    <row r="226" hidden="1">
      <c r="A226" s="266">
        <f>IFERROR(__xludf.DUMMYFUNCTION("""COMPUTED_VALUE"""),42810.99861111111)</f>
        <v>42810.99861</v>
      </c>
      <c r="B226" s="1">
        <f>IFERROR(__xludf.DUMMYFUNCTION("""COMPUTED_VALUE"""),1219.64)</f>
        <v>1219.64</v>
      </c>
      <c r="C226" s="58">
        <f t="shared" si="1"/>
        <v>2994.998611</v>
      </c>
      <c r="D226" s="1">
        <f t="shared" si="2"/>
        <v>755.4053341</v>
      </c>
      <c r="E226" s="1">
        <f t="shared" si="3"/>
        <v>1359.729601</v>
      </c>
      <c r="F226" s="1">
        <f t="shared" si="4"/>
        <v>2568.378136</v>
      </c>
      <c r="G226" s="1">
        <f t="shared" si="5"/>
        <v>4532.432004</v>
      </c>
      <c r="H226" s="1">
        <f t="shared" si="6"/>
        <v>8309.458675</v>
      </c>
      <c r="I226" s="1">
        <f t="shared" si="7"/>
        <v>13597.29601</v>
      </c>
    </row>
    <row r="227" hidden="1">
      <c r="A227" s="266">
        <f>IFERROR(__xludf.DUMMYFUNCTION("""COMPUTED_VALUE"""),42811.99861111111)</f>
        <v>42811.99861</v>
      </c>
      <c r="B227" s="1">
        <f>IFERROR(__xludf.DUMMYFUNCTION("""COMPUTED_VALUE"""),1131.17)</f>
        <v>1131.17</v>
      </c>
      <c r="C227" s="58">
        <f t="shared" si="1"/>
        <v>2995.998611</v>
      </c>
      <c r="D227" s="1">
        <f t="shared" si="2"/>
        <v>756.869396</v>
      </c>
      <c r="E227" s="1">
        <f t="shared" si="3"/>
        <v>1362.364913</v>
      </c>
      <c r="F227" s="1">
        <f t="shared" si="4"/>
        <v>2573.355946</v>
      </c>
      <c r="G227" s="1">
        <f t="shared" si="5"/>
        <v>4541.216376</v>
      </c>
      <c r="H227" s="1">
        <f t="shared" si="6"/>
        <v>8325.563356</v>
      </c>
      <c r="I227" s="1">
        <f t="shared" si="7"/>
        <v>13623.64913</v>
      </c>
    </row>
    <row r="228" hidden="1">
      <c r="A228" s="266">
        <f>IFERROR(__xludf.DUMMYFUNCTION("""COMPUTED_VALUE"""),42814.99861111111)</f>
        <v>42814.99861</v>
      </c>
      <c r="B228" s="1">
        <f>IFERROR(__xludf.DUMMYFUNCTION("""COMPUTED_VALUE"""),1037.84)</f>
        <v>1037.84</v>
      </c>
      <c r="C228" s="58">
        <f t="shared" si="1"/>
        <v>2998.998611</v>
      </c>
      <c r="D228" s="1">
        <f t="shared" si="2"/>
        <v>761.2756786</v>
      </c>
      <c r="E228" s="1">
        <f t="shared" si="3"/>
        <v>1370.296222</v>
      </c>
      <c r="F228" s="1">
        <f t="shared" si="4"/>
        <v>2588.337307</v>
      </c>
      <c r="G228" s="1">
        <f t="shared" si="5"/>
        <v>4567.654072</v>
      </c>
      <c r="H228" s="1">
        <f t="shared" si="6"/>
        <v>8374.032465</v>
      </c>
      <c r="I228" s="1">
        <f t="shared" si="7"/>
        <v>13702.96222</v>
      </c>
    </row>
    <row r="229" hidden="1">
      <c r="A229" s="266">
        <f>IFERROR(__xludf.DUMMYFUNCTION("""COMPUTED_VALUE"""),42815.99861111111)</f>
        <v>42815.99861</v>
      </c>
      <c r="B229" s="1">
        <f>IFERROR(__xludf.DUMMYFUNCTION("""COMPUTED_VALUE"""),1087.68)</f>
        <v>1087.68</v>
      </c>
      <c r="C229" s="58">
        <f t="shared" si="1"/>
        <v>2999.998611</v>
      </c>
      <c r="D229" s="1">
        <f t="shared" si="2"/>
        <v>762.7491485</v>
      </c>
      <c r="E229" s="1">
        <f t="shared" si="3"/>
        <v>1372.948467</v>
      </c>
      <c r="F229" s="1">
        <f t="shared" si="4"/>
        <v>2593.347105</v>
      </c>
      <c r="G229" s="1">
        <f t="shared" si="5"/>
        <v>4576.494891</v>
      </c>
      <c r="H229" s="1">
        <f t="shared" si="6"/>
        <v>8390.240633</v>
      </c>
      <c r="I229" s="1">
        <f t="shared" si="7"/>
        <v>13729.48467</v>
      </c>
    </row>
    <row r="230" hidden="1">
      <c r="A230" s="266">
        <f>IFERROR(__xludf.DUMMYFUNCTION("""COMPUTED_VALUE"""),42816.99861111111)</f>
        <v>42816.99861</v>
      </c>
      <c r="B230" s="1">
        <f>IFERROR(__xludf.DUMMYFUNCTION("""COMPUTED_VALUE"""),1061.62)</f>
        <v>1061.62</v>
      </c>
      <c r="C230" s="58">
        <f t="shared" si="1"/>
        <v>3000.998611</v>
      </c>
      <c r="D230" s="1">
        <f t="shared" si="2"/>
        <v>764.2249777</v>
      </c>
      <c r="E230" s="1">
        <f t="shared" si="3"/>
        <v>1375.60496</v>
      </c>
      <c r="F230" s="1">
        <f t="shared" si="4"/>
        <v>2598.364924</v>
      </c>
      <c r="G230" s="1">
        <f t="shared" si="5"/>
        <v>4585.349866</v>
      </c>
      <c r="H230" s="1">
        <f t="shared" si="6"/>
        <v>8406.474755</v>
      </c>
      <c r="I230" s="1">
        <f t="shared" si="7"/>
        <v>13756.0496</v>
      </c>
    </row>
    <row r="231" hidden="1">
      <c r="A231" s="266">
        <f>IFERROR(__xludf.DUMMYFUNCTION("""COMPUTED_VALUE"""),42817.99861111111)</f>
        <v>42817.99861</v>
      </c>
      <c r="B231" s="1">
        <f>IFERROR(__xludf.DUMMYFUNCTION("""COMPUTED_VALUE"""),1043.56)</f>
        <v>1043.56</v>
      </c>
      <c r="C231" s="58">
        <f t="shared" si="1"/>
        <v>3001.998611</v>
      </c>
      <c r="D231" s="1">
        <f t="shared" si="2"/>
        <v>765.7031694</v>
      </c>
      <c r="E231" s="1">
        <f t="shared" si="3"/>
        <v>1378.265705</v>
      </c>
      <c r="F231" s="1">
        <f t="shared" si="4"/>
        <v>2603.390776</v>
      </c>
      <c r="G231" s="1">
        <f t="shared" si="5"/>
        <v>4594.219016</v>
      </c>
      <c r="H231" s="1">
        <f t="shared" si="6"/>
        <v>8422.734863</v>
      </c>
      <c r="I231" s="1">
        <f t="shared" si="7"/>
        <v>13782.65705</v>
      </c>
    </row>
    <row r="232" hidden="1">
      <c r="A232" s="266">
        <f>IFERROR(__xludf.DUMMYFUNCTION("""COMPUTED_VALUE"""),42818.99861111111)</f>
        <v>42818.99861</v>
      </c>
      <c r="B232" s="1">
        <f>IFERROR(__xludf.DUMMYFUNCTION("""COMPUTED_VALUE"""),998.69)</f>
        <v>998.69</v>
      </c>
      <c r="C232" s="58">
        <f t="shared" si="1"/>
        <v>3002.998611</v>
      </c>
      <c r="D232" s="1">
        <f t="shared" si="2"/>
        <v>767.1837265</v>
      </c>
      <c r="E232" s="1">
        <f t="shared" si="3"/>
        <v>1380.930708</v>
      </c>
      <c r="F232" s="1">
        <f t="shared" si="4"/>
        <v>2608.42467</v>
      </c>
      <c r="G232" s="1">
        <f t="shared" si="5"/>
        <v>4603.102359</v>
      </c>
      <c r="H232" s="1">
        <f t="shared" si="6"/>
        <v>8439.020992</v>
      </c>
      <c r="I232" s="1">
        <f t="shared" si="7"/>
        <v>13809.30708</v>
      </c>
    </row>
    <row r="233" hidden="1">
      <c r="A233" s="266">
        <f>IFERROR(__xludf.DUMMYFUNCTION("""COMPUTED_VALUE"""),42821.99861111111)</f>
        <v>42821.99861</v>
      </c>
      <c r="B233" s="1">
        <f>IFERROR(__xludf.DUMMYFUNCTION("""COMPUTED_VALUE"""),1001.71)</f>
        <v>1001.71</v>
      </c>
      <c r="C233" s="58">
        <f t="shared" si="1"/>
        <v>3005.998611</v>
      </c>
      <c r="D233" s="1">
        <f t="shared" si="2"/>
        <v>771.6396203</v>
      </c>
      <c r="E233" s="1">
        <f t="shared" si="3"/>
        <v>1388.951317</v>
      </c>
      <c r="F233" s="1">
        <f t="shared" si="4"/>
        <v>2623.574709</v>
      </c>
      <c r="G233" s="1">
        <f t="shared" si="5"/>
        <v>4629.837722</v>
      </c>
      <c r="H233" s="1">
        <f t="shared" si="6"/>
        <v>8488.035824</v>
      </c>
      <c r="I233" s="1">
        <f t="shared" si="7"/>
        <v>13889.51317</v>
      </c>
    </row>
    <row r="234" hidden="1">
      <c r="A234" s="266">
        <f>IFERROR(__xludf.DUMMYFUNCTION("""COMPUTED_VALUE"""),42822.99861111111)</f>
        <v>42822.99861</v>
      </c>
      <c r="B234" s="1">
        <f>IFERROR(__xludf.DUMMYFUNCTION("""COMPUTED_VALUE"""),1044.25)</f>
        <v>1044.25</v>
      </c>
      <c r="C234" s="58">
        <f t="shared" si="1"/>
        <v>3006.998611</v>
      </c>
      <c r="D234" s="1">
        <f t="shared" si="2"/>
        <v>773.1296691</v>
      </c>
      <c r="E234" s="1">
        <f t="shared" si="3"/>
        <v>1391.633404</v>
      </c>
      <c r="F234" s="1">
        <f t="shared" si="4"/>
        <v>2628.640875</v>
      </c>
      <c r="G234" s="1">
        <f t="shared" si="5"/>
        <v>4638.778015</v>
      </c>
      <c r="H234" s="1">
        <f t="shared" si="6"/>
        <v>8504.42636</v>
      </c>
      <c r="I234" s="1">
        <f t="shared" si="7"/>
        <v>13916.33404</v>
      </c>
    </row>
    <row r="235" hidden="1">
      <c r="A235" s="266">
        <f>IFERROR(__xludf.DUMMYFUNCTION("""COMPUTED_VALUE"""),42823.99861111111)</f>
        <v>42823.99861</v>
      </c>
      <c r="B235" s="1">
        <f>IFERROR(__xludf.DUMMYFUNCTION("""COMPUTED_VALUE"""),1036.02)</f>
        <v>1036.02</v>
      </c>
      <c r="C235" s="58">
        <f t="shared" si="1"/>
        <v>3007.998611</v>
      </c>
      <c r="D235" s="1">
        <f t="shared" si="2"/>
        <v>774.6220983</v>
      </c>
      <c r="E235" s="1">
        <f t="shared" si="3"/>
        <v>1394.319777</v>
      </c>
      <c r="F235" s="1">
        <f t="shared" si="4"/>
        <v>2633.715134</v>
      </c>
      <c r="G235" s="1">
        <f t="shared" si="5"/>
        <v>4647.73259</v>
      </c>
      <c r="H235" s="1">
        <f t="shared" si="6"/>
        <v>8520.843082</v>
      </c>
      <c r="I235" s="1">
        <f t="shared" si="7"/>
        <v>13943.19777</v>
      </c>
    </row>
    <row r="236" hidden="1">
      <c r="A236" s="266">
        <f>IFERROR(__xludf.DUMMYFUNCTION("""COMPUTED_VALUE"""),42824.99861111111)</f>
        <v>42824.99861</v>
      </c>
      <c r="B236" s="1">
        <f>IFERROR(__xludf.DUMMYFUNCTION("""COMPUTED_VALUE"""),1037.16)</f>
        <v>1037.16</v>
      </c>
      <c r="C236" s="58">
        <f t="shared" si="1"/>
        <v>3008.998611</v>
      </c>
      <c r="D236" s="1">
        <f t="shared" si="2"/>
        <v>776.116911</v>
      </c>
      <c r="E236" s="1">
        <f t="shared" si="3"/>
        <v>1397.01044</v>
      </c>
      <c r="F236" s="1">
        <f t="shared" si="4"/>
        <v>2638.797497</v>
      </c>
      <c r="G236" s="1">
        <f t="shared" si="5"/>
        <v>4656.701466</v>
      </c>
      <c r="H236" s="1">
        <f t="shared" si="6"/>
        <v>8537.286021</v>
      </c>
      <c r="I236" s="1">
        <f t="shared" si="7"/>
        <v>13970.1044</v>
      </c>
    </row>
    <row r="237" hidden="1">
      <c r="A237" s="266">
        <f>IFERROR(__xludf.DUMMYFUNCTION("""COMPUTED_VALUE"""),42825.99861111111)</f>
        <v>42825.99861</v>
      </c>
      <c r="B237" s="1">
        <f>IFERROR(__xludf.DUMMYFUNCTION("""COMPUTED_VALUE"""),1057.34)</f>
        <v>1057.34</v>
      </c>
      <c r="C237" s="58">
        <f t="shared" si="1"/>
        <v>3009.998611</v>
      </c>
      <c r="D237" s="1">
        <f t="shared" si="2"/>
        <v>777.6141101</v>
      </c>
      <c r="E237" s="1">
        <f t="shared" si="3"/>
        <v>1399.705398</v>
      </c>
      <c r="F237" s="1">
        <f t="shared" si="4"/>
        <v>2643.887974</v>
      </c>
      <c r="G237" s="1">
        <f t="shared" si="5"/>
        <v>4665.68466</v>
      </c>
      <c r="H237" s="1">
        <f t="shared" si="6"/>
        <v>8553.755211</v>
      </c>
      <c r="I237" s="1">
        <f t="shared" si="7"/>
        <v>13997.05398</v>
      </c>
    </row>
    <row r="238" hidden="1">
      <c r="A238" s="266">
        <f>IFERROR(__xludf.DUMMYFUNCTION("""COMPUTED_VALUE"""),42828.99861111111)</f>
        <v>42828.99861</v>
      </c>
      <c r="B238" s="1">
        <f>IFERROR(__xludf.DUMMYFUNCTION("""COMPUTED_VALUE"""),1135.18)</f>
        <v>1135.18</v>
      </c>
      <c r="C238" s="58">
        <f t="shared" si="1"/>
        <v>3012.998611</v>
      </c>
      <c r="D238" s="1">
        <f t="shared" si="2"/>
        <v>782.1200562</v>
      </c>
      <c r="E238" s="1">
        <f t="shared" si="3"/>
        <v>1407.816101</v>
      </c>
      <c r="F238" s="1">
        <f t="shared" si="4"/>
        <v>2659.208191</v>
      </c>
      <c r="G238" s="1">
        <f t="shared" si="5"/>
        <v>4692.720337</v>
      </c>
      <c r="H238" s="1">
        <f t="shared" si="6"/>
        <v>8603.320619</v>
      </c>
      <c r="I238" s="1">
        <f t="shared" si="7"/>
        <v>14078.16101</v>
      </c>
    </row>
    <row r="239" hidden="1">
      <c r="A239" s="266">
        <f>IFERROR(__xludf.DUMMYFUNCTION("""COMPUTED_VALUE"""),42829.99861111111)</f>
        <v>42829.99861</v>
      </c>
      <c r="B239" s="1">
        <f>IFERROR(__xludf.DUMMYFUNCTION("""COMPUTED_VALUE"""),1143.29)</f>
        <v>1143.29</v>
      </c>
      <c r="C239" s="58">
        <f t="shared" si="1"/>
        <v>3013.998611</v>
      </c>
      <c r="D239" s="1">
        <f t="shared" si="2"/>
        <v>783.6268313</v>
      </c>
      <c r="E239" s="1">
        <f t="shared" si="3"/>
        <v>1410.528296</v>
      </c>
      <c r="F239" s="1">
        <f t="shared" si="4"/>
        <v>2664.331226</v>
      </c>
      <c r="G239" s="1">
        <f t="shared" si="5"/>
        <v>4701.760988</v>
      </c>
      <c r="H239" s="1">
        <f t="shared" si="6"/>
        <v>8619.895144</v>
      </c>
      <c r="I239" s="1">
        <f t="shared" si="7"/>
        <v>14105.28296</v>
      </c>
    </row>
    <row r="240" hidden="1">
      <c r="A240" s="266">
        <f>IFERROR(__xludf.DUMMYFUNCTION("""COMPUTED_VALUE"""),42830.99861111111)</f>
        <v>42830.99861</v>
      </c>
      <c r="B240" s="1">
        <f>IFERROR(__xludf.DUMMYFUNCTION("""COMPUTED_VALUE"""),1129.41)</f>
        <v>1129.41</v>
      </c>
      <c r="C240" s="58">
        <f t="shared" si="1"/>
        <v>3014.998611</v>
      </c>
      <c r="D240" s="1">
        <f t="shared" si="2"/>
        <v>785.1360079</v>
      </c>
      <c r="E240" s="1">
        <f t="shared" si="3"/>
        <v>1413.244814</v>
      </c>
      <c r="F240" s="1">
        <f t="shared" si="4"/>
        <v>2669.462427</v>
      </c>
      <c r="G240" s="1">
        <f t="shared" si="5"/>
        <v>4710.816048</v>
      </c>
      <c r="H240" s="1">
        <f t="shared" si="6"/>
        <v>8636.496087</v>
      </c>
      <c r="I240" s="1">
        <f t="shared" si="7"/>
        <v>14132.44814</v>
      </c>
    </row>
    <row r="241" hidden="1">
      <c r="A241" s="266">
        <f>IFERROR(__xludf.DUMMYFUNCTION("""COMPUTED_VALUE"""),42831.99861111111)</f>
        <v>42831.99861</v>
      </c>
      <c r="B241" s="1">
        <f>IFERROR(__xludf.DUMMYFUNCTION("""COMPUTED_VALUE"""),1166.54)</f>
        <v>1166.54</v>
      </c>
      <c r="C241" s="58">
        <f t="shared" si="1"/>
        <v>3015.998611</v>
      </c>
      <c r="D241" s="1">
        <f t="shared" si="2"/>
        <v>786.6475892</v>
      </c>
      <c r="E241" s="1">
        <f t="shared" si="3"/>
        <v>1415.965661</v>
      </c>
      <c r="F241" s="1">
        <f t="shared" si="4"/>
        <v>2674.601803</v>
      </c>
      <c r="G241" s="1">
        <f t="shared" si="5"/>
        <v>4719.885535</v>
      </c>
      <c r="H241" s="1">
        <f t="shared" si="6"/>
        <v>8653.123481</v>
      </c>
      <c r="I241" s="1">
        <f t="shared" si="7"/>
        <v>14159.65661</v>
      </c>
    </row>
    <row r="242" hidden="1">
      <c r="A242" s="266">
        <f>IFERROR(__xludf.DUMMYFUNCTION("""COMPUTED_VALUE"""),42832.99861111111)</f>
        <v>42832.99861</v>
      </c>
      <c r="B242" s="1">
        <f>IFERROR(__xludf.DUMMYFUNCTION("""COMPUTED_VALUE"""),1190.39)</f>
        <v>1190.39</v>
      </c>
      <c r="C242" s="58">
        <f t="shared" si="1"/>
        <v>3016.998611</v>
      </c>
      <c r="D242" s="1">
        <f t="shared" si="2"/>
        <v>788.161578</v>
      </c>
      <c r="E242" s="1">
        <f t="shared" si="3"/>
        <v>1418.69084</v>
      </c>
      <c r="F242" s="1">
        <f t="shared" si="4"/>
        <v>2679.749365</v>
      </c>
      <c r="G242" s="1">
        <f t="shared" si="5"/>
        <v>4728.969468</v>
      </c>
      <c r="H242" s="1">
        <f t="shared" si="6"/>
        <v>8669.777358</v>
      </c>
      <c r="I242" s="1">
        <f t="shared" si="7"/>
        <v>14186.9084</v>
      </c>
    </row>
    <row r="243" hidden="1">
      <c r="A243" s="266">
        <f>IFERROR(__xludf.DUMMYFUNCTION("""COMPUTED_VALUE"""),42835.99861111111)</f>
        <v>42835.99861</v>
      </c>
      <c r="B243" s="1">
        <f>IFERROR(__xludf.DUMMYFUNCTION("""COMPUTED_VALUE"""),1211.02)</f>
        <v>1211.02</v>
      </c>
      <c r="C243" s="58">
        <f t="shared" si="1"/>
        <v>3019.998611</v>
      </c>
      <c r="D243" s="1">
        <f t="shared" si="2"/>
        <v>792.7180206</v>
      </c>
      <c r="E243" s="1">
        <f t="shared" si="3"/>
        <v>1426.892437</v>
      </c>
      <c r="F243" s="1">
        <f t="shared" si="4"/>
        <v>2695.24127</v>
      </c>
      <c r="G243" s="1">
        <f t="shared" si="5"/>
        <v>4756.308123</v>
      </c>
      <c r="H243" s="1">
        <f t="shared" si="6"/>
        <v>8719.898226</v>
      </c>
      <c r="I243" s="1">
        <f t="shared" si="7"/>
        <v>14268.92437</v>
      </c>
    </row>
    <row r="244" hidden="1">
      <c r="A244" s="266">
        <f>IFERROR(__xludf.DUMMYFUNCTION("""COMPUTED_VALUE"""),42836.99861111111)</f>
        <v>42836.99861</v>
      </c>
      <c r="B244" s="1">
        <f>IFERROR(__xludf.DUMMYFUNCTION("""COMPUTED_VALUE"""),1215.69)</f>
        <v>1215.69</v>
      </c>
      <c r="C244" s="58">
        <f t="shared" si="1"/>
        <v>3020.998611</v>
      </c>
      <c r="D244" s="1">
        <f t="shared" si="2"/>
        <v>794.2416702</v>
      </c>
      <c r="E244" s="1">
        <f t="shared" si="3"/>
        <v>1429.635006</v>
      </c>
      <c r="F244" s="1">
        <f t="shared" si="4"/>
        <v>2700.421679</v>
      </c>
      <c r="G244" s="1">
        <f t="shared" si="5"/>
        <v>4765.450021</v>
      </c>
      <c r="H244" s="1">
        <f t="shared" si="6"/>
        <v>8736.658373</v>
      </c>
      <c r="I244" s="1">
        <f t="shared" si="7"/>
        <v>14296.35006</v>
      </c>
    </row>
    <row r="245" hidden="1">
      <c r="A245" s="266">
        <f>IFERROR(__xludf.DUMMYFUNCTION("""COMPUTED_VALUE"""),42837.99861111111)</f>
        <v>42837.99861</v>
      </c>
      <c r="B245" s="1">
        <f>IFERROR(__xludf.DUMMYFUNCTION("""COMPUTED_VALUE"""),1220.78)</f>
        <v>1220.78</v>
      </c>
      <c r="C245" s="58">
        <f t="shared" si="1"/>
        <v>3021.998611</v>
      </c>
      <c r="D245" s="1">
        <f t="shared" si="2"/>
        <v>795.7677427</v>
      </c>
      <c r="E245" s="1">
        <f t="shared" si="3"/>
        <v>1432.381937</v>
      </c>
      <c r="F245" s="1">
        <f t="shared" si="4"/>
        <v>2705.610325</v>
      </c>
      <c r="G245" s="1">
        <f t="shared" si="5"/>
        <v>4774.606456</v>
      </c>
      <c r="H245" s="1">
        <f t="shared" si="6"/>
        <v>8753.44517</v>
      </c>
      <c r="I245" s="1">
        <f t="shared" si="7"/>
        <v>14323.81937</v>
      </c>
    </row>
    <row r="246" hidden="1">
      <c r="A246" s="266">
        <f>IFERROR(__xludf.DUMMYFUNCTION("""COMPUTED_VALUE"""),42838.99861111111)</f>
        <v>42838.99861</v>
      </c>
      <c r="B246" s="1">
        <f>IFERROR(__xludf.DUMMYFUNCTION("""COMPUTED_VALUE"""),1192.84)</f>
        <v>1192.84</v>
      </c>
      <c r="C246" s="58">
        <f t="shared" si="1"/>
        <v>3022.998611</v>
      </c>
      <c r="D246" s="1">
        <f t="shared" si="2"/>
        <v>797.2962411</v>
      </c>
      <c r="E246" s="1">
        <f t="shared" si="3"/>
        <v>1435.133234</v>
      </c>
      <c r="F246" s="1">
        <f t="shared" si="4"/>
        <v>2710.80722</v>
      </c>
      <c r="G246" s="1">
        <f t="shared" si="5"/>
        <v>4783.777447</v>
      </c>
      <c r="H246" s="1">
        <f t="shared" si="6"/>
        <v>8770.258652</v>
      </c>
      <c r="I246" s="1">
        <f t="shared" si="7"/>
        <v>14351.33234</v>
      </c>
    </row>
    <row r="247" hidden="1">
      <c r="A247" s="266">
        <f>IFERROR(__xludf.DUMMYFUNCTION("""COMPUTED_VALUE"""),42839.99861111111)</f>
        <v>42839.99861</v>
      </c>
      <c r="B247" s="1">
        <f>IFERROR(__xludf.DUMMYFUNCTION("""COMPUTED_VALUE"""),1187.13)</f>
        <v>1187.13</v>
      </c>
      <c r="C247" s="58">
        <f t="shared" si="1"/>
        <v>3023.998611</v>
      </c>
      <c r="D247" s="1">
        <f t="shared" si="2"/>
        <v>798.8271684</v>
      </c>
      <c r="E247" s="1">
        <f t="shared" si="3"/>
        <v>1437.888903</v>
      </c>
      <c r="F247" s="1">
        <f t="shared" si="4"/>
        <v>2716.012373</v>
      </c>
      <c r="G247" s="1">
        <f t="shared" si="5"/>
        <v>4792.96301</v>
      </c>
      <c r="H247" s="1">
        <f t="shared" si="6"/>
        <v>8787.098852</v>
      </c>
      <c r="I247" s="1">
        <f t="shared" si="7"/>
        <v>14378.88903</v>
      </c>
    </row>
    <row r="248" hidden="1">
      <c r="A248" s="266">
        <f>IFERROR(__xludf.DUMMYFUNCTION("""COMPUTED_VALUE"""),42842.99861111111)</f>
        <v>42842.99861</v>
      </c>
      <c r="B248" s="1">
        <f>IFERROR(__xludf.DUMMYFUNCTION("""COMPUTED_VALUE"""),1194.11)</f>
        <v>1194.11</v>
      </c>
      <c r="C248" s="58">
        <f t="shared" si="1"/>
        <v>3026.998611</v>
      </c>
      <c r="D248" s="1">
        <f t="shared" si="2"/>
        <v>803.4345543</v>
      </c>
      <c r="E248" s="1">
        <f t="shared" si="3"/>
        <v>1446.182198</v>
      </c>
      <c r="F248" s="1">
        <f t="shared" si="4"/>
        <v>2731.677485</v>
      </c>
      <c r="G248" s="1">
        <f t="shared" si="5"/>
        <v>4820.607326</v>
      </c>
      <c r="H248" s="1">
        <f t="shared" si="6"/>
        <v>8837.780097</v>
      </c>
      <c r="I248" s="1">
        <f t="shared" si="7"/>
        <v>14461.82198</v>
      </c>
    </row>
    <row r="249" hidden="1">
      <c r="A249" s="266">
        <f>IFERROR(__xludf.DUMMYFUNCTION("""COMPUTED_VALUE"""),42843.99861111111)</f>
        <v>42843.99861</v>
      </c>
      <c r="B249" s="1">
        <f>IFERROR(__xludf.DUMMYFUNCTION("""COMPUTED_VALUE"""),1226.71)</f>
        <v>1226.71</v>
      </c>
      <c r="C249" s="58">
        <f t="shared" si="1"/>
        <v>3027.998611</v>
      </c>
      <c r="D249" s="1">
        <f t="shared" si="2"/>
        <v>804.9752278</v>
      </c>
      <c r="E249" s="1">
        <f t="shared" si="3"/>
        <v>1448.95541</v>
      </c>
      <c r="F249" s="1">
        <f t="shared" si="4"/>
        <v>2736.915775</v>
      </c>
      <c r="G249" s="1">
        <f t="shared" si="5"/>
        <v>4829.851367</v>
      </c>
      <c r="H249" s="1">
        <f t="shared" si="6"/>
        <v>8854.727506</v>
      </c>
      <c r="I249" s="1">
        <f t="shared" si="7"/>
        <v>14489.5541</v>
      </c>
    </row>
    <row r="250" hidden="1">
      <c r="A250" s="266">
        <f>IFERROR(__xludf.DUMMYFUNCTION("""COMPUTED_VALUE"""),42844.99861111111)</f>
        <v>42844.99861</v>
      </c>
      <c r="B250" s="1">
        <f>IFERROR(__xludf.DUMMYFUNCTION("""COMPUTED_VALUE"""),1211.2)</f>
        <v>1211.2</v>
      </c>
      <c r="C250" s="58">
        <f t="shared" si="1"/>
        <v>3028.998611</v>
      </c>
      <c r="D250" s="1">
        <f t="shared" si="2"/>
        <v>806.5183456</v>
      </c>
      <c r="E250" s="1">
        <f t="shared" si="3"/>
        <v>1451.733022</v>
      </c>
      <c r="F250" s="1">
        <f t="shared" si="4"/>
        <v>2742.162375</v>
      </c>
      <c r="G250" s="1">
        <f t="shared" si="5"/>
        <v>4839.110074</v>
      </c>
      <c r="H250" s="1">
        <f t="shared" si="6"/>
        <v>8871.701802</v>
      </c>
      <c r="I250" s="1">
        <f t="shared" si="7"/>
        <v>14517.33022</v>
      </c>
    </row>
    <row r="251" hidden="1">
      <c r="A251" s="266">
        <f>IFERROR(__xludf.DUMMYFUNCTION("""COMPUTED_VALUE"""),42845.99861111111)</f>
        <v>42845.99861</v>
      </c>
      <c r="B251" s="1">
        <f>IFERROR(__xludf.DUMMYFUNCTION("""COMPUTED_VALUE"""),1223.02)</f>
        <v>1223.02</v>
      </c>
      <c r="C251" s="58">
        <f t="shared" si="1"/>
        <v>3029.998611</v>
      </c>
      <c r="D251" s="1">
        <f t="shared" si="2"/>
        <v>808.0639106</v>
      </c>
      <c r="E251" s="1">
        <f t="shared" si="3"/>
        <v>1454.515039</v>
      </c>
      <c r="F251" s="1">
        <f t="shared" si="4"/>
        <v>2747.417296</v>
      </c>
      <c r="G251" s="1">
        <f t="shared" si="5"/>
        <v>4848.383464</v>
      </c>
      <c r="H251" s="1">
        <f t="shared" si="6"/>
        <v>8888.703017</v>
      </c>
      <c r="I251" s="1">
        <f t="shared" si="7"/>
        <v>14545.15039</v>
      </c>
    </row>
    <row r="252" hidden="1">
      <c r="A252" s="266">
        <f>IFERROR(__xludf.DUMMYFUNCTION("""COMPUTED_VALUE"""),42846.99861111111)</f>
        <v>42846.99861</v>
      </c>
      <c r="B252" s="1">
        <f>IFERROR(__xludf.DUMMYFUNCTION("""COMPUTED_VALUE"""),1242.85)</f>
        <v>1242.85</v>
      </c>
      <c r="C252" s="58">
        <f t="shared" si="1"/>
        <v>3030.998611</v>
      </c>
      <c r="D252" s="1">
        <f t="shared" si="2"/>
        <v>809.611926</v>
      </c>
      <c r="E252" s="1">
        <f t="shared" si="3"/>
        <v>1457.301467</v>
      </c>
      <c r="F252" s="1">
        <f t="shared" si="4"/>
        <v>2752.680549</v>
      </c>
      <c r="G252" s="1">
        <f t="shared" si="5"/>
        <v>4857.671556</v>
      </c>
      <c r="H252" s="1">
        <f t="shared" si="6"/>
        <v>8905.731187</v>
      </c>
      <c r="I252" s="1">
        <f t="shared" si="7"/>
        <v>14573.01467</v>
      </c>
    </row>
    <row r="253" hidden="1">
      <c r="A253" s="266">
        <f>IFERROR(__xludf.DUMMYFUNCTION("""COMPUTED_VALUE"""),42849.99861111111)</f>
        <v>42849.99861</v>
      </c>
      <c r="B253" s="1">
        <f>IFERROR(__xludf.DUMMYFUNCTION("""COMPUTED_VALUE"""),1246.56)</f>
        <v>1246.56</v>
      </c>
      <c r="C253" s="58">
        <f t="shared" si="1"/>
        <v>3033.998611</v>
      </c>
      <c r="D253" s="1">
        <f t="shared" si="2"/>
        <v>814.2707052</v>
      </c>
      <c r="E253" s="1">
        <f t="shared" si="3"/>
        <v>1465.687269</v>
      </c>
      <c r="F253" s="1">
        <f t="shared" si="4"/>
        <v>2768.520398</v>
      </c>
      <c r="G253" s="1">
        <f t="shared" si="5"/>
        <v>4885.624231</v>
      </c>
      <c r="H253" s="1">
        <f t="shared" si="6"/>
        <v>8956.977757</v>
      </c>
      <c r="I253" s="1">
        <f t="shared" si="7"/>
        <v>14656.87269</v>
      </c>
    </row>
    <row r="254" hidden="1">
      <c r="A254" s="266">
        <f>IFERROR(__xludf.DUMMYFUNCTION("""COMPUTED_VALUE"""),42850.99861111111)</f>
        <v>42850.99861</v>
      </c>
      <c r="B254" s="1">
        <f>IFERROR(__xludf.DUMMYFUNCTION("""COMPUTED_VALUE"""),1265.78)</f>
        <v>1265.78</v>
      </c>
      <c r="C254" s="58">
        <f t="shared" si="1"/>
        <v>3034.998611</v>
      </c>
      <c r="D254" s="1">
        <f t="shared" si="2"/>
        <v>815.8285528</v>
      </c>
      <c r="E254" s="1">
        <f t="shared" si="3"/>
        <v>1468.491395</v>
      </c>
      <c r="F254" s="1">
        <f t="shared" si="4"/>
        <v>2773.81708</v>
      </c>
      <c r="G254" s="1">
        <f t="shared" si="5"/>
        <v>4894.971317</v>
      </c>
      <c r="H254" s="1">
        <f t="shared" si="6"/>
        <v>8974.114081</v>
      </c>
      <c r="I254" s="1">
        <f t="shared" si="7"/>
        <v>14684.91395</v>
      </c>
    </row>
    <row r="255" hidden="1">
      <c r="A255" s="266">
        <f>IFERROR(__xludf.DUMMYFUNCTION("""COMPUTED_VALUE"""),42851.99861111111)</f>
        <v>42851.99861</v>
      </c>
      <c r="B255" s="1">
        <f>IFERROR(__xludf.DUMMYFUNCTION("""COMPUTED_VALUE"""),1286.71)</f>
        <v>1286.71</v>
      </c>
      <c r="C255" s="58">
        <f t="shared" si="1"/>
        <v>3035.998611</v>
      </c>
      <c r="D255" s="1">
        <f t="shared" si="2"/>
        <v>817.3888662</v>
      </c>
      <c r="E255" s="1">
        <f t="shared" si="3"/>
        <v>1471.299959</v>
      </c>
      <c r="F255" s="1">
        <f t="shared" si="4"/>
        <v>2779.122145</v>
      </c>
      <c r="G255" s="1">
        <f t="shared" si="5"/>
        <v>4904.333197</v>
      </c>
      <c r="H255" s="1">
        <f t="shared" si="6"/>
        <v>8991.277528</v>
      </c>
      <c r="I255" s="1">
        <f t="shared" si="7"/>
        <v>14712.99959</v>
      </c>
    </row>
    <row r="256" hidden="1">
      <c r="A256" s="266">
        <f>IFERROR(__xludf.DUMMYFUNCTION("""COMPUTED_VALUE"""),42852.99861111111)</f>
        <v>42852.99861</v>
      </c>
      <c r="B256" s="1">
        <f>IFERROR(__xludf.DUMMYFUNCTION("""COMPUTED_VALUE"""),1313.57)</f>
        <v>1313.57</v>
      </c>
      <c r="C256" s="58">
        <f t="shared" si="1"/>
        <v>3036.998611</v>
      </c>
      <c r="D256" s="1">
        <f t="shared" si="2"/>
        <v>818.9516484</v>
      </c>
      <c r="E256" s="1">
        <f t="shared" si="3"/>
        <v>1474.112967</v>
      </c>
      <c r="F256" s="1">
        <f t="shared" si="4"/>
        <v>2784.435605</v>
      </c>
      <c r="G256" s="1">
        <f t="shared" si="5"/>
        <v>4913.709891</v>
      </c>
      <c r="H256" s="1">
        <f t="shared" si="6"/>
        <v>9008.468133</v>
      </c>
      <c r="I256" s="1">
        <f t="shared" si="7"/>
        <v>14741.12967</v>
      </c>
    </row>
    <row r="257" hidden="1">
      <c r="A257" s="266">
        <f>IFERROR(__xludf.DUMMYFUNCTION("""COMPUTED_VALUE"""),42853.99861111111)</f>
        <v>42853.99861</v>
      </c>
      <c r="B257" s="1">
        <f>IFERROR(__xludf.DUMMYFUNCTION("""COMPUTED_VALUE"""),1326.88)</f>
        <v>1326.88</v>
      </c>
      <c r="C257" s="58">
        <f t="shared" si="1"/>
        <v>3037.998611</v>
      </c>
      <c r="D257" s="1">
        <f t="shared" si="2"/>
        <v>820.5169026</v>
      </c>
      <c r="E257" s="1">
        <f t="shared" si="3"/>
        <v>1476.930425</v>
      </c>
      <c r="F257" s="1">
        <f t="shared" si="4"/>
        <v>2789.757469</v>
      </c>
      <c r="G257" s="1">
        <f t="shared" si="5"/>
        <v>4923.101416</v>
      </c>
      <c r="H257" s="1">
        <f t="shared" si="6"/>
        <v>9025.685929</v>
      </c>
      <c r="I257" s="1">
        <f t="shared" si="7"/>
        <v>14769.30425</v>
      </c>
    </row>
    <row r="258" hidden="1">
      <c r="A258" s="266">
        <f>IFERROR(__xludf.DUMMYFUNCTION("""COMPUTED_VALUE"""),42856.99861111111)</f>
        <v>42856.99861</v>
      </c>
      <c r="B258" s="1">
        <f>IFERROR(__xludf.DUMMYFUNCTION("""COMPUTED_VALUE"""),1396.9)</f>
        <v>1396.9</v>
      </c>
      <c r="C258" s="58">
        <f t="shared" si="1"/>
        <v>3040.998611</v>
      </c>
      <c r="D258" s="1">
        <f t="shared" si="2"/>
        <v>825.2275278</v>
      </c>
      <c r="E258" s="1">
        <f t="shared" si="3"/>
        <v>1485.40955</v>
      </c>
      <c r="F258" s="1">
        <f t="shared" si="4"/>
        <v>2805.773594</v>
      </c>
      <c r="G258" s="1">
        <f t="shared" si="5"/>
        <v>4951.365167</v>
      </c>
      <c r="H258" s="1">
        <f t="shared" si="6"/>
        <v>9077.502805</v>
      </c>
      <c r="I258" s="1">
        <f t="shared" si="7"/>
        <v>14854.0955</v>
      </c>
    </row>
    <row r="259" hidden="1">
      <c r="A259" s="266">
        <f>IFERROR(__xludf.DUMMYFUNCTION("""COMPUTED_VALUE"""),42857.99861111111)</f>
        <v>42857.99861</v>
      </c>
      <c r="B259" s="1">
        <f>IFERROR(__xludf.DUMMYFUNCTION("""COMPUTED_VALUE"""),1441.09)</f>
        <v>1441.09</v>
      </c>
      <c r="C259" s="58">
        <f t="shared" si="1"/>
        <v>3041.998611</v>
      </c>
      <c r="D259" s="1">
        <f t="shared" si="2"/>
        <v>826.8027007</v>
      </c>
      <c r="E259" s="1">
        <f t="shared" si="3"/>
        <v>1488.244861</v>
      </c>
      <c r="F259" s="1">
        <f t="shared" si="4"/>
        <v>2811.129182</v>
      </c>
      <c r="G259" s="1">
        <f t="shared" si="5"/>
        <v>4960.816204</v>
      </c>
      <c r="H259" s="1">
        <f t="shared" si="6"/>
        <v>9094.829708</v>
      </c>
      <c r="I259" s="1">
        <f t="shared" si="7"/>
        <v>14882.44861</v>
      </c>
    </row>
    <row r="260" hidden="1">
      <c r="A260" s="266">
        <f>IFERROR(__xludf.DUMMYFUNCTION("""COMPUTED_VALUE"""),42858.99861111111)</f>
        <v>42858.99861</v>
      </c>
      <c r="B260" s="1">
        <f>IFERROR(__xludf.DUMMYFUNCTION("""COMPUTED_VALUE"""),1470.65)</f>
        <v>1470.65</v>
      </c>
      <c r="C260" s="58">
        <f t="shared" si="1"/>
        <v>3042.998611</v>
      </c>
      <c r="D260" s="1">
        <f t="shared" si="2"/>
        <v>828.3803611</v>
      </c>
      <c r="E260" s="1">
        <f t="shared" si="3"/>
        <v>1491.08465</v>
      </c>
      <c r="F260" s="1">
        <f t="shared" si="4"/>
        <v>2816.493228</v>
      </c>
      <c r="G260" s="1">
        <f t="shared" si="5"/>
        <v>4970.282166</v>
      </c>
      <c r="H260" s="1">
        <f t="shared" si="6"/>
        <v>9112.183972</v>
      </c>
      <c r="I260" s="1">
        <f t="shared" si="7"/>
        <v>14910.8465</v>
      </c>
    </row>
    <row r="261" hidden="1">
      <c r="A261" s="266">
        <f>IFERROR(__xludf.DUMMYFUNCTION("""COMPUTED_VALUE"""),42859.99861111111)</f>
        <v>42859.99861</v>
      </c>
      <c r="B261" s="1">
        <f>IFERROR(__xludf.DUMMYFUNCTION("""COMPUTED_VALUE"""),1541.9)</f>
        <v>1541.9</v>
      </c>
      <c r="C261" s="58">
        <f t="shared" si="1"/>
        <v>3043.998611</v>
      </c>
      <c r="D261" s="1">
        <f t="shared" si="2"/>
        <v>829.960512</v>
      </c>
      <c r="E261" s="1">
        <f t="shared" si="3"/>
        <v>1493.928922</v>
      </c>
      <c r="F261" s="1">
        <f t="shared" si="4"/>
        <v>2821.865741</v>
      </c>
      <c r="G261" s="1">
        <f t="shared" si="5"/>
        <v>4979.763072</v>
      </c>
      <c r="H261" s="1">
        <f t="shared" si="6"/>
        <v>9129.565632</v>
      </c>
      <c r="I261" s="1">
        <f t="shared" si="7"/>
        <v>14939.28922</v>
      </c>
    </row>
    <row r="262" hidden="1">
      <c r="A262" s="266">
        <f>IFERROR(__xludf.DUMMYFUNCTION("""COMPUTED_VALUE"""),42860.99861111111)</f>
        <v>42860.99861</v>
      </c>
      <c r="B262" s="1">
        <f>IFERROR(__xludf.DUMMYFUNCTION("""COMPUTED_VALUE"""),1554.5)</f>
        <v>1554.5</v>
      </c>
      <c r="C262" s="58">
        <f t="shared" si="1"/>
        <v>3044.998611</v>
      </c>
      <c r="D262" s="1">
        <f t="shared" si="2"/>
        <v>831.5431566</v>
      </c>
      <c r="E262" s="1">
        <f t="shared" si="3"/>
        <v>1496.777682</v>
      </c>
      <c r="F262" s="1">
        <f t="shared" si="4"/>
        <v>2827.246732</v>
      </c>
      <c r="G262" s="1">
        <f t="shared" si="5"/>
        <v>4989.258939</v>
      </c>
      <c r="H262" s="1">
        <f t="shared" si="6"/>
        <v>9146.974722</v>
      </c>
      <c r="I262" s="1">
        <f t="shared" si="7"/>
        <v>14967.77682</v>
      </c>
    </row>
    <row r="263" hidden="1">
      <c r="A263" s="266">
        <f>IFERROR(__xludf.DUMMYFUNCTION("""COMPUTED_VALUE"""),42863.99861111111)</f>
        <v>42863.99861</v>
      </c>
      <c r="B263" s="1">
        <f>IFERROR(__xludf.DUMMYFUNCTION("""COMPUTED_VALUE"""),1608.48)</f>
        <v>1608.48</v>
      </c>
      <c r="C263" s="58">
        <f t="shared" si="1"/>
        <v>3047.998611</v>
      </c>
      <c r="D263" s="1">
        <f t="shared" si="2"/>
        <v>836.3060834</v>
      </c>
      <c r="E263" s="1">
        <f t="shared" si="3"/>
        <v>1505.35095</v>
      </c>
      <c r="F263" s="1">
        <f t="shared" si="4"/>
        <v>2843.440684</v>
      </c>
      <c r="G263" s="1">
        <f t="shared" si="5"/>
        <v>5017.836501</v>
      </c>
      <c r="H263" s="1">
        <f t="shared" si="6"/>
        <v>9199.366918</v>
      </c>
      <c r="I263" s="1">
        <f t="shared" si="7"/>
        <v>15053.5095</v>
      </c>
    </row>
    <row r="264" hidden="1">
      <c r="A264" s="266">
        <f>IFERROR(__xludf.DUMMYFUNCTION("""COMPUTED_VALUE"""),42864.99861111111)</f>
        <v>42864.99861</v>
      </c>
      <c r="B264" s="1">
        <f>IFERROR(__xludf.DUMMYFUNCTION("""COMPUTED_VALUE"""),1709.31)</f>
        <v>1709.31</v>
      </c>
      <c r="C264" s="58">
        <f t="shared" si="1"/>
        <v>3048.998611</v>
      </c>
      <c r="D264" s="1">
        <f t="shared" si="2"/>
        <v>837.8987338</v>
      </c>
      <c r="E264" s="1">
        <f t="shared" si="3"/>
        <v>1508.217721</v>
      </c>
      <c r="F264" s="1">
        <f t="shared" si="4"/>
        <v>2848.855695</v>
      </c>
      <c r="G264" s="1">
        <f t="shared" si="5"/>
        <v>5027.392403</v>
      </c>
      <c r="H264" s="1">
        <f t="shared" si="6"/>
        <v>9216.886072</v>
      </c>
      <c r="I264" s="1">
        <f t="shared" si="7"/>
        <v>15082.17721</v>
      </c>
    </row>
    <row r="265" hidden="1">
      <c r="A265" s="266">
        <f>IFERROR(__xludf.DUMMYFUNCTION("""COMPUTED_VALUE"""),42865.99861111111)</f>
        <v>42865.99861</v>
      </c>
      <c r="B265" s="1">
        <f>IFERROR(__xludf.DUMMYFUNCTION("""COMPUTED_VALUE"""),1740.97)</f>
        <v>1740.97</v>
      </c>
      <c r="C265" s="58">
        <f t="shared" si="1"/>
        <v>3049.998611</v>
      </c>
      <c r="D265" s="1">
        <f t="shared" si="2"/>
        <v>839.4938935</v>
      </c>
      <c r="E265" s="1">
        <f t="shared" si="3"/>
        <v>1511.089008</v>
      </c>
      <c r="F265" s="1">
        <f t="shared" si="4"/>
        <v>2854.279238</v>
      </c>
      <c r="G265" s="1">
        <f t="shared" si="5"/>
        <v>5036.963361</v>
      </c>
      <c r="H265" s="1">
        <f t="shared" si="6"/>
        <v>9234.432829</v>
      </c>
      <c r="I265" s="1">
        <f t="shared" si="7"/>
        <v>15110.89008</v>
      </c>
    </row>
    <row r="266" hidden="1">
      <c r="A266" s="266">
        <f>IFERROR(__xludf.DUMMYFUNCTION("""COMPUTED_VALUE"""),42866.99861111111)</f>
        <v>42866.99861</v>
      </c>
      <c r="B266" s="1">
        <f>IFERROR(__xludf.DUMMYFUNCTION("""COMPUTED_VALUE"""),1825.4)</f>
        <v>1825.4</v>
      </c>
      <c r="C266" s="58">
        <f t="shared" si="1"/>
        <v>3050.998611</v>
      </c>
      <c r="D266" s="1">
        <f t="shared" si="2"/>
        <v>841.0915656</v>
      </c>
      <c r="E266" s="1">
        <f t="shared" si="3"/>
        <v>1513.964818</v>
      </c>
      <c r="F266" s="1">
        <f t="shared" si="4"/>
        <v>2859.711323</v>
      </c>
      <c r="G266" s="1">
        <f t="shared" si="5"/>
        <v>5046.549393</v>
      </c>
      <c r="H266" s="1">
        <f t="shared" si="6"/>
        <v>9252.007221</v>
      </c>
      <c r="I266" s="1">
        <f t="shared" si="7"/>
        <v>15139.64818</v>
      </c>
    </row>
    <row r="267" hidden="1">
      <c r="A267" s="266">
        <f>IFERROR(__xludf.DUMMYFUNCTION("""COMPUTED_VALUE"""),42867.99861111111)</f>
        <v>42867.99861</v>
      </c>
      <c r="B267" s="1">
        <f>IFERROR(__xludf.DUMMYFUNCTION("""COMPUTED_VALUE"""),1770.44)</f>
        <v>1770.44</v>
      </c>
      <c r="C267" s="58">
        <f t="shared" si="1"/>
        <v>3051.998611</v>
      </c>
      <c r="D267" s="1">
        <f t="shared" si="2"/>
        <v>842.6917532</v>
      </c>
      <c r="E267" s="1">
        <f t="shared" si="3"/>
        <v>1516.845156</v>
      </c>
      <c r="F267" s="1">
        <f t="shared" si="4"/>
        <v>2865.151961</v>
      </c>
      <c r="G267" s="1">
        <f t="shared" si="5"/>
        <v>5056.150519</v>
      </c>
      <c r="H267" s="1">
        <f t="shared" si="6"/>
        <v>9269.609285</v>
      </c>
      <c r="I267" s="1">
        <f t="shared" si="7"/>
        <v>15168.45156</v>
      </c>
    </row>
    <row r="268" hidden="1">
      <c r="A268" s="266">
        <f>IFERROR(__xludf.DUMMYFUNCTION("""COMPUTED_VALUE"""),42870.99861111111)</f>
        <v>42870.99861</v>
      </c>
      <c r="B268" s="1">
        <f>IFERROR(__xludf.DUMMYFUNCTION("""COMPUTED_VALUE"""),1737.21)</f>
        <v>1737.21</v>
      </c>
      <c r="C268" s="58">
        <f t="shared" si="1"/>
        <v>3054.998611</v>
      </c>
      <c r="D268" s="1">
        <f t="shared" si="2"/>
        <v>847.5074404</v>
      </c>
      <c r="E268" s="1">
        <f t="shared" si="3"/>
        <v>1525.513393</v>
      </c>
      <c r="F268" s="1">
        <f t="shared" si="4"/>
        <v>2881.525297</v>
      </c>
      <c r="G268" s="1">
        <f t="shared" si="5"/>
        <v>5085.044643</v>
      </c>
      <c r="H268" s="1">
        <f t="shared" si="6"/>
        <v>9322.581845</v>
      </c>
      <c r="I268" s="1">
        <f t="shared" si="7"/>
        <v>15255.13393</v>
      </c>
    </row>
    <row r="269" hidden="1">
      <c r="A269" s="266">
        <f>IFERROR(__xludf.DUMMYFUNCTION("""COMPUTED_VALUE"""),42871.99861111111)</f>
        <v>42871.99861</v>
      </c>
      <c r="B269" s="1">
        <f>IFERROR(__xludf.DUMMYFUNCTION("""COMPUTED_VALUE"""),1726.46)</f>
        <v>1726.46</v>
      </c>
      <c r="C269" s="58">
        <f t="shared" si="1"/>
        <v>3055.998611</v>
      </c>
      <c r="D269" s="1">
        <f t="shared" si="2"/>
        <v>849.1177215</v>
      </c>
      <c r="E269" s="1">
        <f t="shared" si="3"/>
        <v>1528.411899</v>
      </c>
      <c r="F269" s="1">
        <f t="shared" si="4"/>
        <v>2887.000253</v>
      </c>
      <c r="G269" s="1">
        <f t="shared" si="5"/>
        <v>5094.706329</v>
      </c>
      <c r="H269" s="1">
        <f t="shared" si="6"/>
        <v>9340.294936</v>
      </c>
      <c r="I269" s="1">
        <f t="shared" si="7"/>
        <v>15284.11899</v>
      </c>
    </row>
    <row r="270" hidden="1">
      <c r="A270" s="266">
        <f>IFERROR(__xludf.DUMMYFUNCTION("""COMPUTED_VALUE"""),42872.99861111111)</f>
        <v>42872.99861</v>
      </c>
      <c r="B270" s="1">
        <f>IFERROR(__xludf.DUMMYFUNCTION("""COMPUTED_VALUE"""),1795.77)</f>
        <v>1795.77</v>
      </c>
      <c r="C270" s="58">
        <f t="shared" si="1"/>
        <v>3056.998611</v>
      </c>
      <c r="D270" s="1">
        <f t="shared" si="2"/>
        <v>850.7305338</v>
      </c>
      <c r="E270" s="1">
        <f t="shared" si="3"/>
        <v>1531.314961</v>
      </c>
      <c r="F270" s="1">
        <f t="shared" si="4"/>
        <v>2892.483815</v>
      </c>
      <c r="G270" s="1">
        <f t="shared" si="5"/>
        <v>5104.383203</v>
      </c>
      <c r="H270" s="1">
        <f t="shared" si="6"/>
        <v>9358.035871</v>
      </c>
      <c r="I270" s="1">
        <f t="shared" si="7"/>
        <v>15313.14961</v>
      </c>
    </row>
    <row r="271" hidden="1">
      <c r="A271" s="266">
        <f>IFERROR(__xludf.DUMMYFUNCTION("""COMPUTED_VALUE"""),42873.99861111111)</f>
        <v>42873.99861</v>
      </c>
      <c r="B271" s="1">
        <f>IFERROR(__xludf.DUMMYFUNCTION("""COMPUTED_VALUE"""),1830.53)</f>
        <v>1830.53</v>
      </c>
      <c r="C271" s="58">
        <f t="shared" si="1"/>
        <v>3057.998611</v>
      </c>
      <c r="D271" s="1">
        <f t="shared" si="2"/>
        <v>852.3458804</v>
      </c>
      <c r="E271" s="1">
        <f t="shared" si="3"/>
        <v>1534.222585</v>
      </c>
      <c r="F271" s="1">
        <f t="shared" si="4"/>
        <v>2897.975993</v>
      </c>
      <c r="G271" s="1">
        <f t="shared" si="5"/>
        <v>5114.075283</v>
      </c>
      <c r="H271" s="1">
        <f t="shared" si="6"/>
        <v>9375.804685</v>
      </c>
      <c r="I271" s="1">
        <f t="shared" si="7"/>
        <v>15342.22585</v>
      </c>
    </row>
    <row r="272" hidden="1">
      <c r="A272" s="266">
        <f>IFERROR(__xludf.DUMMYFUNCTION("""COMPUTED_VALUE"""),42874.99861111111)</f>
        <v>42874.99861</v>
      </c>
      <c r="B272" s="1">
        <f>IFERROR(__xludf.DUMMYFUNCTION("""COMPUTED_VALUE"""),1922.18)</f>
        <v>1922.18</v>
      </c>
      <c r="C272" s="58">
        <f t="shared" si="1"/>
        <v>3058.998611</v>
      </c>
      <c r="D272" s="1">
        <f t="shared" si="2"/>
        <v>853.9637646</v>
      </c>
      <c r="E272" s="1">
        <f t="shared" si="3"/>
        <v>1537.134776</v>
      </c>
      <c r="F272" s="1">
        <f t="shared" si="4"/>
        <v>2903.4768</v>
      </c>
      <c r="G272" s="1">
        <f t="shared" si="5"/>
        <v>5123.782588</v>
      </c>
      <c r="H272" s="1">
        <f t="shared" si="6"/>
        <v>9393.601411</v>
      </c>
      <c r="I272" s="1">
        <f t="shared" si="7"/>
        <v>15371.34776</v>
      </c>
    </row>
    <row r="273" hidden="1">
      <c r="A273" s="266">
        <f>IFERROR(__xludf.DUMMYFUNCTION("""COMPUTED_VALUE"""),42877.99861111111)</f>
        <v>42877.99861</v>
      </c>
      <c r="B273" s="1">
        <f>IFERROR(__xludf.DUMMYFUNCTION("""COMPUTED_VALUE"""),2136.02)</f>
        <v>2136.02</v>
      </c>
      <c r="C273" s="58">
        <f t="shared" si="1"/>
        <v>3061.998611</v>
      </c>
      <c r="D273" s="1">
        <f t="shared" si="2"/>
        <v>858.8326739</v>
      </c>
      <c r="E273" s="1">
        <f t="shared" si="3"/>
        <v>1545.898813</v>
      </c>
      <c r="F273" s="1">
        <f t="shared" si="4"/>
        <v>2920.031091</v>
      </c>
      <c r="G273" s="1">
        <f t="shared" si="5"/>
        <v>5152.996043</v>
      </c>
      <c r="H273" s="1">
        <f t="shared" si="6"/>
        <v>9447.159413</v>
      </c>
      <c r="I273" s="1">
        <f t="shared" si="7"/>
        <v>15458.98813</v>
      </c>
    </row>
    <row r="274" hidden="1">
      <c r="A274" s="266">
        <f>IFERROR(__xludf.DUMMYFUNCTION("""COMPUTED_VALUE"""),42878.99861111111)</f>
        <v>42878.99861</v>
      </c>
      <c r="B274" s="1">
        <f>IFERROR(__xludf.DUMMYFUNCTION("""COMPUTED_VALUE"""),2199.53)</f>
        <v>2199.53</v>
      </c>
      <c r="C274" s="58">
        <f t="shared" si="1"/>
        <v>3062.998611</v>
      </c>
      <c r="D274" s="1">
        <f t="shared" si="2"/>
        <v>860.4607397</v>
      </c>
      <c r="E274" s="1">
        <f t="shared" si="3"/>
        <v>1548.829332</v>
      </c>
      <c r="F274" s="1">
        <f t="shared" si="4"/>
        <v>2925.566515</v>
      </c>
      <c r="G274" s="1">
        <f t="shared" si="5"/>
        <v>5162.764438</v>
      </c>
      <c r="H274" s="1">
        <f t="shared" si="6"/>
        <v>9465.068137</v>
      </c>
      <c r="I274" s="1">
        <f t="shared" si="7"/>
        <v>15488.29332</v>
      </c>
    </row>
    <row r="275" hidden="1">
      <c r="A275" s="266">
        <f>IFERROR(__xludf.DUMMYFUNCTION("""COMPUTED_VALUE"""),42879.99861111111)</f>
        <v>42879.99861</v>
      </c>
      <c r="B275" s="1">
        <f>IFERROR(__xludf.DUMMYFUNCTION("""COMPUTED_VALUE"""),2358.96)</f>
        <v>2358.96</v>
      </c>
      <c r="C275" s="58">
        <f t="shared" si="1"/>
        <v>3063.998611</v>
      </c>
      <c r="D275" s="1">
        <f t="shared" si="2"/>
        <v>862.0913589</v>
      </c>
      <c r="E275" s="1">
        <f t="shared" si="3"/>
        <v>1551.764446</v>
      </c>
      <c r="F275" s="1">
        <f t="shared" si="4"/>
        <v>2931.11062</v>
      </c>
      <c r="G275" s="1">
        <f t="shared" si="5"/>
        <v>5172.548154</v>
      </c>
      <c r="H275" s="1">
        <f t="shared" si="6"/>
        <v>9483.004948</v>
      </c>
      <c r="I275" s="1">
        <f t="shared" si="7"/>
        <v>15517.64446</v>
      </c>
    </row>
    <row r="276" hidden="1">
      <c r="A276" s="266">
        <f>IFERROR(__xludf.DUMMYFUNCTION("""COMPUTED_VALUE"""),42880.99861111111)</f>
        <v>42880.99861</v>
      </c>
      <c r="B276" s="1">
        <f>IFERROR(__xludf.DUMMYFUNCTION("""COMPUTED_VALUE"""),2567.27)</f>
        <v>2567.27</v>
      </c>
      <c r="C276" s="58">
        <f t="shared" si="1"/>
        <v>3064.998611</v>
      </c>
      <c r="D276" s="1">
        <f t="shared" si="2"/>
        <v>863.7245346</v>
      </c>
      <c r="E276" s="1">
        <f t="shared" si="3"/>
        <v>1554.704162</v>
      </c>
      <c r="F276" s="1">
        <f t="shared" si="4"/>
        <v>2936.663418</v>
      </c>
      <c r="G276" s="1">
        <f t="shared" si="5"/>
        <v>5182.347208</v>
      </c>
      <c r="H276" s="1">
        <f t="shared" si="6"/>
        <v>9500.969881</v>
      </c>
      <c r="I276" s="1">
        <f t="shared" si="7"/>
        <v>15547.04162</v>
      </c>
    </row>
    <row r="277" hidden="1">
      <c r="A277" s="266">
        <f>IFERROR(__xludf.DUMMYFUNCTION("""COMPUTED_VALUE"""),42881.99861111111)</f>
        <v>42881.99861</v>
      </c>
      <c r="B277" s="1">
        <f>IFERROR(__xludf.DUMMYFUNCTION("""COMPUTED_VALUE"""),2396.97)</f>
        <v>2396.97</v>
      </c>
      <c r="C277" s="58">
        <f t="shared" si="1"/>
        <v>3065.998611</v>
      </c>
      <c r="D277" s="1">
        <f t="shared" si="2"/>
        <v>865.36027</v>
      </c>
      <c r="E277" s="1">
        <f t="shared" si="3"/>
        <v>1557.648486</v>
      </c>
      <c r="F277" s="1">
        <f t="shared" si="4"/>
        <v>2942.224918</v>
      </c>
      <c r="G277" s="1">
        <f t="shared" si="5"/>
        <v>5192.16162</v>
      </c>
      <c r="H277" s="1">
        <f t="shared" si="6"/>
        <v>9518.96297</v>
      </c>
      <c r="I277" s="1">
        <f t="shared" si="7"/>
        <v>15576.48486</v>
      </c>
    </row>
    <row r="278" hidden="1">
      <c r="A278" s="266">
        <f>IFERROR(__xludf.DUMMYFUNCTION("""COMPUTED_VALUE"""),42884.99861111111)</f>
        <v>42884.99861</v>
      </c>
      <c r="B278" s="1">
        <f>IFERROR(__xludf.DUMMYFUNCTION("""COMPUTED_VALUE"""),2229.19)</f>
        <v>2229.19</v>
      </c>
      <c r="C278" s="58">
        <f t="shared" si="1"/>
        <v>3068.998611</v>
      </c>
      <c r="D278" s="1">
        <f t="shared" si="2"/>
        <v>870.2828659</v>
      </c>
      <c r="E278" s="1">
        <f t="shared" si="3"/>
        <v>1566.509159</v>
      </c>
      <c r="F278" s="1">
        <f t="shared" si="4"/>
        <v>2958.961744</v>
      </c>
      <c r="G278" s="1">
        <f t="shared" si="5"/>
        <v>5221.697195</v>
      </c>
      <c r="H278" s="1">
        <f t="shared" si="6"/>
        <v>9573.111524</v>
      </c>
      <c r="I278" s="1">
        <f t="shared" si="7"/>
        <v>15665.09159</v>
      </c>
    </row>
    <row r="279" hidden="1">
      <c r="A279" s="266">
        <f>IFERROR(__xludf.DUMMYFUNCTION("""COMPUTED_VALUE"""),42885.99861111111)</f>
        <v>42885.99861</v>
      </c>
      <c r="B279" s="1">
        <f>IFERROR(__xludf.DUMMYFUNCTION("""COMPUTED_VALUE"""),2262.83)</f>
        <v>2262.83</v>
      </c>
      <c r="C279" s="58">
        <f t="shared" si="1"/>
        <v>3069.998611</v>
      </c>
      <c r="D279" s="1">
        <f t="shared" si="2"/>
        <v>871.9288717</v>
      </c>
      <c r="E279" s="1">
        <f t="shared" si="3"/>
        <v>1569.471969</v>
      </c>
      <c r="F279" s="1">
        <f t="shared" si="4"/>
        <v>2964.558164</v>
      </c>
      <c r="G279" s="1">
        <f t="shared" si="5"/>
        <v>5231.57323</v>
      </c>
      <c r="H279" s="1">
        <f t="shared" si="6"/>
        <v>9591.217589</v>
      </c>
      <c r="I279" s="1">
        <f t="shared" si="7"/>
        <v>15694.71969</v>
      </c>
    </row>
    <row r="280" hidden="1">
      <c r="A280" s="266">
        <f>IFERROR(__xludf.DUMMYFUNCTION("""COMPUTED_VALUE"""),42886.99861111111)</f>
        <v>42886.99861</v>
      </c>
      <c r="B280" s="1">
        <f>IFERROR(__xludf.DUMMYFUNCTION("""COMPUTED_VALUE"""),2244.73)</f>
        <v>2244.73</v>
      </c>
      <c r="C280" s="58">
        <f t="shared" si="1"/>
        <v>3070.998611</v>
      </c>
      <c r="D280" s="1">
        <f t="shared" si="2"/>
        <v>873.5774531</v>
      </c>
      <c r="E280" s="1">
        <f t="shared" si="3"/>
        <v>1572.439416</v>
      </c>
      <c r="F280" s="1">
        <f t="shared" si="4"/>
        <v>2970.16334</v>
      </c>
      <c r="G280" s="1">
        <f t="shared" si="5"/>
        <v>5241.464718</v>
      </c>
      <c r="H280" s="1">
        <f t="shared" si="6"/>
        <v>9609.351984</v>
      </c>
      <c r="I280" s="1">
        <f t="shared" si="7"/>
        <v>15724.39416</v>
      </c>
    </row>
    <row r="281" hidden="1">
      <c r="A281" s="266">
        <f>IFERROR(__xludf.DUMMYFUNCTION("""COMPUTED_VALUE"""),42887.99861111111)</f>
        <v>42887.99861</v>
      </c>
      <c r="B281" s="1">
        <f>IFERROR(__xludf.DUMMYFUNCTION("""COMPUTED_VALUE"""),2387.53)</f>
        <v>2387.53</v>
      </c>
      <c r="C281" s="58">
        <f t="shared" si="1"/>
        <v>3071.998611</v>
      </c>
      <c r="D281" s="1">
        <f t="shared" si="2"/>
        <v>875.2286132</v>
      </c>
      <c r="E281" s="1">
        <f t="shared" si="3"/>
        <v>1575.411504</v>
      </c>
      <c r="F281" s="1">
        <f t="shared" si="4"/>
        <v>2975.777285</v>
      </c>
      <c r="G281" s="1">
        <f t="shared" si="5"/>
        <v>5251.371679</v>
      </c>
      <c r="H281" s="1">
        <f t="shared" si="6"/>
        <v>9627.514746</v>
      </c>
      <c r="I281" s="1">
        <f t="shared" si="7"/>
        <v>15754.11504</v>
      </c>
    </row>
    <row r="282" hidden="1">
      <c r="A282" s="266">
        <f>IFERROR(__xludf.DUMMYFUNCTION("""COMPUTED_VALUE"""),42888.99861111111)</f>
        <v>42888.99861</v>
      </c>
      <c r="B282" s="1">
        <f>IFERROR(__xludf.DUMMYFUNCTION("""COMPUTED_VALUE"""),2417.58)</f>
        <v>2417.58</v>
      </c>
      <c r="C282" s="58">
        <f t="shared" si="1"/>
        <v>3072.998611</v>
      </c>
      <c r="D282" s="1">
        <f t="shared" si="2"/>
        <v>876.8823553</v>
      </c>
      <c r="E282" s="1">
        <f t="shared" si="3"/>
        <v>1578.38824</v>
      </c>
      <c r="F282" s="1">
        <f t="shared" si="4"/>
        <v>2981.400008</v>
      </c>
      <c r="G282" s="1">
        <f t="shared" si="5"/>
        <v>5261.294132</v>
      </c>
      <c r="H282" s="1">
        <f t="shared" si="6"/>
        <v>9645.705909</v>
      </c>
      <c r="I282" s="1">
        <f t="shared" si="7"/>
        <v>15783.8824</v>
      </c>
    </row>
    <row r="283" hidden="1">
      <c r="A283" s="266">
        <f>IFERROR(__xludf.DUMMYFUNCTION("""COMPUTED_VALUE"""),42891.99861111111)</f>
        <v>42891.99861</v>
      </c>
      <c r="B283" s="1">
        <f>IFERROR(__xludf.DUMMYFUNCTION("""COMPUTED_VALUE"""),2593.01)</f>
        <v>2593.01</v>
      </c>
      <c r="C283" s="58">
        <f t="shared" si="1"/>
        <v>3075.998611</v>
      </c>
      <c r="D283" s="1">
        <f t="shared" si="2"/>
        <v>881.8591054</v>
      </c>
      <c r="E283" s="1">
        <f t="shared" si="3"/>
        <v>1587.34639</v>
      </c>
      <c r="F283" s="1">
        <f t="shared" si="4"/>
        <v>2998.320958</v>
      </c>
      <c r="G283" s="1">
        <f t="shared" si="5"/>
        <v>5291.154632</v>
      </c>
      <c r="H283" s="1">
        <f t="shared" si="6"/>
        <v>9700.450159</v>
      </c>
      <c r="I283" s="1">
        <f t="shared" si="7"/>
        <v>15873.4639</v>
      </c>
    </row>
    <row r="284" hidden="1">
      <c r="A284" s="266">
        <f>IFERROR(__xludf.DUMMYFUNCTION("""COMPUTED_VALUE"""),42892.99861111111)</f>
        <v>42892.99861</v>
      </c>
      <c r="B284" s="1">
        <f>IFERROR(__xludf.DUMMYFUNCTION("""COMPUTED_VALUE"""),2822.52)</f>
        <v>2822.52</v>
      </c>
      <c r="C284" s="58">
        <f t="shared" si="1"/>
        <v>3076.998611</v>
      </c>
      <c r="D284" s="1">
        <f t="shared" si="2"/>
        <v>883.5232073</v>
      </c>
      <c r="E284" s="1">
        <f t="shared" si="3"/>
        <v>1590.341773</v>
      </c>
      <c r="F284" s="1">
        <f t="shared" si="4"/>
        <v>3003.978905</v>
      </c>
      <c r="G284" s="1">
        <f t="shared" si="5"/>
        <v>5301.139244</v>
      </c>
      <c r="H284" s="1">
        <f t="shared" si="6"/>
        <v>9718.75528</v>
      </c>
      <c r="I284" s="1">
        <f t="shared" si="7"/>
        <v>15903.41773</v>
      </c>
    </row>
    <row r="285" hidden="1">
      <c r="A285" s="266">
        <f>IFERROR(__xludf.DUMMYFUNCTION("""COMPUTED_VALUE"""),42893.99861111111)</f>
        <v>42893.99861</v>
      </c>
      <c r="B285" s="1">
        <f>IFERROR(__xludf.DUMMYFUNCTION("""COMPUTED_VALUE"""),2805.09)</f>
        <v>2805.09</v>
      </c>
      <c r="C285" s="58">
        <f t="shared" si="1"/>
        <v>3077.998611</v>
      </c>
      <c r="D285" s="1">
        <f t="shared" si="2"/>
        <v>885.1899072</v>
      </c>
      <c r="E285" s="1">
        <f t="shared" si="3"/>
        <v>1593.341833</v>
      </c>
      <c r="F285" s="1">
        <f t="shared" si="4"/>
        <v>3009.645684</v>
      </c>
      <c r="G285" s="1">
        <f t="shared" si="5"/>
        <v>5311.139443</v>
      </c>
      <c r="H285" s="1">
        <f t="shared" si="6"/>
        <v>9737.088979</v>
      </c>
      <c r="I285" s="1">
        <f t="shared" si="7"/>
        <v>15933.41833</v>
      </c>
    </row>
    <row r="286" hidden="1">
      <c r="A286" s="266">
        <f>IFERROR(__xludf.DUMMYFUNCTION("""COMPUTED_VALUE"""),42894.99861111111)</f>
        <v>42894.99861</v>
      </c>
      <c r="B286" s="1">
        <f>IFERROR(__xludf.DUMMYFUNCTION("""COMPUTED_VALUE"""),2743.88)</f>
        <v>2743.88</v>
      </c>
      <c r="C286" s="58">
        <f t="shared" si="1"/>
        <v>3078.998611</v>
      </c>
      <c r="D286" s="1">
        <f t="shared" si="2"/>
        <v>886.8592082</v>
      </c>
      <c r="E286" s="1">
        <f t="shared" si="3"/>
        <v>1596.346575</v>
      </c>
      <c r="F286" s="1">
        <f t="shared" si="4"/>
        <v>3015.321308</v>
      </c>
      <c r="G286" s="1">
        <f t="shared" si="5"/>
        <v>5321.155249</v>
      </c>
      <c r="H286" s="1">
        <f t="shared" si="6"/>
        <v>9755.451291</v>
      </c>
      <c r="I286" s="1">
        <f t="shared" si="7"/>
        <v>15963.46575</v>
      </c>
    </row>
    <row r="287" hidden="1">
      <c r="A287" s="266">
        <f>IFERROR(__xludf.DUMMYFUNCTION("""COMPUTED_VALUE"""),42895.99861111111)</f>
        <v>42895.99861</v>
      </c>
      <c r="B287" s="1">
        <f>IFERROR(__xludf.DUMMYFUNCTION("""COMPUTED_VALUE"""),2811.93)</f>
        <v>2811.93</v>
      </c>
      <c r="C287" s="58">
        <f t="shared" si="1"/>
        <v>3079.998611</v>
      </c>
      <c r="D287" s="1">
        <f t="shared" si="2"/>
        <v>888.5311137</v>
      </c>
      <c r="E287" s="1">
        <f t="shared" si="3"/>
        <v>1599.356005</v>
      </c>
      <c r="F287" s="1">
        <f t="shared" si="4"/>
        <v>3021.005786</v>
      </c>
      <c r="G287" s="1">
        <f t="shared" si="5"/>
        <v>5331.186682</v>
      </c>
      <c r="H287" s="1">
        <f t="shared" si="6"/>
        <v>9773.84225</v>
      </c>
      <c r="I287" s="1">
        <f t="shared" si="7"/>
        <v>15993.56005</v>
      </c>
    </row>
    <row r="288" hidden="1">
      <c r="A288" s="266">
        <f>IFERROR(__xludf.DUMMYFUNCTION("""COMPUTED_VALUE"""),42898.99861111111)</f>
        <v>42898.99861</v>
      </c>
      <c r="B288" s="1">
        <f>IFERROR(__xludf.DUMMYFUNCTION("""COMPUTED_VALUE"""),2799.44)</f>
        <v>2799.44</v>
      </c>
      <c r="C288" s="58">
        <f t="shared" si="1"/>
        <v>3082.998611</v>
      </c>
      <c r="D288" s="1">
        <f t="shared" si="2"/>
        <v>893.5624884</v>
      </c>
      <c r="E288" s="1">
        <f t="shared" si="3"/>
        <v>1608.412479</v>
      </c>
      <c r="F288" s="1">
        <f t="shared" si="4"/>
        <v>3038.112461</v>
      </c>
      <c r="G288" s="1">
        <f t="shared" si="5"/>
        <v>5361.374931</v>
      </c>
      <c r="H288" s="1">
        <f t="shared" si="6"/>
        <v>9829.187373</v>
      </c>
      <c r="I288" s="1">
        <f t="shared" si="7"/>
        <v>16084.12479</v>
      </c>
    </row>
    <row r="289" hidden="1">
      <c r="A289" s="266">
        <f>IFERROR(__xludf.DUMMYFUNCTION("""COMPUTED_VALUE"""),42899.99861111111)</f>
        <v>42899.99861</v>
      </c>
      <c r="B289" s="1">
        <f>IFERROR(__xludf.DUMMYFUNCTION("""COMPUTED_VALUE"""),2710.03)</f>
        <v>2710.03</v>
      </c>
      <c r="C289" s="58">
        <f t="shared" si="1"/>
        <v>3083.998611</v>
      </c>
      <c r="D289" s="1">
        <f t="shared" si="2"/>
        <v>895.2448436</v>
      </c>
      <c r="E289" s="1">
        <f t="shared" si="3"/>
        <v>1611.440718</v>
      </c>
      <c r="F289" s="1">
        <f t="shared" si="4"/>
        <v>3043.832468</v>
      </c>
      <c r="G289" s="1">
        <f t="shared" si="5"/>
        <v>5371.469062</v>
      </c>
      <c r="H289" s="1">
        <f t="shared" si="6"/>
        <v>9847.693279</v>
      </c>
      <c r="I289" s="1">
        <f t="shared" si="7"/>
        <v>16114.40718</v>
      </c>
    </row>
    <row r="290" hidden="1">
      <c r="A290" s="266">
        <f>IFERROR(__xludf.DUMMYFUNCTION("""COMPUTED_VALUE"""),42900.99861111111)</f>
        <v>42900.99861</v>
      </c>
      <c r="B290" s="1">
        <f>IFERROR(__xludf.DUMMYFUNCTION("""COMPUTED_VALUE"""),2660.6)</f>
        <v>2660.6</v>
      </c>
      <c r="C290" s="58">
        <f t="shared" si="1"/>
        <v>3084.998611</v>
      </c>
      <c r="D290" s="1">
        <f t="shared" si="2"/>
        <v>896.9298192</v>
      </c>
      <c r="E290" s="1">
        <f t="shared" si="3"/>
        <v>1614.473675</v>
      </c>
      <c r="F290" s="1">
        <f t="shared" si="4"/>
        <v>3049.561385</v>
      </c>
      <c r="G290" s="1">
        <f t="shared" si="5"/>
        <v>5381.578915</v>
      </c>
      <c r="H290" s="1">
        <f t="shared" si="6"/>
        <v>9866.228012</v>
      </c>
      <c r="I290" s="1">
        <f t="shared" si="7"/>
        <v>16144.73675</v>
      </c>
    </row>
    <row r="291" hidden="1">
      <c r="A291" s="266">
        <f>IFERROR(__xludf.DUMMYFUNCTION("""COMPUTED_VALUE"""),42901.99861111111)</f>
        <v>42901.99861</v>
      </c>
      <c r="B291" s="1">
        <f>IFERROR(__xludf.DUMMYFUNCTION("""COMPUTED_VALUE"""),2364.03)</f>
        <v>2364.03</v>
      </c>
      <c r="C291" s="58">
        <f t="shared" si="1"/>
        <v>3085.998611</v>
      </c>
      <c r="D291" s="1">
        <f t="shared" si="2"/>
        <v>898.6174186</v>
      </c>
      <c r="E291" s="1">
        <f t="shared" si="3"/>
        <v>1617.511353</v>
      </c>
      <c r="F291" s="1">
        <f t="shared" si="4"/>
        <v>3055.299223</v>
      </c>
      <c r="G291" s="1">
        <f t="shared" si="5"/>
        <v>5391.704512</v>
      </c>
      <c r="H291" s="1">
        <f t="shared" si="6"/>
        <v>9884.791605</v>
      </c>
      <c r="I291" s="1">
        <f t="shared" si="7"/>
        <v>16175.11353</v>
      </c>
    </row>
    <row r="292" hidden="1">
      <c r="A292" s="266">
        <f>IFERROR(__xludf.DUMMYFUNCTION("""COMPUTED_VALUE"""),42902.99861111111)</f>
        <v>42902.99861</v>
      </c>
      <c r="B292" s="1">
        <f>IFERROR(__xludf.DUMMYFUNCTION("""COMPUTED_VALUE"""),2450.47)</f>
        <v>2450.47</v>
      </c>
      <c r="C292" s="58">
        <f t="shared" si="1"/>
        <v>3086.998611</v>
      </c>
      <c r="D292" s="1">
        <f t="shared" si="2"/>
        <v>900.3076449</v>
      </c>
      <c r="E292" s="1">
        <f t="shared" si="3"/>
        <v>1620.553761</v>
      </c>
      <c r="F292" s="1">
        <f t="shared" si="4"/>
        <v>3061.045993</v>
      </c>
      <c r="G292" s="1">
        <f t="shared" si="5"/>
        <v>5401.84587</v>
      </c>
      <c r="H292" s="1">
        <f t="shared" si="6"/>
        <v>9903.384094</v>
      </c>
      <c r="I292" s="1">
        <f t="shared" si="7"/>
        <v>16205.53761</v>
      </c>
    </row>
    <row r="293" hidden="1">
      <c r="A293" s="266">
        <f>IFERROR(__xludf.DUMMYFUNCTION("""COMPUTED_VALUE"""),42905.99861111111)</f>
        <v>42905.99861</v>
      </c>
      <c r="B293" s="1">
        <f>IFERROR(__xludf.DUMMYFUNCTION("""COMPUTED_VALUE"""),2549.3)</f>
        <v>2549.3</v>
      </c>
      <c r="C293" s="58">
        <f t="shared" si="1"/>
        <v>3089.998611</v>
      </c>
      <c r="D293" s="1">
        <f t="shared" si="2"/>
        <v>905.394118</v>
      </c>
      <c r="E293" s="1">
        <f t="shared" si="3"/>
        <v>1629.709412</v>
      </c>
      <c r="F293" s="1">
        <f t="shared" si="4"/>
        <v>3078.340001</v>
      </c>
      <c r="G293" s="1">
        <f t="shared" si="5"/>
        <v>5432.364708</v>
      </c>
      <c r="H293" s="1">
        <f t="shared" si="6"/>
        <v>9959.335298</v>
      </c>
      <c r="I293" s="1">
        <f t="shared" si="7"/>
        <v>16297.09412</v>
      </c>
    </row>
    <row r="294" hidden="1">
      <c r="A294" s="266">
        <f>IFERROR(__xludf.DUMMYFUNCTION("""COMPUTED_VALUE"""),42906.99861111111)</f>
        <v>42906.99861</v>
      </c>
      <c r="B294" s="1">
        <f>IFERROR(__xludf.DUMMYFUNCTION("""COMPUTED_VALUE"""),2649.36)</f>
        <v>2649.36</v>
      </c>
      <c r="C294" s="58">
        <f t="shared" si="1"/>
        <v>3090.998611</v>
      </c>
      <c r="D294" s="1">
        <f t="shared" si="2"/>
        <v>907.0948845</v>
      </c>
      <c r="E294" s="1">
        <f t="shared" si="3"/>
        <v>1632.770792</v>
      </c>
      <c r="F294" s="1">
        <f t="shared" si="4"/>
        <v>3084.122607</v>
      </c>
      <c r="G294" s="1">
        <f t="shared" si="5"/>
        <v>5442.569307</v>
      </c>
      <c r="H294" s="1">
        <f t="shared" si="6"/>
        <v>9978.04373</v>
      </c>
      <c r="I294" s="1">
        <f t="shared" si="7"/>
        <v>16327.70792</v>
      </c>
    </row>
    <row r="295" hidden="1">
      <c r="A295" s="266">
        <f>IFERROR(__xludf.DUMMYFUNCTION("""COMPUTED_VALUE"""),42907.99861111111)</f>
        <v>42907.99861</v>
      </c>
      <c r="B295" s="1">
        <f>IFERROR(__xludf.DUMMYFUNCTION("""COMPUTED_VALUE"""),2696.38)</f>
        <v>2696.38</v>
      </c>
      <c r="C295" s="58">
        <f t="shared" si="1"/>
        <v>3091.998611</v>
      </c>
      <c r="D295" s="1">
        <f t="shared" si="2"/>
        <v>908.7982942</v>
      </c>
      <c r="E295" s="1">
        <f t="shared" si="3"/>
        <v>1635.83693</v>
      </c>
      <c r="F295" s="1">
        <f t="shared" si="4"/>
        <v>3089.9142</v>
      </c>
      <c r="G295" s="1">
        <f t="shared" si="5"/>
        <v>5452.789765</v>
      </c>
      <c r="H295" s="1">
        <f t="shared" si="6"/>
        <v>9996.781236</v>
      </c>
      <c r="I295" s="1">
        <f t="shared" si="7"/>
        <v>16358.3693</v>
      </c>
    </row>
    <row r="296" hidden="1">
      <c r="A296" s="266">
        <f>IFERROR(__xludf.DUMMYFUNCTION("""COMPUTED_VALUE"""),42908.99861111111)</f>
        <v>42908.99861</v>
      </c>
      <c r="B296" s="1">
        <f>IFERROR(__xludf.DUMMYFUNCTION("""COMPUTED_VALUE"""),2671.54)</f>
        <v>2671.54</v>
      </c>
      <c r="C296" s="58">
        <f t="shared" si="1"/>
        <v>3092.998611</v>
      </c>
      <c r="D296" s="1">
        <f t="shared" si="2"/>
        <v>910.5043503</v>
      </c>
      <c r="E296" s="1">
        <f t="shared" si="3"/>
        <v>1638.907831</v>
      </c>
      <c r="F296" s="1">
        <f t="shared" si="4"/>
        <v>3095.714791</v>
      </c>
      <c r="G296" s="1">
        <f t="shared" si="5"/>
        <v>5463.026102</v>
      </c>
      <c r="H296" s="1">
        <f t="shared" si="6"/>
        <v>10015.54785</v>
      </c>
      <c r="I296" s="1">
        <f t="shared" si="7"/>
        <v>16389.07831</v>
      </c>
    </row>
    <row r="297" hidden="1">
      <c r="A297" s="266">
        <f>IFERROR(__xludf.DUMMYFUNCTION("""COMPUTED_VALUE"""),42909.99861111111)</f>
        <v>42909.99861</v>
      </c>
      <c r="B297" s="1">
        <f>IFERROR(__xludf.DUMMYFUNCTION("""COMPUTED_VALUE"""),2705.71)</f>
        <v>2705.71</v>
      </c>
      <c r="C297" s="58">
        <f t="shared" si="1"/>
        <v>3093.998611</v>
      </c>
      <c r="D297" s="1">
        <f t="shared" si="2"/>
        <v>912.2130561</v>
      </c>
      <c r="E297" s="1">
        <f t="shared" si="3"/>
        <v>1641.983501</v>
      </c>
      <c r="F297" s="1">
        <f t="shared" si="4"/>
        <v>3101.524391</v>
      </c>
      <c r="G297" s="1">
        <f t="shared" si="5"/>
        <v>5473.278337</v>
      </c>
      <c r="H297" s="1">
        <f t="shared" si="6"/>
        <v>10034.34362</v>
      </c>
      <c r="I297" s="1">
        <f t="shared" si="7"/>
        <v>16419.83501</v>
      </c>
    </row>
    <row r="298" hidden="1">
      <c r="A298" s="266">
        <f>IFERROR(__xludf.DUMMYFUNCTION("""COMPUTED_VALUE"""),42912.99861111111)</f>
        <v>42912.99861</v>
      </c>
      <c r="B298" s="1">
        <f>IFERROR(__xludf.DUMMYFUNCTION("""COMPUTED_VALUE"""),2456.39)</f>
        <v>2456.39</v>
      </c>
      <c r="C298" s="58">
        <f t="shared" si="1"/>
        <v>3096.998611</v>
      </c>
      <c r="D298" s="1">
        <f t="shared" si="2"/>
        <v>917.3551041</v>
      </c>
      <c r="E298" s="1">
        <f t="shared" si="3"/>
        <v>1651.239187</v>
      </c>
      <c r="F298" s="1">
        <f t="shared" si="4"/>
        <v>3119.007354</v>
      </c>
      <c r="G298" s="1">
        <f t="shared" si="5"/>
        <v>5504.130625</v>
      </c>
      <c r="H298" s="1">
        <f t="shared" si="6"/>
        <v>10090.90614</v>
      </c>
      <c r="I298" s="1">
        <f t="shared" si="7"/>
        <v>16512.39187</v>
      </c>
    </row>
    <row r="299" hidden="1">
      <c r="A299" s="266">
        <f>IFERROR(__xludf.DUMMYFUNCTION("""COMPUTED_VALUE"""),42913.99861111111)</f>
        <v>42913.99861</v>
      </c>
      <c r="B299" s="1">
        <f>IFERROR(__xludf.DUMMYFUNCTION("""COMPUTED_VALUE"""),2402.06)</f>
        <v>2402.06</v>
      </c>
      <c r="C299" s="58">
        <f t="shared" si="1"/>
        <v>3097.998611</v>
      </c>
      <c r="D299" s="1">
        <f t="shared" si="2"/>
        <v>919.0744412</v>
      </c>
      <c r="E299" s="1">
        <f t="shared" si="3"/>
        <v>1654.333994</v>
      </c>
      <c r="F299" s="1">
        <f t="shared" si="4"/>
        <v>3124.8531</v>
      </c>
      <c r="G299" s="1">
        <f t="shared" si="5"/>
        <v>5514.446647</v>
      </c>
      <c r="H299" s="1">
        <f t="shared" si="6"/>
        <v>10109.81885</v>
      </c>
      <c r="I299" s="1">
        <f t="shared" si="7"/>
        <v>16543.33994</v>
      </c>
    </row>
    <row r="300" hidden="1">
      <c r="A300" s="266">
        <f>IFERROR(__xludf.DUMMYFUNCTION("""COMPUTED_VALUE"""),42914.99861111111)</f>
        <v>42914.99861</v>
      </c>
      <c r="B300" s="1">
        <f>IFERROR(__xludf.DUMMYFUNCTION("""COMPUTED_VALUE"""),2527.85)</f>
        <v>2527.85</v>
      </c>
      <c r="C300" s="58">
        <f t="shared" si="1"/>
        <v>3098.998611</v>
      </c>
      <c r="D300" s="1">
        <f t="shared" si="2"/>
        <v>920.7964442</v>
      </c>
      <c r="E300" s="1">
        <f t="shared" si="3"/>
        <v>1657.4336</v>
      </c>
      <c r="F300" s="1">
        <f t="shared" si="4"/>
        <v>3130.70791</v>
      </c>
      <c r="G300" s="1">
        <f t="shared" si="5"/>
        <v>5524.778665</v>
      </c>
      <c r="H300" s="1">
        <f t="shared" si="6"/>
        <v>10128.76089</v>
      </c>
      <c r="I300" s="1">
        <f t="shared" si="7"/>
        <v>16574.336</v>
      </c>
    </row>
    <row r="301" hidden="1">
      <c r="A301" s="266">
        <f>IFERROR(__xludf.DUMMYFUNCTION("""COMPUTED_VALUE"""),42915.99861111111)</f>
        <v>42915.99861</v>
      </c>
      <c r="B301" s="1">
        <f>IFERROR(__xludf.DUMMYFUNCTION("""COMPUTED_VALUE"""),2551.48)</f>
        <v>2551.48</v>
      </c>
      <c r="C301" s="58">
        <f t="shared" si="1"/>
        <v>3099.998611</v>
      </c>
      <c r="D301" s="1">
        <f t="shared" si="2"/>
        <v>922.5211165</v>
      </c>
      <c r="E301" s="1">
        <f t="shared" si="3"/>
        <v>1660.53801</v>
      </c>
      <c r="F301" s="1">
        <f t="shared" si="4"/>
        <v>3136.571796</v>
      </c>
      <c r="G301" s="1">
        <f t="shared" si="5"/>
        <v>5535.126699</v>
      </c>
      <c r="H301" s="1">
        <f t="shared" si="6"/>
        <v>10147.73228</v>
      </c>
      <c r="I301" s="1">
        <f t="shared" si="7"/>
        <v>16605.3801</v>
      </c>
    </row>
    <row r="302" hidden="1">
      <c r="A302" s="266">
        <f>IFERROR(__xludf.DUMMYFUNCTION("""COMPUTED_VALUE"""),42916.99861111111)</f>
        <v>42916.99861</v>
      </c>
      <c r="B302" s="1">
        <f>IFERROR(__xludf.DUMMYFUNCTION("""COMPUTED_VALUE"""),2512.72)</f>
        <v>2512.72</v>
      </c>
      <c r="C302" s="58">
        <f t="shared" si="1"/>
        <v>3100.998611</v>
      </c>
      <c r="D302" s="1">
        <f t="shared" si="2"/>
        <v>924.2484613</v>
      </c>
      <c r="E302" s="1">
        <f t="shared" si="3"/>
        <v>1663.64723</v>
      </c>
      <c r="F302" s="1">
        <f t="shared" si="4"/>
        <v>3142.444769</v>
      </c>
      <c r="G302" s="1">
        <f t="shared" si="5"/>
        <v>5545.490768</v>
      </c>
      <c r="H302" s="1">
        <f t="shared" si="6"/>
        <v>10166.73307</v>
      </c>
      <c r="I302" s="1">
        <f t="shared" si="7"/>
        <v>16636.4723</v>
      </c>
    </row>
    <row r="303" hidden="1">
      <c r="A303" s="266">
        <f>IFERROR(__xludf.DUMMYFUNCTION("""COMPUTED_VALUE"""),42919.99861111111)</f>
        <v>42919.99861</v>
      </c>
      <c r="B303" s="1">
        <f>IFERROR(__xludf.DUMMYFUNCTION("""COMPUTED_VALUE"""),2516.91)</f>
        <v>2516.91</v>
      </c>
      <c r="C303" s="58">
        <f t="shared" si="1"/>
        <v>3103.998611</v>
      </c>
      <c r="D303" s="1">
        <f t="shared" si="2"/>
        <v>929.4465638</v>
      </c>
      <c r="E303" s="1">
        <f t="shared" si="3"/>
        <v>1673.003815</v>
      </c>
      <c r="F303" s="1">
        <f t="shared" si="4"/>
        <v>3160.118317</v>
      </c>
      <c r="G303" s="1">
        <f t="shared" si="5"/>
        <v>5576.679383</v>
      </c>
      <c r="H303" s="1">
        <f t="shared" si="6"/>
        <v>10223.9122</v>
      </c>
      <c r="I303" s="1">
        <f t="shared" si="7"/>
        <v>16730.03815</v>
      </c>
    </row>
    <row r="304" hidden="1">
      <c r="A304" s="266">
        <f>IFERROR(__xludf.DUMMYFUNCTION("""COMPUTED_VALUE"""),42920.99861111111)</f>
        <v>42920.99861</v>
      </c>
      <c r="B304" s="1">
        <f>IFERROR(__xludf.DUMMYFUNCTION("""COMPUTED_VALUE"""),2592.41)</f>
        <v>2592.41</v>
      </c>
      <c r="C304" s="58">
        <f t="shared" si="1"/>
        <v>3104.998611</v>
      </c>
      <c r="D304" s="1">
        <f t="shared" si="2"/>
        <v>931.1846316</v>
      </c>
      <c r="E304" s="1">
        <f t="shared" si="3"/>
        <v>1676.132337</v>
      </c>
      <c r="F304" s="1">
        <f t="shared" si="4"/>
        <v>3166.027747</v>
      </c>
      <c r="G304" s="1">
        <f t="shared" si="5"/>
        <v>5587.107789</v>
      </c>
      <c r="H304" s="1">
        <f t="shared" si="6"/>
        <v>10243.03095</v>
      </c>
      <c r="I304" s="1">
        <f t="shared" si="7"/>
        <v>16761.32337</v>
      </c>
    </row>
    <row r="305" hidden="1">
      <c r="A305" s="266">
        <f>IFERROR(__xludf.DUMMYFUNCTION("""COMPUTED_VALUE"""),42921.99861111111)</f>
        <v>42921.99861</v>
      </c>
      <c r="B305" s="1">
        <f>IFERROR(__xludf.DUMMYFUNCTION("""COMPUTED_VALUE"""),2569.1)</f>
        <v>2569.1</v>
      </c>
      <c r="C305" s="58">
        <f t="shared" si="1"/>
        <v>3105.998611</v>
      </c>
      <c r="D305" s="1">
        <f t="shared" si="2"/>
        <v>932.9253883</v>
      </c>
      <c r="E305" s="1">
        <f t="shared" si="3"/>
        <v>1679.265699</v>
      </c>
      <c r="F305" s="1">
        <f t="shared" si="4"/>
        <v>3171.94632</v>
      </c>
      <c r="G305" s="1">
        <f t="shared" si="5"/>
        <v>5597.55233</v>
      </c>
      <c r="H305" s="1">
        <f t="shared" si="6"/>
        <v>10262.17927</v>
      </c>
      <c r="I305" s="1">
        <f t="shared" si="7"/>
        <v>16792.65699</v>
      </c>
    </row>
    <row r="306" hidden="1">
      <c r="A306" s="266">
        <f>IFERROR(__xludf.DUMMYFUNCTION("""COMPUTED_VALUE"""),42922.99861111111)</f>
        <v>42922.99861</v>
      </c>
      <c r="B306" s="1">
        <f>IFERROR(__xludf.DUMMYFUNCTION("""COMPUTED_VALUE"""),2594.21)</f>
        <v>2594.21</v>
      </c>
      <c r="C306" s="58">
        <f t="shared" si="1"/>
        <v>3106.998611</v>
      </c>
      <c r="D306" s="1">
        <f t="shared" si="2"/>
        <v>934.6688372</v>
      </c>
      <c r="E306" s="1">
        <f t="shared" si="3"/>
        <v>1682.403907</v>
      </c>
      <c r="F306" s="1">
        <f t="shared" si="4"/>
        <v>3177.874047</v>
      </c>
      <c r="G306" s="1">
        <f t="shared" si="5"/>
        <v>5608.013023</v>
      </c>
      <c r="H306" s="1">
        <f t="shared" si="6"/>
        <v>10281.35721</v>
      </c>
      <c r="I306" s="1">
        <f t="shared" si="7"/>
        <v>16824.03907</v>
      </c>
    </row>
    <row r="307" hidden="1">
      <c r="A307" s="266">
        <f>IFERROR(__xludf.DUMMYFUNCTION("""COMPUTED_VALUE"""),42923.99861111111)</f>
        <v>42923.99861</v>
      </c>
      <c r="B307" s="1">
        <f>IFERROR(__xludf.DUMMYFUNCTION("""COMPUTED_VALUE"""),2542.14)</f>
        <v>2542.14</v>
      </c>
      <c r="C307" s="58">
        <f t="shared" si="1"/>
        <v>3107.998611</v>
      </c>
      <c r="D307" s="1">
        <f t="shared" si="2"/>
        <v>936.4149817</v>
      </c>
      <c r="E307" s="1">
        <f t="shared" si="3"/>
        <v>1685.546967</v>
      </c>
      <c r="F307" s="1">
        <f t="shared" si="4"/>
        <v>3183.810938</v>
      </c>
      <c r="G307" s="1">
        <f t="shared" si="5"/>
        <v>5618.48989</v>
      </c>
      <c r="H307" s="1">
        <f t="shared" si="6"/>
        <v>10300.5648</v>
      </c>
      <c r="I307" s="1">
        <f t="shared" si="7"/>
        <v>16855.46967</v>
      </c>
    </row>
    <row r="308" hidden="1">
      <c r="A308" s="266">
        <f>IFERROR(__xludf.DUMMYFUNCTION("""COMPUTED_VALUE"""),42926.99861111111)</f>
        <v>42926.99861</v>
      </c>
      <c r="B308" s="1">
        <f>IFERROR(__xludf.DUMMYFUNCTION("""COMPUTED_VALUE"""),2452.26)</f>
        <v>2452.26</v>
      </c>
      <c r="C308" s="58">
        <f t="shared" si="1"/>
        <v>3110.998611</v>
      </c>
      <c r="D308" s="1">
        <f t="shared" si="2"/>
        <v>941.6696214</v>
      </c>
      <c r="E308" s="1">
        <f t="shared" si="3"/>
        <v>1695.005318</v>
      </c>
      <c r="F308" s="1">
        <f t="shared" si="4"/>
        <v>3201.676713</v>
      </c>
      <c r="G308" s="1">
        <f t="shared" si="5"/>
        <v>5650.017728</v>
      </c>
      <c r="H308" s="1">
        <f t="shared" si="6"/>
        <v>10358.36583</v>
      </c>
      <c r="I308" s="1">
        <f t="shared" si="7"/>
        <v>16950.05318</v>
      </c>
    </row>
    <row r="309" hidden="1">
      <c r="A309" s="266">
        <f>IFERROR(__xludf.DUMMYFUNCTION("""COMPUTED_VALUE"""),42927.99861111111)</f>
        <v>42927.99861</v>
      </c>
      <c r="B309" s="1">
        <f>IFERROR(__xludf.DUMMYFUNCTION("""COMPUTED_VALUE"""),2340.0)</f>
        <v>2340</v>
      </c>
      <c r="C309" s="58">
        <f t="shared" si="1"/>
        <v>3111.998611</v>
      </c>
      <c r="D309" s="1">
        <f t="shared" si="2"/>
        <v>943.426581</v>
      </c>
      <c r="E309" s="1">
        <f t="shared" si="3"/>
        <v>1698.167846</v>
      </c>
      <c r="F309" s="1">
        <f t="shared" si="4"/>
        <v>3207.650375</v>
      </c>
      <c r="G309" s="1">
        <f t="shared" si="5"/>
        <v>5660.559486</v>
      </c>
      <c r="H309" s="1">
        <f t="shared" si="6"/>
        <v>10377.69239</v>
      </c>
      <c r="I309" s="1">
        <f t="shared" si="7"/>
        <v>16981.67846</v>
      </c>
    </row>
    <row r="310" hidden="1">
      <c r="A310" s="266">
        <f>IFERROR(__xludf.DUMMYFUNCTION("""COMPUTED_VALUE"""),42928.99861111111)</f>
        <v>42928.99861</v>
      </c>
      <c r="B310" s="1">
        <f>IFERROR(__xludf.DUMMYFUNCTION("""COMPUTED_VALUE"""),2338.33)</f>
        <v>2338.33</v>
      </c>
      <c r="C310" s="58">
        <f t="shared" si="1"/>
        <v>3112.998611</v>
      </c>
      <c r="D310" s="1">
        <f t="shared" si="2"/>
        <v>945.1862527</v>
      </c>
      <c r="E310" s="1">
        <f t="shared" si="3"/>
        <v>1701.335255</v>
      </c>
      <c r="F310" s="1">
        <f t="shared" si="4"/>
        <v>3213.633259</v>
      </c>
      <c r="G310" s="1">
        <f t="shared" si="5"/>
        <v>5671.117516</v>
      </c>
      <c r="H310" s="1">
        <f t="shared" si="6"/>
        <v>10397.04878</v>
      </c>
      <c r="I310" s="1">
        <f t="shared" si="7"/>
        <v>17013.35255</v>
      </c>
    </row>
    <row r="311" hidden="1">
      <c r="A311" s="266">
        <f>IFERROR(__xludf.DUMMYFUNCTION("""COMPUTED_VALUE"""),42929.99861111111)</f>
        <v>42929.99861</v>
      </c>
      <c r="B311" s="1">
        <f>IFERROR(__xludf.DUMMYFUNCTION("""COMPUTED_VALUE"""),2364.62)</f>
        <v>2364.62</v>
      </c>
      <c r="C311" s="58">
        <f t="shared" si="1"/>
        <v>3113.998611</v>
      </c>
      <c r="D311" s="1">
        <f t="shared" si="2"/>
        <v>946.9486397</v>
      </c>
      <c r="E311" s="1">
        <f t="shared" si="3"/>
        <v>1704.507552</v>
      </c>
      <c r="F311" s="1">
        <f t="shared" si="4"/>
        <v>3219.625375</v>
      </c>
      <c r="G311" s="1">
        <f t="shared" si="5"/>
        <v>5681.691838</v>
      </c>
      <c r="H311" s="1">
        <f t="shared" si="6"/>
        <v>10416.43504</v>
      </c>
      <c r="I311" s="1">
        <f t="shared" si="7"/>
        <v>17045.07552</v>
      </c>
    </row>
    <row r="312" hidden="1">
      <c r="A312" s="266">
        <f>IFERROR(__xludf.DUMMYFUNCTION("""COMPUTED_VALUE"""),42930.99861111111)</f>
        <v>42930.99861</v>
      </c>
      <c r="B312" s="1">
        <f>IFERROR(__xludf.DUMMYFUNCTION("""COMPUTED_VALUE"""),2274.57)</f>
        <v>2274.57</v>
      </c>
      <c r="C312" s="58">
        <f t="shared" si="1"/>
        <v>3114.998611</v>
      </c>
      <c r="D312" s="1">
        <f t="shared" si="2"/>
        <v>948.7137455</v>
      </c>
      <c r="E312" s="1">
        <f t="shared" si="3"/>
        <v>1707.684742</v>
      </c>
      <c r="F312" s="1">
        <f t="shared" si="4"/>
        <v>3225.626735</v>
      </c>
      <c r="G312" s="1">
        <f t="shared" si="5"/>
        <v>5692.282473</v>
      </c>
      <c r="H312" s="1">
        <f t="shared" si="6"/>
        <v>10435.8512</v>
      </c>
      <c r="I312" s="1">
        <f t="shared" si="7"/>
        <v>17076.84742</v>
      </c>
    </row>
    <row r="313" hidden="1">
      <c r="A313" s="266">
        <f>IFERROR(__xludf.DUMMYFUNCTION("""COMPUTED_VALUE"""),42933.99861111111)</f>
        <v>42933.99861</v>
      </c>
      <c r="B313" s="1">
        <f>IFERROR(__xludf.DUMMYFUNCTION("""COMPUTED_VALUE"""),2050.82)</f>
        <v>2050.82</v>
      </c>
      <c r="C313" s="58">
        <f t="shared" si="1"/>
        <v>3117.998611</v>
      </c>
      <c r="D313" s="1">
        <f t="shared" si="2"/>
        <v>954.025408</v>
      </c>
      <c r="E313" s="1">
        <f t="shared" si="3"/>
        <v>1717.245734</v>
      </c>
      <c r="F313" s="1">
        <f t="shared" si="4"/>
        <v>3243.686387</v>
      </c>
      <c r="G313" s="1">
        <f t="shared" si="5"/>
        <v>5724.152448</v>
      </c>
      <c r="H313" s="1">
        <f t="shared" si="6"/>
        <v>10494.27949</v>
      </c>
      <c r="I313" s="1">
        <f t="shared" si="7"/>
        <v>17172.45734</v>
      </c>
    </row>
    <row r="314" hidden="1">
      <c r="A314" s="266">
        <f>IFERROR(__xludf.DUMMYFUNCTION("""COMPUTED_VALUE"""),42934.99861111111)</f>
        <v>42934.99861</v>
      </c>
      <c r="B314" s="1">
        <f>IFERROR(__xludf.DUMMYFUNCTION("""COMPUTED_VALUE"""),2269.79)</f>
        <v>2269.79</v>
      </c>
      <c r="C314" s="58">
        <f t="shared" si="1"/>
        <v>3118.998611</v>
      </c>
      <c r="D314" s="1">
        <f t="shared" si="2"/>
        <v>955.8014217</v>
      </c>
      <c r="E314" s="1">
        <f t="shared" si="3"/>
        <v>1720.442559</v>
      </c>
      <c r="F314" s="1">
        <f t="shared" si="4"/>
        <v>3249.724834</v>
      </c>
      <c r="G314" s="1">
        <f t="shared" si="5"/>
        <v>5734.80853</v>
      </c>
      <c r="H314" s="1">
        <f t="shared" si="6"/>
        <v>10513.81564</v>
      </c>
      <c r="I314" s="1">
        <f t="shared" si="7"/>
        <v>17204.42559</v>
      </c>
    </row>
    <row r="315" hidden="1">
      <c r="A315" s="266">
        <f>IFERROR(__xludf.DUMMYFUNCTION("""COMPUTED_VALUE"""),42935.99861111111)</f>
        <v>42935.99861</v>
      </c>
      <c r="B315" s="1">
        <f>IFERROR(__xludf.DUMMYFUNCTION("""COMPUTED_VALUE"""),2308.37)</f>
        <v>2308.37</v>
      </c>
      <c r="C315" s="58">
        <f t="shared" si="1"/>
        <v>3119.998611</v>
      </c>
      <c r="D315" s="1">
        <f t="shared" si="2"/>
        <v>957.5801707</v>
      </c>
      <c r="E315" s="1">
        <f t="shared" si="3"/>
        <v>1723.644307</v>
      </c>
      <c r="F315" s="1">
        <f t="shared" si="4"/>
        <v>3255.77258</v>
      </c>
      <c r="G315" s="1">
        <f t="shared" si="5"/>
        <v>5745.481024</v>
      </c>
      <c r="H315" s="1">
        <f t="shared" si="6"/>
        <v>10533.38188</v>
      </c>
      <c r="I315" s="1">
        <f t="shared" si="7"/>
        <v>17236.44307</v>
      </c>
    </row>
    <row r="316" hidden="1">
      <c r="A316" s="266">
        <f>IFERROR(__xludf.DUMMYFUNCTION("""COMPUTED_VALUE"""),42936.99861111111)</f>
        <v>42936.99861</v>
      </c>
      <c r="B316" s="1">
        <f>IFERROR(__xludf.DUMMYFUNCTION("""COMPUTED_VALUE"""),2486.87)</f>
        <v>2486.87</v>
      </c>
      <c r="C316" s="58">
        <f t="shared" si="1"/>
        <v>3120.998611</v>
      </c>
      <c r="D316" s="1">
        <f t="shared" si="2"/>
        <v>959.3616584</v>
      </c>
      <c r="E316" s="1">
        <f t="shared" si="3"/>
        <v>1726.850985</v>
      </c>
      <c r="F316" s="1">
        <f t="shared" si="4"/>
        <v>3261.829638</v>
      </c>
      <c r="G316" s="1">
        <f t="shared" si="5"/>
        <v>5756.16995</v>
      </c>
      <c r="H316" s="1">
        <f t="shared" si="6"/>
        <v>10552.97824</v>
      </c>
      <c r="I316" s="1">
        <f t="shared" si="7"/>
        <v>17268.50985</v>
      </c>
    </row>
    <row r="317" hidden="1">
      <c r="A317" s="266">
        <f>IFERROR(__xludf.DUMMYFUNCTION("""COMPUTED_VALUE"""),42937.99861111111)</f>
        <v>42937.99861</v>
      </c>
      <c r="B317" s="1">
        <f>IFERROR(__xludf.DUMMYFUNCTION("""COMPUTED_VALUE"""),2720.35)</f>
        <v>2720.35</v>
      </c>
      <c r="C317" s="58">
        <f t="shared" si="1"/>
        <v>3121.998611</v>
      </c>
      <c r="D317" s="1">
        <f t="shared" si="2"/>
        <v>961.145888</v>
      </c>
      <c r="E317" s="1">
        <f t="shared" si="3"/>
        <v>1730.062598</v>
      </c>
      <c r="F317" s="1">
        <f t="shared" si="4"/>
        <v>3267.896019</v>
      </c>
      <c r="G317" s="1">
        <f t="shared" si="5"/>
        <v>5766.875328</v>
      </c>
      <c r="H317" s="1">
        <f t="shared" si="6"/>
        <v>10572.60477</v>
      </c>
      <c r="I317" s="1">
        <f t="shared" si="7"/>
        <v>17300.62598</v>
      </c>
    </row>
    <row r="318" hidden="1">
      <c r="A318" s="266">
        <f>IFERROR(__xludf.DUMMYFUNCTION("""COMPUTED_VALUE"""),42940.99861111111)</f>
        <v>42940.99861</v>
      </c>
      <c r="B318" s="1">
        <f>IFERROR(__xludf.DUMMYFUNCTION("""COMPUTED_VALUE"""),2755.52)</f>
        <v>2755.52</v>
      </c>
      <c r="C318" s="58">
        <f t="shared" si="1"/>
        <v>3124.998611</v>
      </c>
      <c r="D318" s="1">
        <f t="shared" si="2"/>
        <v>966.5150622</v>
      </c>
      <c r="E318" s="1">
        <f t="shared" si="3"/>
        <v>1739.727112</v>
      </c>
      <c r="F318" s="1">
        <f t="shared" si="4"/>
        <v>3286.151212</v>
      </c>
      <c r="G318" s="1">
        <f t="shared" si="5"/>
        <v>5799.090373</v>
      </c>
      <c r="H318" s="1">
        <f t="shared" si="6"/>
        <v>10631.66568</v>
      </c>
      <c r="I318" s="1">
        <f t="shared" si="7"/>
        <v>17397.27112</v>
      </c>
    </row>
    <row r="319" hidden="1">
      <c r="A319" s="266">
        <f>IFERROR(__xludf.DUMMYFUNCTION("""COMPUTED_VALUE"""),42941.99861111111)</f>
        <v>42941.99861</v>
      </c>
      <c r="B319" s="1">
        <f>IFERROR(__xludf.DUMMYFUNCTION("""COMPUTED_VALUE"""),2622.62)</f>
        <v>2622.62</v>
      </c>
      <c r="C319" s="58">
        <f t="shared" si="1"/>
        <v>3125.998611</v>
      </c>
      <c r="D319" s="1">
        <f t="shared" si="2"/>
        <v>968.3102932</v>
      </c>
      <c r="E319" s="1">
        <f t="shared" si="3"/>
        <v>1742.958528</v>
      </c>
      <c r="F319" s="1">
        <f t="shared" si="4"/>
        <v>3292.254997</v>
      </c>
      <c r="G319" s="1">
        <f t="shared" si="5"/>
        <v>5809.861759</v>
      </c>
      <c r="H319" s="1">
        <f t="shared" si="6"/>
        <v>10651.41323</v>
      </c>
      <c r="I319" s="1">
        <f t="shared" si="7"/>
        <v>17429.58528</v>
      </c>
    </row>
    <row r="320" hidden="1">
      <c r="A320" s="266">
        <f>IFERROR(__xludf.DUMMYFUNCTION("""COMPUTED_VALUE"""),42942.99861111111)</f>
        <v>42942.99861</v>
      </c>
      <c r="B320" s="1">
        <f>IFERROR(__xludf.DUMMYFUNCTION("""COMPUTED_VALUE"""),2499.05)</f>
        <v>2499.05</v>
      </c>
      <c r="C320" s="58">
        <f t="shared" si="1"/>
        <v>3126.998611</v>
      </c>
      <c r="D320" s="1">
        <f t="shared" si="2"/>
        <v>970.1082829</v>
      </c>
      <c r="E320" s="1">
        <f t="shared" si="3"/>
        <v>1746.194909</v>
      </c>
      <c r="F320" s="1">
        <f t="shared" si="4"/>
        <v>3298.368162</v>
      </c>
      <c r="G320" s="1">
        <f t="shared" si="5"/>
        <v>5820.649697</v>
      </c>
      <c r="H320" s="1">
        <f t="shared" si="6"/>
        <v>10671.19111</v>
      </c>
      <c r="I320" s="1">
        <f t="shared" si="7"/>
        <v>17461.94909</v>
      </c>
    </row>
    <row r="321" hidden="1">
      <c r="A321" s="266">
        <f>IFERROR(__xludf.DUMMYFUNCTION("""COMPUTED_VALUE"""),42943.99861111111)</f>
        <v>42943.99861</v>
      </c>
      <c r="B321" s="1">
        <f>IFERROR(__xludf.DUMMYFUNCTION("""COMPUTED_VALUE"""),2569.57)</f>
        <v>2569.57</v>
      </c>
      <c r="C321" s="58">
        <f t="shared" si="1"/>
        <v>3127.998611</v>
      </c>
      <c r="D321" s="1">
        <f t="shared" si="2"/>
        <v>971.9090347</v>
      </c>
      <c r="E321" s="1">
        <f t="shared" si="3"/>
        <v>1749.436262</v>
      </c>
      <c r="F321" s="1">
        <f t="shared" si="4"/>
        <v>3304.490718</v>
      </c>
      <c r="G321" s="1">
        <f t="shared" si="5"/>
        <v>5831.454208</v>
      </c>
      <c r="H321" s="1">
        <f t="shared" si="6"/>
        <v>10690.99938</v>
      </c>
      <c r="I321" s="1">
        <f t="shared" si="7"/>
        <v>17494.36262</v>
      </c>
    </row>
    <row r="322" hidden="1">
      <c r="A322" s="266">
        <f>IFERROR(__xludf.DUMMYFUNCTION("""COMPUTED_VALUE"""),42944.99861111111)</f>
        <v>42944.99861</v>
      </c>
      <c r="B322" s="1">
        <f>IFERROR(__xludf.DUMMYFUNCTION("""COMPUTED_VALUE"""),2740.83)</f>
        <v>2740.83</v>
      </c>
      <c r="C322" s="58">
        <f t="shared" si="1"/>
        <v>3128.998611</v>
      </c>
      <c r="D322" s="1">
        <f t="shared" si="2"/>
        <v>973.7125519</v>
      </c>
      <c r="E322" s="1">
        <f t="shared" si="3"/>
        <v>1752.682593</v>
      </c>
      <c r="F322" s="1">
        <f t="shared" si="4"/>
        <v>3310.622676</v>
      </c>
      <c r="G322" s="1">
        <f t="shared" si="5"/>
        <v>5842.275311</v>
      </c>
      <c r="H322" s="1">
        <f t="shared" si="6"/>
        <v>10710.83807</v>
      </c>
      <c r="I322" s="1">
        <f t="shared" si="7"/>
        <v>17526.82593</v>
      </c>
    </row>
    <row r="323" hidden="1">
      <c r="A323" s="266">
        <f>IFERROR(__xludf.DUMMYFUNCTION("""COMPUTED_VALUE"""),42947.99861111111)</f>
        <v>42947.99861</v>
      </c>
      <c r="B323" s="1">
        <f>IFERROR(__xludf.DUMMYFUNCTION("""COMPUTED_VALUE"""),2772.74)</f>
        <v>2772.74</v>
      </c>
      <c r="C323" s="58">
        <f t="shared" si="1"/>
        <v>3131.998611</v>
      </c>
      <c r="D323" s="1">
        <f t="shared" si="2"/>
        <v>979.1397296</v>
      </c>
      <c r="E323" s="1">
        <f t="shared" si="3"/>
        <v>1762.451513</v>
      </c>
      <c r="F323" s="1">
        <f t="shared" si="4"/>
        <v>3329.075081</v>
      </c>
      <c r="G323" s="1">
        <f t="shared" si="5"/>
        <v>5874.838378</v>
      </c>
      <c r="H323" s="1">
        <f t="shared" si="6"/>
        <v>10770.53703</v>
      </c>
      <c r="I323" s="1">
        <f t="shared" si="7"/>
        <v>17624.51513</v>
      </c>
    </row>
    <row r="324" hidden="1">
      <c r="A324" s="266">
        <f>IFERROR(__xludf.DUMMYFUNCTION("""COMPUTED_VALUE"""),42948.99861111111)</f>
        <v>42948.99861</v>
      </c>
      <c r="B324" s="1">
        <f>IFERROR(__xludf.DUMMYFUNCTION("""COMPUTED_VALUE"""),2784.07)</f>
        <v>2784.07</v>
      </c>
      <c r="C324" s="58">
        <f t="shared" si="1"/>
        <v>3132.998611</v>
      </c>
      <c r="D324" s="1">
        <f t="shared" si="2"/>
        <v>980.9543421</v>
      </c>
      <c r="E324" s="1">
        <f t="shared" si="3"/>
        <v>1765.717816</v>
      </c>
      <c r="F324" s="1">
        <f t="shared" si="4"/>
        <v>3335.244763</v>
      </c>
      <c r="G324" s="1">
        <f t="shared" si="5"/>
        <v>5885.726053</v>
      </c>
      <c r="H324" s="1">
        <f t="shared" si="6"/>
        <v>10790.49776</v>
      </c>
      <c r="I324" s="1">
        <f t="shared" si="7"/>
        <v>17657.17816</v>
      </c>
    </row>
    <row r="325" hidden="1">
      <c r="A325" s="266">
        <f>IFERROR(__xludf.DUMMYFUNCTION("""COMPUTED_VALUE"""),42949.99861111111)</f>
        <v>42949.99861</v>
      </c>
      <c r="B325" s="1">
        <f>IFERROR(__xludf.DUMMYFUNCTION("""COMPUTED_VALUE"""),2714.09)</f>
        <v>2714.09</v>
      </c>
      <c r="C325" s="58">
        <f t="shared" si="1"/>
        <v>3133.998611</v>
      </c>
      <c r="D325" s="1">
        <f t="shared" si="2"/>
        <v>982.7717369</v>
      </c>
      <c r="E325" s="1">
        <f t="shared" si="3"/>
        <v>1768.989126</v>
      </c>
      <c r="F325" s="1">
        <f t="shared" si="4"/>
        <v>3341.423906</v>
      </c>
      <c r="G325" s="1">
        <f t="shared" si="5"/>
        <v>5896.630422</v>
      </c>
      <c r="H325" s="1">
        <f t="shared" si="6"/>
        <v>10810.48911</v>
      </c>
      <c r="I325" s="1">
        <f t="shared" si="7"/>
        <v>17689.89126</v>
      </c>
    </row>
    <row r="326" hidden="1">
      <c r="A326" s="266">
        <f>IFERROR(__xludf.DUMMYFUNCTION("""COMPUTED_VALUE"""),42950.99861111111)</f>
        <v>42950.99861</v>
      </c>
      <c r="B326" s="1">
        <f>IFERROR(__xludf.DUMMYFUNCTION("""COMPUTED_VALUE"""),2742.6)</f>
        <v>2742.6</v>
      </c>
      <c r="C326" s="58">
        <f t="shared" si="1"/>
        <v>3134.998611</v>
      </c>
      <c r="D326" s="1">
        <f t="shared" si="2"/>
        <v>984.5919174</v>
      </c>
      <c r="E326" s="1">
        <f t="shared" si="3"/>
        <v>1772.265451</v>
      </c>
      <c r="F326" s="1">
        <f t="shared" si="4"/>
        <v>3347.612519</v>
      </c>
      <c r="G326" s="1">
        <f t="shared" si="5"/>
        <v>5907.551504</v>
      </c>
      <c r="H326" s="1">
        <f t="shared" si="6"/>
        <v>10830.51109</v>
      </c>
      <c r="I326" s="1">
        <f t="shared" si="7"/>
        <v>17722.65451</v>
      </c>
    </row>
    <row r="327" hidden="1">
      <c r="A327" s="266">
        <f>IFERROR(__xludf.DUMMYFUNCTION("""COMPUTED_VALUE"""),42951.99861111111)</f>
        <v>42951.99861</v>
      </c>
      <c r="B327" s="1">
        <f>IFERROR(__xludf.DUMMYFUNCTION("""COMPUTED_VALUE"""),2826.89)</f>
        <v>2826.89</v>
      </c>
      <c r="C327" s="58">
        <f t="shared" si="1"/>
        <v>3135.998611</v>
      </c>
      <c r="D327" s="1">
        <f t="shared" si="2"/>
        <v>986.4148868</v>
      </c>
      <c r="E327" s="1">
        <f t="shared" si="3"/>
        <v>1775.546796</v>
      </c>
      <c r="F327" s="1">
        <f t="shared" si="4"/>
        <v>3353.810615</v>
      </c>
      <c r="G327" s="1">
        <f t="shared" si="5"/>
        <v>5918.489321</v>
      </c>
      <c r="H327" s="1">
        <f t="shared" si="6"/>
        <v>10850.56375</v>
      </c>
      <c r="I327" s="1">
        <f t="shared" si="7"/>
        <v>17755.46796</v>
      </c>
    </row>
    <row r="328" hidden="1">
      <c r="A328" s="266">
        <f>IFERROR(__xludf.DUMMYFUNCTION("""COMPUTED_VALUE"""),42954.99861111111)</f>
        <v>42954.99861</v>
      </c>
      <c r="B328" s="1">
        <f>IFERROR(__xludf.DUMMYFUNCTION("""COMPUTED_VALUE"""),3305.9)</f>
        <v>3305.9</v>
      </c>
      <c r="C328" s="58">
        <f t="shared" si="1"/>
        <v>3138.998611</v>
      </c>
      <c r="D328" s="1">
        <f t="shared" si="2"/>
        <v>991.9005631</v>
      </c>
      <c r="E328" s="1">
        <f t="shared" si="3"/>
        <v>1785.421013</v>
      </c>
      <c r="F328" s="1">
        <f t="shared" si="4"/>
        <v>3372.461914</v>
      </c>
      <c r="G328" s="1">
        <f t="shared" si="5"/>
        <v>5951.403378</v>
      </c>
      <c r="H328" s="1">
        <f t="shared" si="6"/>
        <v>10910.90619</v>
      </c>
      <c r="I328" s="1">
        <f t="shared" si="7"/>
        <v>17854.21013</v>
      </c>
    </row>
    <row r="329" hidden="1">
      <c r="A329" s="266">
        <f>IFERROR(__xludf.DUMMYFUNCTION("""COMPUTED_VALUE"""),42955.99861111111)</f>
        <v>42955.99861</v>
      </c>
      <c r="B329" s="1">
        <f>IFERROR(__xludf.DUMMYFUNCTION("""COMPUTED_VALUE"""),3420.55)</f>
        <v>3420.55</v>
      </c>
      <c r="C329" s="58">
        <f t="shared" si="1"/>
        <v>3139.998611</v>
      </c>
      <c r="D329" s="1">
        <f t="shared" si="2"/>
        <v>993.7347224</v>
      </c>
      <c r="E329" s="1">
        <f t="shared" si="3"/>
        <v>1788.7225</v>
      </c>
      <c r="F329" s="1">
        <f t="shared" si="4"/>
        <v>3378.698056</v>
      </c>
      <c r="G329" s="1">
        <f t="shared" si="5"/>
        <v>5962.408334</v>
      </c>
      <c r="H329" s="1">
        <f t="shared" si="6"/>
        <v>10931.08195</v>
      </c>
      <c r="I329" s="1">
        <f t="shared" si="7"/>
        <v>17887.225</v>
      </c>
    </row>
    <row r="330" hidden="1">
      <c r="A330" s="266">
        <f>IFERROR(__xludf.DUMMYFUNCTION("""COMPUTED_VALUE"""),42956.99861111111)</f>
        <v>42956.99861</v>
      </c>
      <c r="B330" s="1">
        <f>IFERROR(__xludf.DUMMYFUNCTION("""COMPUTED_VALUE"""),3346.88)</f>
        <v>3346.88</v>
      </c>
      <c r="C330" s="58">
        <f t="shared" si="1"/>
        <v>3140.998611</v>
      </c>
      <c r="D330" s="1">
        <f t="shared" si="2"/>
        <v>995.5716877</v>
      </c>
      <c r="E330" s="1">
        <f t="shared" si="3"/>
        <v>1792.029038</v>
      </c>
      <c r="F330" s="1">
        <f t="shared" si="4"/>
        <v>3384.943738</v>
      </c>
      <c r="G330" s="1">
        <f t="shared" si="5"/>
        <v>5973.430126</v>
      </c>
      <c r="H330" s="1">
        <f t="shared" si="6"/>
        <v>10951.28856</v>
      </c>
      <c r="I330" s="1">
        <f t="shared" si="7"/>
        <v>17920.29038</v>
      </c>
    </row>
    <row r="331" hidden="1">
      <c r="A331" s="266">
        <f>IFERROR(__xludf.DUMMYFUNCTION("""COMPUTED_VALUE"""),42957.99861111111)</f>
        <v>42957.99861</v>
      </c>
      <c r="B331" s="1">
        <f>IFERROR(__xludf.DUMMYFUNCTION("""COMPUTED_VALUE"""),3396.2)</f>
        <v>3396.2</v>
      </c>
      <c r="C331" s="58">
        <f t="shared" si="1"/>
        <v>3141.998611</v>
      </c>
      <c r="D331" s="1">
        <f t="shared" si="2"/>
        <v>997.4114624</v>
      </c>
      <c r="E331" s="1">
        <f t="shared" si="3"/>
        <v>1795.340632</v>
      </c>
      <c r="F331" s="1">
        <f t="shared" si="4"/>
        <v>3391.198972</v>
      </c>
      <c r="G331" s="1">
        <f t="shared" si="5"/>
        <v>5984.468774</v>
      </c>
      <c r="H331" s="1">
        <f t="shared" si="6"/>
        <v>10971.52609</v>
      </c>
      <c r="I331" s="1">
        <f t="shared" si="7"/>
        <v>17953.40632</v>
      </c>
    </row>
    <row r="332" hidden="1">
      <c r="A332" s="266">
        <f>IFERROR(__xludf.DUMMYFUNCTION("""COMPUTED_VALUE"""),42958.99861111111)</f>
        <v>42958.99861</v>
      </c>
      <c r="B332" s="1">
        <f>IFERROR(__xludf.DUMMYFUNCTION("""COMPUTED_VALUE"""),3511.88)</f>
        <v>3511.88</v>
      </c>
      <c r="C332" s="58">
        <f t="shared" si="1"/>
        <v>3142.998611</v>
      </c>
      <c r="D332" s="1">
        <f t="shared" si="2"/>
        <v>999.2540498</v>
      </c>
      <c r="E332" s="1">
        <f t="shared" si="3"/>
        <v>1798.65729</v>
      </c>
      <c r="F332" s="1">
        <f t="shared" si="4"/>
        <v>3397.463769</v>
      </c>
      <c r="G332" s="1">
        <f t="shared" si="5"/>
        <v>5995.524299</v>
      </c>
      <c r="H332" s="1">
        <f t="shared" si="6"/>
        <v>10991.79455</v>
      </c>
      <c r="I332" s="1">
        <f t="shared" si="7"/>
        <v>17986.5729</v>
      </c>
    </row>
    <row r="333" hidden="1">
      <c r="A333" s="266">
        <f>IFERROR(__xludf.DUMMYFUNCTION("""COMPUTED_VALUE"""),42961.99861111111)</f>
        <v>42961.99861</v>
      </c>
      <c r="B333" s="1">
        <f>IFERROR(__xludf.DUMMYFUNCTION("""COMPUTED_VALUE"""),4173.75)</f>
        <v>4173.75</v>
      </c>
      <c r="C333" s="58">
        <f t="shared" si="1"/>
        <v>3145.998611</v>
      </c>
      <c r="D333" s="1">
        <f t="shared" si="2"/>
        <v>1004.798723</v>
      </c>
      <c r="E333" s="1">
        <f t="shared" si="3"/>
        <v>1808.637701</v>
      </c>
      <c r="F333" s="1">
        <f t="shared" si="4"/>
        <v>3416.315657</v>
      </c>
      <c r="G333" s="1">
        <f t="shared" si="5"/>
        <v>6028.792336</v>
      </c>
      <c r="H333" s="1">
        <f t="shared" si="6"/>
        <v>11052.78595</v>
      </c>
      <c r="I333" s="1">
        <f t="shared" si="7"/>
        <v>18086.37701</v>
      </c>
    </row>
    <row r="334" hidden="1">
      <c r="A334" s="266">
        <f>IFERROR(__xludf.DUMMYFUNCTION("""COMPUTED_VALUE"""),42962.99861111111)</f>
        <v>42962.99861</v>
      </c>
      <c r="B334" s="1">
        <f>IFERROR(__xludf.DUMMYFUNCTION("""COMPUTED_VALUE"""),4178.62)</f>
        <v>4178.62</v>
      </c>
      <c r="C334" s="58">
        <f t="shared" si="1"/>
        <v>3146.998611</v>
      </c>
      <c r="D334" s="1">
        <f t="shared" si="2"/>
        <v>1006.652595</v>
      </c>
      <c r="E334" s="1">
        <f t="shared" si="3"/>
        <v>1811.974671</v>
      </c>
      <c r="F334" s="1">
        <f t="shared" si="4"/>
        <v>3422.618823</v>
      </c>
      <c r="G334" s="1">
        <f t="shared" si="5"/>
        <v>6039.915571</v>
      </c>
      <c r="H334" s="1">
        <f t="shared" si="6"/>
        <v>11073.17855</v>
      </c>
      <c r="I334" s="1">
        <f t="shared" si="7"/>
        <v>18119.74671</v>
      </c>
    </row>
    <row r="335" hidden="1">
      <c r="A335" s="266">
        <f>IFERROR(__xludf.DUMMYFUNCTION("""COMPUTED_VALUE"""),42963.99861111111)</f>
        <v>42963.99861</v>
      </c>
      <c r="B335" s="1">
        <f>IFERROR(__xludf.DUMMYFUNCTION("""COMPUTED_VALUE"""),4172.97)</f>
        <v>4172.97</v>
      </c>
      <c r="C335" s="58">
        <f t="shared" si="1"/>
        <v>3147.998611</v>
      </c>
      <c r="D335" s="1">
        <f t="shared" si="2"/>
        <v>1008.509297</v>
      </c>
      <c r="E335" s="1">
        <f t="shared" si="3"/>
        <v>1815.316735</v>
      </c>
      <c r="F335" s="1">
        <f t="shared" si="4"/>
        <v>3428.931611</v>
      </c>
      <c r="G335" s="1">
        <f t="shared" si="5"/>
        <v>6051.055784</v>
      </c>
      <c r="H335" s="1">
        <f t="shared" si="6"/>
        <v>11093.60227</v>
      </c>
      <c r="I335" s="1">
        <f t="shared" si="7"/>
        <v>18153.16735</v>
      </c>
    </row>
    <row r="336" hidden="1">
      <c r="A336" s="266">
        <f>IFERROR(__xludf.DUMMYFUNCTION("""COMPUTED_VALUE"""),42964.99861111111)</f>
        <v>42964.99861</v>
      </c>
      <c r="B336" s="1">
        <f>IFERROR(__xludf.DUMMYFUNCTION("""COMPUTED_VALUE"""),4349.68)</f>
        <v>4349.68</v>
      </c>
      <c r="C336" s="58">
        <f t="shared" si="1"/>
        <v>3148.998611</v>
      </c>
      <c r="D336" s="1">
        <f t="shared" si="2"/>
        <v>1010.368833</v>
      </c>
      <c r="E336" s="1">
        <f t="shared" si="3"/>
        <v>1818.663899</v>
      </c>
      <c r="F336" s="1">
        <f t="shared" si="4"/>
        <v>3435.254032</v>
      </c>
      <c r="G336" s="1">
        <f t="shared" si="5"/>
        <v>6062.212997</v>
      </c>
      <c r="H336" s="1">
        <f t="shared" si="6"/>
        <v>11114.05716</v>
      </c>
      <c r="I336" s="1">
        <f t="shared" si="7"/>
        <v>18186.63899</v>
      </c>
    </row>
    <row r="337" hidden="1">
      <c r="A337" s="266">
        <f>IFERROR(__xludf.DUMMYFUNCTION("""COMPUTED_VALUE"""),42965.99861111111)</f>
        <v>42965.99861</v>
      </c>
      <c r="B337" s="1">
        <f>IFERROR(__xludf.DUMMYFUNCTION("""COMPUTED_VALUE"""),4227.94)</f>
        <v>4227.94</v>
      </c>
      <c r="C337" s="58">
        <f t="shared" si="1"/>
        <v>3149.998611</v>
      </c>
      <c r="D337" s="1">
        <f t="shared" si="2"/>
        <v>1012.231205</v>
      </c>
      <c r="E337" s="1">
        <f t="shared" si="3"/>
        <v>1822.016169</v>
      </c>
      <c r="F337" s="1">
        <f t="shared" si="4"/>
        <v>3441.586097</v>
      </c>
      <c r="G337" s="1">
        <f t="shared" si="5"/>
        <v>6073.38723</v>
      </c>
      <c r="H337" s="1">
        <f t="shared" si="6"/>
        <v>11134.54326</v>
      </c>
      <c r="I337" s="1">
        <f t="shared" si="7"/>
        <v>18220.16169</v>
      </c>
    </row>
    <row r="338" hidden="1">
      <c r="A338" s="266">
        <f>IFERROR(__xludf.DUMMYFUNCTION("""COMPUTED_VALUE"""),42968.99861111111)</f>
        <v>42968.99861</v>
      </c>
      <c r="B338" s="1">
        <f>IFERROR(__xludf.DUMMYFUNCTION("""COMPUTED_VALUE"""),4028.13)</f>
        <v>4028.13</v>
      </c>
      <c r="C338" s="58">
        <f t="shared" si="1"/>
        <v>3152.998611</v>
      </c>
      <c r="D338" s="1">
        <f t="shared" si="2"/>
        <v>1017.835376</v>
      </c>
      <c r="E338" s="1">
        <f t="shared" si="3"/>
        <v>1832.103676</v>
      </c>
      <c r="F338" s="1">
        <f t="shared" si="4"/>
        <v>3460.640277</v>
      </c>
      <c r="G338" s="1">
        <f t="shared" si="5"/>
        <v>6107.012254</v>
      </c>
      <c r="H338" s="1">
        <f t="shared" si="6"/>
        <v>11196.18913</v>
      </c>
      <c r="I338" s="1">
        <f t="shared" si="7"/>
        <v>18321.03676</v>
      </c>
    </row>
    <row r="339" hidden="1">
      <c r="A339" s="266">
        <f>IFERROR(__xludf.DUMMYFUNCTION("""COMPUTED_VALUE"""),42969.99861111111)</f>
        <v>42969.99861</v>
      </c>
      <c r="B339" s="1">
        <f>IFERROR(__xludf.DUMMYFUNCTION("""COMPUTED_VALUE"""),3925.49)</f>
        <v>3925.49</v>
      </c>
      <c r="C339" s="58">
        <f t="shared" si="1"/>
        <v>3153.998611</v>
      </c>
      <c r="D339" s="1">
        <f t="shared" si="2"/>
        <v>1019.709129</v>
      </c>
      <c r="E339" s="1">
        <f t="shared" si="3"/>
        <v>1835.476431</v>
      </c>
      <c r="F339" s="1">
        <f t="shared" si="4"/>
        <v>3467.011037</v>
      </c>
      <c r="G339" s="1">
        <f t="shared" si="5"/>
        <v>6118.254772</v>
      </c>
      <c r="H339" s="1">
        <f t="shared" si="6"/>
        <v>11216.80041</v>
      </c>
      <c r="I339" s="1">
        <f t="shared" si="7"/>
        <v>18354.76431</v>
      </c>
    </row>
    <row r="340" hidden="1">
      <c r="A340" s="266">
        <f>IFERROR(__xludf.DUMMYFUNCTION("""COMPUTED_VALUE"""),42970.99861111111)</f>
        <v>42970.99861</v>
      </c>
      <c r="B340" s="1">
        <f>IFERROR(__xludf.DUMMYFUNCTION("""COMPUTED_VALUE"""),4148.95)</f>
        <v>4148.95</v>
      </c>
      <c r="C340" s="58">
        <f t="shared" si="1"/>
        <v>3154.998611</v>
      </c>
      <c r="D340" s="1">
        <f t="shared" si="2"/>
        <v>1021.585735</v>
      </c>
      <c r="E340" s="1">
        <f t="shared" si="3"/>
        <v>1838.854324</v>
      </c>
      <c r="F340" s="1">
        <f t="shared" si="4"/>
        <v>3473.3915</v>
      </c>
      <c r="G340" s="1">
        <f t="shared" si="5"/>
        <v>6129.514412</v>
      </c>
      <c r="H340" s="1">
        <f t="shared" si="6"/>
        <v>11237.44309</v>
      </c>
      <c r="I340" s="1">
        <f t="shared" si="7"/>
        <v>18388.54324</v>
      </c>
    </row>
    <row r="341" hidden="1">
      <c r="A341" s="266">
        <f>IFERROR(__xludf.DUMMYFUNCTION("""COMPUTED_VALUE"""),42971.99861111111)</f>
        <v>42971.99861</v>
      </c>
      <c r="B341" s="1">
        <f>IFERROR(__xludf.DUMMYFUNCTION("""COMPUTED_VALUE"""),4195.61)</f>
        <v>4195.61</v>
      </c>
      <c r="C341" s="58">
        <f t="shared" si="1"/>
        <v>3155.998611</v>
      </c>
      <c r="D341" s="1">
        <f t="shared" si="2"/>
        <v>1023.465199</v>
      </c>
      <c r="E341" s="1">
        <f t="shared" si="3"/>
        <v>1842.237359</v>
      </c>
      <c r="F341" s="1">
        <f t="shared" si="4"/>
        <v>3479.781678</v>
      </c>
      <c r="G341" s="1">
        <f t="shared" si="5"/>
        <v>6140.791196</v>
      </c>
      <c r="H341" s="1">
        <f t="shared" si="6"/>
        <v>11258.11719</v>
      </c>
      <c r="I341" s="1">
        <f t="shared" si="7"/>
        <v>18422.37359</v>
      </c>
    </row>
    <row r="342" hidden="1">
      <c r="A342" s="266">
        <f>IFERROR(__xludf.DUMMYFUNCTION("""COMPUTED_VALUE"""),42972.99861111111)</f>
        <v>42972.99861</v>
      </c>
      <c r="B342" s="1">
        <f>IFERROR(__xludf.DUMMYFUNCTION("""COMPUTED_VALUE"""),4359.87)</f>
        <v>4359.87</v>
      </c>
      <c r="C342" s="58">
        <f t="shared" si="1"/>
        <v>3156.998611</v>
      </c>
      <c r="D342" s="1">
        <f t="shared" si="2"/>
        <v>1025.347524</v>
      </c>
      <c r="E342" s="1">
        <f t="shared" si="3"/>
        <v>1845.625543</v>
      </c>
      <c r="F342" s="1">
        <f t="shared" si="4"/>
        <v>3486.181582</v>
      </c>
      <c r="G342" s="1">
        <f t="shared" si="5"/>
        <v>6152.085144</v>
      </c>
      <c r="H342" s="1">
        <f t="shared" si="6"/>
        <v>11278.82276</v>
      </c>
      <c r="I342" s="1">
        <f t="shared" si="7"/>
        <v>18456.25543</v>
      </c>
    </row>
    <row r="343" hidden="1">
      <c r="A343" s="266">
        <f>IFERROR(__xludf.DUMMYFUNCTION("""COMPUTED_VALUE"""),42975.99861111111)</f>
        <v>42975.99861</v>
      </c>
      <c r="B343" s="1">
        <f>IFERROR(__xludf.DUMMYFUNCTION("""COMPUTED_VALUE"""),4308.84)</f>
        <v>4308.84</v>
      </c>
      <c r="C343" s="58">
        <f t="shared" si="1"/>
        <v>3159.998611</v>
      </c>
      <c r="D343" s="1">
        <f t="shared" si="2"/>
        <v>1031.011697</v>
      </c>
      <c r="E343" s="1">
        <f t="shared" si="3"/>
        <v>1855.821054</v>
      </c>
      <c r="F343" s="1">
        <f t="shared" si="4"/>
        <v>3505.439769</v>
      </c>
      <c r="G343" s="1">
        <f t="shared" si="5"/>
        <v>6186.07018</v>
      </c>
      <c r="H343" s="1">
        <f t="shared" si="6"/>
        <v>11341.12866</v>
      </c>
      <c r="I343" s="1">
        <f t="shared" si="7"/>
        <v>18558.21054</v>
      </c>
    </row>
    <row r="344" hidden="1">
      <c r="A344" s="266">
        <f>IFERROR(__xludf.DUMMYFUNCTION("""COMPUTED_VALUE"""),42976.99861111111)</f>
        <v>42976.99861</v>
      </c>
      <c r="B344" s="1">
        <f>IFERROR(__xludf.DUMMYFUNCTION("""COMPUTED_VALUE"""),4465.7)</f>
        <v>4465.7</v>
      </c>
      <c r="C344" s="58">
        <f t="shared" si="1"/>
        <v>3160.998611</v>
      </c>
      <c r="D344" s="1">
        <f t="shared" si="2"/>
        <v>1032.905499</v>
      </c>
      <c r="E344" s="1">
        <f t="shared" si="3"/>
        <v>1859.229897</v>
      </c>
      <c r="F344" s="1">
        <f t="shared" si="4"/>
        <v>3511.878695</v>
      </c>
      <c r="G344" s="1">
        <f t="shared" si="5"/>
        <v>6197.432991</v>
      </c>
      <c r="H344" s="1">
        <f t="shared" si="6"/>
        <v>11361.96048</v>
      </c>
      <c r="I344" s="1">
        <f t="shared" si="7"/>
        <v>18592.29897</v>
      </c>
    </row>
    <row r="345" hidden="1">
      <c r="A345" s="266">
        <f>IFERROR(__xludf.DUMMYFUNCTION("""COMPUTED_VALUE"""),42977.99861111111)</f>
        <v>42977.99861</v>
      </c>
      <c r="B345" s="1">
        <f>IFERROR(__xludf.DUMMYFUNCTION("""COMPUTED_VALUE"""),4577.26)</f>
        <v>4577.26</v>
      </c>
      <c r="C345" s="58">
        <f t="shared" si="1"/>
        <v>3161.998611</v>
      </c>
      <c r="D345" s="1">
        <f t="shared" si="2"/>
        <v>1034.802178</v>
      </c>
      <c r="E345" s="1">
        <f t="shared" si="3"/>
        <v>1862.643921</v>
      </c>
      <c r="F345" s="1">
        <f t="shared" si="4"/>
        <v>3518.327407</v>
      </c>
      <c r="G345" s="1">
        <f t="shared" si="5"/>
        <v>6208.81307</v>
      </c>
      <c r="H345" s="1">
        <f t="shared" si="6"/>
        <v>11382.82396</v>
      </c>
      <c r="I345" s="1">
        <f t="shared" si="7"/>
        <v>18626.43921</v>
      </c>
    </row>
    <row r="346" hidden="1">
      <c r="A346" s="266">
        <f>IFERROR(__xludf.DUMMYFUNCTION("""COMPUTED_VALUE"""),42978.99861111111)</f>
        <v>42978.99861</v>
      </c>
      <c r="B346" s="1">
        <f>IFERROR(__xludf.DUMMYFUNCTION("""COMPUTED_VALUE"""),4671.11)</f>
        <v>4671.11</v>
      </c>
      <c r="C346" s="58">
        <f t="shared" si="1"/>
        <v>3162.998611</v>
      </c>
      <c r="D346" s="1">
        <f t="shared" si="2"/>
        <v>1036.70174</v>
      </c>
      <c r="E346" s="1">
        <f t="shared" si="3"/>
        <v>1866.063131</v>
      </c>
      <c r="F346" s="1">
        <f t="shared" si="4"/>
        <v>3524.785915</v>
      </c>
      <c r="G346" s="1">
        <f t="shared" si="5"/>
        <v>6220.210438</v>
      </c>
      <c r="H346" s="1">
        <f t="shared" si="6"/>
        <v>11403.71914</v>
      </c>
      <c r="I346" s="1">
        <f t="shared" si="7"/>
        <v>18660.63131</v>
      </c>
    </row>
    <row r="347" hidden="1">
      <c r="A347" s="266">
        <f>IFERROR(__xludf.DUMMYFUNCTION("""COMPUTED_VALUE"""),42979.99861111111)</f>
        <v>42979.99861</v>
      </c>
      <c r="B347" s="1">
        <f>IFERROR(__xludf.DUMMYFUNCTION("""COMPUTED_VALUE"""),4800.74)</f>
        <v>4800.74</v>
      </c>
      <c r="C347" s="58">
        <f t="shared" si="1"/>
        <v>3163.998611</v>
      </c>
      <c r="D347" s="1">
        <f t="shared" si="2"/>
        <v>1038.604186</v>
      </c>
      <c r="E347" s="1">
        <f t="shared" si="3"/>
        <v>1869.487534</v>
      </c>
      <c r="F347" s="1">
        <f t="shared" si="4"/>
        <v>3531.254231</v>
      </c>
      <c r="G347" s="1">
        <f t="shared" si="5"/>
        <v>6231.625114</v>
      </c>
      <c r="H347" s="1">
        <f t="shared" si="6"/>
        <v>11424.64604</v>
      </c>
      <c r="I347" s="1">
        <f t="shared" si="7"/>
        <v>18694.87534</v>
      </c>
    </row>
    <row r="348" hidden="1">
      <c r="A348" s="266">
        <f>IFERROR(__xludf.DUMMYFUNCTION("""COMPUTED_VALUE"""),42982.99861111111)</f>
        <v>42982.99861</v>
      </c>
      <c r="B348" s="1">
        <f>IFERROR(__xludf.DUMMYFUNCTION("""COMPUTED_VALUE"""),4382.86)</f>
        <v>4382.86</v>
      </c>
      <c r="C348" s="58">
        <f t="shared" si="1"/>
        <v>3166.998611</v>
      </c>
      <c r="D348" s="1">
        <f t="shared" si="2"/>
        <v>1044.328868</v>
      </c>
      <c r="E348" s="1">
        <f t="shared" si="3"/>
        <v>1879.791962</v>
      </c>
      <c r="F348" s="1">
        <f t="shared" si="4"/>
        <v>3550.718151</v>
      </c>
      <c r="G348" s="1">
        <f t="shared" si="5"/>
        <v>6265.973207</v>
      </c>
      <c r="H348" s="1">
        <f t="shared" si="6"/>
        <v>11487.61755</v>
      </c>
      <c r="I348" s="1">
        <f t="shared" si="7"/>
        <v>18797.91962</v>
      </c>
    </row>
    <row r="349" hidden="1">
      <c r="A349" s="266">
        <f>IFERROR(__xludf.DUMMYFUNCTION("""COMPUTED_VALUE"""),42983.99861111111)</f>
        <v>42983.99861</v>
      </c>
      <c r="B349" s="1">
        <f>IFERROR(__xludf.DUMMYFUNCTION("""COMPUTED_VALUE"""),4278.79)</f>
        <v>4278.79</v>
      </c>
      <c r="C349" s="58">
        <f t="shared" si="1"/>
        <v>3167.998611</v>
      </c>
      <c r="D349" s="1">
        <f t="shared" si="2"/>
        <v>1046.242888</v>
      </c>
      <c r="E349" s="1">
        <f t="shared" si="3"/>
        <v>1883.237199</v>
      </c>
      <c r="F349" s="1">
        <f t="shared" si="4"/>
        <v>3557.225819</v>
      </c>
      <c r="G349" s="1">
        <f t="shared" si="5"/>
        <v>6277.457328</v>
      </c>
      <c r="H349" s="1">
        <f t="shared" si="6"/>
        <v>11508.67177</v>
      </c>
      <c r="I349" s="1">
        <f t="shared" si="7"/>
        <v>18832.37199</v>
      </c>
    </row>
    <row r="350" hidden="1">
      <c r="A350" s="266">
        <f>IFERROR(__xludf.DUMMYFUNCTION("""COMPUTED_VALUE"""),42984.99861111111)</f>
        <v>42984.99861</v>
      </c>
      <c r="B350" s="1">
        <f>IFERROR(__xludf.DUMMYFUNCTION("""COMPUTED_VALUE"""),4545.39)</f>
        <v>4545.39</v>
      </c>
      <c r="C350" s="58">
        <f t="shared" si="1"/>
        <v>3168.998611</v>
      </c>
      <c r="D350" s="1">
        <f t="shared" si="2"/>
        <v>1048.159811</v>
      </c>
      <c r="E350" s="1">
        <f t="shared" si="3"/>
        <v>1886.687659</v>
      </c>
      <c r="F350" s="1">
        <f t="shared" si="4"/>
        <v>3563.743356</v>
      </c>
      <c r="G350" s="1">
        <f t="shared" si="5"/>
        <v>6288.958863</v>
      </c>
      <c r="H350" s="1">
        <f t="shared" si="6"/>
        <v>11529.75792</v>
      </c>
      <c r="I350" s="1">
        <f t="shared" si="7"/>
        <v>18866.87659</v>
      </c>
    </row>
    <row r="351" hidden="1">
      <c r="A351" s="266">
        <f>IFERROR(__xludf.DUMMYFUNCTION("""COMPUTED_VALUE"""),42985.99861111111)</f>
        <v>42985.99861</v>
      </c>
      <c r="B351" s="1">
        <f>IFERROR(__xludf.DUMMYFUNCTION("""COMPUTED_VALUE"""),4589.06)</f>
        <v>4589.06</v>
      </c>
      <c r="C351" s="58">
        <f t="shared" si="1"/>
        <v>3169.998611</v>
      </c>
      <c r="D351" s="1">
        <f t="shared" si="2"/>
        <v>1050.079639</v>
      </c>
      <c r="E351" s="1">
        <f t="shared" si="3"/>
        <v>1890.14335</v>
      </c>
      <c r="F351" s="1">
        <f t="shared" si="4"/>
        <v>3570.270772</v>
      </c>
      <c r="G351" s="1">
        <f t="shared" si="5"/>
        <v>6300.477832</v>
      </c>
      <c r="H351" s="1">
        <f t="shared" si="6"/>
        <v>11550.87603</v>
      </c>
      <c r="I351" s="1">
        <f t="shared" si="7"/>
        <v>18901.4335</v>
      </c>
    </row>
    <row r="352" hidden="1">
      <c r="A352" s="266">
        <f>IFERROR(__xludf.DUMMYFUNCTION("""COMPUTED_VALUE"""),42986.99861111111)</f>
        <v>42986.99861</v>
      </c>
      <c r="B352" s="1">
        <f>IFERROR(__xludf.DUMMYFUNCTION("""COMPUTED_VALUE"""),4484.14)</f>
        <v>4484.14</v>
      </c>
      <c r="C352" s="58">
        <f t="shared" si="1"/>
        <v>3170.998611</v>
      </c>
      <c r="D352" s="1">
        <f t="shared" si="2"/>
        <v>1052.002376</v>
      </c>
      <c r="E352" s="1">
        <f t="shared" si="3"/>
        <v>1893.604277</v>
      </c>
      <c r="F352" s="1">
        <f t="shared" si="4"/>
        <v>3576.808079</v>
      </c>
      <c r="G352" s="1">
        <f t="shared" si="5"/>
        <v>6312.014257</v>
      </c>
      <c r="H352" s="1">
        <f t="shared" si="6"/>
        <v>11572.02614</v>
      </c>
      <c r="I352" s="1">
        <f t="shared" si="7"/>
        <v>18936.04277</v>
      </c>
    </row>
    <row r="353" hidden="1">
      <c r="A353" s="266">
        <f>IFERROR(__xludf.DUMMYFUNCTION("""COMPUTED_VALUE"""),42988.99861111111)</f>
        <v>42988.99861</v>
      </c>
      <c r="B353" s="1">
        <f>IFERROR(__xludf.DUMMYFUNCTION("""COMPUTED_VALUE"""),4240.678)</f>
        <v>4240.678</v>
      </c>
      <c r="C353" s="58">
        <f t="shared" si="1"/>
        <v>3172.998611</v>
      </c>
      <c r="D353" s="1">
        <f t="shared" si="2"/>
        <v>1055.856592</v>
      </c>
      <c r="E353" s="1">
        <f t="shared" si="3"/>
        <v>1900.541866</v>
      </c>
      <c r="F353" s="1">
        <f t="shared" si="4"/>
        <v>3589.912414</v>
      </c>
      <c r="G353" s="1">
        <f t="shared" si="5"/>
        <v>6335.139554</v>
      </c>
      <c r="H353" s="1">
        <f t="shared" si="6"/>
        <v>11614.42252</v>
      </c>
      <c r="I353" s="1">
        <f t="shared" si="7"/>
        <v>19005.41866</v>
      </c>
    </row>
    <row r="354" hidden="1">
      <c r="A354" s="266">
        <f>IFERROR(__xludf.DUMMYFUNCTION("""COMPUTED_VALUE"""),42989.99861111111)</f>
        <v>42989.99861</v>
      </c>
      <c r="B354" s="1">
        <f>IFERROR(__xludf.DUMMYFUNCTION("""COMPUTED_VALUE"""),4219.32)</f>
        <v>4219.32</v>
      </c>
      <c r="C354" s="58">
        <f t="shared" si="1"/>
        <v>3173.998611</v>
      </c>
      <c r="D354" s="1">
        <f t="shared" si="2"/>
        <v>1057.788078</v>
      </c>
      <c r="E354" s="1">
        <f t="shared" si="3"/>
        <v>1904.018541</v>
      </c>
      <c r="F354" s="1">
        <f t="shared" si="4"/>
        <v>3596.479466</v>
      </c>
      <c r="G354" s="1">
        <f t="shared" si="5"/>
        <v>6346.72847</v>
      </c>
      <c r="H354" s="1">
        <f t="shared" si="6"/>
        <v>11635.66886</v>
      </c>
      <c r="I354" s="1">
        <f t="shared" si="7"/>
        <v>19040.18541</v>
      </c>
    </row>
    <row r="355" hidden="1">
      <c r="A355" s="266">
        <f>IFERROR(__xludf.DUMMYFUNCTION("""COMPUTED_VALUE"""),42990.99861111111)</f>
        <v>42990.99861</v>
      </c>
      <c r="B355" s="1">
        <f>IFERROR(__xludf.DUMMYFUNCTION("""COMPUTED_VALUE"""),4254.49)</f>
        <v>4254.49</v>
      </c>
      <c r="C355" s="58">
        <f t="shared" si="1"/>
        <v>3174.998611</v>
      </c>
      <c r="D355" s="1">
        <f t="shared" si="2"/>
        <v>1059.722487</v>
      </c>
      <c r="E355" s="1">
        <f t="shared" si="3"/>
        <v>1907.500477</v>
      </c>
      <c r="F355" s="1">
        <f t="shared" si="4"/>
        <v>3603.056457</v>
      </c>
      <c r="G355" s="1">
        <f t="shared" si="5"/>
        <v>6358.334925</v>
      </c>
      <c r="H355" s="1">
        <f t="shared" si="6"/>
        <v>11656.94736</v>
      </c>
      <c r="I355" s="1">
        <f t="shared" si="7"/>
        <v>19075.00477</v>
      </c>
    </row>
    <row r="356" hidden="1">
      <c r="A356" s="266">
        <f>IFERROR(__xludf.DUMMYFUNCTION("""COMPUTED_VALUE"""),42991.99861111111)</f>
        <v>42991.99861</v>
      </c>
      <c r="B356" s="1">
        <f>IFERROR(__xludf.DUMMYFUNCTION("""COMPUTED_VALUE"""),3930.98)</f>
        <v>3930.98</v>
      </c>
      <c r="C356" s="58">
        <f t="shared" si="1"/>
        <v>3175.998611</v>
      </c>
      <c r="D356" s="1">
        <f t="shared" si="2"/>
        <v>1061.659823</v>
      </c>
      <c r="E356" s="1">
        <f t="shared" si="3"/>
        <v>1910.987682</v>
      </c>
      <c r="F356" s="1">
        <f t="shared" si="4"/>
        <v>3609.643399</v>
      </c>
      <c r="G356" s="1">
        <f t="shared" si="5"/>
        <v>6369.958939</v>
      </c>
      <c r="H356" s="1">
        <f t="shared" si="6"/>
        <v>11678.25806</v>
      </c>
      <c r="I356" s="1">
        <f t="shared" si="7"/>
        <v>19109.87682</v>
      </c>
    </row>
    <row r="357" hidden="1">
      <c r="A357" s="266">
        <f>IFERROR(__xludf.DUMMYFUNCTION("""COMPUTED_VALUE"""),42992.99861111111)</f>
        <v>42992.99861</v>
      </c>
      <c r="B357" s="1">
        <f>IFERROR(__xludf.DUMMYFUNCTION("""COMPUTED_VALUE"""),3625.0)</f>
        <v>3625</v>
      </c>
      <c r="C357" s="58">
        <f t="shared" si="1"/>
        <v>3176.998611</v>
      </c>
      <c r="D357" s="1">
        <f t="shared" si="2"/>
        <v>1063.600089</v>
      </c>
      <c r="E357" s="1">
        <f t="shared" si="3"/>
        <v>1914.48016</v>
      </c>
      <c r="F357" s="1">
        <f t="shared" si="4"/>
        <v>3616.240303</v>
      </c>
      <c r="G357" s="1">
        <f t="shared" si="5"/>
        <v>6381.600535</v>
      </c>
      <c r="H357" s="1">
        <f t="shared" si="6"/>
        <v>11699.60098</v>
      </c>
      <c r="I357" s="1">
        <f t="shared" si="7"/>
        <v>19144.8016</v>
      </c>
    </row>
    <row r="358" hidden="1">
      <c r="A358" s="266">
        <f>IFERROR(__xludf.DUMMYFUNCTION("""COMPUTED_VALUE"""),42993.99861111111)</f>
        <v>42993.99861</v>
      </c>
      <c r="B358" s="1">
        <f>IFERROR(__xludf.DUMMYFUNCTION("""COMPUTED_VALUE"""),3417.0)</f>
        <v>3417</v>
      </c>
      <c r="C358" s="58">
        <f t="shared" si="1"/>
        <v>3177.998611</v>
      </c>
      <c r="D358" s="1">
        <f t="shared" si="2"/>
        <v>1065.543289</v>
      </c>
      <c r="E358" s="1">
        <f t="shared" si="3"/>
        <v>1917.97792</v>
      </c>
      <c r="F358" s="1">
        <f t="shared" si="4"/>
        <v>3622.847182</v>
      </c>
      <c r="G358" s="1">
        <f t="shared" si="5"/>
        <v>6393.259733</v>
      </c>
      <c r="H358" s="1">
        <f t="shared" si="6"/>
        <v>11720.97618</v>
      </c>
      <c r="I358" s="1">
        <f t="shared" si="7"/>
        <v>19179.7792</v>
      </c>
    </row>
    <row r="359" hidden="1">
      <c r="A359" s="266">
        <f>IFERROR(__xludf.DUMMYFUNCTION("""COMPUTED_VALUE"""),42994.99861111111)</f>
        <v>42994.99861</v>
      </c>
      <c r="B359" s="1">
        <f>IFERROR(__xludf.DUMMYFUNCTION("""COMPUTED_VALUE"""),3722.993)</f>
        <v>3722.993</v>
      </c>
      <c r="C359" s="58">
        <f t="shared" si="1"/>
        <v>3178.998611</v>
      </c>
      <c r="D359" s="1">
        <f t="shared" si="2"/>
        <v>1067.489426</v>
      </c>
      <c r="E359" s="1">
        <f t="shared" si="3"/>
        <v>1921.480966</v>
      </c>
      <c r="F359" s="1">
        <f t="shared" si="4"/>
        <v>3629.464047</v>
      </c>
      <c r="G359" s="1">
        <f t="shared" si="5"/>
        <v>6404.936554</v>
      </c>
      <c r="H359" s="1">
        <f t="shared" si="6"/>
        <v>11742.38368</v>
      </c>
      <c r="I359" s="1">
        <f t="shared" si="7"/>
        <v>19214.80966</v>
      </c>
    </row>
    <row r="360" hidden="1">
      <c r="A360" s="266">
        <f>IFERROR(__xludf.DUMMYFUNCTION("""COMPUTED_VALUE"""),42995.99861111111)</f>
        <v>42995.99861</v>
      </c>
      <c r="B360" s="1">
        <f>IFERROR(__xludf.DUMMYFUNCTION("""COMPUTED_VALUE"""),3688.033)</f>
        <v>3688.033</v>
      </c>
      <c r="C360" s="58">
        <f t="shared" si="1"/>
        <v>3179.998611</v>
      </c>
      <c r="D360" s="1">
        <f t="shared" si="2"/>
        <v>1069.438503</v>
      </c>
      <c r="E360" s="1">
        <f t="shared" si="3"/>
        <v>1924.989306</v>
      </c>
      <c r="F360" s="1">
        <f t="shared" si="4"/>
        <v>3636.090911</v>
      </c>
      <c r="G360" s="1">
        <f t="shared" si="5"/>
        <v>6416.631019</v>
      </c>
      <c r="H360" s="1">
        <f t="shared" si="6"/>
        <v>11763.82353</v>
      </c>
      <c r="I360" s="1">
        <f t="shared" si="7"/>
        <v>19249.89306</v>
      </c>
    </row>
    <row r="361" hidden="1">
      <c r="A361" s="266">
        <f>IFERROR(__xludf.DUMMYFUNCTION("""COMPUTED_VALUE"""),42996.99861111111)</f>
        <v>42996.99861</v>
      </c>
      <c r="B361" s="1">
        <f>IFERROR(__xludf.DUMMYFUNCTION("""COMPUTED_VALUE"""),3946.48)</f>
        <v>3946.48</v>
      </c>
      <c r="C361" s="58">
        <f t="shared" si="1"/>
        <v>3180.998611</v>
      </c>
      <c r="D361" s="1">
        <f t="shared" si="2"/>
        <v>1071.390525</v>
      </c>
      <c r="E361" s="1">
        <f t="shared" si="3"/>
        <v>1928.502945</v>
      </c>
      <c r="F361" s="1">
        <f t="shared" si="4"/>
        <v>3642.727785</v>
      </c>
      <c r="G361" s="1">
        <f t="shared" si="5"/>
        <v>6428.343149</v>
      </c>
      <c r="H361" s="1">
        <f t="shared" si="6"/>
        <v>11785.29577</v>
      </c>
      <c r="I361" s="1">
        <f t="shared" si="7"/>
        <v>19285.02945</v>
      </c>
    </row>
    <row r="362" hidden="1">
      <c r="A362" s="266">
        <f>IFERROR(__xludf.DUMMYFUNCTION("""COMPUTED_VALUE"""),42997.99861111111)</f>
        <v>42997.99861</v>
      </c>
      <c r="B362" s="1">
        <f>IFERROR(__xludf.DUMMYFUNCTION("""COMPUTED_VALUE"""),3961.93)</f>
        <v>3961.93</v>
      </c>
      <c r="C362" s="58">
        <f t="shared" si="1"/>
        <v>3181.998611</v>
      </c>
      <c r="D362" s="1">
        <f t="shared" si="2"/>
        <v>1073.345494</v>
      </c>
      <c r="E362" s="1">
        <f t="shared" si="3"/>
        <v>1932.02189</v>
      </c>
      <c r="F362" s="1">
        <f t="shared" si="4"/>
        <v>3649.374681</v>
      </c>
      <c r="G362" s="1">
        <f t="shared" si="5"/>
        <v>6440.072966</v>
      </c>
      <c r="H362" s="1">
        <f t="shared" si="6"/>
        <v>11806.80044</v>
      </c>
      <c r="I362" s="1">
        <f t="shared" si="7"/>
        <v>19320.2189</v>
      </c>
    </row>
    <row r="363" hidden="1">
      <c r="A363" s="266">
        <f>IFERROR(__xludf.DUMMYFUNCTION("""COMPUTED_VALUE"""),42998.99861111111)</f>
        <v>42998.99861</v>
      </c>
      <c r="B363" s="1">
        <f>IFERROR(__xludf.DUMMYFUNCTION("""COMPUTED_VALUE"""),3939.52)</f>
        <v>3939.52</v>
      </c>
      <c r="C363" s="58">
        <f t="shared" si="1"/>
        <v>3182.998611</v>
      </c>
      <c r="D363" s="1">
        <f t="shared" si="2"/>
        <v>1075.303415</v>
      </c>
      <c r="E363" s="1">
        <f t="shared" si="3"/>
        <v>1935.546147</v>
      </c>
      <c r="F363" s="1">
        <f t="shared" si="4"/>
        <v>3656.031612</v>
      </c>
      <c r="G363" s="1">
        <f t="shared" si="5"/>
        <v>6451.820491</v>
      </c>
      <c r="H363" s="1">
        <f t="shared" si="6"/>
        <v>11828.33757</v>
      </c>
      <c r="I363" s="1">
        <f t="shared" si="7"/>
        <v>19355.46147</v>
      </c>
    </row>
    <row r="364" hidden="1">
      <c r="A364" s="266">
        <f>IFERROR(__xludf.DUMMYFUNCTION("""COMPUTED_VALUE"""),42999.99861111111)</f>
        <v>42999.99861</v>
      </c>
      <c r="B364" s="1">
        <f>IFERROR(__xludf.DUMMYFUNCTION("""COMPUTED_VALUE"""),3786.24)</f>
        <v>3786.24</v>
      </c>
      <c r="C364" s="58">
        <f t="shared" si="1"/>
        <v>3183.998611</v>
      </c>
      <c r="D364" s="1">
        <f t="shared" si="2"/>
        <v>1077.264291</v>
      </c>
      <c r="E364" s="1">
        <f t="shared" si="3"/>
        <v>1939.075723</v>
      </c>
      <c r="F364" s="1">
        <f t="shared" si="4"/>
        <v>3662.698589</v>
      </c>
      <c r="G364" s="1">
        <f t="shared" si="5"/>
        <v>6463.585745</v>
      </c>
      <c r="H364" s="1">
        <f t="shared" si="6"/>
        <v>11849.9072</v>
      </c>
      <c r="I364" s="1">
        <f t="shared" si="7"/>
        <v>19390.75723</v>
      </c>
    </row>
    <row r="365" hidden="1">
      <c r="A365" s="266">
        <f>IFERROR(__xludf.DUMMYFUNCTION("""COMPUTED_VALUE"""),43000.99861111111)</f>
        <v>43000.99861</v>
      </c>
      <c r="B365" s="1">
        <f>IFERROR(__xludf.DUMMYFUNCTION("""COMPUTED_VALUE"""),3620.38)</f>
        <v>3620.38</v>
      </c>
      <c r="C365" s="58">
        <f t="shared" si="1"/>
        <v>3184.998611</v>
      </c>
      <c r="D365" s="1">
        <f t="shared" si="2"/>
        <v>1079.228125</v>
      </c>
      <c r="E365" s="1">
        <f t="shared" si="3"/>
        <v>1942.610624</v>
      </c>
      <c r="F365" s="1">
        <f t="shared" si="4"/>
        <v>3669.375624</v>
      </c>
      <c r="G365" s="1">
        <f t="shared" si="5"/>
        <v>6475.368748</v>
      </c>
      <c r="H365" s="1">
        <f t="shared" si="6"/>
        <v>11871.50937</v>
      </c>
      <c r="I365" s="1">
        <f t="shared" si="7"/>
        <v>19426.10624</v>
      </c>
    </row>
    <row r="366" hidden="1">
      <c r="A366" s="266">
        <f>IFERROR(__xludf.DUMMYFUNCTION("""COMPUTED_VALUE"""),43001.99861111111)</f>
        <v>43001.99861</v>
      </c>
      <c r="B366" s="1">
        <f>IFERROR(__xludf.DUMMYFUNCTION("""COMPUTED_VALUE"""),3548.147)</f>
        <v>3548.147</v>
      </c>
      <c r="C366" s="58">
        <f t="shared" si="1"/>
        <v>3185.998611</v>
      </c>
      <c r="D366" s="1">
        <f t="shared" si="2"/>
        <v>1081.19492</v>
      </c>
      <c r="E366" s="1">
        <f t="shared" si="3"/>
        <v>1946.150857</v>
      </c>
      <c r="F366" s="1">
        <f t="shared" si="4"/>
        <v>3676.062729</v>
      </c>
      <c r="G366" s="1">
        <f t="shared" si="5"/>
        <v>6487.169523</v>
      </c>
      <c r="H366" s="1">
        <f t="shared" si="6"/>
        <v>11893.14412</v>
      </c>
      <c r="I366" s="1">
        <f t="shared" si="7"/>
        <v>19461.50857</v>
      </c>
    </row>
    <row r="367" hidden="1">
      <c r="A367" s="266">
        <f>IFERROR(__xludf.DUMMYFUNCTION("""COMPUTED_VALUE"""),43002.99861111111)</f>
        <v>43002.99861</v>
      </c>
      <c r="B367" s="1">
        <f>IFERROR(__xludf.DUMMYFUNCTION("""COMPUTED_VALUE"""),3686.39)</f>
        <v>3686.39</v>
      </c>
      <c r="C367" s="58">
        <f t="shared" si="1"/>
        <v>3186.998611</v>
      </c>
      <c r="D367" s="1">
        <f t="shared" si="2"/>
        <v>1083.164682</v>
      </c>
      <c r="E367" s="1">
        <f t="shared" si="3"/>
        <v>1949.696427</v>
      </c>
      <c r="F367" s="1">
        <f t="shared" si="4"/>
        <v>3682.759917</v>
      </c>
      <c r="G367" s="1">
        <f t="shared" si="5"/>
        <v>6498.988089</v>
      </c>
      <c r="H367" s="1">
        <f t="shared" si="6"/>
        <v>11914.8115</v>
      </c>
      <c r="I367" s="1">
        <f t="shared" si="7"/>
        <v>19496.96427</v>
      </c>
    </row>
    <row r="368" hidden="1">
      <c r="A368" s="266">
        <f>IFERROR(__xludf.DUMMYFUNCTION("""COMPUTED_VALUE"""),43003.99861111111)</f>
        <v>43003.99861</v>
      </c>
      <c r="B368" s="1">
        <f>IFERROR(__xludf.DUMMYFUNCTION("""COMPUTED_VALUE"""),3935.63)</f>
        <v>3935.63</v>
      </c>
      <c r="C368" s="58">
        <f t="shared" si="1"/>
        <v>3187.998611</v>
      </c>
      <c r="D368" s="1">
        <f t="shared" si="2"/>
        <v>1085.137412</v>
      </c>
      <c r="E368" s="1">
        <f t="shared" si="3"/>
        <v>1953.247341</v>
      </c>
      <c r="F368" s="1">
        <f t="shared" si="4"/>
        <v>3689.4672</v>
      </c>
      <c r="G368" s="1">
        <f t="shared" si="5"/>
        <v>6510.82447</v>
      </c>
      <c r="H368" s="1">
        <f t="shared" si="6"/>
        <v>11936.51153</v>
      </c>
      <c r="I368" s="1">
        <f t="shared" si="7"/>
        <v>19532.47341</v>
      </c>
    </row>
    <row r="369" hidden="1">
      <c r="A369" s="266">
        <f>IFERROR(__xludf.DUMMYFUNCTION("""COMPUTED_VALUE"""),43004.99861111111)</f>
        <v>43004.99861</v>
      </c>
      <c r="B369" s="1">
        <f>IFERROR(__xludf.DUMMYFUNCTION("""COMPUTED_VALUE"""),3913.24)</f>
        <v>3913.24</v>
      </c>
      <c r="C369" s="58">
        <f t="shared" si="1"/>
        <v>3188.998611</v>
      </c>
      <c r="D369" s="1">
        <f t="shared" si="2"/>
        <v>1087.113114</v>
      </c>
      <c r="E369" s="1">
        <f t="shared" si="3"/>
        <v>1956.803606</v>
      </c>
      <c r="F369" s="1">
        <f t="shared" si="4"/>
        <v>3696.184588</v>
      </c>
      <c r="G369" s="1">
        <f t="shared" si="5"/>
        <v>6522.678685</v>
      </c>
      <c r="H369" s="1">
        <f t="shared" si="6"/>
        <v>11958.24426</v>
      </c>
      <c r="I369" s="1">
        <f t="shared" si="7"/>
        <v>19568.03606</v>
      </c>
    </row>
    <row r="370" hidden="1">
      <c r="A370" s="266">
        <f>IFERROR(__xludf.DUMMYFUNCTION("""COMPUTED_VALUE"""),43005.99861111111)</f>
        <v>43005.99861</v>
      </c>
      <c r="B370" s="1">
        <f>IFERROR(__xludf.DUMMYFUNCTION("""COMPUTED_VALUE"""),4161.2)</f>
        <v>4161.2</v>
      </c>
      <c r="C370" s="58">
        <f t="shared" si="1"/>
        <v>3189.998611</v>
      </c>
      <c r="D370" s="1">
        <f t="shared" si="2"/>
        <v>1089.091793</v>
      </c>
      <c r="E370" s="1">
        <f t="shared" si="3"/>
        <v>1960.365227</v>
      </c>
      <c r="F370" s="1">
        <f t="shared" si="4"/>
        <v>3702.912095</v>
      </c>
      <c r="G370" s="1">
        <f t="shared" si="5"/>
        <v>6534.550757</v>
      </c>
      <c r="H370" s="1">
        <f t="shared" si="6"/>
        <v>11980.00972</v>
      </c>
      <c r="I370" s="1">
        <f t="shared" si="7"/>
        <v>19603.65227</v>
      </c>
    </row>
    <row r="371" hidden="1">
      <c r="A371" s="266">
        <f>IFERROR(__xludf.DUMMYFUNCTION("""COMPUTED_VALUE"""),43006.99861111111)</f>
        <v>43006.99861</v>
      </c>
      <c r="B371" s="1">
        <f>IFERROR(__xludf.DUMMYFUNCTION("""COMPUTED_VALUE"""),4170.27)</f>
        <v>4170.27</v>
      </c>
      <c r="C371" s="58">
        <f t="shared" si="1"/>
        <v>3190.998611</v>
      </c>
      <c r="D371" s="1">
        <f t="shared" si="2"/>
        <v>1091.073451</v>
      </c>
      <c r="E371" s="1">
        <f t="shared" si="3"/>
        <v>1963.932212</v>
      </c>
      <c r="F371" s="1">
        <f t="shared" si="4"/>
        <v>3709.649733</v>
      </c>
      <c r="G371" s="1">
        <f t="shared" si="5"/>
        <v>6546.440705</v>
      </c>
      <c r="H371" s="1">
        <f t="shared" si="6"/>
        <v>12001.80796</v>
      </c>
      <c r="I371" s="1">
        <f t="shared" si="7"/>
        <v>19639.32212</v>
      </c>
    </row>
    <row r="372" hidden="1">
      <c r="A372" s="266">
        <f>IFERROR(__xludf.DUMMYFUNCTION("""COMPUTED_VALUE"""),43007.99861111111)</f>
        <v>43007.99861</v>
      </c>
      <c r="B372" s="1">
        <f>IFERROR(__xludf.DUMMYFUNCTION("""COMPUTED_VALUE"""),4180.01)</f>
        <v>4180.01</v>
      </c>
      <c r="C372" s="58">
        <f t="shared" si="1"/>
        <v>3191.998611</v>
      </c>
      <c r="D372" s="1">
        <f t="shared" si="2"/>
        <v>1093.058092</v>
      </c>
      <c r="E372" s="1">
        <f t="shared" si="3"/>
        <v>1967.504566</v>
      </c>
      <c r="F372" s="1">
        <f t="shared" si="4"/>
        <v>3716.397513</v>
      </c>
      <c r="G372" s="1">
        <f t="shared" si="5"/>
        <v>6558.348553</v>
      </c>
      <c r="H372" s="1">
        <f t="shared" si="6"/>
        <v>12023.63901</v>
      </c>
      <c r="I372" s="1">
        <f t="shared" si="7"/>
        <v>19675.04566</v>
      </c>
    </row>
    <row r="373" hidden="1">
      <c r="A373" s="266">
        <f>IFERROR(__xludf.DUMMYFUNCTION("""COMPUTED_VALUE"""),43008.99861111111)</f>
        <v>43008.99861</v>
      </c>
      <c r="B373" s="1">
        <f>IFERROR(__xludf.DUMMYFUNCTION("""COMPUTED_VALUE"""),4354.27)</f>
        <v>4354.27</v>
      </c>
      <c r="C373" s="58">
        <f t="shared" si="1"/>
        <v>3192.998611</v>
      </c>
      <c r="D373" s="1">
        <f t="shared" si="2"/>
        <v>1095.04572</v>
      </c>
      <c r="E373" s="1">
        <f t="shared" si="3"/>
        <v>1971.082296</v>
      </c>
      <c r="F373" s="1">
        <f t="shared" si="4"/>
        <v>3723.155448</v>
      </c>
      <c r="G373" s="1">
        <f t="shared" si="5"/>
        <v>6570.27432</v>
      </c>
      <c r="H373" s="1">
        <f t="shared" si="6"/>
        <v>12045.50292</v>
      </c>
      <c r="I373" s="1">
        <f t="shared" si="7"/>
        <v>19710.82296</v>
      </c>
    </row>
    <row r="374" hidden="1">
      <c r="A374" s="266">
        <f>IFERROR(__xludf.DUMMYFUNCTION("""COMPUTED_VALUE"""),43009.99861111111)</f>
        <v>43009.99861</v>
      </c>
      <c r="B374" s="1">
        <f>IFERROR(__xludf.DUMMYFUNCTION("""COMPUTED_VALUE"""),4392.67)</f>
        <v>4392.67</v>
      </c>
      <c r="C374" s="58">
        <f t="shared" si="1"/>
        <v>3193.998611</v>
      </c>
      <c r="D374" s="1">
        <f t="shared" si="2"/>
        <v>1097.036338</v>
      </c>
      <c r="E374" s="1">
        <f t="shared" si="3"/>
        <v>1974.665409</v>
      </c>
      <c r="F374" s="1">
        <f t="shared" si="4"/>
        <v>3729.92355</v>
      </c>
      <c r="G374" s="1">
        <f t="shared" si="5"/>
        <v>6582.218029</v>
      </c>
      <c r="H374" s="1">
        <f t="shared" si="6"/>
        <v>12067.39972</v>
      </c>
      <c r="I374" s="1">
        <f t="shared" si="7"/>
        <v>19746.65409</v>
      </c>
    </row>
    <row r="375" hidden="1">
      <c r="A375" s="266">
        <f>IFERROR(__xludf.DUMMYFUNCTION("""COMPUTED_VALUE"""),43010.99861111111)</f>
        <v>43010.99861</v>
      </c>
      <c r="B375" s="1">
        <f>IFERROR(__xludf.DUMMYFUNCTION("""COMPUTED_VALUE"""),4399.65)</f>
        <v>4399.65</v>
      </c>
      <c r="C375" s="58">
        <f t="shared" si="1"/>
        <v>3194.998611</v>
      </c>
      <c r="D375" s="1">
        <f t="shared" si="2"/>
        <v>1099.02995</v>
      </c>
      <c r="E375" s="1">
        <f t="shared" si="3"/>
        <v>1978.25391</v>
      </c>
      <c r="F375" s="1">
        <f t="shared" si="4"/>
        <v>3736.70183</v>
      </c>
      <c r="G375" s="1">
        <f t="shared" si="5"/>
        <v>6594.179701</v>
      </c>
      <c r="H375" s="1">
        <f t="shared" si="6"/>
        <v>12089.32945</v>
      </c>
      <c r="I375" s="1">
        <f t="shared" si="7"/>
        <v>19782.5391</v>
      </c>
    </row>
    <row r="376" hidden="1">
      <c r="A376" s="266">
        <f>IFERROR(__xludf.DUMMYFUNCTION("""COMPUTED_VALUE"""),43011.99861111111)</f>
        <v>43011.99861</v>
      </c>
      <c r="B376" s="1">
        <f>IFERROR(__xludf.DUMMYFUNCTION("""COMPUTED_VALUE"""),4282.58)</f>
        <v>4282.58</v>
      </c>
      <c r="C376" s="58">
        <f t="shared" si="1"/>
        <v>3195.998611</v>
      </c>
      <c r="D376" s="1">
        <f t="shared" si="2"/>
        <v>1101.026559</v>
      </c>
      <c r="E376" s="1">
        <f t="shared" si="3"/>
        <v>1981.847807</v>
      </c>
      <c r="F376" s="1">
        <f t="shared" si="4"/>
        <v>3743.490302</v>
      </c>
      <c r="G376" s="1">
        <f t="shared" si="5"/>
        <v>6606.159357</v>
      </c>
      <c r="H376" s="1">
        <f t="shared" si="6"/>
        <v>12111.29215</v>
      </c>
      <c r="I376" s="1">
        <f t="shared" si="7"/>
        <v>19818.47807</v>
      </c>
    </row>
    <row r="377" hidden="1">
      <c r="A377" s="266">
        <f>IFERROR(__xludf.DUMMYFUNCTION("""COMPUTED_VALUE"""),43012.99861111111)</f>
        <v>43012.99861</v>
      </c>
      <c r="B377" s="1">
        <f>IFERROR(__xludf.DUMMYFUNCTION("""COMPUTED_VALUE"""),4199.6)</f>
        <v>4199.6</v>
      </c>
      <c r="C377" s="58">
        <f t="shared" si="1"/>
        <v>3196.998611</v>
      </c>
      <c r="D377" s="1">
        <f t="shared" si="2"/>
        <v>1103.02617</v>
      </c>
      <c r="E377" s="1">
        <f t="shared" si="3"/>
        <v>1985.447105</v>
      </c>
      <c r="F377" s="1">
        <f t="shared" si="4"/>
        <v>3750.288977</v>
      </c>
      <c r="G377" s="1">
        <f t="shared" si="5"/>
        <v>6618.157018</v>
      </c>
      <c r="H377" s="1">
        <f t="shared" si="6"/>
        <v>12133.28787</v>
      </c>
      <c r="I377" s="1">
        <f t="shared" si="7"/>
        <v>19854.47105</v>
      </c>
    </row>
    <row r="378" hidden="1">
      <c r="A378" s="266">
        <f>IFERROR(__xludf.DUMMYFUNCTION("""COMPUTED_VALUE"""),43013.99861111111)</f>
        <v>43013.99861</v>
      </c>
      <c r="B378" s="1">
        <f>IFERROR(__xludf.DUMMYFUNCTION("""COMPUTED_VALUE"""),4347.56)</f>
        <v>4347.56</v>
      </c>
      <c r="C378" s="58">
        <f t="shared" si="1"/>
        <v>3197.998611</v>
      </c>
      <c r="D378" s="1">
        <f t="shared" si="2"/>
        <v>1105.028784</v>
      </c>
      <c r="E378" s="1">
        <f t="shared" si="3"/>
        <v>1989.051812</v>
      </c>
      <c r="F378" s="1">
        <f t="shared" si="4"/>
        <v>3757.097867</v>
      </c>
      <c r="G378" s="1">
        <f t="shared" si="5"/>
        <v>6630.172706</v>
      </c>
      <c r="H378" s="1">
        <f t="shared" si="6"/>
        <v>12155.31663</v>
      </c>
      <c r="I378" s="1">
        <f t="shared" si="7"/>
        <v>19890.51812</v>
      </c>
    </row>
    <row r="379" hidden="1">
      <c r="A379" s="266">
        <f>IFERROR(__xludf.DUMMYFUNCTION("""COMPUTED_VALUE"""),43014.99861111111)</f>
        <v>43014.99861</v>
      </c>
      <c r="B379" s="1">
        <f>IFERROR(__xludf.DUMMYFUNCTION("""COMPUTED_VALUE"""),4340.57)</f>
        <v>4340.57</v>
      </c>
      <c r="C379" s="58">
        <f t="shared" si="1"/>
        <v>3198.998611</v>
      </c>
      <c r="D379" s="1">
        <f t="shared" si="2"/>
        <v>1107.034407</v>
      </c>
      <c r="E379" s="1">
        <f t="shared" si="3"/>
        <v>1992.661933</v>
      </c>
      <c r="F379" s="1">
        <f t="shared" si="4"/>
        <v>3763.916984</v>
      </c>
      <c r="G379" s="1">
        <f t="shared" si="5"/>
        <v>6642.206442</v>
      </c>
      <c r="H379" s="1">
        <f t="shared" si="6"/>
        <v>12177.37848</v>
      </c>
      <c r="I379" s="1">
        <f t="shared" si="7"/>
        <v>19926.61933</v>
      </c>
    </row>
    <row r="380" hidden="1">
      <c r="A380" s="266">
        <f>IFERROR(__xludf.DUMMYFUNCTION("""COMPUTED_VALUE"""),43015.99861111111)</f>
        <v>43015.99861</v>
      </c>
      <c r="B380" s="1">
        <f>IFERROR(__xludf.DUMMYFUNCTION("""COMPUTED_VALUE"""),4434.25)</f>
        <v>4434.25</v>
      </c>
      <c r="C380" s="58">
        <f t="shared" si="1"/>
        <v>3199.998611</v>
      </c>
      <c r="D380" s="1">
        <f t="shared" si="2"/>
        <v>1109.043041</v>
      </c>
      <c r="E380" s="1">
        <f t="shared" si="3"/>
        <v>1996.277475</v>
      </c>
      <c r="F380" s="1">
        <f t="shared" si="4"/>
        <v>3770.746341</v>
      </c>
      <c r="G380" s="1">
        <f t="shared" si="5"/>
        <v>6654.258248</v>
      </c>
      <c r="H380" s="1">
        <f t="shared" si="6"/>
        <v>12199.47346</v>
      </c>
      <c r="I380" s="1">
        <f t="shared" si="7"/>
        <v>19962.77475</v>
      </c>
    </row>
    <row r="381" hidden="1">
      <c r="A381" s="266">
        <f>IFERROR(__xludf.DUMMYFUNCTION("""COMPUTED_VALUE"""),43016.99861111111)</f>
        <v>43016.99861</v>
      </c>
      <c r="B381" s="1">
        <f>IFERROR(__xludf.DUMMYFUNCTION("""COMPUTED_VALUE"""),4609.84)</f>
        <v>4609.84</v>
      </c>
      <c r="C381" s="58">
        <f t="shared" si="1"/>
        <v>3200.998611</v>
      </c>
      <c r="D381" s="1">
        <f t="shared" si="2"/>
        <v>1111.054691</v>
      </c>
      <c r="E381" s="1">
        <f t="shared" si="3"/>
        <v>1999.898444</v>
      </c>
      <c r="F381" s="1">
        <f t="shared" si="4"/>
        <v>3777.585949</v>
      </c>
      <c r="G381" s="1">
        <f t="shared" si="5"/>
        <v>6666.328146</v>
      </c>
      <c r="H381" s="1">
        <f t="shared" si="6"/>
        <v>12221.6016</v>
      </c>
      <c r="I381" s="1">
        <f t="shared" si="7"/>
        <v>19998.98444</v>
      </c>
    </row>
    <row r="382" hidden="1">
      <c r="A382" s="266">
        <f>IFERROR(__xludf.DUMMYFUNCTION("""COMPUTED_VALUE"""),43017.99861111111)</f>
        <v>43017.99861</v>
      </c>
      <c r="B382" s="1">
        <f>IFERROR(__xludf.DUMMYFUNCTION("""COMPUTED_VALUE"""),4843.96)</f>
        <v>4843.96</v>
      </c>
      <c r="C382" s="58">
        <f t="shared" si="1"/>
        <v>3201.998611</v>
      </c>
      <c r="D382" s="1">
        <f t="shared" si="2"/>
        <v>1113.069359</v>
      </c>
      <c r="E382" s="1">
        <f t="shared" si="3"/>
        <v>2003.524847</v>
      </c>
      <c r="F382" s="1">
        <f t="shared" si="4"/>
        <v>3784.435822</v>
      </c>
      <c r="G382" s="1">
        <f t="shared" si="5"/>
        <v>6678.416156</v>
      </c>
      <c r="H382" s="1">
        <f t="shared" si="6"/>
        <v>12243.76295</v>
      </c>
      <c r="I382" s="1">
        <f t="shared" si="7"/>
        <v>20035.24847</v>
      </c>
    </row>
    <row r="383" hidden="1">
      <c r="A383" s="266">
        <f>IFERROR(__xludf.DUMMYFUNCTION("""COMPUTED_VALUE"""),43018.99861111111)</f>
        <v>43018.99861</v>
      </c>
      <c r="B383" s="1">
        <f>IFERROR(__xludf.DUMMYFUNCTION("""COMPUTED_VALUE"""),4884.58)</f>
        <v>4884.58</v>
      </c>
      <c r="C383" s="58">
        <f t="shared" si="1"/>
        <v>3202.998611</v>
      </c>
      <c r="D383" s="1">
        <f t="shared" si="2"/>
        <v>1115.08705</v>
      </c>
      <c r="E383" s="1">
        <f t="shared" si="3"/>
        <v>2007.15669</v>
      </c>
      <c r="F383" s="1">
        <f t="shared" si="4"/>
        <v>3791.295971</v>
      </c>
      <c r="G383" s="1">
        <f t="shared" si="5"/>
        <v>6690.522301</v>
      </c>
      <c r="H383" s="1">
        <f t="shared" si="6"/>
        <v>12265.95755</v>
      </c>
      <c r="I383" s="1">
        <f t="shared" si="7"/>
        <v>20071.5669</v>
      </c>
    </row>
    <row r="384" hidden="1">
      <c r="A384" s="266">
        <f>IFERROR(__xludf.DUMMYFUNCTION("""COMPUTED_VALUE"""),43019.99861111111)</f>
        <v>43019.99861</v>
      </c>
      <c r="B384" s="1">
        <f>IFERROR(__xludf.DUMMYFUNCTION("""COMPUTED_VALUE"""),4828.38)</f>
        <v>4828.38</v>
      </c>
      <c r="C384" s="58">
        <f t="shared" si="1"/>
        <v>3203.998611</v>
      </c>
      <c r="D384" s="1">
        <f t="shared" si="2"/>
        <v>1117.107767</v>
      </c>
      <c r="E384" s="1">
        <f t="shared" si="3"/>
        <v>2010.79398</v>
      </c>
      <c r="F384" s="1">
        <f t="shared" si="4"/>
        <v>3798.166407</v>
      </c>
      <c r="G384" s="1">
        <f t="shared" si="5"/>
        <v>6702.646601</v>
      </c>
      <c r="H384" s="1">
        <f t="shared" si="6"/>
        <v>12288.18544</v>
      </c>
      <c r="I384" s="1">
        <f t="shared" si="7"/>
        <v>20107.9398</v>
      </c>
    </row>
    <row r="385" hidden="1">
      <c r="A385" s="266">
        <f>IFERROR(__xludf.DUMMYFUNCTION("""COMPUTED_VALUE"""),43020.99861111111)</f>
        <v>43020.99861</v>
      </c>
      <c r="B385" s="1">
        <f>IFERROR(__xludf.DUMMYFUNCTION("""COMPUTED_VALUE"""),5319.3)</f>
        <v>5319.3</v>
      </c>
      <c r="C385" s="58">
        <f t="shared" si="1"/>
        <v>3204.998611</v>
      </c>
      <c r="D385" s="1">
        <f t="shared" si="2"/>
        <v>1119.131513</v>
      </c>
      <c r="E385" s="1">
        <f t="shared" si="3"/>
        <v>2014.436724</v>
      </c>
      <c r="F385" s="1">
        <f t="shared" si="4"/>
        <v>3805.047145</v>
      </c>
      <c r="G385" s="1">
        <f t="shared" si="5"/>
        <v>6714.789079</v>
      </c>
      <c r="H385" s="1">
        <f t="shared" si="6"/>
        <v>12310.44664</v>
      </c>
      <c r="I385" s="1">
        <f t="shared" si="7"/>
        <v>20144.36724</v>
      </c>
    </row>
    <row r="386" hidden="1">
      <c r="A386" s="266">
        <f>IFERROR(__xludf.DUMMYFUNCTION("""COMPUTED_VALUE"""),43021.99861111111)</f>
        <v>43021.99861</v>
      </c>
      <c r="B386" s="1">
        <f>IFERROR(__xludf.DUMMYFUNCTION("""COMPUTED_VALUE"""),5557.52)</f>
        <v>5557.52</v>
      </c>
      <c r="C386" s="58">
        <f t="shared" si="1"/>
        <v>3205.998611</v>
      </c>
      <c r="D386" s="1">
        <f t="shared" si="2"/>
        <v>1121.158293</v>
      </c>
      <c r="E386" s="1">
        <f t="shared" si="3"/>
        <v>2018.084927</v>
      </c>
      <c r="F386" s="1">
        <f t="shared" si="4"/>
        <v>3811.938195</v>
      </c>
      <c r="G386" s="1">
        <f t="shared" si="5"/>
        <v>6726.949756</v>
      </c>
      <c r="H386" s="1">
        <f t="shared" si="6"/>
        <v>12332.74122</v>
      </c>
      <c r="I386" s="1">
        <f t="shared" si="7"/>
        <v>20180.84927</v>
      </c>
    </row>
    <row r="387" hidden="1">
      <c r="A387" s="266">
        <f>IFERROR(__xludf.DUMMYFUNCTION("""COMPUTED_VALUE"""),43022.99861111111)</f>
        <v>43022.99861</v>
      </c>
      <c r="B387" s="1">
        <f>IFERROR(__xludf.DUMMYFUNCTION("""COMPUTED_VALUE"""),5825.5)</f>
        <v>5825.5</v>
      </c>
      <c r="C387" s="58">
        <f t="shared" si="1"/>
        <v>3206.998611</v>
      </c>
      <c r="D387" s="1">
        <f t="shared" si="2"/>
        <v>1123.188109</v>
      </c>
      <c r="E387" s="1">
        <f t="shared" si="3"/>
        <v>2021.738596</v>
      </c>
      <c r="F387" s="1">
        <f t="shared" si="4"/>
        <v>3818.83957</v>
      </c>
      <c r="G387" s="1">
        <f t="shared" si="5"/>
        <v>6739.128653</v>
      </c>
      <c r="H387" s="1">
        <f t="shared" si="6"/>
        <v>12355.0692</v>
      </c>
      <c r="I387" s="1">
        <f t="shared" si="7"/>
        <v>20217.38596</v>
      </c>
    </row>
    <row r="388" hidden="1">
      <c r="A388" s="266">
        <f>IFERROR(__xludf.DUMMYFUNCTION("""COMPUTED_VALUE"""),43023.99861111111)</f>
        <v>43023.99861</v>
      </c>
      <c r="B388" s="1">
        <f>IFERROR(__xludf.DUMMYFUNCTION("""COMPUTED_VALUE"""),5704.67)</f>
        <v>5704.67</v>
      </c>
      <c r="C388" s="58">
        <f t="shared" si="1"/>
        <v>3207.998611</v>
      </c>
      <c r="D388" s="1">
        <f t="shared" si="2"/>
        <v>1125.220965</v>
      </c>
      <c r="E388" s="1">
        <f t="shared" si="3"/>
        <v>2025.397738</v>
      </c>
      <c r="F388" s="1">
        <f t="shared" si="4"/>
        <v>3825.751282</v>
      </c>
      <c r="G388" s="1">
        <f t="shared" si="5"/>
        <v>6751.325792</v>
      </c>
      <c r="H388" s="1">
        <f t="shared" si="6"/>
        <v>12377.43062</v>
      </c>
      <c r="I388" s="1">
        <f t="shared" si="7"/>
        <v>20253.97738</v>
      </c>
    </row>
    <row r="389" hidden="1">
      <c r="A389" s="266">
        <f>IFERROR(__xludf.DUMMYFUNCTION("""COMPUTED_VALUE"""),43024.99861111111)</f>
        <v>43024.99861</v>
      </c>
      <c r="B389" s="1">
        <f>IFERROR(__xludf.DUMMYFUNCTION("""COMPUTED_VALUE"""),5731.1)</f>
        <v>5731.1</v>
      </c>
      <c r="C389" s="58">
        <f t="shared" si="1"/>
        <v>3208.998611</v>
      </c>
      <c r="D389" s="1">
        <f t="shared" si="2"/>
        <v>1127.256866</v>
      </c>
      <c r="E389" s="1">
        <f t="shared" si="3"/>
        <v>2029.062359</v>
      </c>
      <c r="F389" s="1">
        <f t="shared" si="4"/>
        <v>3832.673344</v>
      </c>
      <c r="G389" s="1">
        <f t="shared" si="5"/>
        <v>6763.541195</v>
      </c>
      <c r="H389" s="1">
        <f t="shared" si="6"/>
        <v>12399.82553</v>
      </c>
      <c r="I389" s="1">
        <f t="shared" si="7"/>
        <v>20290.62359</v>
      </c>
    </row>
    <row r="390" hidden="1">
      <c r="A390" s="266">
        <f>IFERROR(__xludf.DUMMYFUNCTION("""COMPUTED_VALUE"""),43025.99861111111)</f>
        <v>43025.99861</v>
      </c>
      <c r="B390" s="1">
        <f>IFERROR(__xludf.DUMMYFUNCTION("""COMPUTED_VALUE"""),5573.33)</f>
        <v>5573.33</v>
      </c>
      <c r="C390" s="58">
        <f t="shared" si="1"/>
        <v>3209.998611</v>
      </c>
      <c r="D390" s="1">
        <f t="shared" si="2"/>
        <v>1129.295814</v>
      </c>
      <c r="E390" s="1">
        <f t="shared" si="3"/>
        <v>2032.732465</v>
      </c>
      <c r="F390" s="1">
        <f t="shared" si="4"/>
        <v>3839.605768</v>
      </c>
      <c r="G390" s="1">
        <f t="shared" si="5"/>
        <v>6775.774884</v>
      </c>
      <c r="H390" s="1">
        <f t="shared" si="6"/>
        <v>12422.25395</v>
      </c>
      <c r="I390" s="1">
        <f t="shared" si="7"/>
        <v>20327.32465</v>
      </c>
    </row>
    <row r="391" hidden="1">
      <c r="A391" s="266">
        <f>IFERROR(__xludf.DUMMYFUNCTION("""COMPUTED_VALUE"""),43026.99861111111)</f>
        <v>43026.99861</v>
      </c>
      <c r="B391" s="1">
        <f>IFERROR(__xludf.DUMMYFUNCTION("""COMPUTED_VALUE"""),5506.65)</f>
        <v>5506.65</v>
      </c>
      <c r="C391" s="58">
        <f t="shared" si="1"/>
        <v>3210.998611</v>
      </c>
      <c r="D391" s="1">
        <f t="shared" si="2"/>
        <v>1131.337813</v>
      </c>
      <c r="E391" s="1">
        <f t="shared" si="3"/>
        <v>2036.408064</v>
      </c>
      <c r="F391" s="1">
        <f t="shared" si="4"/>
        <v>3846.548565</v>
      </c>
      <c r="G391" s="1">
        <f t="shared" si="5"/>
        <v>6788.02688</v>
      </c>
      <c r="H391" s="1">
        <f t="shared" si="6"/>
        <v>12444.71595</v>
      </c>
      <c r="I391" s="1">
        <f t="shared" si="7"/>
        <v>20364.08064</v>
      </c>
    </row>
    <row r="392" hidden="1">
      <c r="A392" s="266">
        <f>IFERROR(__xludf.DUMMYFUNCTION("""COMPUTED_VALUE"""),43027.99861111111)</f>
        <v>43027.99861</v>
      </c>
      <c r="B392" s="1">
        <f>IFERROR(__xludf.DUMMYFUNCTION("""COMPUTED_VALUE"""),5703.87)</f>
        <v>5703.87</v>
      </c>
      <c r="C392" s="58">
        <f t="shared" si="1"/>
        <v>3211.998611</v>
      </c>
      <c r="D392" s="1">
        <f t="shared" si="2"/>
        <v>1133.382867</v>
      </c>
      <c r="E392" s="1">
        <f t="shared" si="3"/>
        <v>2040.089161</v>
      </c>
      <c r="F392" s="1">
        <f t="shared" si="4"/>
        <v>3853.501749</v>
      </c>
      <c r="G392" s="1">
        <f t="shared" si="5"/>
        <v>6800.297204</v>
      </c>
      <c r="H392" s="1">
        <f t="shared" si="6"/>
        <v>12467.21154</v>
      </c>
      <c r="I392" s="1">
        <f t="shared" si="7"/>
        <v>20400.89161</v>
      </c>
    </row>
    <row r="393" hidden="1">
      <c r="A393" s="266">
        <f>IFERROR(__xludf.DUMMYFUNCTION("""COMPUTED_VALUE"""),43028.99861111111)</f>
        <v>43028.99861</v>
      </c>
      <c r="B393" s="1">
        <f>IFERROR(__xludf.DUMMYFUNCTION("""COMPUTED_VALUE"""),5952.11)</f>
        <v>5952.11</v>
      </c>
      <c r="C393" s="58">
        <f t="shared" si="1"/>
        <v>3212.998611</v>
      </c>
      <c r="D393" s="1">
        <f t="shared" si="2"/>
        <v>1135.43098</v>
      </c>
      <c r="E393" s="1">
        <f t="shared" si="3"/>
        <v>2043.775764</v>
      </c>
      <c r="F393" s="1">
        <f t="shared" si="4"/>
        <v>3860.465331</v>
      </c>
      <c r="G393" s="1">
        <f t="shared" si="5"/>
        <v>6812.585879</v>
      </c>
      <c r="H393" s="1">
        <f t="shared" si="6"/>
        <v>12489.74078</v>
      </c>
      <c r="I393" s="1">
        <f t="shared" si="7"/>
        <v>20437.75764</v>
      </c>
    </row>
    <row r="394" hidden="1">
      <c r="A394" s="266">
        <f>IFERROR(__xludf.DUMMYFUNCTION("""COMPUTED_VALUE"""),43029.99861111111)</f>
        <v>43029.99861</v>
      </c>
      <c r="B394" s="1">
        <f>IFERROR(__xludf.DUMMYFUNCTION("""COMPUTED_VALUE"""),6012.96)</f>
        <v>6012.96</v>
      </c>
      <c r="C394" s="58">
        <f t="shared" si="1"/>
        <v>3213.998611</v>
      </c>
      <c r="D394" s="1">
        <f t="shared" si="2"/>
        <v>1137.482154</v>
      </c>
      <c r="E394" s="1">
        <f t="shared" si="3"/>
        <v>2047.467878</v>
      </c>
      <c r="F394" s="1">
        <f t="shared" si="4"/>
        <v>3867.439324</v>
      </c>
      <c r="G394" s="1">
        <f t="shared" si="5"/>
        <v>6824.892925</v>
      </c>
      <c r="H394" s="1">
        <f t="shared" si="6"/>
        <v>12512.3037</v>
      </c>
      <c r="I394" s="1">
        <f t="shared" si="7"/>
        <v>20474.67878</v>
      </c>
    </row>
    <row r="395" hidden="1">
      <c r="A395" s="266">
        <f>IFERROR(__xludf.DUMMYFUNCTION("""COMPUTED_VALUE"""),43030.99861111111)</f>
        <v>43030.99861</v>
      </c>
      <c r="B395" s="1">
        <f>IFERROR(__xludf.DUMMYFUNCTION("""COMPUTED_VALUE"""),5983.56)</f>
        <v>5983.56</v>
      </c>
      <c r="C395" s="58">
        <f t="shared" si="1"/>
        <v>3214.998611</v>
      </c>
      <c r="D395" s="1">
        <f t="shared" si="2"/>
        <v>1139.536394</v>
      </c>
      <c r="E395" s="1">
        <f t="shared" si="3"/>
        <v>2051.16551</v>
      </c>
      <c r="F395" s="1">
        <f t="shared" si="4"/>
        <v>3874.423741</v>
      </c>
      <c r="G395" s="1">
        <f t="shared" si="5"/>
        <v>6837.218366</v>
      </c>
      <c r="H395" s="1">
        <f t="shared" si="6"/>
        <v>12534.90034</v>
      </c>
      <c r="I395" s="1">
        <f t="shared" si="7"/>
        <v>20511.6551</v>
      </c>
    </row>
    <row r="396" hidden="1">
      <c r="A396" s="266">
        <f>IFERROR(__xludf.DUMMYFUNCTION("""COMPUTED_VALUE"""),43031.99861111111)</f>
        <v>43031.99861</v>
      </c>
      <c r="B396" s="1">
        <f>IFERROR(__xludf.DUMMYFUNCTION("""COMPUTED_VALUE"""),5913.82)</f>
        <v>5913.82</v>
      </c>
      <c r="C396" s="58">
        <f t="shared" si="1"/>
        <v>3215.998611</v>
      </c>
      <c r="D396" s="1">
        <f t="shared" si="2"/>
        <v>1141.593704</v>
      </c>
      <c r="E396" s="1">
        <f t="shared" si="3"/>
        <v>2054.868667</v>
      </c>
      <c r="F396" s="1">
        <f t="shared" si="4"/>
        <v>3881.418593</v>
      </c>
      <c r="G396" s="1">
        <f t="shared" si="5"/>
        <v>6849.562223</v>
      </c>
      <c r="H396" s="1">
        <f t="shared" si="6"/>
        <v>12557.53074</v>
      </c>
      <c r="I396" s="1">
        <f t="shared" si="7"/>
        <v>20548.68667</v>
      </c>
    </row>
    <row r="397" hidden="1">
      <c r="A397" s="266">
        <f>IFERROR(__xludf.DUMMYFUNCTION("""COMPUTED_VALUE"""),43032.99861111111)</f>
        <v>43032.99861</v>
      </c>
      <c r="B397" s="1">
        <f>IFERROR(__xludf.DUMMYFUNCTION("""COMPUTED_VALUE"""),5585.2)</f>
        <v>5585.2</v>
      </c>
      <c r="C397" s="58">
        <f t="shared" si="1"/>
        <v>3216.998611</v>
      </c>
      <c r="D397" s="1">
        <f t="shared" si="2"/>
        <v>1143.654086</v>
      </c>
      <c r="E397" s="1">
        <f t="shared" si="3"/>
        <v>2058.577355</v>
      </c>
      <c r="F397" s="1">
        <f t="shared" si="4"/>
        <v>3888.423893</v>
      </c>
      <c r="G397" s="1">
        <f t="shared" si="5"/>
        <v>6861.924517</v>
      </c>
      <c r="H397" s="1">
        <f t="shared" si="6"/>
        <v>12580.19495</v>
      </c>
      <c r="I397" s="1">
        <f t="shared" si="7"/>
        <v>20585.77355</v>
      </c>
    </row>
    <row r="398" hidden="1">
      <c r="A398" s="266">
        <f>IFERROR(__xludf.DUMMYFUNCTION("""COMPUTED_VALUE"""),43033.99861111111)</f>
        <v>43033.99861</v>
      </c>
      <c r="B398" s="1">
        <f>IFERROR(__xludf.DUMMYFUNCTION("""COMPUTED_VALUE"""),5671.38)</f>
        <v>5671.38</v>
      </c>
      <c r="C398" s="58">
        <f t="shared" si="1"/>
        <v>3217.998611</v>
      </c>
      <c r="D398" s="1">
        <f t="shared" si="2"/>
        <v>1145.717545</v>
      </c>
      <c r="E398" s="1">
        <f t="shared" si="3"/>
        <v>2062.291581</v>
      </c>
      <c r="F398" s="1">
        <f t="shared" si="4"/>
        <v>3895.439653</v>
      </c>
      <c r="G398" s="1">
        <f t="shared" si="5"/>
        <v>6874.30527</v>
      </c>
      <c r="H398" s="1">
        <f t="shared" si="6"/>
        <v>12602.89299</v>
      </c>
      <c r="I398" s="1">
        <f t="shared" si="7"/>
        <v>20622.91581</v>
      </c>
    </row>
    <row r="399" hidden="1">
      <c r="A399" s="266">
        <f>IFERROR(__xludf.DUMMYFUNCTION("""COMPUTED_VALUE"""),43034.99861111111)</f>
        <v>43034.99861</v>
      </c>
      <c r="B399" s="1">
        <f>IFERROR(__xludf.DUMMYFUNCTION("""COMPUTED_VALUE"""),5845.66)</f>
        <v>5845.66</v>
      </c>
      <c r="C399" s="58">
        <f t="shared" si="1"/>
        <v>3218.998611</v>
      </c>
      <c r="D399" s="1">
        <f t="shared" si="2"/>
        <v>1147.784084</v>
      </c>
      <c r="E399" s="1">
        <f t="shared" si="3"/>
        <v>2066.011351</v>
      </c>
      <c r="F399" s="1">
        <f t="shared" si="4"/>
        <v>3902.465886</v>
      </c>
      <c r="G399" s="1">
        <f t="shared" si="5"/>
        <v>6886.704504</v>
      </c>
      <c r="H399" s="1">
        <f t="shared" si="6"/>
        <v>12625.62492</v>
      </c>
      <c r="I399" s="1">
        <f t="shared" si="7"/>
        <v>20660.11351</v>
      </c>
    </row>
    <row r="400" hidden="1">
      <c r="A400" s="266">
        <f>IFERROR(__xludf.DUMMYFUNCTION("""COMPUTED_VALUE"""),43035.99861111111)</f>
        <v>43035.99861</v>
      </c>
      <c r="B400" s="1">
        <f>IFERROR(__xludf.DUMMYFUNCTION("""COMPUTED_VALUE"""),5757.19)</f>
        <v>5757.19</v>
      </c>
      <c r="C400" s="58">
        <f t="shared" si="1"/>
        <v>3219.998611</v>
      </c>
      <c r="D400" s="1">
        <f t="shared" si="2"/>
        <v>1149.853707</v>
      </c>
      <c r="E400" s="1">
        <f t="shared" si="3"/>
        <v>2069.736672</v>
      </c>
      <c r="F400" s="1">
        <f t="shared" si="4"/>
        <v>3909.502603</v>
      </c>
      <c r="G400" s="1">
        <f t="shared" si="5"/>
        <v>6899.122241</v>
      </c>
      <c r="H400" s="1">
        <f t="shared" si="6"/>
        <v>12648.39077</v>
      </c>
      <c r="I400" s="1">
        <f t="shared" si="7"/>
        <v>20697.36672</v>
      </c>
    </row>
    <row r="401" hidden="1">
      <c r="A401" s="266">
        <f>IFERROR(__xludf.DUMMYFUNCTION("""COMPUTED_VALUE"""),43036.99861111111)</f>
        <v>43036.99861</v>
      </c>
      <c r="B401" s="1">
        <f>IFERROR(__xludf.DUMMYFUNCTION("""COMPUTED_VALUE"""),5730.17)</f>
        <v>5730.17</v>
      </c>
      <c r="C401" s="58">
        <f t="shared" si="1"/>
        <v>3220.998611</v>
      </c>
      <c r="D401" s="1">
        <f t="shared" si="2"/>
        <v>1151.926417</v>
      </c>
      <c r="E401" s="1">
        <f t="shared" si="3"/>
        <v>2073.467551</v>
      </c>
      <c r="F401" s="1">
        <f t="shared" si="4"/>
        <v>3916.549818</v>
      </c>
      <c r="G401" s="1">
        <f t="shared" si="5"/>
        <v>6911.558503</v>
      </c>
      <c r="H401" s="1">
        <f t="shared" si="6"/>
        <v>12671.19059</v>
      </c>
      <c r="I401" s="1">
        <f t="shared" si="7"/>
        <v>20734.67551</v>
      </c>
    </row>
    <row r="402" hidden="1">
      <c r="A402" s="266">
        <f>IFERROR(__xludf.DUMMYFUNCTION("""COMPUTED_VALUE"""),43037.99861111111)</f>
        <v>43037.99861</v>
      </c>
      <c r="B402" s="1">
        <f>IFERROR(__xludf.DUMMYFUNCTION("""COMPUTED_VALUE"""),6151.38)</f>
        <v>6151.38</v>
      </c>
      <c r="C402" s="58">
        <f t="shared" si="1"/>
        <v>3221.998611</v>
      </c>
      <c r="D402" s="1">
        <f t="shared" si="2"/>
        <v>1154.002218</v>
      </c>
      <c r="E402" s="1">
        <f t="shared" si="3"/>
        <v>2077.203993</v>
      </c>
      <c r="F402" s="1">
        <f t="shared" si="4"/>
        <v>3923.607543</v>
      </c>
      <c r="G402" s="1">
        <f t="shared" si="5"/>
        <v>6924.013311</v>
      </c>
      <c r="H402" s="1">
        <f t="shared" si="6"/>
        <v>12694.0244</v>
      </c>
      <c r="I402" s="1">
        <f t="shared" si="7"/>
        <v>20772.03993</v>
      </c>
    </row>
    <row r="403" hidden="1">
      <c r="A403" s="266">
        <f>IFERROR(__xludf.DUMMYFUNCTION("""COMPUTED_VALUE"""),43038.99861111111)</f>
        <v>43038.99861</v>
      </c>
      <c r="B403" s="1">
        <f>IFERROR(__xludf.DUMMYFUNCTION("""COMPUTED_VALUE"""),6104.54)</f>
        <v>6104.54</v>
      </c>
      <c r="C403" s="58">
        <f t="shared" si="1"/>
        <v>3222.998611</v>
      </c>
      <c r="D403" s="1">
        <f t="shared" si="2"/>
        <v>1156.081115</v>
      </c>
      <c r="E403" s="1">
        <f t="shared" si="3"/>
        <v>2080.946006</v>
      </c>
      <c r="F403" s="1">
        <f t="shared" si="4"/>
        <v>3930.67579</v>
      </c>
      <c r="G403" s="1">
        <f t="shared" si="5"/>
        <v>6936.486688</v>
      </c>
      <c r="H403" s="1">
        <f t="shared" si="6"/>
        <v>12716.89226</v>
      </c>
      <c r="I403" s="1">
        <f t="shared" si="7"/>
        <v>20809.46006</v>
      </c>
    </row>
    <row r="404" hidden="1">
      <c r="A404" s="266">
        <f>IFERROR(__xludf.DUMMYFUNCTION("""COMPUTED_VALUE"""),43039.99861111111)</f>
        <v>43039.99861</v>
      </c>
      <c r="B404" s="1">
        <f>IFERROR(__xludf.DUMMYFUNCTION("""COMPUTED_VALUE"""),6373.7)</f>
        <v>6373.7</v>
      </c>
      <c r="C404" s="58">
        <f t="shared" si="1"/>
        <v>3223.998611</v>
      </c>
      <c r="D404" s="1">
        <f t="shared" si="2"/>
        <v>1158.163109</v>
      </c>
      <c r="E404" s="1">
        <f t="shared" si="3"/>
        <v>2084.693596</v>
      </c>
      <c r="F404" s="1">
        <f t="shared" si="4"/>
        <v>3937.754571</v>
      </c>
      <c r="G404" s="1">
        <f t="shared" si="5"/>
        <v>6948.978655</v>
      </c>
      <c r="H404" s="1">
        <f t="shared" si="6"/>
        <v>12739.7942</v>
      </c>
      <c r="I404" s="1">
        <f t="shared" si="7"/>
        <v>20846.93596</v>
      </c>
    </row>
    <row r="405" hidden="1">
      <c r="A405" s="266">
        <f>IFERROR(__xludf.DUMMYFUNCTION("""COMPUTED_VALUE"""),43040.99861111111)</f>
        <v>43040.99861</v>
      </c>
      <c r="B405" s="1">
        <f>IFERROR(__xludf.DUMMYFUNCTION("""COMPUTED_VALUE"""),6567.7)</f>
        <v>6567.7</v>
      </c>
      <c r="C405" s="58">
        <f t="shared" si="1"/>
        <v>3224.998611</v>
      </c>
      <c r="D405" s="1">
        <f t="shared" si="2"/>
        <v>1160.248206</v>
      </c>
      <c r="E405" s="1">
        <f t="shared" si="3"/>
        <v>2088.44677</v>
      </c>
      <c r="F405" s="1">
        <f t="shared" si="4"/>
        <v>3944.8439</v>
      </c>
      <c r="G405" s="1">
        <f t="shared" si="5"/>
        <v>6961.489234</v>
      </c>
      <c r="H405" s="1">
        <f t="shared" si="6"/>
        <v>12762.73026</v>
      </c>
      <c r="I405" s="1">
        <f t="shared" si="7"/>
        <v>20884.4677</v>
      </c>
    </row>
    <row r="406" hidden="1">
      <c r="A406" s="266">
        <f>IFERROR(__xludf.DUMMYFUNCTION("""COMPUTED_VALUE"""),43041.99861111111)</f>
        <v>43041.99861</v>
      </c>
      <c r="B406" s="1">
        <f>IFERROR(__xludf.DUMMYFUNCTION("""COMPUTED_VALUE"""),7047.16)</f>
        <v>7047.16</v>
      </c>
      <c r="C406" s="58">
        <f t="shared" si="1"/>
        <v>3225.998611</v>
      </c>
      <c r="D406" s="1">
        <f t="shared" si="2"/>
        <v>1162.336408</v>
      </c>
      <c r="E406" s="1">
        <f t="shared" si="3"/>
        <v>2092.205534</v>
      </c>
      <c r="F406" s="1">
        <f t="shared" si="4"/>
        <v>3951.943787</v>
      </c>
      <c r="G406" s="1">
        <f t="shared" si="5"/>
        <v>6974.018448</v>
      </c>
      <c r="H406" s="1">
        <f t="shared" si="6"/>
        <v>12785.70049</v>
      </c>
      <c r="I406" s="1">
        <f t="shared" si="7"/>
        <v>20922.05534</v>
      </c>
    </row>
    <row r="407" hidden="1">
      <c r="A407" s="266">
        <f>IFERROR(__xludf.DUMMYFUNCTION("""COMPUTED_VALUE"""),43042.99861111111)</f>
        <v>43042.99861</v>
      </c>
      <c r="B407" s="1">
        <f>IFERROR(__xludf.DUMMYFUNCTION("""COMPUTED_VALUE"""),7155.55)</f>
        <v>7155.55</v>
      </c>
      <c r="C407" s="58">
        <f t="shared" si="1"/>
        <v>3226.998611</v>
      </c>
      <c r="D407" s="1">
        <f t="shared" si="2"/>
        <v>1164.42772</v>
      </c>
      <c r="E407" s="1">
        <f t="shared" si="3"/>
        <v>2095.969896</v>
      </c>
      <c r="F407" s="1">
        <f t="shared" si="4"/>
        <v>3959.054247</v>
      </c>
      <c r="G407" s="1">
        <f t="shared" si="5"/>
        <v>6986.566318</v>
      </c>
      <c r="H407" s="1">
        <f t="shared" si="6"/>
        <v>12808.70492</v>
      </c>
      <c r="I407" s="1">
        <f t="shared" si="7"/>
        <v>20959.69896</v>
      </c>
    </row>
    <row r="408" hidden="1">
      <c r="A408" s="266">
        <f>IFERROR(__xludf.DUMMYFUNCTION("""COMPUTED_VALUE"""),43043.99861111111)</f>
        <v>43043.99861</v>
      </c>
      <c r="B408" s="1">
        <f>IFERROR(__xludf.DUMMYFUNCTION("""COMPUTED_VALUE"""),7373.66)</f>
        <v>7373.66</v>
      </c>
      <c r="C408" s="58">
        <f t="shared" si="1"/>
        <v>3227.998611</v>
      </c>
      <c r="D408" s="1">
        <f t="shared" si="2"/>
        <v>1166.522144</v>
      </c>
      <c r="E408" s="1">
        <f t="shared" si="3"/>
        <v>2099.73986</v>
      </c>
      <c r="F408" s="1">
        <f t="shared" si="4"/>
        <v>3966.175291</v>
      </c>
      <c r="G408" s="1">
        <f t="shared" si="5"/>
        <v>6999.132867</v>
      </c>
      <c r="H408" s="1">
        <f t="shared" si="6"/>
        <v>12831.74359</v>
      </c>
      <c r="I408" s="1">
        <f t="shared" si="7"/>
        <v>20997.3986</v>
      </c>
    </row>
    <row r="409" hidden="1">
      <c r="A409" s="266">
        <f>IFERROR(__xludf.DUMMYFUNCTION("""COMPUTED_VALUE"""),43044.99861111111)</f>
        <v>43044.99861</v>
      </c>
      <c r="B409" s="1">
        <f>IFERROR(__xludf.DUMMYFUNCTION("""COMPUTED_VALUE"""),7350.08)</f>
        <v>7350.08</v>
      </c>
      <c r="C409" s="58">
        <f t="shared" si="1"/>
        <v>3228.998611</v>
      </c>
      <c r="D409" s="1">
        <f t="shared" si="2"/>
        <v>1168.619686</v>
      </c>
      <c r="E409" s="1">
        <f t="shared" si="3"/>
        <v>2103.515435</v>
      </c>
      <c r="F409" s="1">
        <f t="shared" si="4"/>
        <v>3973.306932</v>
      </c>
      <c r="G409" s="1">
        <f t="shared" si="5"/>
        <v>7011.718115</v>
      </c>
      <c r="H409" s="1">
        <f t="shared" si="6"/>
        <v>12854.81654</v>
      </c>
      <c r="I409" s="1">
        <f t="shared" si="7"/>
        <v>21035.15435</v>
      </c>
    </row>
    <row r="410" hidden="1">
      <c r="A410" s="266">
        <f>IFERROR(__xludf.DUMMYFUNCTION("""COMPUTED_VALUE"""),43045.99861111111)</f>
        <v>43045.99861</v>
      </c>
      <c r="B410" s="1">
        <f>IFERROR(__xludf.DUMMYFUNCTION("""COMPUTED_VALUE"""),7123.58)</f>
        <v>7123.58</v>
      </c>
      <c r="C410" s="58">
        <f t="shared" si="1"/>
        <v>3229.998611</v>
      </c>
      <c r="D410" s="1">
        <f t="shared" si="2"/>
        <v>1170.720348</v>
      </c>
      <c r="E410" s="1">
        <f t="shared" si="3"/>
        <v>2107.296626</v>
      </c>
      <c r="F410" s="1">
        <f t="shared" si="4"/>
        <v>3980.449182</v>
      </c>
      <c r="G410" s="1">
        <f t="shared" si="5"/>
        <v>7024.322086</v>
      </c>
      <c r="H410" s="1">
        <f t="shared" si="6"/>
        <v>12877.92382</v>
      </c>
      <c r="I410" s="1">
        <f t="shared" si="7"/>
        <v>21072.96626</v>
      </c>
    </row>
    <row r="411" hidden="1">
      <c r="A411" s="266">
        <f>IFERROR(__xludf.DUMMYFUNCTION("""COMPUTED_VALUE"""),43046.99861111111)</f>
        <v>43046.99861</v>
      </c>
      <c r="B411" s="1">
        <f>IFERROR(__xludf.DUMMYFUNCTION("""COMPUTED_VALUE"""),7072.92)</f>
        <v>7072.92</v>
      </c>
      <c r="C411" s="58">
        <f t="shared" si="1"/>
        <v>3230.998611</v>
      </c>
      <c r="D411" s="1">
        <f t="shared" si="2"/>
        <v>1172.824133</v>
      </c>
      <c r="E411" s="1">
        <f t="shared" si="3"/>
        <v>2111.08344</v>
      </c>
      <c r="F411" s="1">
        <f t="shared" si="4"/>
        <v>3987.602054</v>
      </c>
      <c r="G411" s="1">
        <f t="shared" si="5"/>
        <v>7036.944801</v>
      </c>
      <c r="H411" s="1">
        <f t="shared" si="6"/>
        <v>12901.06547</v>
      </c>
      <c r="I411" s="1">
        <f t="shared" si="7"/>
        <v>21110.8344</v>
      </c>
    </row>
    <row r="412" hidden="1">
      <c r="A412" s="266">
        <f>IFERROR(__xludf.DUMMYFUNCTION("""COMPUTED_VALUE"""),43047.99861111111)</f>
        <v>43047.99861</v>
      </c>
      <c r="B412" s="1">
        <f>IFERROR(__xludf.DUMMYFUNCTION("""COMPUTED_VALUE"""),7247.06)</f>
        <v>7247.06</v>
      </c>
      <c r="C412" s="58">
        <f t="shared" si="1"/>
        <v>3231.998611</v>
      </c>
      <c r="D412" s="1">
        <f t="shared" si="2"/>
        <v>1174.931047</v>
      </c>
      <c r="E412" s="1">
        <f t="shared" si="3"/>
        <v>2114.875885</v>
      </c>
      <c r="F412" s="1">
        <f t="shared" si="4"/>
        <v>3994.76556</v>
      </c>
      <c r="G412" s="1">
        <f t="shared" si="5"/>
        <v>7049.586282</v>
      </c>
      <c r="H412" s="1">
        <f t="shared" si="6"/>
        <v>12924.24152</v>
      </c>
      <c r="I412" s="1">
        <f t="shared" si="7"/>
        <v>21148.75885</v>
      </c>
    </row>
    <row r="413" hidden="1">
      <c r="A413" s="266">
        <f>IFERROR(__xludf.DUMMYFUNCTION("""COMPUTED_VALUE"""),43048.99861111111)</f>
        <v>43048.99861</v>
      </c>
      <c r="B413" s="1">
        <f>IFERROR(__xludf.DUMMYFUNCTION("""COMPUTED_VALUE"""),7112.26)</f>
        <v>7112.26</v>
      </c>
      <c r="C413" s="58">
        <f t="shared" si="1"/>
        <v>3232.998611</v>
      </c>
      <c r="D413" s="1">
        <f t="shared" si="2"/>
        <v>1177.041092</v>
      </c>
      <c r="E413" s="1">
        <f t="shared" si="3"/>
        <v>2118.673966</v>
      </c>
      <c r="F413" s="1">
        <f t="shared" si="4"/>
        <v>4001.939713</v>
      </c>
      <c r="G413" s="1">
        <f t="shared" si="5"/>
        <v>7062.246552</v>
      </c>
      <c r="H413" s="1">
        <f t="shared" si="6"/>
        <v>12947.45201</v>
      </c>
      <c r="I413" s="1">
        <f t="shared" si="7"/>
        <v>21186.73966</v>
      </c>
    </row>
    <row r="414" hidden="1">
      <c r="A414" s="266">
        <f>IFERROR(__xludf.DUMMYFUNCTION("""COMPUTED_VALUE"""),43049.99861111111)</f>
        <v>43049.99861</v>
      </c>
      <c r="B414" s="1">
        <f>IFERROR(__xludf.DUMMYFUNCTION("""COMPUTED_VALUE"""),6601.94)</f>
        <v>6601.94</v>
      </c>
      <c r="C414" s="58">
        <f t="shared" si="1"/>
        <v>3233.998611</v>
      </c>
      <c r="D414" s="1">
        <f t="shared" si="2"/>
        <v>1179.154272</v>
      </c>
      <c r="E414" s="1">
        <f t="shared" si="3"/>
        <v>2122.47769</v>
      </c>
      <c r="F414" s="1">
        <f t="shared" si="4"/>
        <v>4009.124525</v>
      </c>
      <c r="G414" s="1">
        <f t="shared" si="5"/>
        <v>7074.925632</v>
      </c>
      <c r="H414" s="1">
        <f t="shared" si="6"/>
        <v>12970.69699</v>
      </c>
      <c r="I414" s="1">
        <f t="shared" si="7"/>
        <v>21224.7769</v>
      </c>
    </row>
    <row r="415" hidden="1">
      <c r="A415" s="266">
        <f>IFERROR(__xludf.DUMMYFUNCTION("""COMPUTED_VALUE"""),43050.99861111111)</f>
        <v>43050.99861</v>
      </c>
      <c r="B415" s="1">
        <f>IFERROR(__xludf.DUMMYFUNCTION("""COMPUTED_VALUE"""),6234.73)</f>
        <v>6234.73</v>
      </c>
      <c r="C415" s="58">
        <f t="shared" si="1"/>
        <v>3234.998611</v>
      </c>
      <c r="D415" s="1">
        <f t="shared" si="2"/>
        <v>1181.270591</v>
      </c>
      <c r="E415" s="1">
        <f t="shared" si="3"/>
        <v>2126.287064</v>
      </c>
      <c r="F415" s="1">
        <f t="shared" si="4"/>
        <v>4016.320009</v>
      </c>
      <c r="G415" s="1">
        <f t="shared" si="5"/>
        <v>7087.623545</v>
      </c>
      <c r="H415" s="1">
        <f t="shared" si="6"/>
        <v>12993.9765</v>
      </c>
      <c r="I415" s="1">
        <f t="shared" si="7"/>
        <v>21262.87064</v>
      </c>
    </row>
    <row r="416" hidden="1">
      <c r="A416" s="266">
        <f>IFERROR(__xludf.DUMMYFUNCTION("""COMPUTED_VALUE"""),43051.99861111111)</f>
        <v>43051.99861</v>
      </c>
      <c r="B416" s="1">
        <f>IFERROR(__xludf.DUMMYFUNCTION("""COMPUTED_VALUE"""),6021.33)</f>
        <v>6021.33</v>
      </c>
      <c r="C416" s="58">
        <f t="shared" si="1"/>
        <v>3235.998611</v>
      </c>
      <c r="D416" s="1">
        <f t="shared" si="2"/>
        <v>1183.390052</v>
      </c>
      <c r="E416" s="1">
        <f t="shared" si="3"/>
        <v>2130.102094</v>
      </c>
      <c r="F416" s="1">
        <f t="shared" si="4"/>
        <v>4023.526177</v>
      </c>
      <c r="G416" s="1">
        <f t="shared" si="5"/>
        <v>7100.340313</v>
      </c>
      <c r="H416" s="1">
        <f t="shared" si="6"/>
        <v>13017.29057</v>
      </c>
      <c r="I416" s="1">
        <f t="shared" si="7"/>
        <v>21301.02094</v>
      </c>
    </row>
    <row r="417" hidden="1">
      <c r="A417" s="266">
        <f>IFERROR(__xludf.DUMMYFUNCTION("""COMPUTED_VALUE"""),43052.99861111111)</f>
        <v>43052.99861</v>
      </c>
      <c r="B417" s="1">
        <f>IFERROR(__xludf.DUMMYFUNCTION("""COMPUTED_VALUE"""),6451.83)</f>
        <v>6451.83</v>
      </c>
      <c r="C417" s="58">
        <f t="shared" si="1"/>
        <v>3236.998611</v>
      </c>
      <c r="D417" s="1">
        <f t="shared" si="2"/>
        <v>1185.51266</v>
      </c>
      <c r="E417" s="1">
        <f t="shared" si="3"/>
        <v>2133.922787</v>
      </c>
      <c r="F417" s="1">
        <f t="shared" si="4"/>
        <v>4030.743043</v>
      </c>
      <c r="G417" s="1">
        <f t="shared" si="5"/>
        <v>7113.075958</v>
      </c>
      <c r="H417" s="1">
        <f t="shared" si="6"/>
        <v>13040.63926</v>
      </c>
      <c r="I417" s="1">
        <f t="shared" si="7"/>
        <v>21339.22787</v>
      </c>
    </row>
    <row r="418" hidden="1">
      <c r="A418" s="266">
        <f>IFERROR(__xludf.DUMMYFUNCTION("""COMPUTED_VALUE"""),43053.99861111111)</f>
        <v>43053.99861</v>
      </c>
      <c r="B418" s="1">
        <f>IFERROR(__xludf.DUMMYFUNCTION("""COMPUTED_VALUE"""),6587.69)</f>
        <v>6587.69</v>
      </c>
      <c r="C418" s="58">
        <f t="shared" si="1"/>
        <v>3237.998611</v>
      </c>
      <c r="D418" s="1">
        <f t="shared" si="2"/>
        <v>1187.638417</v>
      </c>
      <c r="E418" s="1">
        <f t="shared" si="3"/>
        <v>2137.749151</v>
      </c>
      <c r="F418" s="1">
        <f t="shared" si="4"/>
        <v>4037.970618</v>
      </c>
      <c r="G418" s="1">
        <f t="shared" si="5"/>
        <v>7125.830502</v>
      </c>
      <c r="H418" s="1">
        <f t="shared" si="6"/>
        <v>13064.02259</v>
      </c>
      <c r="I418" s="1">
        <f t="shared" si="7"/>
        <v>21377.49151</v>
      </c>
    </row>
    <row r="419" hidden="1">
      <c r="A419" s="266">
        <f>IFERROR(__xludf.DUMMYFUNCTION("""COMPUTED_VALUE"""),43054.99861111111)</f>
        <v>43054.99861</v>
      </c>
      <c r="B419" s="1">
        <f>IFERROR(__xludf.DUMMYFUNCTION("""COMPUTED_VALUE"""),7291.96)</f>
        <v>7291.96</v>
      </c>
      <c r="C419" s="58">
        <f t="shared" si="1"/>
        <v>3238.998611</v>
      </c>
      <c r="D419" s="1">
        <f t="shared" si="2"/>
        <v>1189.767328</v>
      </c>
      <c r="E419" s="1">
        <f t="shared" si="3"/>
        <v>2141.58119</v>
      </c>
      <c r="F419" s="1">
        <f t="shared" si="4"/>
        <v>4045.208915</v>
      </c>
      <c r="G419" s="1">
        <f t="shared" si="5"/>
        <v>7138.603967</v>
      </c>
      <c r="H419" s="1">
        <f t="shared" si="6"/>
        <v>13087.44061</v>
      </c>
      <c r="I419" s="1">
        <f t="shared" si="7"/>
        <v>21415.8119</v>
      </c>
    </row>
    <row r="420" hidden="1">
      <c r="A420" s="266">
        <f>IFERROR(__xludf.DUMMYFUNCTION("""COMPUTED_VALUE"""),43055.99861111111)</f>
        <v>43055.99861</v>
      </c>
      <c r="B420" s="1">
        <f>IFERROR(__xludf.DUMMYFUNCTION("""COMPUTED_VALUE"""),7895.76)</f>
        <v>7895.76</v>
      </c>
      <c r="C420" s="58">
        <f t="shared" si="1"/>
        <v>3239.998611</v>
      </c>
      <c r="D420" s="1">
        <f t="shared" si="2"/>
        <v>1191.899396</v>
      </c>
      <c r="E420" s="1">
        <f t="shared" si="3"/>
        <v>2145.418913</v>
      </c>
      <c r="F420" s="1">
        <f t="shared" si="4"/>
        <v>4052.457946</v>
      </c>
      <c r="G420" s="1">
        <f t="shared" si="5"/>
        <v>7151.396376</v>
      </c>
      <c r="H420" s="1">
        <f t="shared" si="6"/>
        <v>13110.89336</v>
      </c>
      <c r="I420" s="1">
        <f t="shared" si="7"/>
        <v>21454.18913</v>
      </c>
    </row>
    <row r="421" hidden="1">
      <c r="A421" s="266">
        <f>IFERROR(__xludf.DUMMYFUNCTION("""COMPUTED_VALUE"""),43056.99861111111)</f>
        <v>43056.99861</v>
      </c>
      <c r="B421" s="1">
        <f>IFERROR(__xludf.DUMMYFUNCTION("""COMPUTED_VALUE"""),7730.75)</f>
        <v>7730.75</v>
      </c>
      <c r="C421" s="58">
        <f t="shared" si="1"/>
        <v>3240.998611</v>
      </c>
      <c r="D421" s="1">
        <f t="shared" si="2"/>
        <v>1194.034625</v>
      </c>
      <c r="E421" s="1">
        <f t="shared" si="3"/>
        <v>2149.262325</v>
      </c>
      <c r="F421" s="1">
        <f t="shared" si="4"/>
        <v>4059.717725</v>
      </c>
      <c r="G421" s="1">
        <f t="shared" si="5"/>
        <v>7164.20775</v>
      </c>
      <c r="H421" s="1">
        <f t="shared" si="6"/>
        <v>13134.38088</v>
      </c>
      <c r="I421" s="1">
        <f t="shared" si="7"/>
        <v>21492.62325</v>
      </c>
    </row>
    <row r="422" hidden="1">
      <c r="A422" s="266">
        <f>IFERROR(__xludf.DUMMYFUNCTION("""COMPUTED_VALUE"""),43057.99861111111)</f>
        <v>43057.99861</v>
      </c>
      <c r="B422" s="1">
        <f>IFERROR(__xludf.DUMMYFUNCTION("""COMPUTED_VALUE"""),7751.54)</f>
        <v>7751.54</v>
      </c>
      <c r="C422" s="58">
        <f t="shared" si="1"/>
        <v>3241.998611</v>
      </c>
      <c r="D422" s="1">
        <f t="shared" si="2"/>
        <v>1196.173019</v>
      </c>
      <c r="E422" s="1">
        <f t="shared" si="3"/>
        <v>2153.111434</v>
      </c>
      <c r="F422" s="1">
        <f t="shared" si="4"/>
        <v>4066.988264</v>
      </c>
      <c r="G422" s="1">
        <f t="shared" si="5"/>
        <v>7177.038113</v>
      </c>
      <c r="H422" s="1">
        <f t="shared" si="6"/>
        <v>13157.90321</v>
      </c>
      <c r="I422" s="1">
        <f t="shared" si="7"/>
        <v>21531.11434</v>
      </c>
    </row>
    <row r="423" hidden="1">
      <c r="A423" s="266">
        <f>IFERROR(__xludf.DUMMYFUNCTION("""COMPUTED_VALUE"""),43058.99861111111)</f>
        <v>43058.99861</v>
      </c>
      <c r="B423" s="1">
        <f>IFERROR(__xludf.DUMMYFUNCTION("""COMPUTED_VALUE"""),8039.79)</f>
        <v>8039.79</v>
      </c>
      <c r="C423" s="58">
        <f t="shared" si="1"/>
        <v>3242.998611</v>
      </c>
      <c r="D423" s="1">
        <f t="shared" si="2"/>
        <v>1198.314581</v>
      </c>
      <c r="E423" s="1">
        <f t="shared" si="3"/>
        <v>2156.966246</v>
      </c>
      <c r="F423" s="1">
        <f t="shared" si="4"/>
        <v>4074.269575</v>
      </c>
      <c r="G423" s="1">
        <f t="shared" si="5"/>
        <v>7189.887485</v>
      </c>
      <c r="H423" s="1">
        <f t="shared" si="6"/>
        <v>13181.46039</v>
      </c>
      <c r="I423" s="1">
        <f t="shared" si="7"/>
        <v>21569.66246</v>
      </c>
    </row>
    <row r="424" hidden="1">
      <c r="A424" s="266">
        <f>IFERROR(__xludf.DUMMYFUNCTION("""COMPUTED_VALUE"""),43059.99861111111)</f>
        <v>43059.99861</v>
      </c>
      <c r="B424" s="1">
        <f>IFERROR(__xludf.DUMMYFUNCTION("""COMPUTED_VALUE"""),8265.47)</f>
        <v>8265.47</v>
      </c>
      <c r="C424" s="58">
        <f t="shared" si="1"/>
        <v>3243.998611</v>
      </c>
      <c r="D424" s="1">
        <f t="shared" si="2"/>
        <v>1200.459315</v>
      </c>
      <c r="E424" s="1">
        <f t="shared" si="3"/>
        <v>2160.826767</v>
      </c>
      <c r="F424" s="1">
        <f t="shared" si="4"/>
        <v>4081.561671</v>
      </c>
      <c r="G424" s="1">
        <f t="shared" si="5"/>
        <v>7202.755891</v>
      </c>
      <c r="H424" s="1">
        <f t="shared" si="6"/>
        <v>13205.05247</v>
      </c>
      <c r="I424" s="1">
        <f t="shared" si="7"/>
        <v>21608.26767</v>
      </c>
    </row>
    <row r="425" hidden="1">
      <c r="A425" s="266">
        <f>IFERROR(__xludf.DUMMYFUNCTION("""COMPUTED_VALUE"""),43060.99861111111)</f>
        <v>43060.99861</v>
      </c>
      <c r="B425" s="1">
        <f>IFERROR(__xludf.DUMMYFUNCTION("""COMPUTED_VALUE"""),8144.43)</f>
        <v>8144.43</v>
      </c>
      <c r="C425" s="58">
        <f t="shared" si="1"/>
        <v>3244.998611</v>
      </c>
      <c r="D425" s="1">
        <f t="shared" si="2"/>
        <v>1202.607225</v>
      </c>
      <c r="E425" s="1">
        <f t="shared" si="3"/>
        <v>2164.693005</v>
      </c>
      <c r="F425" s="1">
        <f t="shared" si="4"/>
        <v>4088.864566</v>
      </c>
      <c r="G425" s="1">
        <f t="shared" si="5"/>
        <v>7215.643351</v>
      </c>
      <c r="H425" s="1">
        <f t="shared" si="6"/>
        <v>13228.67948</v>
      </c>
      <c r="I425" s="1">
        <f t="shared" si="7"/>
        <v>21646.93005</v>
      </c>
    </row>
    <row r="426" hidden="1">
      <c r="A426" s="266">
        <f>IFERROR(__xludf.DUMMYFUNCTION("""COMPUTED_VALUE"""),43061.99861111111)</f>
        <v>43061.99861</v>
      </c>
      <c r="B426" s="1">
        <f>IFERROR(__xludf.DUMMYFUNCTION("""COMPUTED_VALUE"""),8204.26)</f>
        <v>8204.26</v>
      </c>
      <c r="C426" s="58">
        <f t="shared" si="1"/>
        <v>3245.998611</v>
      </c>
      <c r="D426" s="1">
        <f t="shared" si="2"/>
        <v>1204.758315</v>
      </c>
      <c r="E426" s="1">
        <f t="shared" si="3"/>
        <v>2168.564967</v>
      </c>
      <c r="F426" s="1">
        <f t="shared" si="4"/>
        <v>4096.17827</v>
      </c>
      <c r="G426" s="1">
        <f t="shared" si="5"/>
        <v>7228.549889</v>
      </c>
      <c r="H426" s="1">
        <f t="shared" si="6"/>
        <v>13252.34146</v>
      </c>
      <c r="I426" s="1">
        <f t="shared" si="7"/>
        <v>21685.64967</v>
      </c>
    </row>
    <row r="427" hidden="1">
      <c r="A427" s="266">
        <f>IFERROR(__xludf.DUMMYFUNCTION("""COMPUTED_VALUE"""),43062.99861111111)</f>
        <v>43062.99861</v>
      </c>
      <c r="B427" s="1">
        <f>IFERROR(__xludf.DUMMYFUNCTION("""COMPUTED_VALUE"""),8168.15)</f>
        <v>8168.15</v>
      </c>
      <c r="C427" s="58">
        <f t="shared" si="1"/>
        <v>3246.998611</v>
      </c>
      <c r="D427" s="1">
        <f t="shared" si="2"/>
        <v>1206.912588</v>
      </c>
      <c r="E427" s="1">
        <f t="shared" si="3"/>
        <v>2172.442658</v>
      </c>
      <c r="F427" s="1">
        <f t="shared" si="4"/>
        <v>4103.502798</v>
      </c>
      <c r="G427" s="1">
        <f t="shared" si="5"/>
        <v>7241.475526</v>
      </c>
      <c r="H427" s="1">
        <f t="shared" si="6"/>
        <v>13276.03846</v>
      </c>
      <c r="I427" s="1">
        <f t="shared" si="7"/>
        <v>21724.42658</v>
      </c>
    </row>
    <row r="428" hidden="1">
      <c r="A428" s="266">
        <f>IFERROR(__xludf.DUMMYFUNCTION("""COMPUTED_VALUE"""),43063.99861111111)</f>
        <v>43063.99861</v>
      </c>
      <c r="B428" s="1">
        <f>IFERROR(__xludf.DUMMYFUNCTION("""COMPUTED_VALUE"""),8248.41)</f>
        <v>8248.41</v>
      </c>
      <c r="C428" s="58">
        <f t="shared" si="1"/>
        <v>3247.998611</v>
      </c>
      <c r="D428" s="1">
        <f t="shared" si="2"/>
        <v>1209.070047</v>
      </c>
      <c r="E428" s="1">
        <f t="shared" si="3"/>
        <v>2176.326085</v>
      </c>
      <c r="F428" s="1">
        <f t="shared" si="4"/>
        <v>4110.838161</v>
      </c>
      <c r="G428" s="1">
        <f t="shared" si="5"/>
        <v>7254.420285</v>
      </c>
      <c r="H428" s="1">
        <f t="shared" si="6"/>
        <v>13299.77052</v>
      </c>
      <c r="I428" s="1">
        <f t="shared" si="7"/>
        <v>21763.26085</v>
      </c>
    </row>
    <row r="429" hidden="1">
      <c r="A429" s="266">
        <f>IFERROR(__xludf.DUMMYFUNCTION("""COMPUTED_VALUE"""),43064.99861111111)</f>
        <v>43064.99861</v>
      </c>
      <c r="B429" s="1">
        <f>IFERROR(__xludf.DUMMYFUNCTION("""COMPUTED_VALUE"""),8835.39)</f>
        <v>8835.39</v>
      </c>
      <c r="C429" s="58">
        <f t="shared" si="1"/>
        <v>3248.998611</v>
      </c>
      <c r="D429" s="1">
        <f t="shared" si="2"/>
        <v>1211.230698</v>
      </c>
      <c r="E429" s="1">
        <f t="shared" si="3"/>
        <v>2180.215256</v>
      </c>
      <c r="F429" s="1">
        <f t="shared" si="4"/>
        <v>4118.184373</v>
      </c>
      <c r="G429" s="1">
        <f t="shared" si="5"/>
        <v>7267.384188</v>
      </c>
      <c r="H429" s="1">
        <f t="shared" si="6"/>
        <v>13323.53768</v>
      </c>
      <c r="I429" s="1">
        <f t="shared" si="7"/>
        <v>21802.15256</v>
      </c>
    </row>
    <row r="430" hidden="1">
      <c r="A430" s="266">
        <f>IFERROR(__xludf.DUMMYFUNCTION("""COMPUTED_VALUE"""),43065.99861111111)</f>
        <v>43065.99861</v>
      </c>
      <c r="B430" s="1">
        <f>IFERROR(__xludf.DUMMYFUNCTION("""COMPUTED_VALUE"""),9579.17)</f>
        <v>9579.17</v>
      </c>
      <c r="C430" s="58">
        <f t="shared" si="1"/>
        <v>3249.998611</v>
      </c>
      <c r="D430" s="1">
        <f t="shared" si="2"/>
        <v>1213.394543</v>
      </c>
      <c r="E430" s="1">
        <f t="shared" si="3"/>
        <v>2184.110177</v>
      </c>
      <c r="F430" s="1">
        <f t="shared" si="4"/>
        <v>4125.541446</v>
      </c>
      <c r="G430" s="1">
        <f t="shared" si="5"/>
        <v>7280.367258</v>
      </c>
      <c r="H430" s="1">
        <f t="shared" si="6"/>
        <v>13347.33997</v>
      </c>
      <c r="I430" s="1">
        <f t="shared" si="7"/>
        <v>21841.10177</v>
      </c>
    </row>
    <row r="431" hidden="1">
      <c r="A431" s="266">
        <f>IFERROR(__xludf.DUMMYFUNCTION("""COMPUTED_VALUE"""),43066.99861111111)</f>
        <v>43066.99861</v>
      </c>
      <c r="B431" s="1">
        <f>IFERROR(__xludf.DUMMYFUNCTION("""COMPUTED_VALUE"""),9643.04)</f>
        <v>9643.04</v>
      </c>
      <c r="C431" s="58">
        <f t="shared" si="1"/>
        <v>3250.998611</v>
      </c>
      <c r="D431" s="1">
        <f t="shared" si="2"/>
        <v>1215.561586</v>
      </c>
      <c r="E431" s="1">
        <f t="shared" si="3"/>
        <v>2188.010855</v>
      </c>
      <c r="F431" s="1">
        <f t="shared" si="4"/>
        <v>4132.909393</v>
      </c>
      <c r="G431" s="1">
        <f t="shared" si="5"/>
        <v>7293.369517</v>
      </c>
      <c r="H431" s="1">
        <f t="shared" si="6"/>
        <v>13371.17745</v>
      </c>
      <c r="I431" s="1">
        <f t="shared" si="7"/>
        <v>21880.10855</v>
      </c>
    </row>
    <row r="432" hidden="1">
      <c r="A432" s="266">
        <f>IFERROR(__xludf.DUMMYFUNCTION("""COMPUTED_VALUE"""),43067.99861111111)</f>
        <v>43067.99861</v>
      </c>
      <c r="B432" s="1">
        <f>IFERROR(__xludf.DUMMYFUNCTION("""COMPUTED_VALUE"""),9937.51)</f>
        <v>9937.51</v>
      </c>
      <c r="C432" s="58">
        <f t="shared" si="1"/>
        <v>3251.998611</v>
      </c>
      <c r="D432" s="1">
        <f t="shared" si="2"/>
        <v>1217.731831</v>
      </c>
      <c r="E432" s="1">
        <f t="shared" si="3"/>
        <v>2191.917297</v>
      </c>
      <c r="F432" s="1">
        <f t="shared" si="4"/>
        <v>4140.288227</v>
      </c>
      <c r="G432" s="1">
        <f t="shared" si="5"/>
        <v>7306.390988</v>
      </c>
      <c r="H432" s="1">
        <f t="shared" si="6"/>
        <v>13395.05015</v>
      </c>
      <c r="I432" s="1">
        <f t="shared" si="7"/>
        <v>21919.17297</v>
      </c>
    </row>
    <row r="433" hidden="1">
      <c r="A433" s="266">
        <f>IFERROR(__xludf.DUMMYFUNCTION("""COMPUTED_VALUE"""),43068.99861111111)</f>
        <v>43068.99861</v>
      </c>
      <c r="B433" s="1">
        <f>IFERROR(__xludf.DUMMYFUNCTION("""COMPUTED_VALUE"""),10159.46)</f>
        <v>10159.46</v>
      </c>
      <c r="C433" s="58">
        <f t="shared" si="1"/>
        <v>3252.998611</v>
      </c>
      <c r="D433" s="1">
        <f t="shared" si="2"/>
        <v>1219.905282</v>
      </c>
      <c r="E433" s="1">
        <f t="shared" si="3"/>
        <v>2195.829508</v>
      </c>
      <c r="F433" s="1">
        <f t="shared" si="4"/>
        <v>4147.67796</v>
      </c>
      <c r="G433" s="1">
        <f t="shared" si="5"/>
        <v>7319.431693</v>
      </c>
      <c r="H433" s="1">
        <f t="shared" si="6"/>
        <v>13418.9581</v>
      </c>
      <c r="I433" s="1">
        <f t="shared" si="7"/>
        <v>21958.29508</v>
      </c>
    </row>
    <row r="434" hidden="1">
      <c r="A434" s="266">
        <f>IFERROR(__xludf.DUMMYFUNCTION("""COMPUTED_VALUE"""),43069.99861111111)</f>
        <v>43069.99861</v>
      </c>
      <c r="B434" s="1">
        <f>IFERROR(__xludf.DUMMYFUNCTION("""COMPUTED_VALUE"""),9677.47)</f>
        <v>9677.47</v>
      </c>
      <c r="C434" s="58">
        <f t="shared" si="1"/>
        <v>3253.998611</v>
      </c>
      <c r="D434" s="1">
        <f t="shared" si="2"/>
        <v>1222.081942</v>
      </c>
      <c r="E434" s="1">
        <f t="shared" si="3"/>
        <v>2199.747496</v>
      </c>
      <c r="F434" s="1">
        <f t="shared" si="4"/>
        <v>4155.078604</v>
      </c>
      <c r="G434" s="1">
        <f t="shared" si="5"/>
        <v>7332.491655</v>
      </c>
      <c r="H434" s="1">
        <f t="shared" si="6"/>
        <v>13442.90137</v>
      </c>
      <c r="I434" s="1">
        <f t="shared" si="7"/>
        <v>21997.47496</v>
      </c>
    </row>
    <row r="435" hidden="1">
      <c r="A435" s="266">
        <f>IFERROR(__xludf.DUMMYFUNCTION("""COMPUTED_VALUE"""),43070.99861111111)</f>
        <v>43070.99861</v>
      </c>
      <c r="B435" s="1">
        <f>IFERROR(__xludf.DUMMYFUNCTION("""COMPUTED_VALUE"""),10820.12)</f>
        <v>10820.12</v>
      </c>
      <c r="C435" s="58">
        <f t="shared" si="1"/>
        <v>3254.998611</v>
      </c>
      <c r="D435" s="1">
        <f t="shared" si="2"/>
        <v>1224.261816</v>
      </c>
      <c r="E435" s="1">
        <f t="shared" si="3"/>
        <v>2203.671269</v>
      </c>
      <c r="F435" s="1">
        <f t="shared" si="4"/>
        <v>4162.490174</v>
      </c>
      <c r="G435" s="1">
        <f t="shared" si="5"/>
        <v>7345.570896</v>
      </c>
      <c r="H435" s="1">
        <f t="shared" si="6"/>
        <v>13466.87998</v>
      </c>
      <c r="I435" s="1">
        <f t="shared" si="7"/>
        <v>22036.71269</v>
      </c>
    </row>
    <row r="436" hidden="1">
      <c r="A436" s="266">
        <f>IFERROR(__xludf.DUMMYFUNCTION("""COMPUTED_VALUE"""),43071.99861111111)</f>
        <v>43071.99861</v>
      </c>
      <c r="B436" s="1">
        <f>IFERROR(__xludf.DUMMYFUNCTION("""COMPUTED_VALUE"""),10919.04)</f>
        <v>10919.04</v>
      </c>
      <c r="C436" s="58">
        <f t="shared" si="1"/>
        <v>3255.998611</v>
      </c>
      <c r="D436" s="1">
        <f t="shared" si="2"/>
        <v>1226.444906</v>
      </c>
      <c r="E436" s="1">
        <f t="shared" si="3"/>
        <v>2207.600831</v>
      </c>
      <c r="F436" s="1">
        <f t="shared" si="4"/>
        <v>4169.912681</v>
      </c>
      <c r="G436" s="1">
        <f t="shared" si="5"/>
        <v>7358.669438</v>
      </c>
      <c r="H436" s="1">
        <f t="shared" si="6"/>
        <v>13490.89397</v>
      </c>
      <c r="I436" s="1">
        <f t="shared" si="7"/>
        <v>22076.00831</v>
      </c>
    </row>
    <row r="437" hidden="1">
      <c r="A437" s="266">
        <f>IFERROR(__xludf.DUMMYFUNCTION("""COMPUTED_VALUE"""),43072.99861111111)</f>
        <v>43072.99861</v>
      </c>
      <c r="B437" s="1">
        <f>IFERROR(__xludf.DUMMYFUNCTION("""COMPUTED_VALUE"""),11250.03)</f>
        <v>11250.03</v>
      </c>
      <c r="C437" s="58">
        <f t="shared" si="1"/>
        <v>3256.998611</v>
      </c>
      <c r="D437" s="1">
        <f t="shared" si="2"/>
        <v>1228.631217</v>
      </c>
      <c r="E437" s="1">
        <f t="shared" si="3"/>
        <v>2211.536191</v>
      </c>
      <c r="F437" s="1">
        <f t="shared" si="4"/>
        <v>4177.346139</v>
      </c>
      <c r="G437" s="1">
        <f t="shared" si="5"/>
        <v>7371.787304</v>
      </c>
      <c r="H437" s="1">
        <f t="shared" si="6"/>
        <v>13514.94339</v>
      </c>
      <c r="I437" s="1">
        <f t="shared" si="7"/>
        <v>22115.36191</v>
      </c>
    </row>
    <row r="438" hidden="1">
      <c r="A438" s="266">
        <f>IFERROR(__xludf.DUMMYFUNCTION("""COMPUTED_VALUE"""),43073.99861111111)</f>
        <v>43073.99861</v>
      </c>
      <c r="B438" s="1">
        <f>IFERROR(__xludf.DUMMYFUNCTION("""COMPUTED_VALUE"""),11469.23)</f>
        <v>11469.23</v>
      </c>
      <c r="C438" s="58">
        <f t="shared" si="1"/>
        <v>3257.998611</v>
      </c>
      <c r="D438" s="1">
        <f t="shared" si="2"/>
        <v>1230.820753</v>
      </c>
      <c r="E438" s="1">
        <f t="shared" si="3"/>
        <v>2215.477355</v>
      </c>
      <c r="F438" s="1">
        <f t="shared" si="4"/>
        <v>4184.79056</v>
      </c>
      <c r="G438" s="1">
        <f t="shared" si="5"/>
        <v>7384.924517</v>
      </c>
      <c r="H438" s="1">
        <f t="shared" si="6"/>
        <v>13539.02828</v>
      </c>
      <c r="I438" s="1">
        <f t="shared" si="7"/>
        <v>22154.77355</v>
      </c>
    </row>
    <row r="439" hidden="1">
      <c r="A439" s="266">
        <f>IFERROR(__xludf.DUMMYFUNCTION("""COMPUTED_VALUE"""),43074.99861111111)</f>
        <v>43074.99861</v>
      </c>
      <c r="B439" s="1">
        <f>IFERROR(__xludf.DUMMYFUNCTION("""COMPUTED_VALUE"""),11755.85)</f>
        <v>11755.85</v>
      </c>
      <c r="C439" s="58">
        <f t="shared" si="1"/>
        <v>3258.998611</v>
      </c>
      <c r="D439" s="1">
        <f t="shared" si="2"/>
        <v>1233.013517</v>
      </c>
      <c r="E439" s="1">
        <f t="shared" si="3"/>
        <v>2219.42433</v>
      </c>
      <c r="F439" s="1">
        <f t="shared" si="4"/>
        <v>4192.245956</v>
      </c>
      <c r="G439" s="1">
        <f t="shared" si="5"/>
        <v>7398.0811</v>
      </c>
      <c r="H439" s="1">
        <f t="shared" si="6"/>
        <v>13563.14868</v>
      </c>
      <c r="I439" s="1">
        <f t="shared" si="7"/>
        <v>22194.2433</v>
      </c>
    </row>
    <row r="440" hidden="1">
      <c r="A440" s="266">
        <f>IFERROR(__xludf.DUMMYFUNCTION("""COMPUTED_VALUE"""),43075.99861111111)</f>
        <v>43075.99861</v>
      </c>
      <c r="B440" s="1">
        <f>IFERROR(__xludf.DUMMYFUNCTION("""COMPUTED_VALUE"""),13227.41)</f>
        <v>13227.41</v>
      </c>
      <c r="C440" s="58">
        <f t="shared" si="1"/>
        <v>3259.998611</v>
      </c>
      <c r="D440" s="1">
        <f t="shared" si="2"/>
        <v>1235.209512</v>
      </c>
      <c r="E440" s="1">
        <f t="shared" si="3"/>
        <v>2223.377122</v>
      </c>
      <c r="F440" s="1">
        <f t="shared" si="4"/>
        <v>4199.712342</v>
      </c>
      <c r="G440" s="1">
        <f t="shared" si="5"/>
        <v>7411.257074</v>
      </c>
      <c r="H440" s="1">
        <f t="shared" si="6"/>
        <v>13587.30464</v>
      </c>
      <c r="I440" s="1">
        <f t="shared" si="7"/>
        <v>22233.77122</v>
      </c>
    </row>
    <row r="441" hidden="1">
      <c r="A441" s="266">
        <f>IFERROR(__xludf.DUMMYFUNCTION("""COMPUTED_VALUE"""),43076.99861111111)</f>
        <v>43076.99861</v>
      </c>
      <c r="B441" s="1">
        <f>IFERROR(__xludf.DUMMYFUNCTION("""COMPUTED_VALUE"""),16165.85)</f>
        <v>16165.85</v>
      </c>
      <c r="C441" s="58">
        <f t="shared" si="1"/>
        <v>3260.998611</v>
      </c>
      <c r="D441" s="1">
        <f t="shared" si="2"/>
        <v>1237.408744</v>
      </c>
      <c r="E441" s="1">
        <f t="shared" si="3"/>
        <v>2227.335739</v>
      </c>
      <c r="F441" s="1">
        <f t="shared" si="4"/>
        <v>4207.189729</v>
      </c>
      <c r="G441" s="1">
        <f t="shared" si="5"/>
        <v>7424.452463</v>
      </c>
      <c r="H441" s="1">
        <f t="shared" si="6"/>
        <v>13611.49618</v>
      </c>
      <c r="I441" s="1">
        <f t="shared" si="7"/>
        <v>22273.35739</v>
      </c>
    </row>
    <row r="442" hidden="1">
      <c r="A442" s="266">
        <f>IFERROR(__xludf.DUMMYFUNCTION("""COMPUTED_VALUE"""),43077.99861111111)</f>
        <v>43077.99861</v>
      </c>
      <c r="B442" s="1">
        <f>IFERROR(__xludf.DUMMYFUNCTION("""COMPUTED_VALUE"""),15926.65)</f>
        <v>15926.65</v>
      </c>
      <c r="C442" s="58">
        <f t="shared" si="1"/>
        <v>3261.998611</v>
      </c>
      <c r="D442" s="1">
        <f t="shared" si="2"/>
        <v>1239.611215</v>
      </c>
      <c r="E442" s="1">
        <f t="shared" si="3"/>
        <v>2231.300187</v>
      </c>
      <c r="F442" s="1">
        <f t="shared" si="4"/>
        <v>4214.67813</v>
      </c>
      <c r="G442" s="1">
        <f t="shared" si="5"/>
        <v>7437.667288</v>
      </c>
      <c r="H442" s="1">
        <f t="shared" si="6"/>
        <v>13635.72336</v>
      </c>
      <c r="I442" s="1">
        <f t="shared" si="7"/>
        <v>22313.00187</v>
      </c>
    </row>
    <row r="443" hidden="1">
      <c r="A443" s="266">
        <f>IFERROR(__xludf.DUMMYFUNCTION("""COMPUTED_VALUE"""),43078.99861111111)</f>
        <v>43078.99861</v>
      </c>
      <c r="B443" s="1">
        <f>IFERROR(__xludf.DUMMYFUNCTION("""COMPUTED_VALUE"""),15764.98)</f>
        <v>15764.98</v>
      </c>
      <c r="C443" s="58">
        <f t="shared" si="1"/>
        <v>3262.998611</v>
      </c>
      <c r="D443" s="1">
        <f t="shared" si="2"/>
        <v>1241.816929</v>
      </c>
      <c r="E443" s="1">
        <f t="shared" si="3"/>
        <v>2235.270472</v>
      </c>
      <c r="F443" s="1">
        <f t="shared" si="4"/>
        <v>4222.177559</v>
      </c>
      <c r="G443" s="1">
        <f t="shared" si="5"/>
        <v>7450.901574</v>
      </c>
      <c r="H443" s="1">
        <f t="shared" si="6"/>
        <v>13659.98622</v>
      </c>
      <c r="I443" s="1">
        <f t="shared" si="7"/>
        <v>22352.70472</v>
      </c>
    </row>
    <row r="444" hidden="1">
      <c r="A444" s="266">
        <f>IFERROR(__xludf.DUMMYFUNCTION("""COMPUTED_VALUE"""),43079.99861111111)</f>
        <v>43079.99861</v>
      </c>
      <c r="B444" s="1">
        <f>IFERROR(__xludf.DUMMYFUNCTION("""COMPUTED_VALUE"""),15378.63)</f>
        <v>15378.63</v>
      </c>
      <c r="C444" s="58">
        <f t="shared" si="1"/>
        <v>3263.998611</v>
      </c>
      <c r="D444" s="1">
        <f t="shared" si="2"/>
        <v>1244.02589</v>
      </c>
      <c r="E444" s="1">
        <f t="shared" si="3"/>
        <v>2239.246603</v>
      </c>
      <c r="F444" s="1">
        <f t="shared" si="4"/>
        <v>4229.688027</v>
      </c>
      <c r="G444" s="1">
        <f t="shared" si="5"/>
        <v>7464.155342</v>
      </c>
      <c r="H444" s="1">
        <f t="shared" si="6"/>
        <v>13684.28479</v>
      </c>
      <c r="I444" s="1">
        <f t="shared" si="7"/>
        <v>22392.46603</v>
      </c>
    </row>
    <row r="445" hidden="1">
      <c r="A445" s="266">
        <f>IFERROR(__xludf.DUMMYFUNCTION("""COMPUTED_VALUE"""),43080.99861111111)</f>
        <v>43080.99861</v>
      </c>
      <c r="B445" s="1">
        <f>IFERROR(__xludf.DUMMYFUNCTION("""COMPUTED_VALUE"""),17192.2)</f>
        <v>17192.2</v>
      </c>
      <c r="C445" s="58">
        <f t="shared" si="1"/>
        <v>3264.998611</v>
      </c>
      <c r="D445" s="1">
        <f t="shared" si="2"/>
        <v>1246.238103</v>
      </c>
      <c r="E445" s="1">
        <f t="shared" si="3"/>
        <v>2243.228585</v>
      </c>
      <c r="F445" s="1">
        <f t="shared" si="4"/>
        <v>4237.209549</v>
      </c>
      <c r="G445" s="1">
        <f t="shared" si="5"/>
        <v>7477.428616</v>
      </c>
      <c r="H445" s="1">
        <f t="shared" si="6"/>
        <v>13708.61913</v>
      </c>
      <c r="I445" s="1">
        <f t="shared" si="7"/>
        <v>22432.28585</v>
      </c>
    </row>
    <row r="446" hidden="1">
      <c r="A446" s="266">
        <f>IFERROR(__xludf.DUMMYFUNCTION("""COMPUTED_VALUE"""),43081.99861111111)</f>
        <v>43081.99861</v>
      </c>
      <c r="B446" s="1">
        <f>IFERROR(__xludf.DUMMYFUNCTION("""COMPUTED_VALUE"""),17242.16)</f>
        <v>17242.16</v>
      </c>
      <c r="C446" s="58">
        <f t="shared" si="1"/>
        <v>3265.998611</v>
      </c>
      <c r="D446" s="1">
        <f t="shared" si="2"/>
        <v>1248.453569</v>
      </c>
      <c r="E446" s="1">
        <f t="shared" si="3"/>
        <v>2247.216425</v>
      </c>
      <c r="F446" s="1">
        <f t="shared" si="4"/>
        <v>4244.742136</v>
      </c>
      <c r="G446" s="1">
        <f t="shared" si="5"/>
        <v>7490.721417</v>
      </c>
      <c r="H446" s="1">
        <f t="shared" si="6"/>
        <v>13732.98926</v>
      </c>
      <c r="I446" s="1">
        <f t="shared" si="7"/>
        <v>22472.16425</v>
      </c>
    </row>
    <row r="447" hidden="1">
      <c r="A447" s="266">
        <f>IFERROR(__xludf.DUMMYFUNCTION("""COMPUTED_VALUE"""),43082.99861111111)</f>
        <v>43082.99861</v>
      </c>
      <c r="B447" s="1">
        <f>IFERROR(__xludf.DUMMYFUNCTION("""COMPUTED_VALUE"""),16695.39)</f>
        <v>16695.39</v>
      </c>
      <c r="C447" s="58">
        <f t="shared" si="1"/>
        <v>3266.998611</v>
      </c>
      <c r="D447" s="1">
        <f t="shared" si="2"/>
        <v>1250.672295</v>
      </c>
      <c r="E447" s="1">
        <f t="shared" si="3"/>
        <v>2251.210131</v>
      </c>
      <c r="F447" s="1">
        <f t="shared" si="4"/>
        <v>4252.285802</v>
      </c>
      <c r="G447" s="1">
        <f t="shared" si="5"/>
        <v>7504.033769</v>
      </c>
      <c r="H447" s="1">
        <f t="shared" si="6"/>
        <v>13757.39524</v>
      </c>
      <c r="I447" s="1">
        <f t="shared" si="7"/>
        <v>22512.10131</v>
      </c>
    </row>
    <row r="448" hidden="1">
      <c r="A448" s="266">
        <f>IFERROR(__xludf.DUMMYFUNCTION("""COMPUTED_VALUE"""),43083.99861111111)</f>
        <v>43083.99861</v>
      </c>
      <c r="B448" s="1">
        <f>IFERROR(__xludf.DUMMYFUNCTION("""COMPUTED_VALUE"""),16446.68)</f>
        <v>16446.68</v>
      </c>
      <c r="C448" s="58">
        <f t="shared" si="1"/>
        <v>3267.998611</v>
      </c>
      <c r="D448" s="1">
        <f t="shared" si="2"/>
        <v>1252.894282</v>
      </c>
      <c r="E448" s="1">
        <f t="shared" si="3"/>
        <v>2255.209708</v>
      </c>
      <c r="F448" s="1">
        <f t="shared" si="4"/>
        <v>4259.84056</v>
      </c>
      <c r="G448" s="1">
        <f t="shared" si="5"/>
        <v>7517.365694</v>
      </c>
      <c r="H448" s="1">
        <f t="shared" si="6"/>
        <v>13781.83711</v>
      </c>
      <c r="I448" s="1">
        <f t="shared" si="7"/>
        <v>22552.09708</v>
      </c>
    </row>
    <row r="449" hidden="1">
      <c r="A449" s="266">
        <f>IFERROR(__xludf.DUMMYFUNCTION("""COMPUTED_VALUE"""),43084.99861111111)</f>
        <v>43084.99861</v>
      </c>
      <c r="B449" s="1">
        <f>IFERROR(__xludf.DUMMYFUNCTION("""COMPUTED_VALUE"""),17584.91)</f>
        <v>17584.91</v>
      </c>
      <c r="C449" s="58">
        <f t="shared" si="1"/>
        <v>3268.998611</v>
      </c>
      <c r="D449" s="1">
        <f t="shared" si="2"/>
        <v>1255.119536</v>
      </c>
      <c r="E449" s="1">
        <f t="shared" si="3"/>
        <v>2259.215165</v>
      </c>
      <c r="F449" s="1">
        <f t="shared" si="4"/>
        <v>4267.406422</v>
      </c>
      <c r="G449" s="1">
        <f t="shared" si="5"/>
        <v>7530.717216</v>
      </c>
      <c r="H449" s="1">
        <f t="shared" si="6"/>
        <v>13806.3149</v>
      </c>
      <c r="I449" s="1">
        <f t="shared" si="7"/>
        <v>22592.15165</v>
      </c>
    </row>
    <row r="450" hidden="1">
      <c r="A450" s="266">
        <f>IFERROR(__xludf.DUMMYFUNCTION("""COMPUTED_VALUE"""),43085.99861111111)</f>
        <v>43085.99861</v>
      </c>
      <c r="B450" s="1">
        <f>IFERROR(__xludf.DUMMYFUNCTION("""COMPUTED_VALUE"""),19217.13)</f>
        <v>19217.13</v>
      </c>
      <c r="C450" s="58">
        <f t="shared" si="1"/>
        <v>3269.998611</v>
      </c>
      <c r="D450" s="1">
        <f t="shared" si="2"/>
        <v>1257.348059</v>
      </c>
      <c r="E450" s="1">
        <f t="shared" si="3"/>
        <v>2263.226507</v>
      </c>
      <c r="F450" s="1">
        <f t="shared" si="4"/>
        <v>4274.983402</v>
      </c>
      <c r="G450" s="1">
        <f t="shared" si="5"/>
        <v>7544.088356</v>
      </c>
      <c r="H450" s="1">
        <f t="shared" si="6"/>
        <v>13830.82865</v>
      </c>
      <c r="I450" s="1">
        <f t="shared" si="7"/>
        <v>22632.26507</v>
      </c>
    </row>
    <row r="451" hidden="1">
      <c r="A451" s="266">
        <f>IFERROR(__xludf.DUMMYFUNCTION("""COMPUTED_VALUE"""),43086.99861111111)</f>
        <v>43086.99861</v>
      </c>
      <c r="B451" s="1">
        <f>IFERROR(__xludf.DUMMYFUNCTION("""COMPUTED_VALUE"""),18288.9)</f>
        <v>18288.9</v>
      </c>
      <c r="C451" s="58">
        <f t="shared" si="1"/>
        <v>3270.998611</v>
      </c>
      <c r="D451" s="1">
        <f t="shared" si="2"/>
        <v>1259.579856</v>
      </c>
      <c r="E451" s="1">
        <f t="shared" si="3"/>
        <v>2267.243741</v>
      </c>
      <c r="F451" s="1">
        <f t="shared" si="4"/>
        <v>4282.571512</v>
      </c>
      <c r="G451" s="1">
        <f t="shared" si="5"/>
        <v>7557.479138</v>
      </c>
      <c r="H451" s="1">
        <f t="shared" si="6"/>
        <v>13855.37842</v>
      </c>
      <c r="I451" s="1">
        <f t="shared" si="7"/>
        <v>22672.43741</v>
      </c>
    </row>
    <row r="452" hidden="1">
      <c r="A452" s="266">
        <f>IFERROR(__xludf.DUMMYFUNCTION("""COMPUTED_VALUE"""),43087.99861111111)</f>
        <v>43087.99861</v>
      </c>
      <c r="B452" s="1">
        <f>IFERROR(__xludf.DUMMYFUNCTION("""COMPUTED_VALUE"""),18699.82)</f>
        <v>18699.82</v>
      </c>
      <c r="C452" s="58">
        <f t="shared" si="1"/>
        <v>3271.998611</v>
      </c>
      <c r="D452" s="1">
        <f t="shared" si="2"/>
        <v>1261.814931</v>
      </c>
      <c r="E452" s="1">
        <f t="shared" si="3"/>
        <v>2271.266875</v>
      </c>
      <c r="F452" s="1">
        <f t="shared" si="4"/>
        <v>4290.170765</v>
      </c>
      <c r="G452" s="1">
        <f t="shared" si="5"/>
        <v>7570.889585</v>
      </c>
      <c r="H452" s="1">
        <f t="shared" si="6"/>
        <v>13879.96424</v>
      </c>
      <c r="I452" s="1">
        <f t="shared" si="7"/>
        <v>22712.66875</v>
      </c>
    </row>
    <row r="453" hidden="1">
      <c r="A453" s="266">
        <f>IFERROR(__xludf.DUMMYFUNCTION("""COMPUTED_VALUE"""),43088.99861111111)</f>
        <v>43088.99861</v>
      </c>
      <c r="B453" s="1">
        <f>IFERROR(__xludf.DUMMYFUNCTION("""COMPUTED_VALUE"""),16977.0)</f>
        <v>16977</v>
      </c>
      <c r="C453" s="58">
        <f t="shared" si="1"/>
        <v>3272.998611</v>
      </c>
      <c r="D453" s="1">
        <f t="shared" si="2"/>
        <v>1264.053287</v>
      </c>
      <c r="E453" s="1">
        <f t="shared" si="3"/>
        <v>2275.295916</v>
      </c>
      <c r="F453" s="1">
        <f t="shared" si="4"/>
        <v>4297.781174</v>
      </c>
      <c r="G453" s="1">
        <f t="shared" si="5"/>
        <v>7584.319719</v>
      </c>
      <c r="H453" s="1">
        <f t="shared" si="6"/>
        <v>13904.58615</v>
      </c>
      <c r="I453" s="1">
        <f t="shared" si="7"/>
        <v>22752.95916</v>
      </c>
    </row>
    <row r="454" hidden="1">
      <c r="A454" s="266">
        <f>IFERROR(__xludf.DUMMYFUNCTION("""COMPUTED_VALUE"""),43089.99861111111)</f>
        <v>43089.99861</v>
      </c>
      <c r="B454" s="1">
        <f>IFERROR(__xludf.DUMMYFUNCTION("""COMPUTED_VALUE"""),16235.66)</f>
        <v>16235.66</v>
      </c>
      <c r="C454" s="58">
        <f t="shared" si="1"/>
        <v>3273.998611</v>
      </c>
      <c r="D454" s="1">
        <f t="shared" si="2"/>
        <v>1266.294927</v>
      </c>
      <c r="E454" s="1">
        <f t="shared" si="3"/>
        <v>2279.330869</v>
      </c>
      <c r="F454" s="1">
        <f t="shared" si="4"/>
        <v>4305.402753</v>
      </c>
      <c r="G454" s="1">
        <f t="shared" si="5"/>
        <v>7597.769564</v>
      </c>
      <c r="H454" s="1">
        <f t="shared" si="6"/>
        <v>13929.2442</v>
      </c>
      <c r="I454" s="1">
        <f t="shared" si="7"/>
        <v>22793.30869</v>
      </c>
    </row>
    <row r="455" hidden="1">
      <c r="A455" s="266">
        <f>IFERROR(__xludf.DUMMYFUNCTION("""COMPUTED_VALUE"""),43090.99861111111)</f>
        <v>43090.99861</v>
      </c>
      <c r="B455" s="1">
        <f>IFERROR(__xludf.DUMMYFUNCTION("""COMPUTED_VALUE"""),15603.51)</f>
        <v>15603.51</v>
      </c>
      <c r="C455" s="58">
        <f t="shared" si="1"/>
        <v>3274.998611</v>
      </c>
      <c r="D455" s="1">
        <f t="shared" si="2"/>
        <v>1268.539857</v>
      </c>
      <c r="E455" s="1">
        <f t="shared" si="3"/>
        <v>2283.371743</v>
      </c>
      <c r="F455" s="1">
        <f t="shared" si="4"/>
        <v>4313.035514</v>
      </c>
      <c r="G455" s="1">
        <f t="shared" si="5"/>
        <v>7611.239142</v>
      </c>
      <c r="H455" s="1">
        <f t="shared" si="6"/>
        <v>13953.93843</v>
      </c>
      <c r="I455" s="1">
        <f t="shared" si="7"/>
        <v>22833.71743</v>
      </c>
    </row>
    <row r="456" hidden="1">
      <c r="A456" s="266">
        <f>IFERROR(__xludf.DUMMYFUNCTION("""COMPUTED_VALUE"""),43091.99861111111)</f>
        <v>43091.99861</v>
      </c>
      <c r="B456" s="1">
        <f>IFERROR(__xludf.DUMMYFUNCTION("""COMPUTED_VALUE"""),14985.87)</f>
        <v>14985.87</v>
      </c>
      <c r="C456" s="58">
        <f t="shared" si="1"/>
        <v>3275.998611</v>
      </c>
      <c r="D456" s="1">
        <f t="shared" si="2"/>
        <v>1270.788079</v>
      </c>
      <c r="E456" s="1">
        <f t="shared" si="3"/>
        <v>2287.418543</v>
      </c>
      <c r="F456" s="1">
        <f t="shared" si="4"/>
        <v>4320.67947</v>
      </c>
      <c r="G456" s="1">
        <f t="shared" si="5"/>
        <v>7624.728476</v>
      </c>
      <c r="H456" s="1">
        <f t="shared" si="6"/>
        <v>13978.66887</v>
      </c>
      <c r="I456" s="1">
        <f t="shared" si="7"/>
        <v>22874.18543</v>
      </c>
    </row>
    <row r="457" hidden="1">
      <c r="A457" s="266">
        <f>IFERROR(__xludf.DUMMYFUNCTION("""COMPUTED_VALUE"""),43092.99861111111)</f>
        <v>43092.99861</v>
      </c>
      <c r="B457" s="1">
        <f>IFERROR(__xludf.DUMMYFUNCTION("""COMPUTED_VALUE"""),14549.56)</f>
        <v>14549.56</v>
      </c>
      <c r="C457" s="58">
        <f t="shared" si="1"/>
        <v>3276.998611</v>
      </c>
      <c r="D457" s="1">
        <f t="shared" si="2"/>
        <v>1273.039598</v>
      </c>
      <c r="E457" s="1">
        <f t="shared" si="3"/>
        <v>2291.471277</v>
      </c>
      <c r="F457" s="1">
        <f t="shared" si="4"/>
        <v>4328.334634</v>
      </c>
      <c r="G457" s="1">
        <f t="shared" si="5"/>
        <v>7638.237589</v>
      </c>
      <c r="H457" s="1">
        <f t="shared" si="6"/>
        <v>14003.43558</v>
      </c>
      <c r="I457" s="1">
        <f t="shared" si="7"/>
        <v>22914.71277</v>
      </c>
    </row>
    <row r="458" hidden="1">
      <c r="A458" s="266">
        <f>IFERROR(__xludf.DUMMYFUNCTION("""COMPUTED_VALUE"""),43093.99861111111)</f>
        <v>43093.99861</v>
      </c>
      <c r="B458" s="1">
        <f>IFERROR(__xludf.DUMMYFUNCTION("""COMPUTED_VALUE"""),14084.03)</f>
        <v>14084.03</v>
      </c>
      <c r="C458" s="58">
        <f t="shared" si="1"/>
        <v>3277.998611</v>
      </c>
      <c r="D458" s="1">
        <f t="shared" si="2"/>
        <v>1275.294417</v>
      </c>
      <c r="E458" s="1">
        <f t="shared" si="3"/>
        <v>2295.529951</v>
      </c>
      <c r="F458" s="1">
        <f t="shared" si="4"/>
        <v>4336.001019</v>
      </c>
      <c r="G458" s="1">
        <f t="shared" si="5"/>
        <v>7651.766504</v>
      </c>
      <c r="H458" s="1">
        <f t="shared" si="6"/>
        <v>14028.23859</v>
      </c>
      <c r="I458" s="1">
        <f t="shared" si="7"/>
        <v>22955.29951</v>
      </c>
    </row>
    <row r="459" hidden="1">
      <c r="A459" s="266">
        <f>IFERROR(__xludf.DUMMYFUNCTION("""COMPUTED_VALUE"""),43094.99861111111)</f>
        <v>43094.99861</v>
      </c>
      <c r="B459" s="1">
        <f>IFERROR(__xludf.DUMMYFUNCTION("""COMPUTED_VALUE"""),13970.37)</f>
        <v>13970.37</v>
      </c>
      <c r="C459" s="58">
        <f t="shared" si="1"/>
        <v>3278.998611</v>
      </c>
      <c r="D459" s="1">
        <f t="shared" si="2"/>
        <v>1277.552541</v>
      </c>
      <c r="E459" s="1">
        <f t="shared" si="3"/>
        <v>2299.594573</v>
      </c>
      <c r="F459" s="1">
        <f t="shared" si="4"/>
        <v>4343.678638</v>
      </c>
      <c r="G459" s="1">
        <f t="shared" si="5"/>
        <v>7665.315244</v>
      </c>
      <c r="H459" s="1">
        <f t="shared" si="6"/>
        <v>14053.07795</v>
      </c>
      <c r="I459" s="1">
        <f t="shared" si="7"/>
        <v>22995.94573</v>
      </c>
    </row>
    <row r="460" hidden="1">
      <c r="A460" s="266">
        <f>IFERROR(__xludf.DUMMYFUNCTION("""COMPUTED_VALUE"""),43095.99861111111)</f>
        <v>43095.99861</v>
      </c>
      <c r="B460" s="1">
        <f>IFERROR(__xludf.DUMMYFUNCTION("""COMPUTED_VALUE"""),15915.92)</f>
        <v>15915.92</v>
      </c>
      <c r="C460" s="58">
        <f t="shared" si="1"/>
        <v>3279.998611</v>
      </c>
      <c r="D460" s="1">
        <f t="shared" si="2"/>
        <v>1279.813972</v>
      </c>
      <c r="E460" s="1">
        <f t="shared" si="3"/>
        <v>2303.66515</v>
      </c>
      <c r="F460" s="1">
        <f t="shared" si="4"/>
        <v>4351.367505</v>
      </c>
      <c r="G460" s="1">
        <f t="shared" si="5"/>
        <v>7678.883832</v>
      </c>
      <c r="H460" s="1">
        <f t="shared" si="6"/>
        <v>14077.95369</v>
      </c>
      <c r="I460" s="1">
        <f t="shared" si="7"/>
        <v>23036.6515</v>
      </c>
    </row>
    <row r="461" hidden="1">
      <c r="A461" s="266">
        <f>IFERROR(__xludf.DUMMYFUNCTION("""COMPUTED_VALUE"""),43096.99861111111)</f>
        <v>43096.99861</v>
      </c>
      <c r="B461" s="1">
        <f>IFERROR(__xludf.DUMMYFUNCTION("""COMPUTED_VALUE"""),15188.78)</f>
        <v>15188.78</v>
      </c>
      <c r="C461" s="58">
        <f t="shared" si="1"/>
        <v>3280.998611</v>
      </c>
      <c r="D461" s="1">
        <f t="shared" si="2"/>
        <v>1282.078715</v>
      </c>
      <c r="E461" s="1">
        <f t="shared" si="3"/>
        <v>2307.741687</v>
      </c>
      <c r="F461" s="1">
        <f t="shared" si="4"/>
        <v>4359.067632</v>
      </c>
      <c r="G461" s="1">
        <f t="shared" si="5"/>
        <v>7692.472292</v>
      </c>
      <c r="H461" s="1">
        <f t="shared" si="6"/>
        <v>14102.86587</v>
      </c>
      <c r="I461" s="1">
        <f t="shared" si="7"/>
        <v>23077.41687</v>
      </c>
    </row>
    <row r="462" hidden="1">
      <c r="A462" s="266">
        <f>IFERROR(__xludf.DUMMYFUNCTION("""COMPUTED_VALUE"""),43097.99861111111)</f>
        <v>43097.99861</v>
      </c>
      <c r="B462" s="1">
        <f>IFERROR(__xludf.DUMMYFUNCTION("""COMPUTED_VALUE"""),13906.25)</f>
        <v>13906.25</v>
      </c>
      <c r="C462" s="58">
        <f t="shared" si="1"/>
        <v>3281.998611</v>
      </c>
      <c r="D462" s="1">
        <f t="shared" si="2"/>
        <v>1284.346774</v>
      </c>
      <c r="E462" s="1">
        <f t="shared" si="3"/>
        <v>2311.824193</v>
      </c>
      <c r="F462" s="1">
        <f t="shared" si="4"/>
        <v>4366.779032</v>
      </c>
      <c r="G462" s="1">
        <f t="shared" si="5"/>
        <v>7706.080645</v>
      </c>
      <c r="H462" s="1">
        <f t="shared" si="6"/>
        <v>14127.81452</v>
      </c>
      <c r="I462" s="1">
        <f t="shared" si="7"/>
        <v>23118.24193</v>
      </c>
    </row>
    <row r="463" hidden="1">
      <c r="A463" s="266">
        <f>IFERROR(__xludf.DUMMYFUNCTION("""COMPUTED_VALUE"""),43098.99861111111)</f>
        <v>43098.99861</v>
      </c>
      <c r="B463" s="1">
        <f>IFERROR(__xludf.DUMMYFUNCTION("""COMPUTED_VALUE"""),14492.85)</f>
        <v>14492.85</v>
      </c>
      <c r="C463" s="58">
        <f t="shared" si="1"/>
        <v>3282.998611</v>
      </c>
      <c r="D463" s="1">
        <f t="shared" si="2"/>
        <v>1286.618153</v>
      </c>
      <c r="E463" s="1">
        <f t="shared" si="3"/>
        <v>2315.912675</v>
      </c>
      <c r="F463" s="1">
        <f t="shared" si="4"/>
        <v>4374.501719</v>
      </c>
      <c r="G463" s="1">
        <f t="shared" si="5"/>
        <v>7719.708915</v>
      </c>
      <c r="H463" s="1">
        <f t="shared" si="6"/>
        <v>14152.79968</v>
      </c>
      <c r="I463" s="1">
        <f t="shared" si="7"/>
        <v>23159.12675</v>
      </c>
    </row>
    <row r="464" hidden="1">
      <c r="A464" s="266">
        <f>IFERROR(__xludf.DUMMYFUNCTION("""COMPUTED_VALUE"""),43099.99861111111)</f>
        <v>43099.99861</v>
      </c>
      <c r="B464" s="1">
        <f>IFERROR(__xludf.DUMMYFUNCTION("""COMPUTED_VALUE"""),13012.22)</f>
        <v>13012.22</v>
      </c>
      <c r="C464" s="58">
        <f t="shared" si="1"/>
        <v>3283.998611</v>
      </c>
      <c r="D464" s="1">
        <f t="shared" si="2"/>
        <v>1288.892854</v>
      </c>
      <c r="E464" s="1">
        <f t="shared" si="3"/>
        <v>2320.007138</v>
      </c>
      <c r="F464" s="1">
        <f t="shared" si="4"/>
        <v>4382.235705</v>
      </c>
      <c r="G464" s="1">
        <f t="shared" si="5"/>
        <v>7733.357126</v>
      </c>
      <c r="H464" s="1">
        <f t="shared" si="6"/>
        <v>14177.8214</v>
      </c>
      <c r="I464" s="1">
        <f t="shared" si="7"/>
        <v>23200.07138</v>
      </c>
    </row>
    <row r="465" hidden="1">
      <c r="A465" s="266">
        <f>IFERROR(__xludf.DUMMYFUNCTION("""COMPUTED_VALUE"""),43100.99861111111)</f>
        <v>43100.99861</v>
      </c>
      <c r="B465" s="1">
        <f>IFERROR(__xludf.DUMMYFUNCTION("""COMPUTED_VALUE"""),13880.99)</f>
        <v>13880.99</v>
      </c>
      <c r="C465" s="58">
        <f t="shared" si="1"/>
        <v>3284.998611</v>
      </c>
      <c r="D465" s="1">
        <f t="shared" si="2"/>
        <v>1291.170883</v>
      </c>
      <c r="E465" s="1">
        <f t="shared" si="3"/>
        <v>2324.10759</v>
      </c>
      <c r="F465" s="1">
        <f t="shared" si="4"/>
        <v>4389.981003</v>
      </c>
      <c r="G465" s="1">
        <f t="shared" si="5"/>
        <v>7747.025299</v>
      </c>
      <c r="H465" s="1">
        <f t="shared" si="6"/>
        <v>14202.87972</v>
      </c>
      <c r="I465" s="1">
        <f t="shared" si="7"/>
        <v>23241.0759</v>
      </c>
    </row>
    <row r="466" hidden="1">
      <c r="A466" s="266">
        <f>IFERROR(__xludf.DUMMYFUNCTION("""COMPUTED_VALUE"""),43101.99861111111)</f>
        <v>43101.99861</v>
      </c>
      <c r="B466" s="1">
        <f>IFERROR(__xludf.DUMMYFUNCTION("""COMPUTED_VALUE"""),13584.14)</f>
        <v>13584.14</v>
      </c>
      <c r="C466" s="58">
        <f t="shared" si="1"/>
        <v>3285.998611</v>
      </c>
      <c r="D466" s="1">
        <f t="shared" si="2"/>
        <v>1293.452243</v>
      </c>
      <c r="E466" s="1">
        <f t="shared" si="3"/>
        <v>2328.214038</v>
      </c>
      <c r="F466" s="1">
        <f t="shared" si="4"/>
        <v>4397.737627</v>
      </c>
      <c r="G466" s="1">
        <f t="shared" si="5"/>
        <v>7760.71346</v>
      </c>
      <c r="H466" s="1">
        <f t="shared" si="6"/>
        <v>14227.97468</v>
      </c>
      <c r="I466" s="1">
        <f t="shared" si="7"/>
        <v>23282.14038</v>
      </c>
    </row>
    <row r="467" hidden="1">
      <c r="A467" s="266">
        <f>IFERROR(__xludf.DUMMYFUNCTION("""COMPUTED_VALUE"""),43102.99861111111)</f>
        <v>43102.99861</v>
      </c>
      <c r="B467" s="1">
        <f>IFERROR(__xludf.DUMMYFUNCTION("""COMPUTED_VALUE"""),14756.63)</f>
        <v>14756.63</v>
      </c>
      <c r="C467" s="58">
        <f t="shared" si="1"/>
        <v>3286.998611</v>
      </c>
      <c r="D467" s="1">
        <f t="shared" si="2"/>
        <v>1295.736938</v>
      </c>
      <c r="E467" s="1">
        <f t="shared" si="3"/>
        <v>2332.326489</v>
      </c>
      <c r="F467" s="1">
        <f t="shared" si="4"/>
        <v>4405.50559</v>
      </c>
      <c r="G467" s="1">
        <f t="shared" si="5"/>
        <v>7774.421629</v>
      </c>
      <c r="H467" s="1">
        <f t="shared" si="6"/>
        <v>14253.10632</v>
      </c>
      <c r="I467" s="1">
        <f t="shared" si="7"/>
        <v>23323.26489</v>
      </c>
    </row>
    <row r="468" hidden="1">
      <c r="A468" s="266">
        <f>IFERROR(__xludf.DUMMYFUNCTION("""COMPUTED_VALUE"""),43103.99861111111)</f>
        <v>43103.99861</v>
      </c>
      <c r="B468" s="1">
        <f>IFERROR(__xludf.DUMMYFUNCTION("""COMPUTED_VALUE"""),15082.82)</f>
        <v>15082.82</v>
      </c>
      <c r="C468" s="58">
        <f t="shared" si="1"/>
        <v>3287.998611</v>
      </c>
      <c r="D468" s="1">
        <f t="shared" si="2"/>
        <v>1298.024972</v>
      </c>
      <c r="E468" s="1">
        <f t="shared" si="3"/>
        <v>2336.444949</v>
      </c>
      <c r="F468" s="1">
        <f t="shared" si="4"/>
        <v>4413.284904</v>
      </c>
      <c r="G468" s="1">
        <f t="shared" si="5"/>
        <v>7788.149831</v>
      </c>
      <c r="H468" s="1">
        <f t="shared" si="6"/>
        <v>14278.27469</v>
      </c>
      <c r="I468" s="1">
        <f t="shared" si="7"/>
        <v>23364.44949</v>
      </c>
    </row>
    <row r="469" hidden="1">
      <c r="A469" s="266">
        <f>IFERROR(__xludf.DUMMYFUNCTION("""COMPUTED_VALUE"""),43104.99861111111)</f>
        <v>43104.99861</v>
      </c>
      <c r="B469" s="1">
        <f>IFERROR(__xludf.DUMMYFUNCTION("""COMPUTED_VALUE"""),14922.65)</f>
        <v>14922.65</v>
      </c>
      <c r="C469" s="58">
        <f t="shared" si="1"/>
        <v>3288.998611</v>
      </c>
      <c r="D469" s="1">
        <f t="shared" si="2"/>
        <v>1300.316348</v>
      </c>
      <c r="E469" s="1">
        <f t="shared" si="3"/>
        <v>2340.569427</v>
      </c>
      <c r="F469" s="1">
        <f t="shared" si="4"/>
        <v>4421.075584</v>
      </c>
      <c r="G469" s="1">
        <f t="shared" si="5"/>
        <v>7801.89809</v>
      </c>
      <c r="H469" s="1">
        <f t="shared" si="6"/>
        <v>14303.47983</v>
      </c>
      <c r="I469" s="1">
        <f t="shared" si="7"/>
        <v>23405.69427</v>
      </c>
    </row>
    <row r="470" hidden="1">
      <c r="A470" s="266">
        <f>IFERROR(__xludf.DUMMYFUNCTION("""COMPUTED_VALUE"""),43105.99861111111)</f>
        <v>43105.99861</v>
      </c>
      <c r="B470" s="1">
        <f>IFERROR(__xludf.DUMMYFUNCTION("""COMPUTED_VALUE"""),16951.88)</f>
        <v>16951.88</v>
      </c>
      <c r="C470" s="58">
        <f t="shared" si="1"/>
        <v>3289.998611</v>
      </c>
      <c r="D470" s="1">
        <f t="shared" si="2"/>
        <v>1302.611071</v>
      </c>
      <c r="E470" s="1">
        <f t="shared" si="3"/>
        <v>2344.699928</v>
      </c>
      <c r="F470" s="1">
        <f t="shared" si="4"/>
        <v>4428.877642</v>
      </c>
      <c r="G470" s="1">
        <f t="shared" si="5"/>
        <v>7815.666427</v>
      </c>
      <c r="H470" s="1">
        <f t="shared" si="6"/>
        <v>14328.72178</v>
      </c>
      <c r="I470" s="1">
        <f t="shared" si="7"/>
        <v>23446.99928</v>
      </c>
    </row>
    <row r="471" hidden="1">
      <c r="A471" s="266">
        <f>IFERROR(__xludf.DUMMYFUNCTION("""COMPUTED_VALUE"""),43106.99861111111)</f>
        <v>43106.99861</v>
      </c>
      <c r="B471" s="1">
        <f>IFERROR(__xludf.DUMMYFUNCTION("""COMPUTED_VALUE"""),17003.21)</f>
        <v>17003.21</v>
      </c>
      <c r="C471" s="58">
        <f t="shared" si="1"/>
        <v>3290.998611</v>
      </c>
      <c r="D471" s="1">
        <f t="shared" si="2"/>
        <v>1304.909144</v>
      </c>
      <c r="E471" s="1">
        <f t="shared" si="3"/>
        <v>2348.83646</v>
      </c>
      <c r="F471" s="1">
        <f t="shared" si="4"/>
        <v>4436.691091</v>
      </c>
      <c r="G471" s="1">
        <f t="shared" si="5"/>
        <v>7829.454866</v>
      </c>
      <c r="H471" s="1">
        <f t="shared" si="6"/>
        <v>14354.00059</v>
      </c>
      <c r="I471" s="1">
        <f t="shared" si="7"/>
        <v>23488.3646</v>
      </c>
    </row>
    <row r="472" hidden="1">
      <c r="A472" s="266">
        <f>IFERROR(__xludf.DUMMYFUNCTION("""COMPUTED_VALUE"""),43107.99861111111)</f>
        <v>43107.99861</v>
      </c>
      <c r="B472" s="1">
        <f>IFERROR(__xludf.DUMMYFUNCTION("""COMPUTED_VALUE"""),16035.62)</f>
        <v>16035.62</v>
      </c>
      <c r="C472" s="58">
        <f t="shared" si="1"/>
        <v>3291.998611</v>
      </c>
      <c r="D472" s="1">
        <f t="shared" si="2"/>
        <v>1307.210572</v>
      </c>
      <c r="E472" s="1">
        <f t="shared" si="3"/>
        <v>2352.979029</v>
      </c>
      <c r="F472" s="1">
        <f t="shared" si="4"/>
        <v>4444.515944</v>
      </c>
      <c r="G472" s="1">
        <f t="shared" si="5"/>
        <v>7843.263431</v>
      </c>
      <c r="H472" s="1">
        <f t="shared" si="6"/>
        <v>14379.31629</v>
      </c>
      <c r="I472" s="1">
        <f t="shared" si="7"/>
        <v>23529.79029</v>
      </c>
    </row>
    <row r="473" hidden="1">
      <c r="A473" s="266">
        <f>IFERROR(__xludf.DUMMYFUNCTION("""COMPUTED_VALUE"""),43108.99861111111)</f>
        <v>43108.99861</v>
      </c>
      <c r="B473" s="1">
        <f>IFERROR(__xludf.DUMMYFUNCTION("""COMPUTED_VALUE"""),14918.6)</f>
        <v>14918.6</v>
      </c>
      <c r="C473" s="58">
        <f t="shared" si="1"/>
        <v>3292.998611</v>
      </c>
      <c r="D473" s="1">
        <f t="shared" si="2"/>
        <v>1309.515357</v>
      </c>
      <c r="E473" s="1">
        <f t="shared" si="3"/>
        <v>2357.127643</v>
      </c>
      <c r="F473" s="1">
        <f t="shared" si="4"/>
        <v>4452.352215</v>
      </c>
      <c r="G473" s="1">
        <f t="shared" si="5"/>
        <v>7857.092144</v>
      </c>
      <c r="H473" s="1">
        <f t="shared" si="6"/>
        <v>14404.66893</v>
      </c>
      <c r="I473" s="1">
        <f t="shared" si="7"/>
        <v>23571.27643</v>
      </c>
    </row>
    <row r="474" hidden="1">
      <c r="A474" s="266">
        <f>IFERROR(__xludf.DUMMYFUNCTION("""COMPUTED_VALUE"""),43109.99861111111)</f>
        <v>43109.99861</v>
      </c>
      <c r="B474" s="1">
        <f>IFERROR(__xludf.DUMMYFUNCTION("""COMPUTED_VALUE"""),14542.96)</f>
        <v>14542.96</v>
      </c>
      <c r="C474" s="58">
        <f t="shared" si="1"/>
        <v>3293.998611</v>
      </c>
      <c r="D474" s="1">
        <f t="shared" si="2"/>
        <v>1311.823505</v>
      </c>
      <c r="E474" s="1">
        <f t="shared" si="3"/>
        <v>2361.282309</v>
      </c>
      <c r="F474" s="1">
        <f t="shared" si="4"/>
        <v>4460.199917</v>
      </c>
      <c r="G474" s="1">
        <f t="shared" si="5"/>
        <v>7870.941029</v>
      </c>
      <c r="H474" s="1">
        <f t="shared" si="6"/>
        <v>14430.05855</v>
      </c>
      <c r="I474" s="1">
        <f t="shared" si="7"/>
        <v>23612.82309</v>
      </c>
    </row>
    <row r="475" hidden="1">
      <c r="A475" s="266">
        <f>IFERROR(__xludf.DUMMYFUNCTION("""COMPUTED_VALUE"""),43110.99861111111)</f>
        <v>43110.99861</v>
      </c>
      <c r="B475" s="1">
        <f>IFERROR(__xludf.DUMMYFUNCTION("""COMPUTED_VALUE"""),14493.9)</f>
        <v>14493.9</v>
      </c>
      <c r="C475" s="58">
        <f t="shared" si="1"/>
        <v>3294.998611</v>
      </c>
      <c r="D475" s="1">
        <f t="shared" si="2"/>
        <v>1314.135018</v>
      </c>
      <c r="E475" s="1">
        <f t="shared" si="3"/>
        <v>2365.443033</v>
      </c>
      <c r="F475" s="1">
        <f t="shared" si="4"/>
        <v>4468.059062</v>
      </c>
      <c r="G475" s="1">
        <f t="shared" si="5"/>
        <v>7884.81011</v>
      </c>
      <c r="H475" s="1">
        <f t="shared" si="6"/>
        <v>14455.4852</v>
      </c>
      <c r="I475" s="1">
        <f t="shared" si="7"/>
        <v>23654.43033</v>
      </c>
    </row>
    <row r="476" hidden="1">
      <c r="A476" s="266">
        <f>IFERROR(__xludf.DUMMYFUNCTION("""COMPUTED_VALUE"""),43111.99861111111)</f>
        <v>43111.99861</v>
      </c>
      <c r="B476" s="1">
        <f>IFERROR(__xludf.DUMMYFUNCTION("""COMPUTED_VALUE"""),13472.77)</f>
        <v>13472.77</v>
      </c>
      <c r="C476" s="58">
        <f t="shared" si="1"/>
        <v>3295.998611</v>
      </c>
      <c r="D476" s="1">
        <f t="shared" si="2"/>
        <v>1316.449902</v>
      </c>
      <c r="E476" s="1">
        <f t="shared" si="3"/>
        <v>2369.609823</v>
      </c>
      <c r="F476" s="1">
        <f t="shared" si="4"/>
        <v>4475.929665</v>
      </c>
      <c r="G476" s="1">
        <f t="shared" si="5"/>
        <v>7898.699409</v>
      </c>
      <c r="H476" s="1">
        <f t="shared" si="6"/>
        <v>14480.94892</v>
      </c>
      <c r="I476" s="1">
        <f t="shared" si="7"/>
        <v>23696.09823</v>
      </c>
    </row>
    <row r="477" hidden="1">
      <c r="A477" s="266">
        <f>IFERROR(__xludf.DUMMYFUNCTION("""COMPUTED_VALUE"""),43112.99861111111)</f>
        <v>43112.99861</v>
      </c>
      <c r="B477" s="1">
        <f>IFERROR(__xludf.DUMMYFUNCTION("""COMPUTED_VALUE"""),13723.09)</f>
        <v>13723.09</v>
      </c>
      <c r="C477" s="58">
        <f t="shared" si="1"/>
        <v>3296.998611</v>
      </c>
      <c r="D477" s="1">
        <f t="shared" si="2"/>
        <v>1318.768158</v>
      </c>
      <c r="E477" s="1">
        <f t="shared" si="3"/>
        <v>2373.782685</v>
      </c>
      <c r="F477" s="1">
        <f t="shared" si="4"/>
        <v>4483.811738</v>
      </c>
      <c r="G477" s="1">
        <f t="shared" si="5"/>
        <v>7912.60895</v>
      </c>
      <c r="H477" s="1">
        <f t="shared" si="6"/>
        <v>14506.44974</v>
      </c>
      <c r="I477" s="1">
        <f t="shared" si="7"/>
        <v>23737.82685</v>
      </c>
    </row>
    <row r="478" hidden="1">
      <c r="A478" s="266">
        <f>IFERROR(__xludf.DUMMYFUNCTION("""COMPUTED_VALUE"""),43113.99861111111)</f>
        <v>43113.99861</v>
      </c>
      <c r="B478" s="1">
        <f>IFERROR(__xludf.DUMMYFUNCTION("""COMPUTED_VALUE"""),14264.42)</f>
        <v>14264.42</v>
      </c>
      <c r="C478" s="58">
        <f t="shared" si="1"/>
        <v>3297.998611</v>
      </c>
      <c r="D478" s="1">
        <f t="shared" si="2"/>
        <v>1321.089793</v>
      </c>
      <c r="E478" s="1">
        <f t="shared" si="3"/>
        <v>2377.961627</v>
      </c>
      <c r="F478" s="1">
        <f t="shared" si="4"/>
        <v>4491.705295</v>
      </c>
      <c r="G478" s="1">
        <f t="shared" si="5"/>
        <v>7926.538757</v>
      </c>
      <c r="H478" s="1">
        <f t="shared" si="6"/>
        <v>14531.98772</v>
      </c>
      <c r="I478" s="1">
        <f t="shared" si="7"/>
        <v>23779.61627</v>
      </c>
    </row>
    <row r="479" hidden="1">
      <c r="A479" s="266">
        <f>IFERROR(__xludf.DUMMYFUNCTION("""COMPUTED_VALUE"""),43114.99861111111)</f>
        <v>43114.99861</v>
      </c>
      <c r="B479" s="1">
        <f>IFERROR(__xludf.DUMMYFUNCTION("""COMPUTED_VALUE"""),13719.8)</f>
        <v>13719.8</v>
      </c>
      <c r="C479" s="58">
        <f t="shared" si="1"/>
        <v>3298.998611</v>
      </c>
      <c r="D479" s="1">
        <f t="shared" si="2"/>
        <v>1323.414809</v>
      </c>
      <c r="E479" s="1">
        <f t="shared" si="3"/>
        <v>2382.146655</v>
      </c>
      <c r="F479" s="1">
        <f t="shared" si="4"/>
        <v>4499.610349</v>
      </c>
      <c r="G479" s="1">
        <f t="shared" si="5"/>
        <v>7940.488851</v>
      </c>
      <c r="H479" s="1">
        <f t="shared" si="6"/>
        <v>14557.56289</v>
      </c>
      <c r="I479" s="1">
        <f t="shared" si="7"/>
        <v>23821.46655</v>
      </c>
    </row>
    <row r="480" hidden="1">
      <c r="A480" s="266">
        <f>IFERROR(__xludf.DUMMYFUNCTION("""COMPUTED_VALUE"""),43115.99861111111)</f>
        <v>43115.99861</v>
      </c>
      <c r="B480" s="1">
        <f>IFERROR(__xludf.DUMMYFUNCTION("""COMPUTED_VALUE"""),13907.34)</f>
        <v>13907.34</v>
      </c>
      <c r="C480" s="58">
        <f t="shared" si="1"/>
        <v>3299.998611</v>
      </c>
      <c r="D480" s="1">
        <f t="shared" si="2"/>
        <v>1325.74321</v>
      </c>
      <c r="E480" s="1">
        <f t="shared" si="3"/>
        <v>2386.337777</v>
      </c>
      <c r="F480" s="1">
        <f t="shared" si="4"/>
        <v>4507.526913</v>
      </c>
      <c r="G480" s="1">
        <f t="shared" si="5"/>
        <v>7954.459258</v>
      </c>
      <c r="H480" s="1">
        <f t="shared" si="6"/>
        <v>14583.17531</v>
      </c>
      <c r="I480" s="1">
        <f t="shared" si="7"/>
        <v>23863.37777</v>
      </c>
    </row>
    <row r="481" hidden="1">
      <c r="A481" s="266">
        <f>IFERROR(__xludf.DUMMYFUNCTION("""COMPUTED_VALUE"""),43116.99861111111)</f>
        <v>43116.99861</v>
      </c>
      <c r="B481" s="1">
        <f>IFERROR(__xludf.DUMMYFUNCTION("""COMPUTED_VALUE"""),10635.83)</f>
        <v>10635.83</v>
      </c>
      <c r="C481" s="58">
        <f t="shared" si="1"/>
        <v>3300.998611</v>
      </c>
      <c r="D481" s="1">
        <f t="shared" si="2"/>
        <v>1328.075</v>
      </c>
      <c r="E481" s="1">
        <f t="shared" si="3"/>
        <v>2390.535</v>
      </c>
      <c r="F481" s="1">
        <f t="shared" si="4"/>
        <v>4515.455</v>
      </c>
      <c r="G481" s="1">
        <f t="shared" si="5"/>
        <v>7968.450001</v>
      </c>
      <c r="H481" s="1">
        <f t="shared" si="6"/>
        <v>14608.825</v>
      </c>
      <c r="I481" s="1">
        <f t="shared" si="7"/>
        <v>23905.35</v>
      </c>
    </row>
    <row r="482" hidden="1">
      <c r="A482" s="266">
        <f>IFERROR(__xludf.DUMMYFUNCTION("""COMPUTED_VALUE"""),43117.99861111111)</f>
        <v>43117.99861</v>
      </c>
      <c r="B482" s="1">
        <f>IFERROR(__xludf.DUMMYFUNCTION("""COMPUTED_VALUE"""),11361.94)</f>
        <v>11361.94</v>
      </c>
      <c r="C482" s="58">
        <f t="shared" si="1"/>
        <v>3301.998611</v>
      </c>
      <c r="D482" s="1">
        <f t="shared" si="2"/>
        <v>1330.410184</v>
      </c>
      <c r="E482" s="1">
        <f t="shared" si="3"/>
        <v>2394.73833</v>
      </c>
      <c r="F482" s="1">
        <f t="shared" si="4"/>
        <v>4523.394624</v>
      </c>
      <c r="G482" s="1">
        <f t="shared" si="5"/>
        <v>7982.461102</v>
      </c>
      <c r="H482" s="1">
        <f t="shared" si="6"/>
        <v>14634.51202</v>
      </c>
      <c r="I482" s="1">
        <f t="shared" si="7"/>
        <v>23947.3833</v>
      </c>
    </row>
    <row r="483" hidden="1">
      <c r="A483" s="266">
        <f>IFERROR(__xludf.DUMMYFUNCTION("""COMPUTED_VALUE"""),43118.99861111111)</f>
        <v>43118.99861</v>
      </c>
      <c r="B483" s="1">
        <f>IFERROR(__xludf.DUMMYFUNCTION("""COMPUTED_VALUE"""),11503.82)</f>
        <v>11503.82</v>
      </c>
      <c r="C483" s="58">
        <f t="shared" si="1"/>
        <v>3302.998611</v>
      </c>
      <c r="D483" s="1">
        <f t="shared" si="2"/>
        <v>1332.748764</v>
      </c>
      <c r="E483" s="1">
        <f t="shared" si="3"/>
        <v>2398.947775</v>
      </c>
      <c r="F483" s="1">
        <f t="shared" si="4"/>
        <v>4531.345798</v>
      </c>
      <c r="G483" s="1">
        <f t="shared" si="5"/>
        <v>7996.492585</v>
      </c>
      <c r="H483" s="1">
        <f t="shared" si="6"/>
        <v>14660.23641</v>
      </c>
      <c r="I483" s="1">
        <f t="shared" si="7"/>
        <v>23989.47775</v>
      </c>
    </row>
    <row r="484" hidden="1">
      <c r="A484" s="266">
        <f>IFERROR(__xludf.DUMMYFUNCTION("""COMPUTED_VALUE"""),43119.99861111111)</f>
        <v>43119.99861</v>
      </c>
      <c r="B484" s="1">
        <f>IFERROR(__xludf.DUMMYFUNCTION("""COMPUTED_VALUE"""),11326.22)</f>
        <v>11326.22</v>
      </c>
      <c r="C484" s="58">
        <f t="shared" si="1"/>
        <v>3303.998611</v>
      </c>
      <c r="D484" s="1">
        <f t="shared" si="2"/>
        <v>1335.090746</v>
      </c>
      <c r="E484" s="1">
        <f t="shared" si="3"/>
        <v>2403.163342</v>
      </c>
      <c r="F484" s="1">
        <f t="shared" si="4"/>
        <v>4539.308535</v>
      </c>
      <c r="G484" s="1">
        <f t="shared" si="5"/>
        <v>8010.544474</v>
      </c>
      <c r="H484" s="1">
        <f t="shared" si="6"/>
        <v>14685.9982</v>
      </c>
      <c r="I484" s="1">
        <f t="shared" si="7"/>
        <v>24031.63342</v>
      </c>
    </row>
    <row r="485" hidden="1">
      <c r="A485" s="266">
        <f>IFERROR(__xludf.DUMMYFUNCTION("""COMPUTED_VALUE"""),43120.99861111111)</f>
        <v>43120.99861</v>
      </c>
      <c r="B485" s="1">
        <f>IFERROR(__xludf.DUMMYFUNCTION("""COMPUTED_VALUE"""),12359.81)</f>
        <v>12359.81</v>
      </c>
      <c r="C485" s="58">
        <f t="shared" si="1"/>
        <v>3304.998611</v>
      </c>
      <c r="D485" s="1">
        <f t="shared" si="2"/>
        <v>1337.436132</v>
      </c>
      <c r="E485" s="1">
        <f t="shared" si="3"/>
        <v>2407.385038</v>
      </c>
      <c r="F485" s="1">
        <f t="shared" si="4"/>
        <v>4547.282849</v>
      </c>
      <c r="G485" s="1">
        <f t="shared" si="5"/>
        <v>8024.616792</v>
      </c>
      <c r="H485" s="1">
        <f t="shared" si="6"/>
        <v>14711.79745</v>
      </c>
      <c r="I485" s="1">
        <f t="shared" si="7"/>
        <v>24073.85038</v>
      </c>
    </row>
    <row r="486" hidden="1">
      <c r="A486" s="266">
        <f>IFERROR(__xludf.DUMMYFUNCTION("""COMPUTED_VALUE"""),43121.99861111111)</f>
        <v>43121.99861</v>
      </c>
      <c r="B486" s="1">
        <f>IFERROR(__xludf.DUMMYFUNCTION("""COMPUTED_VALUE"""),11701.95)</f>
        <v>11701.95</v>
      </c>
      <c r="C486" s="58">
        <f t="shared" si="1"/>
        <v>3305.998611</v>
      </c>
      <c r="D486" s="1">
        <f t="shared" si="2"/>
        <v>1339.784927</v>
      </c>
      <c r="E486" s="1">
        <f t="shared" si="3"/>
        <v>2411.612869</v>
      </c>
      <c r="F486" s="1">
        <f t="shared" si="4"/>
        <v>4555.268752</v>
      </c>
      <c r="G486" s="1">
        <f t="shared" si="5"/>
        <v>8038.709563</v>
      </c>
      <c r="H486" s="1">
        <f t="shared" si="6"/>
        <v>14737.6342</v>
      </c>
      <c r="I486" s="1">
        <f t="shared" si="7"/>
        <v>24116.12869</v>
      </c>
    </row>
    <row r="487" hidden="1">
      <c r="A487" s="266">
        <f>IFERROR(__xludf.DUMMYFUNCTION("""COMPUTED_VALUE"""),43122.99861111111)</f>
        <v>43122.99861</v>
      </c>
      <c r="B487" s="1">
        <f>IFERROR(__xludf.DUMMYFUNCTION("""COMPUTED_VALUE"""),10337.14)</f>
        <v>10337.14</v>
      </c>
      <c r="C487" s="58">
        <f t="shared" si="1"/>
        <v>3306.998611</v>
      </c>
      <c r="D487" s="1">
        <f t="shared" si="2"/>
        <v>1342.137135</v>
      </c>
      <c r="E487" s="1">
        <f t="shared" si="3"/>
        <v>2415.846843</v>
      </c>
      <c r="F487" s="1">
        <f t="shared" si="4"/>
        <v>4563.266259</v>
      </c>
      <c r="G487" s="1">
        <f t="shared" si="5"/>
        <v>8052.82281</v>
      </c>
      <c r="H487" s="1">
        <f t="shared" si="6"/>
        <v>14763.50849</v>
      </c>
      <c r="I487" s="1">
        <f t="shared" si="7"/>
        <v>24158.46843</v>
      </c>
    </row>
    <row r="488" hidden="1">
      <c r="A488" s="266">
        <f>IFERROR(__xludf.DUMMYFUNCTION("""COMPUTED_VALUE"""),43123.99861111111)</f>
        <v>43123.99861</v>
      </c>
      <c r="B488" s="1">
        <f>IFERROR(__xludf.DUMMYFUNCTION("""COMPUTED_VALUE"""),10996.54)</f>
        <v>10996.54</v>
      </c>
      <c r="C488" s="58">
        <f t="shared" si="1"/>
        <v>3307.998611</v>
      </c>
      <c r="D488" s="1">
        <f t="shared" si="2"/>
        <v>1344.49276</v>
      </c>
      <c r="E488" s="1">
        <f t="shared" si="3"/>
        <v>2420.086967</v>
      </c>
      <c r="F488" s="1">
        <f t="shared" si="4"/>
        <v>4571.275382</v>
      </c>
      <c r="G488" s="1">
        <f t="shared" si="5"/>
        <v>8066.956557</v>
      </c>
      <c r="H488" s="1">
        <f t="shared" si="6"/>
        <v>14789.42036</v>
      </c>
      <c r="I488" s="1">
        <f t="shared" si="7"/>
        <v>24200.86967</v>
      </c>
    </row>
    <row r="489" hidden="1">
      <c r="A489" s="266">
        <f>IFERROR(__xludf.DUMMYFUNCTION("""COMPUTED_VALUE"""),43124.99861111111)</f>
        <v>43124.99861</v>
      </c>
      <c r="B489" s="1">
        <f>IFERROR(__xludf.DUMMYFUNCTION("""COMPUTED_VALUE"""),11219.58)</f>
        <v>11219.58</v>
      </c>
      <c r="C489" s="58">
        <f t="shared" si="1"/>
        <v>3308.998611</v>
      </c>
      <c r="D489" s="1">
        <f t="shared" si="2"/>
        <v>1346.851805</v>
      </c>
      <c r="E489" s="1">
        <f t="shared" si="3"/>
        <v>2424.333248</v>
      </c>
      <c r="F489" s="1">
        <f t="shared" si="4"/>
        <v>4579.296136</v>
      </c>
      <c r="G489" s="1">
        <f t="shared" si="5"/>
        <v>8081.110828</v>
      </c>
      <c r="H489" s="1">
        <f t="shared" si="6"/>
        <v>14815.36985</v>
      </c>
      <c r="I489" s="1">
        <f t="shared" si="7"/>
        <v>24243.33248</v>
      </c>
    </row>
    <row r="490" hidden="1">
      <c r="A490" s="266">
        <f>IFERROR(__xludf.DUMMYFUNCTION("""COMPUTED_VALUE"""),43125.99861111111)</f>
        <v>43125.99861</v>
      </c>
      <c r="B490" s="1">
        <f>IFERROR(__xludf.DUMMYFUNCTION("""COMPUTED_VALUE"""),11249.85)</f>
        <v>11249.85</v>
      </c>
      <c r="C490" s="58">
        <f t="shared" si="1"/>
        <v>3309.998611</v>
      </c>
      <c r="D490" s="1">
        <f t="shared" si="2"/>
        <v>1349.214274</v>
      </c>
      <c r="E490" s="1">
        <f t="shared" si="3"/>
        <v>2428.585693</v>
      </c>
      <c r="F490" s="1">
        <f t="shared" si="4"/>
        <v>4587.328532</v>
      </c>
      <c r="G490" s="1">
        <f t="shared" si="5"/>
        <v>8095.285645</v>
      </c>
      <c r="H490" s="1">
        <f t="shared" si="6"/>
        <v>14841.35702</v>
      </c>
      <c r="I490" s="1">
        <f t="shared" si="7"/>
        <v>24285.85693</v>
      </c>
    </row>
    <row r="491" hidden="1">
      <c r="A491" s="266">
        <f>IFERROR(__xludf.DUMMYFUNCTION("""COMPUTED_VALUE"""),43126.99861111111)</f>
        <v>43126.99861</v>
      </c>
      <c r="B491" s="1">
        <f>IFERROR(__xludf.DUMMYFUNCTION("""COMPUTED_VALUE"""),10880.7)</f>
        <v>10880.7</v>
      </c>
      <c r="C491" s="58">
        <f t="shared" si="1"/>
        <v>3310.998611</v>
      </c>
      <c r="D491" s="1">
        <f t="shared" si="2"/>
        <v>1351.580172</v>
      </c>
      <c r="E491" s="1">
        <f t="shared" si="3"/>
        <v>2432.84431</v>
      </c>
      <c r="F491" s="1">
        <f t="shared" si="4"/>
        <v>4595.372585</v>
      </c>
      <c r="G491" s="1">
        <f t="shared" si="5"/>
        <v>8109.481033</v>
      </c>
      <c r="H491" s="1">
        <f t="shared" si="6"/>
        <v>14867.38189</v>
      </c>
      <c r="I491" s="1">
        <f t="shared" si="7"/>
        <v>24328.4431</v>
      </c>
    </row>
    <row r="492" hidden="1">
      <c r="A492" s="266">
        <f>IFERROR(__xludf.DUMMYFUNCTION("""COMPUTED_VALUE"""),43127.99861111111)</f>
        <v>43127.99861</v>
      </c>
      <c r="B492" s="1">
        <f>IFERROR(__xludf.DUMMYFUNCTION("""COMPUTED_VALUE"""),11470.12)</f>
        <v>11470.12</v>
      </c>
      <c r="C492" s="58">
        <f t="shared" si="1"/>
        <v>3311.998611</v>
      </c>
      <c r="D492" s="1">
        <f t="shared" si="2"/>
        <v>1353.949502</v>
      </c>
      <c r="E492" s="1">
        <f t="shared" si="3"/>
        <v>2437.109104</v>
      </c>
      <c r="F492" s="1">
        <f t="shared" si="4"/>
        <v>4603.428308</v>
      </c>
      <c r="G492" s="1">
        <f t="shared" si="5"/>
        <v>8123.697015</v>
      </c>
      <c r="H492" s="1">
        <f t="shared" si="6"/>
        <v>14893.44453</v>
      </c>
      <c r="I492" s="1">
        <f t="shared" si="7"/>
        <v>24371.09104</v>
      </c>
    </row>
    <row r="493" hidden="1">
      <c r="A493" s="266">
        <f>IFERROR(__xludf.DUMMYFUNCTION("""COMPUTED_VALUE"""),43128.99861111111)</f>
        <v>43128.99861</v>
      </c>
      <c r="B493" s="1">
        <f>IFERROR(__xludf.DUMMYFUNCTION("""COMPUTED_VALUE"""),11755.98)</f>
        <v>11755.98</v>
      </c>
      <c r="C493" s="58">
        <f t="shared" si="1"/>
        <v>3312.998611</v>
      </c>
      <c r="D493" s="1">
        <f t="shared" si="2"/>
        <v>1356.322269</v>
      </c>
      <c r="E493" s="1">
        <f t="shared" si="3"/>
        <v>2441.380084</v>
      </c>
      <c r="F493" s="1">
        <f t="shared" si="4"/>
        <v>4611.495715</v>
      </c>
      <c r="G493" s="1">
        <f t="shared" si="5"/>
        <v>8137.933615</v>
      </c>
      <c r="H493" s="1">
        <f t="shared" si="6"/>
        <v>14919.54496</v>
      </c>
      <c r="I493" s="1">
        <f t="shared" si="7"/>
        <v>24413.80084</v>
      </c>
    </row>
    <row r="494" hidden="1">
      <c r="A494" s="266">
        <f>IFERROR(__xludf.DUMMYFUNCTION("""COMPUTED_VALUE"""),43129.99861111111)</f>
        <v>43129.99861</v>
      </c>
      <c r="B494" s="1">
        <f>IFERROR(__xludf.DUMMYFUNCTION("""COMPUTED_VALUE"""),11261.01)</f>
        <v>11261.01</v>
      </c>
      <c r="C494" s="58">
        <f t="shared" si="1"/>
        <v>3313.998611</v>
      </c>
      <c r="D494" s="1">
        <f t="shared" si="2"/>
        <v>1358.698476</v>
      </c>
      <c r="E494" s="1">
        <f t="shared" si="3"/>
        <v>2445.657257</v>
      </c>
      <c r="F494" s="1">
        <f t="shared" si="4"/>
        <v>4619.574818</v>
      </c>
      <c r="G494" s="1">
        <f t="shared" si="5"/>
        <v>8152.190856</v>
      </c>
      <c r="H494" s="1">
        <f t="shared" si="6"/>
        <v>14945.68324</v>
      </c>
      <c r="I494" s="1">
        <f t="shared" si="7"/>
        <v>24456.57257</v>
      </c>
    </row>
    <row r="495" hidden="1">
      <c r="A495" s="266">
        <f>IFERROR(__xludf.DUMMYFUNCTION("""COMPUTED_VALUE"""),43130.99861111111)</f>
        <v>43130.99861</v>
      </c>
      <c r="B495" s="1">
        <f>IFERROR(__xludf.DUMMYFUNCTION("""COMPUTED_VALUE"""),10161.86)</f>
        <v>10161.86</v>
      </c>
      <c r="C495" s="58">
        <f t="shared" si="1"/>
        <v>3314.998611</v>
      </c>
      <c r="D495" s="1">
        <f t="shared" si="2"/>
        <v>1361.078127</v>
      </c>
      <c r="E495" s="1">
        <f t="shared" si="3"/>
        <v>2449.940629</v>
      </c>
      <c r="F495" s="1">
        <f t="shared" si="4"/>
        <v>4627.665632</v>
      </c>
      <c r="G495" s="1">
        <f t="shared" si="5"/>
        <v>8166.468762</v>
      </c>
      <c r="H495" s="1">
        <f t="shared" si="6"/>
        <v>14971.8594</v>
      </c>
      <c r="I495" s="1">
        <f t="shared" si="7"/>
        <v>24499.40629</v>
      </c>
    </row>
    <row r="496" hidden="1">
      <c r="A496" s="266">
        <f>IFERROR(__xludf.DUMMYFUNCTION("""COMPUTED_VALUE"""),43131.99861111111)</f>
        <v>43131.99861</v>
      </c>
      <c r="B496" s="1">
        <f>IFERROR(__xludf.DUMMYFUNCTION("""COMPUTED_VALUE"""),10022.51)</f>
        <v>10022.51</v>
      </c>
      <c r="C496" s="58">
        <f t="shared" si="1"/>
        <v>3315.998611</v>
      </c>
      <c r="D496" s="1">
        <f t="shared" si="2"/>
        <v>1363.461226</v>
      </c>
      <c r="E496" s="1">
        <f t="shared" si="3"/>
        <v>2454.230207</v>
      </c>
      <c r="F496" s="1">
        <f t="shared" si="4"/>
        <v>4635.768169</v>
      </c>
      <c r="G496" s="1">
        <f t="shared" si="5"/>
        <v>8180.767358</v>
      </c>
      <c r="H496" s="1">
        <f t="shared" si="6"/>
        <v>14998.07349</v>
      </c>
      <c r="I496" s="1">
        <f t="shared" si="7"/>
        <v>24542.30207</v>
      </c>
    </row>
    <row r="497" hidden="1">
      <c r="A497" s="266">
        <f>IFERROR(__xludf.DUMMYFUNCTION("""COMPUTED_VALUE"""),43132.99861111111)</f>
        <v>43132.99861</v>
      </c>
      <c r="B497" s="1">
        <f>IFERROR(__xludf.DUMMYFUNCTION("""COMPUTED_VALUE"""),9192.56)</f>
        <v>9192.56</v>
      </c>
      <c r="C497" s="58">
        <f t="shared" si="1"/>
        <v>3316.998611</v>
      </c>
      <c r="D497" s="1">
        <f t="shared" si="2"/>
        <v>1365.847778</v>
      </c>
      <c r="E497" s="1">
        <f t="shared" si="3"/>
        <v>2458.526</v>
      </c>
      <c r="F497" s="1">
        <f t="shared" si="4"/>
        <v>4643.882444</v>
      </c>
      <c r="G497" s="1">
        <f t="shared" si="5"/>
        <v>8195.086666</v>
      </c>
      <c r="H497" s="1">
        <f t="shared" si="6"/>
        <v>15024.32555</v>
      </c>
      <c r="I497" s="1">
        <f t="shared" si="7"/>
        <v>24585.26</v>
      </c>
    </row>
    <row r="498" hidden="1">
      <c r="A498" s="266">
        <f>IFERROR(__xludf.DUMMYFUNCTION("""COMPUTED_VALUE"""),43133.99861111111)</f>
        <v>43133.99861</v>
      </c>
      <c r="B498" s="1">
        <f>IFERROR(__xludf.DUMMYFUNCTION("""COMPUTED_VALUE"""),8595.03)</f>
        <v>8595.03</v>
      </c>
      <c r="C498" s="58">
        <f t="shared" si="1"/>
        <v>3317.998611</v>
      </c>
      <c r="D498" s="1">
        <f t="shared" si="2"/>
        <v>1368.237785</v>
      </c>
      <c r="E498" s="1">
        <f t="shared" si="3"/>
        <v>2462.828013</v>
      </c>
      <c r="F498" s="1">
        <f t="shared" si="4"/>
        <v>4652.008469</v>
      </c>
      <c r="G498" s="1">
        <f t="shared" si="5"/>
        <v>8209.42671</v>
      </c>
      <c r="H498" s="1">
        <f t="shared" si="6"/>
        <v>15050.61563</v>
      </c>
      <c r="I498" s="1">
        <f t="shared" si="7"/>
        <v>24628.28013</v>
      </c>
    </row>
    <row r="499" hidden="1">
      <c r="A499" s="266">
        <f>IFERROR(__xludf.DUMMYFUNCTION("""COMPUTED_VALUE"""),43134.99861111111)</f>
        <v>43134.99861</v>
      </c>
      <c r="B499" s="1">
        <f>IFERROR(__xludf.DUMMYFUNCTION("""COMPUTED_VALUE"""),9085.82)</f>
        <v>9085.82</v>
      </c>
      <c r="C499" s="58">
        <f t="shared" si="1"/>
        <v>3318.998611</v>
      </c>
      <c r="D499" s="1">
        <f t="shared" si="2"/>
        <v>1370.631252</v>
      </c>
      <c r="E499" s="1">
        <f t="shared" si="3"/>
        <v>2467.136254</v>
      </c>
      <c r="F499" s="1">
        <f t="shared" si="4"/>
        <v>4660.146258</v>
      </c>
      <c r="G499" s="1">
        <f t="shared" si="5"/>
        <v>8223.787514</v>
      </c>
      <c r="H499" s="1">
        <f t="shared" si="6"/>
        <v>15076.94378</v>
      </c>
      <c r="I499" s="1">
        <f t="shared" si="7"/>
        <v>24671.36254</v>
      </c>
    </row>
    <row r="500" hidden="1">
      <c r="A500" s="266">
        <f>IFERROR(__xludf.DUMMYFUNCTION("""COMPUTED_VALUE"""),43135.99861111111)</f>
        <v>43135.99861</v>
      </c>
      <c r="B500" s="1">
        <f>IFERROR(__xludf.DUMMYFUNCTION("""COMPUTED_VALUE"""),8250.71)</f>
        <v>8250.71</v>
      </c>
      <c r="C500" s="58">
        <f t="shared" si="1"/>
        <v>3319.998611</v>
      </c>
      <c r="D500" s="1">
        <f t="shared" si="2"/>
        <v>1373.028184</v>
      </c>
      <c r="E500" s="1">
        <f t="shared" si="3"/>
        <v>2471.450731</v>
      </c>
      <c r="F500" s="1">
        <f t="shared" si="4"/>
        <v>4668.295825</v>
      </c>
      <c r="G500" s="1">
        <f t="shared" si="5"/>
        <v>8238.169103</v>
      </c>
      <c r="H500" s="1">
        <f t="shared" si="6"/>
        <v>15103.31002</v>
      </c>
      <c r="I500" s="1">
        <f t="shared" si="7"/>
        <v>24714.50731</v>
      </c>
    </row>
    <row r="501" hidden="1">
      <c r="A501" s="266">
        <f>IFERROR(__xludf.DUMMYFUNCTION("""COMPUTED_VALUE"""),43136.99861111111)</f>
        <v>43136.99861</v>
      </c>
      <c r="B501" s="1">
        <f>IFERROR(__xludf.DUMMYFUNCTION("""COMPUTED_VALUE"""),7164.72)</f>
        <v>7164.72</v>
      </c>
      <c r="C501" s="58">
        <f t="shared" si="1"/>
        <v>3320.998611</v>
      </c>
      <c r="D501" s="1">
        <f t="shared" si="2"/>
        <v>1375.428583</v>
      </c>
      <c r="E501" s="1">
        <f t="shared" si="3"/>
        <v>2475.77145</v>
      </c>
      <c r="F501" s="1">
        <f t="shared" si="4"/>
        <v>4676.457183</v>
      </c>
      <c r="G501" s="1">
        <f t="shared" si="5"/>
        <v>8252.571499</v>
      </c>
      <c r="H501" s="1">
        <f t="shared" si="6"/>
        <v>15129.71441</v>
      </c>
      <c r="I501" s="1">
        <f t="shared" si="7"/>
        <v>24757.7145</v>
      </c>
    </row>
    <row r="502" hidden="1">
      <c r="A502" s="266">
        <f>IFERROR(__xludf.DUMMYFUNCTION("""COMPUTED_VALUE"""),43137.99861111111)</f>
        <v>43137.99861</v>
      </c>
      <c r="B502" s="1">
        <f>IFERROR(__xludf.DUMMYFUNCTION("""COMPUTED_VALUE"""),7773.81)</f>
        <v>7773.81</v>
      </c>
      <c r="C502" s="58">
        <f t="shared" si="1"/>
        <v>3321.998611</v>
      </c>
      <c r="D502" s="1">
        <f t="shared" si="2"/>
        <v>1377.832454</v>
      </c>
      <c r="E502" s="1">
        <f t="shared" si="3"/>
        <v>2480.098418</v>
      </c>
      <c r="F502" s="1">
        <f t="shared" si="4"/>
        <v>4684.630345</v>
      </c>
      <c r="G502" s="1">
        <f t="shared" si="5"/>
        <v>8266.994726</v>
      </c>
      <c r="H502" s="1">
        <f t="shared" si="6"/>
        <v>15156.157</v>
      </c>
      <c r="I502" s="1">
        <f t="shared" si="7"/>
        <v>24800.98418</v>
      </c>
    </row>
    <row r="503" hidden="1">
      <c r="A503" s="266">
        <f>IFERROR(__xludf.DUMMYFUNCTION("""COMPUTED_VALUE"""),43138.99861111111)</f>
        <v>43138.99861</v>
      </c>
      <c r="B503" s="1">
        <f>IFERROR(__xludf.DUMMYFUNCTION("""COMPUTED_VALUE"""),8093.58)</f>
        <v>8093.58</v>
      </c>
      <c r="C503" s="58">
        <f t="shared" si="1"/>
        <v>3322.998611</v>
      </c>
      <c r="D503" s="1">
        <f t="shared" si="2"/>
        <v>1380.239802</v>
      </c>
      <c r="E503" s="1">
        <f t="shared" si="3"/>
        <v>2484.431643</v>
      </c>
      <c r="F503" s="1">
        <f t="shared" si="4"/>
        <v>4692.815325</v>
      </c>
      <c r="G503" s="1">
        <f t="shared" si="5"/>
        <v>8281.438809</v>
      </c>
      <c r="H503" s="1">
        <f t="shared" si="6"/>
        <v>15182.63782</v>
      </c>
      <c r="I503" s="1">
        <f t="shared" si="7"/>
        <v>24844.31643</v>
      </c>
    </row>
    <row r="504" hidden="1">
      <c r="A504" s="266">
        <f>IFERROR(__xludf.DUMMYFUNCTION("""COMPUTED_VALUE"""),43139.99861111111)</f>
        <v>43139.99861</v>
      </c>
      <c r="B504" s="1">
        <f>IFERROR(__xludf.DUMMYFUNCTION("""COMPUTED_VALUE"""),8188.0)</f>
        <v>8188</v>
      </c>
      <c r="C504" s="58">
        <f t="shared" si="1"/>
        <v>3323.998611</v>
      </c>
      <c r="D504" s="1">
        <f t="shared" si="2"/>
        <v>1382.650629</v>
      </c>
      <c r="E504" s="1">
        <f t="shared" si="3"/>
        <v>2488.771131</v>
      </c>
      <c r="F504" s="1">
        <f t="shared" si="4"/>
        <v>4701.012137</v>
      </c>
      <c r="G504" s="1">
        <f t="shared" si="5"/>
        <v>8295.903771</v>
      </c>
      <c r="H504" s="1">
        <f t="shared" si="6"/>
        <v>15209.15691</v>
      </c>
      <c r="I504" s="1">
        <f t="shared" si="7"/>
        <v>24887.71131</v>
      </c>
    </row>
    <row r="505" hidden="1">
      <c r="A505" s="266">
        <f>IFERROR(__xludf.DUMMYFUNCTION("""COMPUTED_VALUE"""),43140.99861111111)</f>
        <v>43140.99861</v>
      </c>
      <c r="B505" s="1">
        <f>IFERROR(__xludf.DUMMYFUNCTION("""COMPUTED_VALUE"""),8549.94)</f>
        <v>8549.94</v>
      </c>
      <c r="C505" s="58">
        <f t="shared" si="1"/>
        <v>3324.998611</v>
      </c>
      <c r="D505" s="1">
        <f t="shared" si="2"/>
        <v>1385.064939</v>
      </c>
      <c r="E505" s="1">
        <f t="shared" si="3"/>
        <v>2493.116891</v>
      </c>
      <c r="F505" s="1">
        <f t="shared" si="4"/>
        <v>4709.220794</v>
      </c>
      <c r="G505" s="1">
        <f t="shared" si="5"/>
        <v>8310.389637</v>
      </c>
      <c r="H505" s="1">
        <f t="shared" si="6"/>
        <v>15235.71433</v>
      </c>
      <c r="I505" s="1">
        <f t="shared" si="7"/>
        <v>24931.16891</v>
      </c>
    </row>
    <row r="506" hidden="1">
      <c r="A506" s="266">
        <f>IFERROR(__xludf.DUMMYFUNCTION("""COMPUTED_VALUE"""),43141.99861111111)</f>
        <v>43141.99861</v>
      </c>
      <c r="B506" s="1">
        <f>IFERROR(__xludf.DUMMYFUNCTION("""COMPUTED_VALUE"""),8410.13)</f>
        <v>8410.13</v>
      </c>
      <c r="C506" s="58">
        <f t="shared" si="1"/>
        <v>3325.998611</v>
      </c>
      <c r="D506" s="1">
        <f t="shared" si="2"/>
        <v>1387.482738</v>
      </c>
      <c r="E506" s="1">
        <f t="shared" si="3"/>
        <v>2497.468929</v>
      </c>
      <c r="F506" s="1">
        <f t="shared" si="4"/>
        <v>4717.44131</v>
      </c>
      <c r="G506" s="1">
        <f t="shared" si="5"/>
        <v>8324.896429</v>
      </c>
      <c r="H506" s="1">
        <f t="shared" si="6"/>
        <v>15262.31012</v>
      </c>
      <c r="I506" s="1">
        <f t="shared" si="7"/>
        <v>24974.68929</v>
      </c>
    </row>
    <row r="507" hidden="1">
      <c r="A507" s="266">
        <f>IFERROR(__xludf.DUMMYFUNCTION("""COMPUTED_VALUE"""),43142.99861111111)</f>
        <v>43142.99861</v>
      </c>
      <c r="B507" s="1">
        <f>IFERROR(__xludf.DUMMYFUNCTION("""COMPUTED_VALUE"""),8224.54)</f>
        <v>8224.54</v>
      </c>
      <c r="C507" s="58">
        <f t="shared" si="1"/>
        <v>3326.998611</v>
      </c>
      <c r="D507" s="1">
        <f t="shared" si="2"/>
        <v>1389.904029</v>
      </c>
      <c r="E507" s="1">
        <f t="shared" si="3"/>
        <v>2501.827252</v>
      </c>
      <c r="F507" s="1">
        <f t="shared" si="4"/>
        <v>4725.673698</v>
      </c>
      <c r="G507" s="1">
        <f t="shared" si="5"/>
        <v>8339.424172</v>
      </c>
      <c r="H507" s="1">
        <f t="shared" si="6"/>
        <v>15288.94432</v>
      </c>
      <c r="I507" s="1">
        <f t="shared" si="7"/>
        <v>25018.27252</v>
      </c>
    </row>
    <row r="508" hidden="1">
      <c r="A508" s="266">
        <f>IFERROR(__xludf.DUMMYFUNCTION("""COMPUTED_VALUE"""),43143.99861111111)</f>
        <v>43143.99861</v>
      </c>
      <c r="B508" s="1">
        <f>IFERROR(__xludf.DUMMYFUNCTION("""COMPUTED_VALUE"""),8835.65)</f>
        <v>8835.65</v>
      </c>
      <c r="C508" s="58">
        <f t="shared" si="1"/>
        <v>3327.998611</v>
      </c>
      <c r="D508" s="1">
        <f t="shared" si="2"/>
        <v>1392.328815</v>
      </c>
      <c r="E508" s="1">
        <f t="shared" si="3"/>
        <v>2506.191867</v>
      </c>
      <c r="F508" s="1">
        <f t="shared" si="4"/>
        <v>4733.917971</v>
      </c>
      <c r="G508" s="1">
        <f t="shared" si="5"/>
        <v>8353.97289</v>
      </c>
      <c r="H508" s="1">
        <f t="shared" si="6"/>
        <v>15315.61697</v>
      </c>
      <c r="I508" s="1">
        <f t="shared" si="7"/>
        <v>25061.91867</v>
      </c>
    </row>
    <row r="509" hidden="1">
      <c r="A509" s="266">
        <f>IFERROR(__xludf.DUMMYFUNCTION("""COMPUTED_VALUE"""),43144.99861111111)</f>
        <v>43144.99861</v>
      </c>
      <c r="B509" s="1">
        <f>IFERROR(__xludf.DUMMYFUNCTION("""COMPUTED_VALUE"""),8557.84)</f>
        <v>8557.84</v>
      </c>
      <c r="C509" s="58">
        <f t="shared" si="1"/>
        <v>3328.998611</v>
      </c>
      <c r="D509" s="1">
        <f t="shared" si="2"/>
        <v>1394.757101</v>
      </c>
      <c r="E509" s="1">
        <f t="shared" si="3"/>
        <v>2510.562782</v>
      </c>
      <c r="F509" s="1">
        <f t="shared" si="4"/>
        <v>4742.174144</v>
      </c>
      <c r="G509" s="1">
        <f t="shared" si="5"/>
        <v>8368.542607</v>
      </c>
      <c r="H509" s="1">
        <f t="shared" si="6"/>
        <v>15342.32811</v>
      </c>
      <c r="I509" s="1">
        <f t="shared" si="7"/>
        <v>25105.62782</v>
      </c>
    </row>
    <row r="510" hidden="1">
      <c r="A510" s="266">
        <f>IFERROR(__xludf.DUMMYFUNCTION("""COMPUTED_VALUE"""),43145.99861111111)</f>
        <v>43145.99861</v>
      </c>
      <c r="B510" s="1">
        <f>IFERROR(__xludf.DUMMYFUNCTION("""COMPUTED_VALUE"""),9285.3)</f>
        <v>9285.3</v>
      </c>
      <c r="C510" s="58">
        <f t="shared" si="1"/>
        <v>3329.998611</v>
      </c>
      <c r="D510" s="1">
        <f t="shared" si="2"/>
        <v>1397.188891</v>
      </c>
      <c r="E510" s="1">
        <f t="shared" si="3"/>
        <v>2514.940004</v>
      </c>
      <c r="F510" s="1">
        <f t="shared" si="4"/>
        <v>4750.44223</v>
      </c>
      <c r="G510" s="1">
        <f t="shared" si="5"/>
        <v>8383.133347</v>
      </c>
      <c r="H510" s="1">
        <f t="shared" si="6"/>
        <v>15369.0778</v>
      </c>
      <c r="I510" s="1">
        <f t="shared" si="7"/>
        <v>25149.40004</v>
      </c>
    </row>
    <row r="511" hidden="1">
      <c r="A511" s="266">
        <f>IFERROR(__xludf.DUMMYFUNCTION("""COMPUTED_VALUE"""),43146.99861111111)</f>
        <v>43146.99861</v>
      </c>
      <c r="B511" s="1">
        <f>IFERROR(__xludf.DUMMYFUNCTION("""COMPUTED_VALUE"""),9875.07)</f>
        <v>9875.07</v>
      </c>
      <c r="C511" s="58">
        <f t="shared" si="1"/>
        <v>3330.998611</v>
      </c>
      <c r="D511" s="1">
        <f t="shared" si="2"/>
        <v>1399.624189</v>
      </c>
      <c r="E511" s="1">
        <f t="shared" si="3"/>
        <v>2519.32354</v>
      </c>
      <c r="F511" s="1">
        <f t="shared" si="4"/>
        <v>4758.722243</v>
      </c>
      <c r="G511" s="1">
        <f t="shared" si="5"/>
        <v>8397.745134</v>
      </c>
      <c r="H511" s="1">
        <f t="shared" si="6"/>
        <v>15395.86608</v>
      </c>
      <c r="I511" s="1">
        <f t="shared" si="7"/>
        <v>25193.2354</v>
      </c>
    </row>
    <row r="512" hidden="1">
      <c r="A512" s="266">
        <f>IFERROR(__xludf.DUMMYFUNCTION("""COMPUTED_VALUE"""),43147.99861111111)</f>
        <v>43147.99861</v>
      </c>
      <c r="B512" s="1">
        <f>IFERROR(__xludf.DUMMYFUNCTION("""COMPUTED_VALUE"""),10081.91)</f>
        <v>10081.91</v>
      </c>
      <c r="C512" s="58">
        <f t="shared" si="1"/>
        <v>3331.998611</v>
      </c>
      <c r="D512" s="1">
        <f t="shared" si="2"/>
        <v>1402.062999</v>
      </c>
      <c r="E512" s="1">
        <f t="shared" si="3"/>
        <v>2523.713398</v>
      </c>
      <c r="F512" s="1">
        <f t="shared" si="4"/>
        <v>4767.014195</v>
      </c>
      <c r="G512" s="1">
        <f t="shared" si="5"/>
        <v>8412.377992</v>
      </c>
      <c r="H512" s="1">
        <f t="shared" si="6"/>
        <v>15422.69299</v>
      </c>
      <c r="I512" s="1">
        <f t="shared" si="7"/>
        <v>25237.13398</v>
      </c>
    </row>
    <row r="513" hidden="1">
      <c r="A513" s="266">
        <f>IFERROR(__xludf.DUMMYFUNCTION("""COMPUTED_VALUE"""),43148.99861111111)</f>
        <v>43148.99861</v>
      </c>
      <c r="B513" s="1">
        <f>IFERROR(__xludf.DUMMYFUNCTION("""COMPUTED_VALUE"""),11128.61)</f>
        <v>11128.61</v>
      </c>
      <c r="C513" s="58">
        <f t="shared" si="1"/>
        <v>3332.998611</v>
      </c>
      <c r="D513" s="1">
        <f t="shared" si="2"/>
        <v>1404.505324</v>
      </c>
      <c r="E513" s="1">
        <f t="shared" si="3"/>
        <v>2528.109583</v>
      </c>
      <c r="F513" s="1">
        <f t="shared" si="4"/>
        <v>4775.318102</v>
      </c>
      <c r="G513" s="1">
        <f t="shared" si="5"/>
        <v>8427.031945</v>
      </c>
      <c r="H513" s="1">
        <f t="shared" si="6"/>
        <v>15449.55857</v>
      </c>
      <c r="I513" s="1">
        <f t="shared" si="7"/>
        <v>25281.09583</v>
      </c>
    </row>
    <row r="514" hidden="1">
      <c r="A514" s="266">
        <f>IFERROR(__xludf.DUMMYFUNCTION("""COMPUTED_VALUE"""),43149.99861111111)</f>
        <v>43149.99861</v>
      </c>
      <c r="B514" s="1">
        <f>IFERROR(__xludf.DUMMYFUNCTION("""COMPUTED_VALUE"""),10445.96)</f>
        <v>10445.96</v>
      </c>
      <c r="C514" s="58">
        <f t="shared" si="1"/>
        <v>3333.998611</v>
      </c>
      <c r="D514" s="1">
        <f t="shared" si="2"/>
        <v>1406.951169</v>
      </c>
      <c r="E514" s="1">
        <f t="shared" si="3"/>
        <v>2532.512105</v>
      </c>
      <c r="F514" s="1">
        <f t="shared" si="4"/>
        <v>4783.633976</v>
      </c>
      <c r="G514" s="1">
        <f t="shared" si="5"/>
        <v>8441.707016</v>
      </c>
      <c r="H514" s="1">
        <f t="shared" si="6"/>
        <v>15476.46286</v>
      </c>
      <c r="I514" s="1">
        <f t="shared" si="7"/>
        <v>25325.12105</v>
      </c>
    </row>
    <row r="515" hidden="1">
      <c r="A515" s="266">
        <f>IFERROR(__xludf.DUMMYFUNCTION("""COMPUTED_VALUE"""),43150.99861111111)</f>
        <v>43150.99861</v>
      </c>
      <c r="B515" s="1">
        <f>IFERROR(__xludf.DUMMYFUNCTION("""COMPUTED_VALUE"""),11432.59)</f>
        <v>11432.59</v>
      </c>
      <c r="C515" s="58">
        <f t="shared" si="1"/>
        <v>3334.998611</v>
      </c>
      <c r="D515" s="1">
        <f t="shared" si="2"/>
        <v>1409.400538</v>
      </c>
      <c r="E515" s="1">
        <f t="shared" si="3"/>
        <v>2536.920969</v>
      </c>
      <c r="F515" s="1">
        <f t="shared" si="4"/>
        <v>4791.961831</v>
      </c>
      <c r="G515" s="1">
        <f t="shared" si="5"/>
        <v>8456.403231</v>
      </c>
      <c r="H515" s="1">
        <f t="shared" si="6"/>
        <v>15503.40592</v>
      </c>
      <c r="I515" s="1">
        <f t="shared" si="7"/>
        <v>25369.20969</v>
      </c>
    </row>
    <row r="516" hidden="1">
      <c r="A516" s="266">
        <f>IFERROR(__xludf.DUMMYFUNCTION("""COMPUTED_VALUE"""),43151.99861111111)</f>
        <v>43151.99861</v>
      </c>
      <c r="B516" s="1">
        <f>IFERROR(__xludf.DUMMYFUNCTION("""COMPUTED_VALUE"""),11698.86)</f>
        <v>11698.86</v>
      </c>
      <c r="C516" s="58">
        <f t="shared" si="1"/>
        <v>3335.998611</v>
      </c>
      <c r="D516" s="1">
        <f t="shared" si="2"/>
        <v>1411.853435</v>
      </c>
      <c r="E516" s="1">
        <f t="shared" si="3"/>
        <v>2541.336184</v>
      </c>
      <c r="F516" s="1">
        <f t="shared" si="4"/>
        <v>4800.301681</v>
      </c>
      <c r="G516" s="1">
        <f t="shared" si="5"/>
        <v>8471.120613</v>
      </c>
      <c r="H516" s="1">
        <f t="shared" si="6"/>
        <v>15530.38779</v>
      </c>
      <c r="I516" s="1">
        <f t="shared" si="7"/>
        <v>25413.36184</v>
      </c>
    </row>
    <row r="517" hidden="1">
      <c r="A517" s="266">
        <f>IFERROR(__xludf.DUMMYFUNCTION("""COMPUTED_VALUE"""),43152.99861111111)</f>
        <v>43152.99861</v>
      </c>
      <c r="B517" s="1">
        <f>IFERROR(__xludf.DUMMYFUNCTION("""COMPUTED_VALUE"""),10281.63)</f>
        <v>10281.63</v>
      </c>
      <c r="C517" s="58">
        <f t="shared" si="1"/>
        <v>3336.998611</v>
      </c>
      <c r="D517" s="1">
        <f t="shared" si="2"/>
        <v>1414.309864</v>
      </c>
      <c r="E517" s="1">
        <f t="shared" si="3"/>
        <v>2545.757756</v>
      </c>
      <c r="F517" s="1">
        <f t="shared" si="4"/>
        <v>4808.653539</v>
      </c>
      <c r="G517" s="1">
        <f t="shared" si="5"/>
        <v>8485.859186</v>
      </c>
      <c r="H517" s="1">
        <f t="shared" si="6"/>
        <v>15557.40851</v>
      </c>
      <c r="I517" s="1">
        <f t="shared" si="7"/>
        <v>25457.57756</v>
      </c>
    </row>
    <row r="518" hidden="1">
      <c r="A518" s="266">
        <f>IFERROR(__xludf.DUMMYFUNCTION("""COMPUTED_VALUE"""),43153.99861111111)</f>
        <v>43153.99861</v>
      </c>
      <c r="B518" s="1">
        <f>IFERROR(__xludf.DUMMYFUNCTION("""COMPUTED_VALUE"""),9909.06)</f>
        <v>9909.06</v>
      </c>
      <c r="C518" s="58">
        <f t="shared" si="1"/>
        <v>3337.998611</v>
      </c>
      <c r="D518" s="1">
        <f t="shared" si="2"/>
        <v>1416.769829</v>
      </c>
      <c r="E518" s="1">
        <f t="shared" si="3"/>
        <v>2550.185693</v>
      </c>
      <c r="F518" s="1">
        <f t="shared" si="4"/>
        <v>4817.017419</v>
      </c>
      <c r="G518" s="1">
        <f t="shared" si="5"/>
        <v>8500.618975</v>
      </c>
      <c r="H518" s="1">
        <f t="shared" si="6"/>
        <v>15584.46812</v>
      </c>
      <c r="I518" s="1">
        <f t="shared" si="7"/>
        <v>25501.85693</v>
      </c>
    </row>
    <row r="519" hidden="1">
      <c r="A519" s="266">
        <f>IFERROR(__xludf.DUMMYFUNCTION("""COMPUTED_VALUE"""),43154.99861111111)</f>
        <v>43154.99861</v>
      </c>
      <c r="B519" s="1">
        <f>IFERROR(__xludf.DUMMYFUNCTION("""COMPUTED_VALUE"""),10046.8)</f>
        <v>10046.8</v>
      </c>
      <c r="C519" s="58">
        <f t="shared" si="1"/>
        <v>3338.998611</v>
      </c>
      <c r="D519" s="1">
        <f t="shared" si="2"/>
        <v>1419.233334</v>
      </c>
      <c r="E519" s="1">
        <f t="shared" si="3"/>
        <v>2554.620001</v>
      </c>
      <c r="F519" s="1">
        <f t="shared" si="4"/>
        <v>4825.393335</v>
      </c>
      <c r="G519" s="1">
        <f t="shared" si="5"/>
        <v>8515.400004</v>
      </c>
      <c r="H519" s="1">
        <f t="shared" si="6"/>
        <v>15611.56667</v>
      </c>
      <c r="I519" s="1">
        <f t="shared" si="7"/>
        <v>25546.20001</v>
      </c>
    </row>
    <row r="520" hidden="1">
      <c r="A520" s="266">
        <f>IFERROR(__xludf.DUMMYFUNCTION("""COMPUTED_VALUE"""),43155.99861111111)</f>
        <v>43155.99861</v>
      </c>
      <c r="B520" s="1">
        <f>IFERROR(__xludf.DUMMYFUNCTION("""COMPUTED_VALUE"""),9971.015)</f>
        <v>9971.015</v>
      </c>
      <c r="C520" s="58">
        <f t="shared" si="1"/>
        <v>3339.998611</v>
      </c>
      <c r="D520" s="1">
        <f t="shared" si="2"/>
        <v>1421.700383</v>
      </c>
      <c r="E520" s="1">
        <f t="shared" si="3"/>
        <v>2559.060689</v>
      </c>
      <c r="F520" s="1">
        <f t="shared" si="4"/>
        <v>4833.781301</v>
      </c>
      <c r="G520" s="1">
        <f t="shared" si="5"/>
        <v>8530.202296</v>
      </c>
      <c r="H520" s="1">
        <f t="shared" si="6"/>
        <v>15638.70421</v>
      </c>
      <c r="I520" s="1">
        <f t="shared" si="7"/>
        <v>25590.60689</v>
      </c>
    </row>
    <row r="521" hidden="1">
      <c r="A521" s="266">
        <f>IFERROR(__xludf.DUMMYFUNCTION("""COMPUTED_VALUE"""),43156.99861111111)</f>
        <v>43156.99861</v>
      </c>
      <c r="B521" s="1">
        <f>IFERROR(__xludf.DUMMYFUNCTION("""COMPUTED_VALUE"""),9585.58)</f>
        <v>9585.58</v>
      </c>
      <c r="C521" s="58">
        <f t="shared" si="1"/>
        <v>3340.998611</v>
      </c>
      <c r="D521" s="1">
        <f t="shared" si="2"/>
        <v>1424.170979</v>
      </c>
      <c r="E521" s="1">
        <f t="shared" si="3"/>
        <v>2563.507763</v>
      </c>
      <c r="F521" s="1">
        <f t="shared" si="4"/>
        <v>4842.18133</v>
      </c>
      <c r="G521" s="1">
        <f t="shared" si="5"/>
        <v>8545.025876</v>
      </c>
      <c r="H521" s="1">
        <f t="shared" si="6"/>
        <v>15665.88077</v>
      </c>
      <c r="I521" s="1">
        <f t="shared" si="7"/>
        <v>25635.07763</v>
      </c>
    </row>
    <row r="522" hidden="1">
      <c r="A522" s="266">
        <f>IFERROR(__xludf.DUMMYFUNCTION("""COMPUTED_VALUE"""),43157.99861111111)</f>
        <v>43157.99861</v>
      </c>
      <c r="B522" s="1">
        <f>IFERROR(__xludf.DUMMYFUNCTION("""COMPUTED_VALUE"""),10380.65)</f>
        <v>10380.65</v>
      </c>
      <c r="C522" s="58">
        <f t="shared" si="1"/>
        <v>3341.998611</v>
      </c>
      <c r="D522" s="1">
        <f t="shared" si="2"/>
        <v>1426.645128</v>
      </c>
      <c r="E522" s="1">
        <f t="shared" si="3"/>
        <v>2567.961231</v>
      </c>
      <c r="F522" s="1">
        <f t="shared" si="4"/>
        <v>4850.593436</v>
      </c>
      <c r="G522" s="1">
        <f t="shared" si="5"/>
        <v>8559.870769</v>
      </c>
      <c r="H522" s="1">
        <f t="shared" si="6"/>
        <v>15693.09641</v>
      </c>
      <c r="I522" s="1">
        <f t="shared" si="7"/>
        <v>25679.61231</v>
      </c>
    </row>
    <row r="523" hidden="1">
      <c r="A523" s="266">
        <f>IFERROR(__xludf.DUMMYFUNCTION("""COMPUTED_VALUE"""),43158.99861111111)</f>
        <v>43158.99861</v>
      </c>
      <c r="B523" s="1">
        <f>IFERROR(__xludf.DUMMYFUNCTION("""COMPUTED_VALUE"""),10763.49)</f>
        <v>10763.49</v>
      </c>
      <c r="C523" s="58">
        <f t="shared" si="1"/>
        <v>3342.998611</v>
      </c>
      <c r="D523" s="1">
        <f t="shared" si="2"/>
        <v>1429.122833</v>
      </c>
      <c r="E523" s="1">
        <f t="shared" si="3"/>
        <v>2572.421099</v>
      </c>
      <c r="F523" s="1">
        <f t="shared" si="4"/>
        <v>4859.017632</v>
      </c>
      <c r="G523" s="1">
        <f t="shared" si="5"/>
        <v>8574.736998</v>
      </c>
      <c r="H523" s="1">
        <f t="shared" si="6"/>
        <v>15720.35116</v>
      </c>
      <c r="I523" s="1">
        <f t="shared" si="7"/>
        <v>25724.21099</v>
      </c>
    </row>
    <row r="524" hidden="1">
      <c r="A524" s="266">
        <f>IFERROR(__xludf.DUMMYFUNCTION("""COMPUTED_VALUE"""),43159.99861111111)</f>
        <v>43159.99861</v>
      </c>
      <c r="B524" s="1">
        <f>IFERROR(__xludf.DUMMYFUNCTION("""COMPUTED_VALUE"""),10542.55)</f>
        <v>10542.55</v>
      </c>
      <c r="C524" s="58">
        <f t="shared" si="1"/>
        <v>3343.998611</v>
      </c>
      <c r="D524" s="1">
        <f t="shared" si="2"/>
        <v>1431.604098</v>
      </c>
      <c r="E524" s="1">
        <f t="shared" si="3"/>
        <v>2576.887376</v>
      </c>
      <c r="F524" s="1">
        <f t="shared" si="4"/>
        <v>4867.453933</v>
      </c>
      <c r="G524" s="1">
        <f t="shared" si="5"/>
        <v>8589.624588</v>
      </c>
      <c r="H524" s="1">
        <f t="shared" si="6"/>
        <v>15747.64508</v>
      </c>
      <c r="I524" s="1">
        <f t="shared" si="7"/>
        <v>25768.87376</v>
      </c>
    </row>
    <row r="525" hidden="1">
      <c r="A525" s="266">
        <f>IFERROR(__xludf.DUMMYFUNCTION("""COMPUTED_VALUE"""),43160.99861111111)</f>
        <v>43160.99861</v>
      </c>
      <c r="B525" s="1">
        <f>IFERROR(__xludf.DUMMYFUNCTION("""COMPUTED_VALUE"""),10940.69)</f>
        <v>10940.69</v>
      </c>
      <c r="C525" s="58">
        <f t="shared" si="1"/>
        <v>3344.998611</v>
      </c>
      <c r="D525" s="1">
        <f t="shared" si="2"/>
        <v>1434.088927</v>
      </c>
      <c r="E525" s="1">
        <f t="shared" si="3"/>
        <v>2581.360069</v>
      </c>
      <c r="F525" s="1">
        <f t="shared" si="4"/>
        <v>4875.902352</v>
      </c>
      <c r="G525" s="1">
        <f t="shared" si="5"/>
        <v>8604.533563</v>
      </c>
      <c r="H525" s="1">
        <f t="shared" si="6"/>
        <v>15774.9782</v>
      </c>
      <c r="I525" s="1">
        <f t="shared" si="7"/>
        <v>25813.60069</v>
      </c>
    </row>
    <row r="526" hidden="1">
      <c r="A526" s="266">
        <f>IFERROR(__xludf.DUMMYFUNCTION("""COMPUTED_VALUE"""),43161.99861111111)</f>
        <v>43161.99861</v>
      </c>
      <c r="B526" s="1">
        <f>IFERROR(__xludf.DUMMYFUNCTION("""COMPUTED_VALUE"""),11038.1)</f>
        <v>11038.1</v>
      </c>
      <c r="C526" s="58">
        <f t="shared" si="1"/>
        <v>3345.998611</v>
      </c>
      <c r="D526" s="1">
        <f t="shared" si="2"/>
        <v>1436.577325</v>
      </c>
      <c r="E526" s="1">
        <f t="shared" si="3"/>
        <v>2585.839184</v>
      </c>
      <c r="F526" s="1">
        <f t="shared" si="4"/>
        <v>4884.362904</v>
      </c>
      <c r="G526" s="1">
        <f t="shared" si="5"/>
        <v>8619.463948</v>
      </c>
      <c r="H526" s="1">
        <f t="shared" si="6"/>
        <v>15802.35057</v>
      </c>
      <c r="I526" s="1">
        <f t="shared" si="7"/>
        <v>25858.39184</v>
      </c>
    </row>
    <row r="527" hidden="1">
      <c r="A527" s="266">
        <f>IFERROR(__xludf.DUMMYFUNCTION("""COMPUTED_VALUE"""),43162.99861111111)</f>
        <v>43162.99861</v>
      </c>
      <c r="B527" s="1">
        <f>IFERROR(__xludf.DUMMYFUNCTION("""COMPUTED_VALUE"""),11360.78)</f>
        <v>11360.78</v>
      </c>
      <c r="C527" s="58">
        <f t="shared" si="1"/>
        <v>3346.998611</v>
      </c>
      <c r="D527" s="1">
        <f t="shared" si="2"/>
        <v>1439.069294</v>
      </c>
      <c r="E527" s="1">
        <f t="shared" si="3"/>
        <v>2590.32473</v>
      </c>
      <c r="F527" s="1">
        <f t="shared" si="4"/>
        <v>4892.835601</v>
      </c>
      <c r="G527" s="1">
        <f t="shared" si="5"/>
        <v>8634.415766</v>
      </c>
      <c r="H527" s="1">
        <f t="shared" si="6"/>
        <v>15829.76224</v>
      </c>
      <c r="I527" s="1">
        <f t="shared" si="7"/>
        <v>25903.2473</v>
      </c>
    </row>
    <row r="528" hidden="1">
      <c r="A528" s="266">
        <f>IFERROR(__xludf.DUMMYFUNCTION("""COMPUTED_VALUE"""),43163.99861111111)</f>
        <v>43163.99861</v>
      </c>
      <c r="B528" s="1">
        <f>IFERROR(__xludf.DUMMYFUNCTION("""COMPUTED_VALUE"""),11470.49)</f>
        <v>11470.49</v>
      </c>
      <c r="C528" s="58">
        <f t="shared" si="1"/>
        <v>3347.998611</v>
      </c>
      <c r="D528" s="1">
        <f t="shared" si="2"/>
        <v>1441.56484</v>
      </c>
      <c r="E528" s="1">
        <f t="shared" si="3"/>
        <v>2594.816713</v>
      </c>
      <c r="F528" s="1">
        <f t="shared" si="4"/>
        <v>4901.320457</v>
      </c>
      <c r="G528" s="1">
        <f t="shared" si="5"/>
        <v>8649.389042</v>
      </c>
      <c r="H528" s="1">
        <f t="shared" si="6"/>
        <v>15857.21324</v>
      </c>
      <c r="I528" s="1">
        <f t="shared" si="7"/>
        <v>25948.16713</v>
      </c>
    </row>
    <row r="529" hidden="1">
      <c r="A529" s="266">
        <f>IFERROR(__xludf.DUMMYFUNCTION("""COMPUTED_VALUE"""),43164.99861111111)</f>
        <v>43164.99861</v>
      </c>
      <c r="B529" s="1">
        <f>IFERROR(__xludf.DUMMYFUNCTION("""COMPUTED_VALUE"""),11569.98)</f>
        <v>11569.98</v>
      </c>
      <c r="C529" s="58">
        <f t="shared" si="1"/>
        <v>3348.998611</v>
      </c>
      <c r="D529" s="1">
        <f t="shared" si="2"/>
        <v>1444.063967</v>
      </c>
      <c r="E529" s="1">
        <f t="shared" si="3"/>
        <v>2599.31514</v>
      </c>
      <c r="F529" s="1">
        <f t="shared" si="4"/>
        <v>4909.817487</v>
      </c>
      <c r="G529" s="1">
        <f t="shared" si="5"/>
        <v>8664.383801</v>
      </c>
      <c r="H529" s="1">
        <f t="shared" si="6"/>
        <v>15884.70364</v>
      </c>
      <c r="I529" s="1">
        <f t="shared" si="7"/>
        <v>25993.1514</v>
      </c>
    </row>
    <row r="530" hidden="1">
      <c r="A530" s="266">
        <f>IFERROR(__xludf.DUMMYFUNCTION("""COMPUTED_VALUE"""),43165.99861111111)</f>
        <v>43165.99861</v>
      </c>
      <c r="B530" s="1">
        <f>IFERROR(__xludf.DUMMYFUNCTION("""COMPUTED_VALUE"""),10787.04)</f>
        <v>10787.04</v>
      </c>
      <c r="C530" s="58">
        <f t="shared" si="1"/>
        <v>3349.998611</v>
      </c>
      <c r="D530" s="1">
        <f t="shared" si="2"/>
        <v>1446.566678</v>
      </c>
      <c r="E530" s="1">
        <f t="shared" si="3"/>
        <v>2603.82002</v>
      </c>
      <c r="F530" s="1">
        <f t="shared" si="4"/>
        <v>4918.326705</v>
      </c>
      <c r="G530" s="1">
        <f t="shared" si="5"/>
        <v>8679.400067</v>
      </c>
      <c r="H530" s="1">
        <f t="shared" si="6"/>
        <v>15912.23346</v>
      </c>
      <c r="I530" s="1">
        <f t="shared" si="7"/>
        <v>26038.2002</v>
      </c>
    </row>
    <row r="531" hidden="1">
      <c r="A531" s="266">
        <f>IFERROR(__xludf.DUMMYFUNCTION("""COMPUTED_VALUE"""),43166.99861111111)</f>
        <v>43166.99861</v>
      </c>
      <c r="B531" s="1">
        <f>IFERROR(__xludf.DUMMYFUNCTION("""COMPUTED_VALUE"""),9946.18)</f>
        <v>9946.18</v>
      </c>
      <c r="C531" s="58">
        <f t="shared" si="1"/>
        <v>3350.998611</v>
      </c>
      <c r="D531" s="1">
        <f t="shared" si="2"/>
        <v>1449.072977</v>
      </c>
      <c r="E531" s="1">
        <f t="shared" si="3"/>
        <v>2608.331359</v>
      </c>
      <c r="F531" s="1">
        <f t="shared" si="4"/>
        <v>4926.848123</v>
      </c>
      <c r="G531" s="1">
        <f t="shared" si="5"/>
        <v>8694.437864</v>
      </c>
      <c r="H531" s="1">
        <f t="shared" si="6"/>
        <v>15939.80275</v>
      </c>
      <c r="I531" s="1">
        <f t="shared" si="7"/>
        <v>26083.31359</v>
      </c>
    </row>
    <row r="532" hidden="1">
      <c r="A532" s="266">
        <f>IFERROR(__xludf.DUMMYFUNCTION("""COMPUTED_VALUE"""),43167.99861111111)</f>
        <v>43167.99861</v>
      </c>
      <c r="B532" s="1">
        <f>IFERROR(__xludf.DUMMYFUNCTION("""COMPUTED_VALUE"""),9333.84)</f>
        <v>9333.84</v>
      </c>
      <c r="C532" s="58">
        <f t="shared" si="1"/>
        <v>3351.998611</v>
      </c>
      <c r="D532" s="1">
        <f t="shared" si="2"/>
        <v>1451.582869</v>
      </c>
      <c r="E532" s="1">
        <f t="shared" si="3"/>
        <v>2612.849165</v>
      </c>
      <c r="F532" s="1">
        <f t="shared" si="4"/>
        <v>4935.381756</v>
      </c>
      <c r="G532" s="1">
        <f t="shared" si="5"/>
        <v>8709.497216</v>
      </c>
      <c r="H532" s="1">
        <f t="shared" si="6"/>
        <v>15967.41156</v>
      </c>
      <c r="I532" s="1">
        <f t="shared" si="7"/>
        <v>26128.49165</v>
      </c>
    </row>
    <row r="533" hidden="1">
      <c r="A533" s="266">
        <f>IFERROR(__xludf.DUMMYFUNCTION("""COMPUTED_VALUE"""),43168.99861111111)</f>
        <v>43168.99861</v>
      </c>
      <c r="B533" s="1">
        <f>IFERROR(__xludf.DUMMYFUNCTION("""COMPUTED_VALUE"""),9006.66)</f>
        <v>9006.66</v>
      </c>
      <c r="C533" s="58">
        <f t="shared" si="1"/>
        <v>3352.998611</v>
      </c>
      <c r="D533" s="1">
        <f t="shared" si="2"/>
        <v>1454.096358</v>
      </c>
      <c r="E533" s="1">
        <f t="shared" si="3"/>
        <v>2617.373445</v>
      </c>
      <c r="F533" s="1">
        <f t="shared" si="4"/>
        <v>4943.927618</v>
      </c>
      <c r="G533" s="1">
        <f t="shared" si="5"/>
        <v>8724.578149</v>
      </c>
      <c r="H533" s="1">
        <f t="shared" si="6"/>
        <v>15995.05994</v>
      </c>
      <c r="I533" s="1">
        <f t="shared" si="7"/>
        <v>26173.73445</v>
      </c>
    </row>
    <row r="534" hidden="1">
      <c r="A534" s="266">
        <f>IFERROR(__xludf.DUMMYFUNCTION("""COMPUTED_VALUE"""),43169.99861111111)</f>
        <v>43169.99861</v>
      </c>
      <c r="B534" s="1">
        <f>IFERROR(__xludf.DUMMYFUNCTION("""COMPUTED_VALUE"""),8515.73)</f>
        <v>8515.73</v>
      </c>
      <c r="C534" s="58">
        <f t="shared" si="1"/>
        <v>3353.998611</v>
      </c>
      <c r="D534" s="1">
        <f t="shared" si="2"/>
        <v>1456.613448</v>
      </c>
      <c r="E534" s="1">
        <f t="shared" si="3"/>
        <v>2621.904206</v>
      </c>
      <c r="F534" s="1">
        <f t="shared" si="4"/>
        <v>4952.485722</v>
      </c>
      <c r="G534" s="1">
        <f t="shared" si="5"/>
        <v>8739.680687</v>
      </c>
      <c r="H534" s="1">
        <f t="shared" si="6"/>
        <v>16022.74793</v>
      </c>
      <c r="I534" s="1">
        <f t="shared" si="7"/>
        <v>26219.04206</v>
      </c>
    </row>
    <row r="535" hidden="1">
      <c r="A535" s="266">
        <f>IFERROR(__xludf.DUMMYFUNCTION("""COMPUTED_VALUE"""),43170.99861111111)</f>
        <v>43170.99861</v>
      </c>
      <c r="B535" s="1">
        <f>IFERROR(__xludf.DUMMYFUNCTION("""COMPUTED_VALUE"""),9519.76)</f>
        <v>9519.76</v>
      </c>
      <c r="C535" s="58">
        <f t="shared" si="1"/>
        <v>3354.998611</v>
      </c>
      <c r="D535" s="1">
        <f t="shared" si="2"/>
        <v>1459.134142</v>
      </c>
      <c r="E535" s="1">
        <f t="shared" si="3"/>
        <v>2626.441456</v>
      </c>
      <c r="F535" s="1">
        <f t="shared" si="4"/>
        <v>4961.056084</v>
      </c>
      <c r="G535" s="1">
        <f t="shared" si="5"/>
        <v>8754.804853</v>
      </c>
      <c r="H535" s="1">
        <f t="shared" si="6"/>
        <v>16050.47556</v>
      </c>
      <c r="I535" s="1">
        <f t="shared" si="7"/>
        <v>26264.41456</v>
      </c>
    </row>
    <row r="536" hidden="1">
      <c r="A536" s="266">
        <f>IFERROR(__xludf.DUMMYFUNCTION("""COMPUTED_VALUE"""),43171.99861111111)</f>
        <v>43171.99861</v>
      </c>
      <c r="B536" s="1">
        <f>IFERROR(__xludf.DUMMYFUNCTION("""COMPUTED_VALUE"""),9009.62)</f>
        <v>9009.62</v>
      </c>
      <c r="C536" s="58">
        <f t="shared" si="1"/>
        <v>3355.998611</v>
      </c>
      <c r="D536" s="1">
        <f t="shared" si="2"/>
        <v>1461.658446</v>
      </c>
      <c r="E536" s="1">
        <f t="shared" si="3"/>
        <v>2630.985202</v>
      </c>
      <c r="F536" s="1">
        <f t="shared" si="4"/>
        <v>4969.638715</v>
      </c>
      <c r="G536" s="1">
        <f t="shared" si="5"/>
        <v>8769.950673</v>
      </c>
      <c r="H536" s="1">
        <f t="shared" si="6"/>
        <v>16078.2429</v>
      </c>
      <c r="I536" s="1">
        <f t="shared" si="7"/>
        <v>26309.85202</v>
      </c>
    </row>
    <row r="537" hidden="1">
      <c r="A537" s="266">
        <f>IFERROR(__xludf.DUMMYFUNCTION("""COMPUTED_VALUE"""),43172.99861111111)</f>
        <v>43172.99861</v>
      </c>
      <c r="B537" s="1">
        <f>IFERROR(__xludf.DUMMYFUNCTION("""COMPUTED_VALUE"""),9059.03)</f>
        <v>9059.03</v>
      </c>
      <c r="C537" s="58">
        <f t="shared" si="1"/>
        <v>3356.998611</v>
      </c>
      <c r="D537" s="1">
        <f t="shared" si="2"/>
        <v>1464.186362</v>
      </c>
      <c r="E537" s="1">
        <f t="shared" si="3"/>
        <v>2635.535452</v>
      </c>
      <c r="F537" s="1">
        <f t="shared" si="4"/>
        <v>4978.233631</v>
      </c>
      <c r="G537" s="1">
        <f t="shared" si="5"/>
        <v>8785.118172</v>
      </c>
      <c r="H537" s="1">
        <f t="shared" si="6"/>
        <v>16106.04998</v>
      </c>
      <c r="I537" s="1">
        <f t="shared" si="7"/>
        <v>26355.35452</v>
      </c>
    </row>
    <row r="538" hidden="1">
      <c r="A538" s="266">
        <f>IFERROR(__xludf.DUMMYFUNCTION("""COMPUTED_VALUE"""),43173.99861111111)</f>
        <v>43173.99861</v>
      </c>
      <c r="B538" s="1">
        <f>IFERROR(__xludf.DUMMYFUNCTION("""COMPUTED_VALUE"""),8299.89)</f>
        <v>8299.89</v>
      </c>
      <c r="C538" s="58">
        <f t="shared" si="1"/>
        <v>3357.998611</v>
      </c>
      <c r="D538" s="1">
        <f t="shared" si="2"/>
        <v>1466.717896</v>
      </c>
      <c r="E538" s="1">
        <f t="shared" si="3"/>
        <v>2640.092212</v>
      </c>
      <c r="F538" s="1">
        <f t="shared" si="4"/>
        <v>4986.840845</v>
      </c>
      <c r="G538" s="1">
        <f t="shared" si="5"/>
        <v>8800.307373</v>
      </c>
      <c r="H538" s="1">
        <f t="shared" si="6"/>
        <v>16133.89685</v>
      </c>
      <c r="I538" s="1">
        <f t="shared" si="7"/>
        <v>26400.92212</v>
      </c>
    </row>
    <row r="539" hidden="1">
      <c r="A539" s="266">
        <f>IFERROR(__xludf.DUMMYFUNCTION("""COMPUTED_VALUE"""),43174.99861111111)</f>
        <v>43174.99861</v>
      </c>
      <c r="B539" s="1">
        <f>IFERROR(__xludf.DUMMYFUNCTION("""COMPUTED_VALUE"""),8263.65)</f>
        <v>8263.65</v>
      </c>
      <c r="C539" s="58">
        <f t="shared" si="1"/>
        <v>3358.998611</v>
      </c>
      <c r="D539" s="1">
        <f t="shared" si="2"/>
        <v>1469.25305</v>
      </c>
      <c r="E539" s="1">
        <f t="shared" si="3"/>
        <v>2644.65549</v>
      </c>
      <c r="F539" s="1">
        <f t="shared" si="4"/>
        <v>4995.460371</v>
      </c>
      <c r="G539" s="1">
        <f t="shared" si="5"/>
        <v>8815.518302</v>
      </c>
      <c r="H539" s="1">
        <f t="shared" si="6"/>
        <v>16161.78355</v>
      </c>
      <c r="I539" s="1">
        <f t="shared" si="7"/>
        <v>26446.5549</v>
      </c>
    </row>
    <row r="540" hidden="1">
      <c r="A540" s="266">
        <f>IFERROR(__xludf.DUMMYFUNCTION("""COMPUTED_VALUE"""),43175.99861111111)</f>
        <v>43175.99861</v>
      </c>
      <c r="B540" s="1">
        <f>IFERROR(__xludf.DUMMYFUNCTION("""COMPUTED_VALUE"""),8526.98)</f>
        <v>8526.98</v>
      </c>
      <c r="C540" s="58">
        <f t="shared" si="1"/>
        <v>3359.998611</v>
      </c>
      <c r="D540" s="1">
        <f t="shared" si="2"/>
        <v>1471.79183</v>
      </c>
      <c r="E540" s="1">
        <f t="shared" si="3"/>
        <v>2649.225295</v>
      </c>
      <c r="F540" s="1">
        <f t="shared" si="4"/>
        <v>5004.092223</v>
      </c>
      <c r="G540" s="1">
        <f t="shared" si="5"/>
        <v>8830.750982</v>
      </c>
      <c r="H540" s="1">
        <f t="shared" si="6"/>
        <v>16189.71013</v>
      </c>
      <c r="I540" s="1">
        <f t="shared" si="7"/>
        <v>26492.25295</v>
      </c>
    </row>
    <row r="541" hidden="1">
      <c r="A541" s="266">
        <f>IFERROR(__xludf.DUMMYFUNCTION("""COMPUTED_VALUE"""),43176.99861111111)</f>
        <v>43176.99861</v>
      </c>
      <c r="B541" s="1">
        <f>IFERROR(__xludf.DUMMYFUNCTION("""COMPUTED_VALUE"""),7880.77)</f>
        <v>7880.77</v>
      </c>
      <c r="C541" s="58">
        <f t="shared" si="1"/>
        <v>3360.998611</v>
      </c>
      <c r="D541" s="1">
        <f t="shared" si="2"/>
        <v>1474.33424</v>
      </c>
      <c r="E541" s="1">
        <f t="shared" si="3"/>
        <v>2653.801632</v>
      </c>
      <c r="F541" s="1">
        <f t="shared" si="4"/>
        <v>5012.736415</v>
      </c>
      <c r="G541" s="1">
        <f t="shared" si="5"/>
        <v>8846.005439</v>
      </c>
      <c r="H541" s="1">
        <f t="shared" si="6"/>
        <v>16217.67664</v>
      </c>
      <c r="I541" s="1">
        <f t="shared" si="7"/>
        <v>26538.01632</v>
      </c>
    </row>
    <row r="542" hidden="1">
      <c r="A542" s="266">
        <f>IFERROR(__xludf.DUMMYFUNCTION("""COMPUTED_VALUE"""),43177.99861111111)</f>
        <v>43177.99861</v>
      </c>
      <c r="B542" s="1">
        <f>IFERROR(__xludf.DUMMYFUNCTION("""COMPUTED_VALUE"""),8206.42)</f>
        <v>8206.42</v>
      </c>
      <c r="C542" s="58">
        <f t="shared" si="1"/>
        <v>3361.998611</v>
      </c>
      <c r="D542" s="1">
        <f t="shared" si="2"/>
        <v>1476.880283</v>
      </c>
      <c r="E542" s="1">
        <f t="shared" si="3"/>
        <v>2658.384509</v>
      </c>
      <c r="F542" s="1">
        <f t="shared" si="4"/>
        <v>5021.392962</v>
      </c>
      <c r="G542" s="1">
        <f t="shared" si="5"/>
        <v>8861.281697</v>
      </c>
      <c r="H542" s="1">
        <f t="shared" si="6"/>
        <v>16245.68311</v>
      </c>
      <c r="I542" s="1">
        <f t="shared" si="7"/>
        <v>26583.84509</v>
      </c>
    </row>
    <row r="543" hidden="1">
      <c r="A543" s="266">
        <f>IFERROR(__xludf.DUMMYFUNCTION("""COMPUTED_VALUE"""),43178.99861111111)</f>
        <v>43178.99861</v>
      </c>
      <c r="B543" s="1">
        <f>IFERROR(__xludf.DUMMYFUNCTION("""COMPUTED_VALUE"""),8422.27)</f>
        <v>8422.27</v>
      </c>
      <c r="C543" s="58">
        <f t="shared" si="1"/>
        <v>3362.998611</v>
      </c>
      <c r="D543" s="1">
        <f t="shared" si="2"/>
        <v>1479.429963</v>
      </c>
      <c r="E543" s="1">
        <f t="shared" si="3"/>
        <v>2662.973934</v>
      </c>
      <c r="F543" s="1">
        <f t="shared" si="4"/>
        <v>5030.061876</v>
      </c>
      <c r="G543" s="1">
        <f t="shared" si="5"/>
        <v>8876.579781</v>
      </c>
      <c r="H543" s="1">
        <f t="shared" si="6"/>
        <v>16273.7296</v>
      </c>
      <c r="I543" s="1">
        <f t="shared" si="7"/>
        <v>26629.73934</v>
      </c>
    </row>
    <row r="544" hidden="1">
      <c r="A544" s="266">
        <f>IFERROR(__xludf.DUMMYFUNCTION("""COMPUTED_VALUE"""),43179.99861111111)</f>
        <v>43179.99861</v>
      </c>
      <c r="B544" s="1">
        <f>IFERROR(__xludf.DUMMYFUNCTION("""COMPUTED_VALUE"""),8917.49)</f>
        <v>8917.49</v>
      </c>
      <c r="C544" s="58">
        <f t="shared" si="1"/>
        <v>3363.998611</v>
      </c>
      <c r="D544" s="1">
        <f t="shared" si="2"/>
        <v>1481.983286</v>
      </c>
      <c r="E544" s="1">
        <f t="shared" si="3"/>
        <v>2667.569915</v>
      </c>
      <c r="F544" s="1">
        <f t="shared" si="4"/>
        <v>5038.743172</v>
      </c>
      <c r="G544" s="1">
        <f t="shared" si="5"/>
        <v>8891.899715</v>
      </c>
      <c r="H544" s="1">
        <f t="shared" si="6"/>
        <v>16301.81614</v>
      </c>
      <c r="I544" s="1">
        <f t="shared" si="7"/>
        <v>26675.69915</v>
      </c>
    </row>
    <row r="545" hidden="1">
      <c r="A545" s="266">
        <f>IFERROR(__xludf.DUMMYFUNCTION("""COMPUTED_VALUE"""),43180.99861111111)</f>
        <v>43180.99861</v>
      </c>
      <c r="B545" s="1">
        <f>IFERROR(__xludf.DUMMYFUNCTION("""COMPUTED_VALUE"""),8885.57)</f>
        <v>8885.57</v>
      </c>
      <c r="C545" s="58">
        <f t="shared" si="1"/>
        <v>3364.998611</v>
      </c>
      <c r="D545" s="1">
        <f t="shared" si="2"/>
        <v>1484.540254</v>
      </c>
      <c r="E545" s="1">
        <f t="shared" si="3"/>
        <v>2672.172457</v>
      </c>
      <c r="F545" s="1">
        <f t="shared" si="4"/>
        <v>5047.436864</v>
      </c>
      <c r="G545" s="1">
        <f t="shared" si="5"/>
        <v>8907.241525</v>
      </c>
      <c r="H545" s="1">
        <f t="shared" si="6"/>
        <v>16329.9428</v>
      </c>
      <c r="I545" s="1">
        <f t="shared" si="7"/>
        <v>26721.72457</v>
      </c>
    </row>
    <row r="546" hidden="1">
      <c r="A546" s="266">
        <f>IFERROR(__xludf.DUMMYFUNCTION("""COMPUTED_VALUE"""),43181.99861111111)</f>
        <v>43181.99861</v>
      </c>
      <c r="B546" s="1">
        <f>IFERROR(__xludf.DUMMYFUNCTION("""COMPUTED_VALUE"""),8599.33)</f>
        <v>8599.33</v>
      </c>
      <c r="C546" s="58">
        <f t="shared" si="1"/>
        <v>3365.998611</v>
      </c>
      <c r="D546" s="1">
        <f t="shared" si="2"/>
        <v>1487.100872</v>
      </c>
      <c r="E546" s="1">
        <f t="shared" si="3"/>
        <v>2676.78157</v>
      </c>
      <c r="F546" s="1">
        <f t="shared" si="4"/>
        <v>5056.142966</v>
      </c>
      <c r="G546" s="1">
        <f t="shared" si="5"/>
        <v>8922.605234</v>
      </c>
      <c r="H546" s="1">
        <f t="shared" si="6"/>
        <v>16358.1096</v>
      </c>
      <c r="I546" s="1">
        <f t="shared" si="7"/>
        <v>26767.8157</v>
      </c>
    </row>
    <row r="547" hidden="1">
      <c r="A547" s="266">
        <f>IFERROR(__xludf.DUMMYFUNCTION("""COMPUTED_VALUE"""),43182.99861111111)</f>
        <v>43182.99861</v>
      </c>
      <c r="B547" s="1">
        <f>IFERROR(__xludf.DUMMYFUNCTION("""COMPUTED_VALUE"""),8618.66)</f>
        <v>8618.66</v>
      </c>
      <c r="C547" s="58">
        <f t="shared" si="1"/>
        <v>3366.998611</v>
      </c>
      <c r="D547" s="1">
        <f t="shared" si="2"/>
        <v>1489.665145</v>
      </c>
      <c r="E547" s="1">
        <f t="shared" si="3"/>
        <v>2681.397261</v>
      </c>
      <c r="F547" s="1">
        <f t="shared" si="4"/>
        <v>5064.861492</v>
      </c>
      <c r="G547" s="1">
        <f t="shared" si="5"/>
        <v>8937.990869</v>
      </c>
      <c r="H547" s="1">
        <f t="shared" si="6"/>
        <v>16386.31659</v>
      </c>
      <c r="I547" s="1">
        <f t="shared" si="7"/>
        <v>26813.97261</v>
      </c>
    </row>
    <row r="548" hidden="1">
      <c r="A548" s="266">
        <f>IFERROR(__xludf.DUMMYFUNCTION("""COMPUTED_VALUE"""),43183.99861111111)</f>
        <v>43183.99861</v>
      </c>
      <c r="B548" s="1">
        <f>IFERROR(__xludf.DUMMYFUNCTION("""COMPUTED_VALUE"""),8524.72)</f>
        <v>8524.72</v>
      </c>
      <c r="C548" s="58">
        <f t="shared" si="1"/>
        <v>3367.998611</v>
      </c>
      <c r="D548" s="1">
        <f t="shared" si="2"/>
        <v>1492.233075</v>
      </c>
      <c r="E548" s="1">
        <f t="shared" si="3"/>
        <v>2686.019536</v>
      </c>
      <c r="F548" s="1">
        <f t="shared" si="4"/>
        <v>5073.592456</v>
      </c>
      <c r="G548" s="1">
        <f t="shared" si="5"/>
        <v>8953.398452</v>
      </c>
      <c r="H548" s="1">
        <f t="shared" si="6"/>
        <v>16414.56383</v>
      </c>
      <c r="I548" s="1">
        <f t="shared" si="7"/>
        <v>26860.19536</v>
      </c>
    </row>
    <row r="549" hidden="1">
      <c r="A549" s="266">
        <f>IFERROR(__xludf.DUMMYFUNCTION("""COMPUTED_VALUE"""),43184.99861111111)</f>
        <v>43184.99861</v>
      </c>
      <c r="B549" s="1">
        <f>IFERROR(__xludf.DUMMYFUNCTION("""COMPUTED_VALUE"""),8454.28)</f>
        <v>8454.28</v>
      </c>
      <c r="C549" s="58">
        <f t="shared" si="1"/>
        <v>3368.998611</v>
      </c>
      <c r="D549" s="1">
        <f t="shared" si="2"/>
        <v>1494.804668</v>
      </c>
      <c r="E549" s="1">
        <f t="shared" si="3"/>
        <v>2690.648403</v>
      </c>
      <c r="F549" s="1">
        <f t="shared" si="4"/>
        <v>5082.335872</v>
      </c>
      <c r="G549" s="1">
        <f t="shared" si="5"/>
        <v>8968.82801</v>
      </c>
      <c r="H549" s="1">
        <f t="shared" si="6"/>
        <v>16442.85135</v>
      </c>
      <c r="I549" s="1">
        <f t="shared" si="7"/>
        <v>26906.48403</v>
      </c>
    </row>
    <row r="550" hidden="1">
      <c r="A550" s="266">
        <f>IFERROR(__xludf.DUMMYFUNCTION("""COMPUTED_VALUE"""),43185.99861111111)</f>
        <v>43185.99861</v>
      </c>
      <c r="B550" s="1">
        <f>IFERROR(__xludf.DUMMYFUNCTION("""COMPUTED_VALUE"""),7897.76)</f>
        <v>7897.76</v>
      </c>
      <c r="C550" s="58">
        <f t="shared" si="1"/>
        <v>3369.998611</v>
      </c>
      <c r="D550" s="1">
        <f t="shared" si="2"/>
        <v>1497.379928</v>
      </c>
      <c r="E550" s="1">
        <f t="shared" si="3"/>
        <v>2695.28387</v>
      </c>
      <c r="F550" s="1">
        <f t="shared" si="4"/>
        <v>5091.091755</v>
      </c>
      <c r="G550" s="1">
        <f t="shared" si="5"/>
        <v>8984.279567</v>
      </c>
      <c r="H550" s="1">
        <f t="shared" si="6"/>
        <v>16471.17921</v>
      </c>
      <c r="I550" s="1">
        <f t="shared" si="7"/>
        <v>26952.8387</v>
      </c>
    </row>
    <row r="551" hidden="1">
      <c r="A551" s="266">
        <f>IFERROR(__xludf.DUMMYFUNCTION("""COMPUTED_VALUE"""),43186.99861111111)</f>
        <v>43186.99861</v>
      </c>
      <c r="B551" s="1">
        <f>IFERROR(__xludf.DUMMYFUNCTION("""COMPUTED_VALUE"""),7994.12)</f>
        <v>7994.12</v>
      </c>
      <c r="C551" s="58">
        <f t="shared" si="1"/>
        <v>3370.998611</v>
      </c>
      <c r="D551" s="1">
        <f t="shared" si="2"/>
        <v>1499.958858</v>
      </c>
      <c r="E551" s="1">
        <f t="shared" si="3"/>
        <v>2699.925944</v>
      </c>
      <c r="F551" s="1">
        <f t="shared" si="4"/>
        <v>5099.860117</v>
      </c>
      <c r="G551" s="1">
        <f t="shared" si="5"/>
        <v>8999.753148</v>
      </c>
      <c r="H551" s="1">
        <f t="shared" si="6"/>
        <v>16499.54744</v>
      </c>
      <c r="I551" s="1">
        <f t="shared" si="7"/>
        <v>26999.25944</v>
      </c>
    </row>
    <row r="552" hidden="1">
      <c r="A552" s="266">
        <f>IFERROR(__xludf.DUMMYFUNCTION("""COMPUTED_VALUE"""),43187.99861111111)</f>
        <v>43187.99861</v>
      </c>
      <c r="B552" s="1">
        <f>IFERROR(__xludf.DUMMYFUNCTION("""COMPUTED_VALUE"""),7908.79)</f>
        <v>7908.79</v>
      </c>
      <c r="C552" s="58">
        <f t="shared" si="1"/>
        <v>3371.998611</v>
      </c>
      <c r="D552" s="1">
        <f t="shared" si="2"/>
        <v>1502.541463</v>
      </c>
      <c r="E552" s="1">
        <f t="shared" si="3"/>
        <v>2704.574633</v>
      </c>
      <c r="F552" s="1">
        <f t="shared" si="4"/>
        <v>5108.640974</v>
      </c>
      <c r="G552" s="1">
        <f t="shared" si="5"/>
        <v>9015.248777</v>
      </c>
      <c r="H552" s="1">
        <f t="shared" si="6"/>
        <v>16527.95609</v>
      </c>
      <c r="I552" s="1">
        <f t="shared" si="7"/>
        <v>27045.74633</v>
      </c>
    </row>
    <row r="553" hidden="1">
      <c r="A553" s="266">
        <f>IFERROR(__xludf.DUMMYFUNCTION("""COMPUTED_VALUE"""),43188.99861111111)</f>
        <v>43188.99861</v>
      </c>
      <c r="B553" s="1">
        <f>IFERROR(__xludf.DUMMYFUNCTION("""COMPUTED_VALUE"""),7130.79)</f>
        <v>7130.79</v>
      </c>
      <c r="C553" s="58">
        <f t="shared" si="1"/>
        <v>3372.998611</v>
      </c>
      <c r="D553" s="1">
        <f t="shared" si="2"/>
        <v>1505.127747</v>
      </c>
      <c r="E553" s="1">
        <f t="shared" si="3"/>
        <v>2709.229944</v>
      </c>
      <c r="F553" s="1">
        <f t="shared" si="4"/>
        <v>5117.434339</v>
      </c>
      <c r="G553" s="1">
        <f t="shared" si="5"/>
        <v>9030.76648</v>
      </c>
      <c r="H553" s="1">
        <f t="shared" si="6"/>
        <v>16556.40521</v>
      </c>
      <c r="I553" s="1">
        <f t="shared" si="7"/>
        <v>27092.29944</v>
      </c>
    </row>
    <row r="554" hidden="1">
      <c r="A554" s="266">
        <f>IFERROR(__xludf.DUMMYFUNCTION("""COMPUTED_VALUE"""),43189.99861111111)</f>
        <v>43189.99861</v>
      </c>
      <c r="B554" s="1">
        <f>IFERROR(__xludf.DUMMYFUNCTION("""COMPUTED_VALUE"""),6854.0)</f>
        <v>6854</v>
      </c>
      <c r="C554" s="58">
        <f t="shared" si="1"/>
        <v>3373.998611</v>
      </c>
      <c r="D554" s="1">
        <f t="shared" si="2"/>
        <v>1507.717714</v>
      </c>
      <c r="E554" s="1">
        <f t="shared" si="3"/>
        <v>2713.891884</v>
      </c>
      <c r="F554" s="1">
        <f t="shared" si="4"/>
        <v>5126.240226</v>
      </c>
      <c r="G554" s="1">
        <f t="shared" si="5"/>
        <v>9046.306282</v>
      </c>
      <c r="H554" s="1">
        <f t="shared" si="6"/>
        <v>16584.89485</v>
      </c>
      <c r="I554" s="1">
        <f t="shared" si="7"/>
        <v>27138.91884</v>
      </c>
    </row>
    <row r="555" hidden="1">
      <c r="A555" s="266">
        <f>IFERROR(__xludf.DUMMYFUNCTION("""COMPUTED_VALUE"""),43190.99861111111)</f>
        <v>43190.99861</v>
      </c>
      <c r="B555" s="1">
        <f>IFERROR(__xludf.DUMMYFUNCTION("""COMPUTED_VALUE"""),6927.08)</f>
        <v>6927.08</v>
      </c>
      <c r="C555" s="58">
        <f t="shared" si="1"/>
        <v>3374.998611</v>
      </c>
      <c r="D555" s="1">
        <f t="shared" si="2"/>
        <v>1510.311368</v>
      </c>
      <c r="E555" s="1">
        <f t="shared" si="3"/>
        <v>2718.560462</v>
      </c>
      <c r="F555" s="1">
        <f t="shared" si="4"/>
        <v>5135.05865</v>
      </c>
      <c r="G555" s="1">
        <f t="shared" si="5"/>
        <v>9061.868206</v>
      </c>
      <c r="H555" s="1">
        <f t="shared" si="6"/>
        <v>16613.42505</v>
      </c>
      <c r="I555" s="1">
        <f t="shared" si="7"/>
        <v>27185.60462</v>
      </c>
    </row>
    <row r="556" hidden="1">
      <c r="A556" s="266">
        <f>IFERROR(__xludf.DUMMYFUNCTION("""COMPUTED_VALUE"""),43191.99861111111)</f>
        <v>43191.99861</v>
      </c>
      <c r="B556" s="1">
        <f>IFERROR(__xludf.DUMMYFUNCTION("""COMPUTED_VALUE"""),6940.61)</f>
        <v>6940.61</v>
      </c>
      <c r="C556" s="58">
        <f t="shared" si="1"/>
        <v>3375.998611</v>
      </c>
      <c r="D556" s="1">
        <f t="shared" si="2"/>
        <v>1512.908713</v>
      </c>
      <c r="E556" s="1">
        <f t="shared" si="3"/>
        <v>2723.235684</v>
      </c>
      <c r="F556" s="1">
        <f t="shared" si="4"/>
        <v>5143.889625</v>
      </c>
      <c r="G556" s="1">
        <f t="shared" si="5"/>
        <v>9077.452279</v>
      </c>
      <c r="H556" s="1">
        <f t="shared" si="6"/>
        <v>16641.99585</v>
      </c>
      <c r="I556" s="1">
        <f t="shared" si="7"/>
        <v>27232.35684</v>
      </c>
    </row>
    <row r="557" hidden="1">
      <c r="A557" s="266">
        <f>IFERROR(__xludf.DUMMYFUNCTION("""COMPUTED_VALUE"""),43192.99861111111)</f>
        <v>43192.99861</v>
      </c>
      <c r="B557" s="1">
        <f>IFERROR(__xludf.DUMMYFUNCTION("""COMPUTED_VALUE"""),6933.58)</f>
        <v>6933.58</v>
      </c>
      <c r="C557" s="58">
        <f t="shared" si="1"/>
        <v>3376.998611</v>
      </c>
      <c r="D557" s="1">
        <f t="shared" si="2"/>
        <v>1515.509754</v>
      </c>
      <c r="E557" s="1">
        <f t="shared" si="3"/>
        <v>2727.917558</v>
      </c>
      <c r="F557" s="1">
        <f t="shared" si="4"/>
        <v>5152.733165</v>
      </c>
      <c r="G557" s="1">
        <f t="shared" si="5"/>
        <v>9093.058526</v>
      </c>
      <c r="H557" s="1">
        <f t="shared" si="6"/>
        <v>16670.6073</v>
      </c>
      <c r="I557" s="1">
        <f t="shared" si="7"/>
        <v>27279.17558</v>
      </c>
    </row>
    <row r="558" hidden="1">
      <c r="A558" s="266">
        <f>IFERROR(__xludf.DUMMYFUNCTION("""COMPUTED_VALUE"""),43193.99861111111)</f>
        <v>43193.99861</v>
      </c>
      <c r="B558" s="1">
        <f>IFERROR(__xludf.DUMMYFUNCTION("""COMPUTED_VALUE"""),7409.52)</f>
        <v>7409.52</v>
      </c>
      <c r="C558" s="58">
        <f t="shared" si="1"/>
        <v>3377.998611</v>
      </c>
      <c r="D558" s="1">
        <f t="shared" si="2"/>
        <v>1518.114495</v>
      </c>
      <c r="E558" s="1">
        <f t="shared" si="3"/>
        <v>2732.606091</v>
      </c>
      <c r="F558" s="1">
        <f t="shared" si="4"/>
        <v>5161.589283</v>
      </c>
      <c r="G558" s="1">
        <f t="shared" si="5"/>
        <v>9108.68697</v>
      </c>
      <c r="H558" s="1">
        <f t="shared" si="6"/>
        <v>16699.25945</v>
      </c>
      <c r="I558" s="1">
        <f t="shared" si="7"/>
        <v>27326.06091</v>
      </c>
    </row>
    <row r="559" hidden="1">
      <c r="A559" s="266">
        <f>IFERROR(__xludf.DUMMYFUNCTION("""COMPUTED_VALUE"""),43194.99861111111)</f>
        <v>43194.99861</v>
      </c>
      <c r="B559" s="1">
        <f>IFERROR(__xludf.DUMMYFUNCTION("""COMPUTED_VALUE"""),6836.74)</f>
        <v>6836.74</v>
      </c>
      <c r="C559" s="58">
        <f t="shared" si="1"/>
        <v>3378.998611</v>
      </c>
      <c r="D559" s="1">
        <f t="shared" si="2"/>
        <v>1520.72294</v>
      </c>
      <c r="E559" s="1">
        <f t="shared" si="3"/>
        <v>2737.301291</v>
      </c>
      <c r="F559" s="1">
        <f t="shared" si="4"/>
        <v>5170.457995</v>
      </c>
      <c r="G559" s="1">
        <f t="shared" si="5"/>
        <v>9124.337638</v>
      </c>
      <c r="H559" s="1">
        <f t="shared" si="6"/>
        <v>16727.95234</v>
      </c>
      <c r="I559" s="1">
        <f t="shared" si="7"/>
        <v>27373.01291</v>
      </c>
    </row>
    <row r="560" hidden="1">
      <c r="A560" s="266">
        <f>IFERROR(__xludf.DUMMYFUNCTION("""COMPUTED_VALUE"""),43195.99861111111)</f>
        <v>43195.99861</v>
      </c>
      <c r="B560" s="1">
        <f>IFERROR(__xludf.DUMMYFUNCTION("""COMPUTED_VALUE"""),6818.54)</f>
        <v>6818.54</v>
      </c>
      <c r="C560" s="58">
        <f t="shared" si="1"/>
        <v>3379.998611</v>
      </c>
      <c r="D560" s="1">
        <f t="shared" si="2"/>
        <v>1523.335092</v>
      </c>
      <c r="E560" s="1">
        <f t="shared" si="3"/>
        <v>2742.003166</v>
      </c>
      <c r="F560" s="1">
        <f t="shared" si="4"/>
        <v>5179.339314</v>
      </c>
      <c r="G560" s="1">
        <f t="shared" si="5"/>
        <v>9140.010553</v>
      </c>
      <c r="H560" s="1">
        <f t="shared" si="6"/>
        <v>16756.68601</v>
      </c>
      <c r="I560" s="1">
        <f t="shared" si="7"/>
        <v>27420.03166</v>
      </c>
    </row>
    <row r="561" hidden="1">
      <c r="A561" s="266">
        <f>IFERROR(__xludf.DUMMYFUNCTION("""COMPUTED_VALUE"""),43196.99861111111)</f>
        <v>43196.99861</v>
      </c>
      <c r="B561" s="1">
        <f>IFERROR(__xludf.DUMMYFUNCTION("""COMPUTED_VALUE"""),6613.62)</f>
        <v>6613.62</v>
      </c>
      <c r="C561" s="58">
        <f t="shared" si="1"/>
        <v>3380.998611</v>
      </c>
      <c r="D561" s="1">
        <f t="shared" si="2"/>
        <v>1525.950957</v>
      </c>
      <c r="E561" s="1">
        <f t="shared" si="3"/>
        <v>2746.711723</v>
      </c>
      <c r="F561" s="1">
        <f t="shared" si="4"/>
        <v>5188.233254</v>
      </c>
      <c r="G561" s="1">
        <f t="shared" si="5"/>
        <v>9155.705742</v>
      </c>
      <c r="H561" s="1">
        <f t="shared" si="6"/>
        <v>16785.46053</v>
      </c>
      <c r="I561" s="1">
        <f t="shared" si="7"/>
        <v>27467.11723</v>
      </c>
    </row>
    <row r="562" hidden="1">
      <c r="A562" s="266">
        <f>IFERROR(__xludf.DUMMYFUNCTION("""COMPUTED_VALUE"""),43197.99861111111)</f>
        <v>43197.99861</v>
      </c>
      <c r="B562" s="1">
        <f>IFERROR(__xludf.DUMMYFUNCTION("""COMPUTED_VALUE"""),6895.41)</f>
        <v>6895.41</v>
      </c>
      <c r="C562" s="58">
        <f t="shared" si="1"/>
        <v>3381.998611</v>
      </c>
      <c r="D562" s="1">
        <f t="shared" si="2"/>
        <v>1528.570538</v>
      </c>
      <c r="E562" s="1">
        <f t="shared" si="3"/>
        <v>2751.426969</v>
      </c>
      <c r="F562" s="1">
        <f t="shared" si="4"/>
        <v>5197.13983</v>
      </c>
      <c r="G562" s="1">
        <f t="shared" si="5"/>
        <v>9171.42323</v>
      </c>
      <c r="H562" s="1">
        <f t="shared" si="6"/>
        <v>16814.27592</v>
      </c>
      <c r="I562" s="1">
        <f t="shared" si="7"/>
        <v>27514.26969</v>
      </c>
    </row>
    <row r="563" hidden="1">
      <c r="A563" s="266">
        <f>IFERROR(__xludf.DUMMYFUNCTION("""COMPUTED_VALUE"""),43198.99861111111)</f>
        <v>43198.99861</v>
      </c>
      <c r="B563" s="1">
        <f>IFERROR(__xludf.DUMMYFUNCTION("""COMPUTED_VALUE"""),7025.52)</f>
        <v>7025.52</v>
      </c>
      <c r="C563" s="58">
        <f t="shared" si="1"/>
        <v>3382.998611</v>
      </c>
      <c r="D563" s="1">
        <f t="shared" si="2"/>
        <v>1531.19384</v>
      </c>
      <c r="E563" s="1">
        <f t="shared" si="3"/>
        <v>2756.148912</v>
      </c>
      <c r="F563" s="1">
        <f t="shared" si="4"/>
        <v>5206.059056</v>
      </c>
      <c r="G563" s="1">
        <f t="shared" si="5"/>
        <v>9187.16304</v>
      </c>
      <c r="H563" s="1">
        <f t="shared" si="6"/>
        <v>16843.13224</v>
      </c>
      <c r="I563" s="1">
        <f t="shared" si="7"/>
        <v>27561.48912</v>
      </c>
    </row>
    <row r="564" hidden="1">
      <c r="A564" s="266">
        <f>IFERROR(__xludf.DUMMYFUNCTION("""COMPUTED_VALUE"""),43199.99861111111)</f>
        <v>43199.99861</v>
      </c>
      <c r="B564" s="1">
        <f>IFERROR(__xludf.DUMMYFUNCTION("""COMPUTED_VALUE"""),6775.13)</f>
        <v>6775.13</v>
      </c>
      <c r="C564" s="58">
        <f t="shared" si="1"/>
        <v>3383.998611</v>
      </c>
      <c r="D564" s="1">
        <f t="shared" si="2"/>
        <v>1533.820867</v>
      </c>
      <c r="E564" s="1">
        <f t="shared" si="3"/>
        <v>2760.87756</v>
      </c>
      <c r="F564" s="1">
        <f t="shared" si="4"/>
        <v>5214.990946</v>
      </c>
      <c r="G564" s="1">
        <f t="shared" si="5"/>
        <v>9202.925199</v>
      </c>
      <c r="H564" s="1">
        <f t="shared" si="6"/>
        <v>16872.02953</v>
      </c>
      <c r="I564" s="1">
        <f t="shared" si="7"/>
        <v>27608.7756</v>
      </c>
    </row>
    <row r="565" hidden="1">
      <c r="A565" s="266">
        <f>IFERROR(__xludf.DUMMYFUNCTION("""COMPUTED_VALUE"""),43200.99861111111)</f>
        <v>43200.99861</v>
      </c>
      <c r="B565" s="1">
        <f>IFERROR(__xludf.DUMMYFUNCTION("""COMPUTED_VALUE"""),6839.91)</f>
        <v>6839.91</v>
      </c>
      <c r="C565" s="58">
        <f t="shared" si="1"/>
        <v>3384.998611</v>
      </c>
      <c r="D565" s="1">
        <f t="shared" si="2"/>
        <v>1536.451622</v>
      </c>
      <c r="E565" s="1">
        <f t="shared" si="3"/>
        <v>2765.61292</v>
      </c>
      <c r="F565" s="1">
        <f t="shared" si="4"/>
        <v>5223.935515</v>
      </c>
      <c r="G565" s="1">
        <f t="shared" si="5"/>
        <v>9218.709732</v>
      </c>
      <c r="H565" s="1">
        <f t="shared" si="6"/>
        <v>16900.96784</v>
      </c>
      <c r="I565" s="1">
        <f t="shared" si="7"/>
        <v>27656.1292</v>
      </c>
    </row>
    <row r="566" hidden="1">
      <c r="A566" s="266">
        <f>IFERROR(__xludf.DUMMYFUNCTION("""COMPUTED_VALUE"""),43201.99861111111)</f>
        <v>43201.99861</v>
      </c>
      <c r="B566" s="1">
        <f>IFERROR(__xludf.DUMMYFUNCTION("""COMPUTED_VALUE"""),6943.74)</f>
        <v>6943.74</v>
      </c>
      <c r="C566" s="58">
        <f t="shared" si="1"/>
        <v>3385.998611</v>
      </c>
      <c r="D566" s="1">
        <f t="shared" si="2"/>
        <v>1539.086111</v>
      </c>
      <c r="E566" s="1">
        <f t="shared" si="3"/>
        <v>2770.354999</v>
      </c>
      <c r="F566" s="1">
        <f t="shared" si="4"/>
        <v>5232.892776</v>
      </c>
      <c r="G566" s="1">
        <f t="shared" si="5"/>
        <v>9234.516663</v>
      </c>
      <c r="H566" s="1">
        <f t="shared" si="6"/>
        <v>16929.94722</v>
      </c>
      <c r="I566" s="1">
        <f t="shared" si="7"/>
        <v>27703.54999</v>
      </c>
    </row>
    <row r="567" hidden="1">
      <c r="A567" s="266">
        <f>IFERROR(__xludf.DUMMYFUNCTION("""COMPUTED_VALUE"""),43202.99861111111)</f>
        <v>43202.99861</v>
      </c>
      <c r="B567" s="1">
        <f>IFERROR(__xludf.DUMMYFUNCTION("""COMPUTED_VALUE"""),7916.86)</f>
        <v>7916.86</v>
      </c>
      <c r="C567" s="58">
        <f t="shared" si="1"/>
        <v>3386.998611</v>
      </c>
      <c r="D567" s="1">
        <f t="shared" si="2"/>
        <v>1541.724336</v>
      </c>
      <c r="E567" s="1">
        <f t="shared" si="3"/>
        <v>2775.103806</v>
      </c>
      <c r="F567" s="1">
        <f t="shared" si="4"/>
        <v>5241.862744</v>
      </c>
      <c r="G567" s="1">
        <f t="shared" si="5"/>
        <v>9250.346018</v>
      </c>
      <c r="H567" s="1">
        <f t="shared" si="6"/>
        <v>16958.9677</v>
      </c>
      <c r="I567" s="1">
        <f t="shared" si="7"/>
        <v>27751.03806</v>
      </c>
    </row>
    <row r="568" hidden="1">
      <c r="A568" s="266">
        <f>IFERROR(__xludf.DUMMYFUNCTION("""COMPUTED_VALUE"""),43203.99861111111)</f>
        <v>43203.99861</v>
      </c>
      <c r="B568" s="1">
        <f>IFERROR(__xludf.DUMMYFUNCTION("""COMPUTED_VALUE"""),7881.24)</f>
        <v>7881.24</v>
      </c>
      <c r="C568" s="58">
        <f t="shared" si="1"/>
        <v>3387.998611</v>
      </c>
      <c r="D568" s="1">
        <f t="shared" si="2"/>
        <v>1544.366304</v>
      </c>
      <c r="E568" s="1">
        <f t="shared" si="3"/>
        <v>2779.859347</v>
      </c>
      <c r="F568" s="1">
        <f t="shared" si="4"/>
        <v>5250.845433</v>
      </c>
      <c r="G568" s="1">
        <f t="shared" si="5"/>
        <v>9266.197822</v>
      </c>
      <c r="H568" s="1">
        <f t="shared" si="6"/>
        <v>16988.02934</v>
      </c>
      <c r="I568" s="1">
        <f t="shared" si="7"/>
        <v>27798.59347</v>
      </c>
    </row>
    <row r="569" hidden="1">
      <c r="A569" s="266">
        <f>IFERROR(__xludf.DUMMYFUNCTION("""COMPUTED_VALUE"""),43204.99861111111)</f>
        <v>43204.99861</v>
      </c>
      <c r="B569" s="1">
        <f>IFERROR(__xludf.DUMMYFUNCTION("""COMPUTED_VALUE"""),8001.8)</f>
        <v>8001.8</v>
      </c>
      <c r="C569" s="58">
        <f t="shared" si="1"/>
        <v>3388.998611</v>
      </c>
      <c r="D569" s="1">
        <f t="shared" si="2"/>
        <v>1547.012017</v>
      </c>
      <c r="E569" s="1">
        <f t="shared" si="3"/>
        <v>2784.62163</v>
      </c>
      <c r="F569" s="1">
        <f t="shared" si="4"/>
        <v>5259.840857</v>
      </c>
      <c r="G569" s="1">
        <f t="shared" si="5"/>
        <v>9282.072101</v>
      </c>
      <c r="H569" s="1">
        <f t="shared" si="6"/>
        <v>17017.13218</v>
      </c>
      <c r="I569" s="1">
        <f t="shared" si="7"/>
        <v>27846.2163</v>
      </c>
    </row>
    <row r="570" hidden="1">
      <c r="A570" s="266">
        <f>IFERROR(__xludf.DUMMYFUNCTION("""COMPUTED_VALUE"""),43205.99861111111)</f>
        <v>43205.99861</v>
      </c>
      <c r="B570" s="1">
        <f>IFERROR(__xludf.DUMMYFUNCTION("""COMPUTED_VALUE"""),8355.6)</f>
        <v>8355.6</v>
      </c>
      <c r="C570" s="58">
        <f t="shared" si="1"/>
        <v>3389.998611</v>
      </c>
      <c r="D570" s="1">
        <f t="shared" si="2"/>
        <v>1549.66148</v>
      </c>
      <c r="E570" s="1">
        <f t="shared" si="3"/>
        <v>2789.390664</v>
      </c>
      <c r="F570" s="1">
        <f t="shared" si="4"/>
        <v>5268.849031</v>
      </c>
      <c r="G570" s="1">
        <f t="shared" si="5"/>
        <v>9297.968879</v>
      </c>
      <c r="H570" s="1">
        <f t="shared" si="6"/>
        <v>17046.27628</v>
      </c>
      <c r="I570" s="1">
        <f t="shared" si="7"/>
        <v>27893.90664</v>
      </c>
    </row>
    <row r="571" hidden="1">
      <c r="A571" s="266">
        <f>IFERROR(__xludf.DUMMYFUNCTION("""COMPUTED_VALUE"""),43206.99861111111)</f>
        <v>43206.99861</v>
      </c>
      <c r="B571" s="1">
        <f>IFERROR(__xludf.DUMMYFUNCTION("""COMPUTED_VALUE"""),8055.49)</f>
        <v>8055.49</v>
      </c>
      <c r="C571" s="58">
        <f t="shared" si="1"/>
        <v>3390.998611</v>
      </c>
      <c r="D571" s="1">
        <f t="shared" si="2"/>
        <v>1552.314697</v>
      </c>
      <c r="E571" s="1">
        <f t="shared" si="3"/>
        <v>2794.166454</v>
      </c>
      <c r="F571" s="1">
        <f t="shared" si="4"/>
        <v>5277.869969</v>
      </c>
      <c r="G571" s="1">
        <f t="shared" si="5"/>
        <v>9313.888181</v>
      </c>
      <c r="H571" s="1">
        <f t="shared" si="6"/>
        <v>17075.46167</v>
      </c>
      <c r="I571" s="1">
        <f t="shared" si="7"/>
        <v>27941.66454</v>
      </c>
    </row>
    <row r="572" hidden="1">
      <c r="A572" s="266">
        <f>IFERROR(__xludf.DUMMYFUNCTION("""COMPUTED_VALUE"""),43207.99861111111)</f>
        <v>43207.99861</v>
      </c>
      <c r="B572" s="1">
        <f>IFERROR(__xludf.DUMMYFUNCTION("""COMPUTED_VALUE"""),7891.81)</f>
        <v>7891.81</v>
      </c>
      <c r="C572" s="58">
        <f t="shared" si="1"/>
        <v>3391.998611</v>
      </c>
      <c r="D572" s="1">
        <f t="shared" si="2"/>
        <v>1554.971672</v>
      </c>
      <c r="E572" s="1">
        <f t="shared" si="3"/>
        <v>2798.94901</v>
      </c>
      <c r="F572" s="1">
        <f t="shared" si="4"/>
        <v>5286.903686</v>
      </c>
      <c r="G572" s="1">
        <f t="shared" si="5"/>
        <v>9329.830033</v>
      </c>
      <c r="H572" s="1">
        <f t="shared" si="6"/>
        <v>17104.68839</v>
      </c>
      <c r="I572" s="1">
        <f t="shared" si="7"/>
        <v>27989.4901</v>
      </c>
    </row>
    <row r="573" hidden="1">
      <c r="A573" s="266">
        <f>IFERROR(__xludf.DUMMYFUNCTION("""COMPUTED_VALUE"""),43208.99861111111)</f>
        <v>43208.99861</v>
      </c>
      <c r="B573" s="1">
        <f>IFERROR(__xludf.DUMMYFUNCTION("""COMPUTED_VALUE"""),8165.8)</f>
        <v>8165.8</v>
      </c>
      <c r="C573" s="58">
        <f t="shared" si="1"/>
        <v>3392.998611</v>
      </c>
      <c r="D573" s="1">
        <f t="shared" si="2"/>
        <v>1557.63241</v>
      </c>
      <c r="E573" s="1">
        <f t="shared" si="3"/>
        <v>2803.738338</v>
      </c>
      <c r="F573" s="1">
        <f t="shared" si="4"/>
        <v>5295.950194</v>
      </c>
      <c r="G573" s="1">
        <f t="shared" si="5"/>
        <v>9345.794461</v>
      </c>
      <c r="H573" s="1">
        <f t="shared" si="6"/>
        <v>17133.95651</v>
      </c>
      <c r="I573" s="1">
        <f t="shared" si="7"/>
        <v>28037.38338</v>
      </c>
    </row>
    <row r="574" hidden="1">
      <c r="A574" s="266">
        <f>IFERROR(__xludf.DUMMYFUNCTION("""COMPUTED_VALUE"""),43209.99861111111)</f>
        <v>43209.99861</v>
      </c>
      <c r="B574" s="1">
        <f>IFERROR(__xludf.DUMMYFUNCTION("""COMPUTED_VALUE"""),8273.97)</f>
        <v>8273.97</v>
      </c>
      <c r="C574" s="58">
        <f t="shared" si="1"/>
        <v>3393.998611</v>
      </c>
      <c r="D574" s="1">
        <f t="shared" si="2"/>
        <v>1560.296915</v>
      </c>
      <c r="E574" s="1">
        <f t="shared" si="3"/>
        <v>2808.534447</v>
      </c>
      <c r="F574" s="1">
        <f t="shared" si="4"/>
        <v>5305.00951</v>
      </c>
      <c r="G574" s="1">
        <f t="shared" si="5"/>
        <v>9361.781489</v>
      </c>
      <c r="H574" s="1">
        <f t="shared" si="6"/>
        <v>17163.26606</v>
      </c>
      <c r="I574" s="1">
        <f t="shared" si="7"/>
        <v>28085.34447</v>
      </c>
    </row>
    <row r="575" hidden="1">
      <c r="A575" s="266">
        <f>IFERROR(__xludf.DUMMYFUNCTION("""COMPUTED_VALUE"""),43210.99861111111)</f>
        <v>43210.99861</v>
      </c>
      <c r="B575" s="1">
        <f>IFERROR(__xludf.DUMMYFUNCTION("""COMPUTED_VALUE"""),8866.23)</f>
        <v>8866.23</v>
      </c>
      <c r="C575" s="58">
        <f t="shared" si="1"/>
        <v>3394.998611</v>
      </c>
      <c r="D575" s="1">
        <f t="shared" si="2"/>
        <v>1562.96519</v>
      </c>
      <c r="E575" s="1">
        <f t="shared" si="3"/>
        <v>2813.337343</v>
      </c>
      <c r="F575" s="1">
        <f t="shared" si="4"/>
        <v>5314.081648</v>
      </c>
      <c r="G575" s="1">
        <f t="shared" si="5"/>
        <v>9377.791143</v>
      </c>
      <c r="H575" s="1">
        <f t="shared" si="6"/>
        <v>17192.61709</v>
      </c>
      <c r="I575" s="1">
        <f t="shared" si="7"/>
        <v>28133.37343</v>
      </c>
    </row>
    <row r="576" hidden="1">
      <c r="A576" s="266">
        <f>IFERROR(__xludf.DUMMYFUNCTION("""COMPUTED_VALUE"""),43211.99861111111)</f>
        <v>43211.99861</v>
      </c>
      <c r="B576" s="1">
        <f>IFERROR(__xludf.DUMMYFUNCTION("""COMPUTED_VALUE"""),8914.97)</f>
        <v>8914.97</v>
      </c>
      <c r="C576" s="58">
        <f t="shared" si="1"/>
        <v>3395.998611</v>
      </c>
      <c r="D576" s="1">
        <f t="shared" si="2"/>
        <v>1565.637241</v>
      </c>
      <c r="E576" s="1">
        <f t="shared" si="3"/>
        <v>2818.147034</v>
      </c>
      <c r="F576" s="1">
        <f t="shared" si="4"/>
        <v>5323.16662</v>
      </c>
      <c r="G576" s="1">
        <f t="shared" si="5"/>
        <v>9393.823448</v>
      </c>
      <c r="H576" s="1">
        <f t="shared" si="6"/>
        <v>17222.00965</v>
      </c>
      <c r="I576" s="1">
        <f t="shared" si="7"/>
        <v>28181.47034</v>
      </c>
    </row>
    <row r="577" hidden="1">
      <c r="A577" s="266">
        <f>IFERROR(__xludf.DUMMYFUNCTION("""COMPUTED_VALUE"""),43212.99861111111)</f>
        <v>43212.99861</v>
      </c>
      <c r="B577" s="1">
        <f>IFERROR(__xludf.DUMMYFUNCTION("""COMPUTED_VALUE"""),8797.15)</f>
        <v>8797.15</v>
      </c>
      <c r="C577" s="58">
        <f t="shared" si="1"/>
        <v>3396.998611</v>
      </c>
      <c r="D577" s="1">
        <f t="shared" si="2"/>
        <v>1568.313072</v>
      </c>
      <c r="E577" s="1">
        <f t="shared" si="3"/>
        <v>2822.963529</v>
      </c>
      <c r="F577" s="1">
        <f t="shared" si="4"/>
        <v>5332.264443</v>
      </c>
      <c r="G577" s="1">
        <f t="shared" si="5"/>
        <v>9409.878429</v>
      </c>
      <c r="H577" s="1">
        <f t="shared" si="6"/>
        <v>17251.44379</v>
      </c>
      <c r="I577" s="1">
        <f t="shared" si="7"/>
        <v>28229.63529</v>
      </c>
    </row>
    <row r="578" hidden="1">
      <c r="A578" s="266">
        <f>IFERROR(__xludf.DUMMYFUNCTION("""COMPUTED_VALUE"""),43213.99861111111)</f>
        <v>43213.99861</v>
      </c>
      <c r="B578" s="1">
        <f>IFERROR(__xludf.DUMMYFUNCTION("""COMPUTED_VALUE"""),8942.15)</f>
        <v>8942.15</v>
      </c>
      <c r="C578" s="58">
        <f t="shared" si="1"/>
        <v>3397.998611</v>
      </c>
      <c r="D578" s="1">
        <f t="shared" si="2"/>
        <v>1570.992685</v>
      </c>
      <c r="E578" s="1">
        <f t="shared" si="3"/>
        <v>2827.786834</v>
      </c>
      <c r="F578" s="1">
        <f t="shared" si="4"/>
        <v>5341.375131</v>
      </c>
      <c r="G578" s="1">
        <f t="shared" si="5"/>
        <v>9425.956113</v>
      </c>
      <c r="H578" s="1">
        <f t="shared" si="6"/>
        <v>17280.91954</v>
      </c>
      <c r="I578" s="1">
        <f t="shared" si="7"/>
        <v>28277.86834</v>
      </c>
    </row>
    <row r="579" hidden="1">
      <c r="A579" s="266">
        <f>IFERROR(__xludf.DUMMYFUNCTION("""COMPUTED_VALUE"""),43214.99861111111)</f>
        <v>43214.99861</v>
      </c>
      <c r="B579" s="1">
        <f>IFERROR(__xludf.DUMMYFUNCTION("""COMPUTED_VALUE"""),9648.33)</f>
        <v>9648.33</v>
      </c>
      <c r="C579" s="58">
        <f t="shared" si="1"/>
        <v>3398.998611</v>
      </c>
      <c r="D579" s="1">
        <f t="shared" si="2"/>
        <v>1573.676087</v>
      </c>
      <c r="E579" s="1">
        <f t="shared" si="3"/>
        <v>2832.616957</v>
      </c>
      <c r="F579" s="1">
        <f t="shared" si="4"/>
        <v>5350.498697</v>
      </c>
      <c r="G579" s="1">
        <f t="shared" si="5"/>
        <v>9442.056524</v>
      </c>
      <c r="H579" s="1">
        <f t="shared" si="6"/>
        <v>17310.43696</v>
      </c>
      <c r="I579" s="1">
        <f t="shared" si="7"/>
        <v>28326.16957</v>
      </c>
    </row>
    <row r="580" hidden="1">
      <c r="A580" s="266">
        <f>IFERROR(__xludf.DUMMYFUNCTION("""COMPUTED_VALUE"""),43215.99861111111)</f>
        <v>43215.99861</v>
      </c>
      <c r="B580" s="1">
        <f>IFERROR(__xludf.DUMMYFUNCTION("""COMPUTED_VALUE"""),8838.23)</f>
        <v>8838.23</v>
      </c>
      <c r="C580" s="58">
        <f t="shared" si="1"/>
        <v>3399.998611</v>
      </c>
      <c r="D580" s="1">
        <f t="shared" si="2"/>
        <v>1576.363281</v>
      </c>
      <c r="E580" s="1">
        <f t="shared" si="3"/>
        <v>2837.453906</v>
      </c>
      <c r="F580" s="1">
        <f t="shared" si="4"/>
        <v>5359.635156</v>
      </c>
      <c r="G580" s="1">
        <f t="shared" si="5"/>
        <v>9458.179687</v>
      </c>
      <c r="H580" s="1">
        <f t="shared" si="6"/>
        <v>17339.99609</v>
      </c>
      <c r="I580" s="1">
        <f t="shared" si="7"/>
        <v>28374.53906</v>
      </c>
    </row>
    <row r="581" hidden="1">
      <c r="A581" s="266">
        <f>IFERROR(__xludf.DUMMYFUNCTION("""COMPUTED_VALUE"""),43216.99861111111)</f>
        <v>43216.99861</v>
      </c>
      <c r="B581" s="1">
        <f>IFERROR(__xludf.DUMMYFUNCTION("""COMPUTED_VALUE"""),9288.43)</f>
        <v>9288.43</v>
      </c>
      <c r="C581" s="58">
        <f t="shared" si="1"/>
        <v>3400.998611</v>
      </c>
      <c r="D581" s="1">
        <f t="shared" si="2"/>
        <v>1579.054271</v>
      </c>
      <c r="E581" s="1">
        <f t="shared" si="3"/>
        <v>2842.297689</v>
      </c>
      <c r="F581" s="1">
        <f t="shared" si="4"/>
        <v>5368.784523</v>
      </c>
      <c r="G581" s="1">
        <f t="shared" si="5"/>
        <v>9474.325629</v>
      </c>
      <c r="H581" s="1">
        <f t="shared" si="6"/>
        <v>17369.59699</v>
      </c>
      <c r="I581" s="1">
        <f t="shared" si="7"/>
        <v>28422.97689</v>
      </c>
    </row>
    <row r="582" hidden="1">
      <c r="A582" s="266">
        <f>IFERROR(__xludf.DUMMYFUNCTION("""COMPUTED_VALUE"""),43217.99861111111)</f>
        <v>43217.99861</v>
      </c>
      <c r="B582" s="1">
        <f>IFERROR(__xludf.DUMMYFUNCTION("""COMPUTED_VALUE"""),8924.75)</f>
        <v>8924.75</v>
      </c>
      <c r="C582" s="58">
        <f t="shared" si="1"/>
        <v>3401.998611</v>
      </c>
      <c r="D582" s="1">
        <f t="shared" si="2"/>
        <v>1581.749062</v>
      </c>
      <c r="E582" s="1">
        <f t="shared" si="3"/>
        <v>2847.148312</v>
      </c>
      <c r="F582" s="1">
        <f t="shared" si="4"/>
        <v>5377.946812</v>
      </c>
      <c r="G582" s="1">
        <f t="shared" si="5"/>
        <v>9490.494374</v>
      </c>
      <c r="H582" s="1">
        <f t="shared" si="6"/>
        <v>17399.23969</v>
      </c>
      <c r="I582" s="1">
        <f t="shared" si="7"/>
        <v>28471.48312</v>
      </c>
    </row>
    <row r="583" hidden="1">
      <c r="A583" s="266">
        <f>IFERROR(__xludf.DUMMYFUNCTION("""COMPUTED_VALUE"""),43218.99861111111)</f>
        <v>43218.99861</v>
      </c>
      <c r="B583" s="1">
        <f>IFERROR(__xludf.DUMMYFUNCTION("""COMPUTED_VALUE"""),9339.01)</f>
        <v>9339.01</v>
      </c>
      <c r="C583" s="58">
        <f t="shared" si="1"/>
        <v>3402.998611</v>
      </c>
      <c r="D583" s="1">
        <f t="shared" si="2"/>
        <v>1584.447658</v>
      </c>
      <c r="E583" s="1">
        <f t="shared" si="3"/>
        <v>2852.005785</v>
      </c>
      <c r="F583" s="1">
        <f t="shared" si="4"/>
        <v>5387.122038</v>
      </c>
      <c r="G583" s="1">
        <f t="shared" si="5"/>
        <v>9506.685949</v>
      </c>
      <c r="H583" s="1">
        <f t="shared" si="6"/>
        <v>17428.92424</v>
      </c>
      <c r="I583" s="1">
        <f t="shared" si="7"/>
        <v>28520.05785</v>
      </c>
    </row>
    <row r="584" hidden="1">
      <c r="A584" s="266">
        <f>IFERROR(__xludf.DUMMYFUNCTION("""COMPUTED_VALUE"""),43219.99861111111)</f>
        <v>43219.99861</v>
      </c>
      <c r="B584" s="1">
        <f>IFERROR(__xludf.DUMMYFUNCTION("""COMPUTED_VALUE"""),9398.09)</f>
        <v>9398.09</v>
      </c>
      <c r="C584" s="58">
        <f t="shared" si="1"/>
        <v>3403.998611</v>
      </c>
      <c r="D584" s="1">
        <f t="shared" si="2"/>
        <v>1587.150063</v>
      </c>
      <c r="E584" s="1">
        <f t="shared" si="3"/>
        <v>2856.870113</v>
      </c>
      <c r="F584" s="1">
        <f t="shared" si="4"/>
        <v>5396.310214</v>
      </c>
      <c r="G584" s="1">
        <f t="shared" si="5"/>
        <v>9522.900378</v>
      </c>
      <c r="H584" s="1">
        <f t="shared" si="6"/>
        <v>17458.65069</v>
      </c>
      <c r="I584" s="1">
        <f t="shared" si="7"/>
        <v>28568.70113</v>
      </c>
    </row>
    <row r="585" hidden="1">
      <c r="A585" s="266">
        <f>IFERROR(__xludf.DUMMYFUNCTION("""COMPUTED_VALUE"""),43220.99861111111)</f>
        <v>43220.99861</v>
      </c>
      <c r="B585" s="1">
        <f>IFERROR(__xludf.DUMMYFUNCTION("""COMPUTED_VALUE"""),9231.28)</f>
        <v>9231.28</v>
      </c>
      <c r="C585" s="58">
        <f t="shared" si="1"/>
        <v>3404.998611</v>
      </c>
      <c r="D585" s="1">
        <f t="shared" si="2"/>
        <v>1589.856281</v>
      </c>
      <c r="E585" s="1">
        <f t="shared" si="3"/>
        <v>2861.741306</v>
      </c>
      <c r="F585" s="1">
        <f t="shared" si="4"/>
        <v>5405.511356</v>
      </c>
      <c r="G585" s="1">
        <f t="shared" si="5"/>
        <v>9539.137688</v>
      </c>
      <c r="H585" s="1">
        <f t="shared" si="6"/>
        <v>17488.41909</v>
      </c>
      <c r="I585" s="1">
        <f t="shared" si="7"/>
        <v>28617.41306</v>
      </c>
    </row>
    <row r="586" hidden="1">
      <c r="A586" s="266">
        <f>IFERROR(__xludf.DUMMYFUNCTION("""COMPUTED_VALUE"""),43221.99861111111)</f>
        <v>43221.99861</v>
      </c>
      <c r="B586" s="1">
        <f>IFERROR(__xludf.DUMMYFUNCTION("""COMPUTED_VALUE"""),9077.25)</f>
        <v>9077.25</v>
      </c>
      <c r="C586" s="58">
        <f t="shared" si="1"/>
        <v>3405.998611</v>
      </c>
      <c r="D586" s="1">
        <f t="shared" si="2"/>
        <v>1592.566317</v>
      </c>
      <c r="E586" s="1">
        <f t="shared" si="3"/>
        <v>2866.619371</v>
      </c>
      <c r="F586" s="1">
        <f t="shared" si="4"/>
        <v>5414.725478</v>
      </c>
      <c r="G586" s="1">
        <f t="shared" si="5"/>
        <v>9555.397903</v>
      </c>
      <c r="H586" s="1">
        <f t="shared" si="6"/>
        <v>17518.22949</v>
      </c>
      <c r="I586" s="1">
        <f t="shared" si="7"/>
        <v>28666.19371</v>
      </c>
    </row>
    <row r="587" hidden="1">
      <c r="A587" s="266">
        <f>IFERROR(__xludf.DUMMYFUNCTION("""COMPUTED_VALUE"""),43222.99861111111)</f>
        <v>43222.99861</v>
      </c>
      <c r="B587" s="1">
        <f>IFERROR(__xludf.DUMMYFUNCTION("""COMPUTED_VALUE"""),9219.47)</f>
        <v>9219.47</v>
      </c>
      <c r="C587" s="58">
        <f t="shared" si="1"/>
        <v>3406.998611</v>
      </c>
      <c r="D587" s="1">
        <f t="shared" si="2"/>
        <v>1595.280175</v>
      </c>
      <c r="E587" s="1">
        <f t="shared" si="3"/>
        <v>2871.504315</v>
      </c>
      <c r="F587" s="1">
        <f t="shared" si="4"/>
        <v>5423.952595</v>
      </c>
      <c r="G587" s="1">
        <f t="shared" si="5"/>
        <v>9571.681049</v>
      </c>
      <c r="H587" s="1">
        <f t="shared" si="6"/>
        <v>17548.08192</v>
      </c>
      <c r="I587" s="1">
        <f t="shared" si="7"/>
        <v>28715.04315</v>
      </c>
    </row>
    <row r="588" hidden="1">
      <c r="A588" s="266">
        <f>IFERROR(__xludf.DUMMYFUNCTION("""COMPUTED_VALUE"""),43223.99861111111)</f>
        <v>43223.99861</v>
      </c>
      <c r="B588" s="1">
        <f>IFERROR(__xludf.DUMMYFUNCTION("""COMPUTED_VALUE"""),9745.23)</f>
        <v>9745.23</v>
      </c>
      <c r="C588" s="58">
        <f t="shared" si="1"/>
        <v>3407.998611</v>
      </c>
      <c r="D588" s="1">
        <f t="shared" si="2"/>
        <v>1597.997859</v>
      </c>
      <c r="E588" s="1">
        <f t="shared" si="3"/>
        <v>2876.396146</v>
      </c>
      <c r="F588" s="1">
        <f t="shared" si="4"/>
        <v>5433.19272</v>
      </c>
      <c r="G588" s="1">
        <f t="shared" si="5"/>
        <v>9587.987153</v>
      </c>
      <c r="H588" s="1">
        <f t="shared" si="6"/>
        <v>17577.97645</v>
      </c>
      <c r="I588" s="1">
        <f t="shared" si="7"/>
        <v>28763.96146</v>
      </c>
    </row>
    <row r="589" hidden="1">
      <c r="A589" s="266">
        <f>IFERROR(__xludf.DUMMYFUNCTION("""COMPUTED_VALUE"""),43224.99861111111)</f>
        <v>43224.99861</v>
      </c>
      <c r="B589" s="1">
        <f>IFERROR(__xludf.DUMMYFUNCTION("""COMPUTED_VALUE"""),9696.43)</f>
        <v>9696.43</v>
      </c>
      <c r="C589" s="58">
        <f t="shared" si="1"/>
        <v>3408.998611</v>
      </c>
      <c r="D589" s="1">
        <f t="shared" si="2"/>
        <v>1600.719373</v>
      </c>
      <c r="E589" s="1">
        <f t="shared" si="3"/>
        <v>2881.294872</v>
      </c>
      <c r="F589" s="1">
        <f t="shared" si="4"/>
        <v>5442.445869</v>
      </c>
      <c r="G589" s="1">
        <f t="shared" si="5"/>
        <v>9604.316239</v>
      </c>
      <c r="H589" s="1">
        <f t="shared" si="6"/>
        <v>17607.9131</v>
      </c>
      <c r="I589" s="1">
        <f t="shared" si="7"/>
        <v>28812.94872</v>
      </c>
    </row>
    <row r="590" hidden="1">
      <c r="A590" s="266">
        <f>IFERROR(__xludf.DUMMYFUNCTION("""COMPUTED_VALUE"""),43225.99861111111)</f>
        <v>43225.99861</v>
      </c>
      <c r="B590" s="1">
        <f>IFERROR(__xludf.DUMMYFUNCTION("""COMPUTED_VALUE"""),9818.85)</f>
        <v>9818.85</v>
      </c>
      <c r="C590" s="58">
        <f t="shared" si="1"/>
        <v>3409.998611</v>
      </c>
      <c r="D590" s="1">
        <f t="shared" si="2"/>
        <v>1603.444722</v>
      </c>
      <c r="E590" s="1">
        <f t="shared" si="3"/>
        <v>2886.2005</v>
      </c>
      <c r="F590" s="1">
        <f t="shared" si="4"/>
        <v>5451.712055</v>
      </c>
      <c r="G590" s="1">
        <f t="shared" si="5"/>
        <v>9620.668333</v>
      </c>
      <c r="H590" s="1">
        <f t="shared" si="6"/>
        <v>17637.89194</v>
      </c>
      <c r="I590" s="1">
        <f t="shared" si="7"/>
        <v>28862.005</v>
      </c>
    </row>
    <row r="591" hidden="1">
      <c r="A591" s="266">
        <f>IFERROR(__xludf.DUMMYFUNCTION("""COMPUTED_VALUE"""),43226.99861111111)</f>
        <v>43226.99861</v>
      </c>
      <c r="B591" s="1">
        <f>IFERROR(__xludf.DUMMYFUNCTION("""COMPUTED_VALUE"""),9634.63)</f>
        <v>9634.63</v>
      </c>
      <c r="C591" s="58">
        <f t="shared" si="1"/>
        <v>3410.998611</v>
      </c>
      <c r="D591" s="1">
        <f t="shared" si="2"/>
        <v>1606.17391</v>
      </c>
      <c r="E591" s="1">
        <f t="shared" si="3"/>
        <v>2891.113038</v>
      </c>
      <c r="F591" s="1">
        <f t="shared" si="4"/>
        <v>5460.991294</v>
      </c>
      <c r="G591" s="1">
        <f t="shared" si="5"/>
        <v>9637.043461</v>
      </c>
      <c r="H591" s="1">
        <f t="shared" si="6"/>
        <v>17667.91301</v>
      </c>
      <c r="I591" s="1">
        <f t="shared" si="7"/>
        <v>28911.13038</v>
      </c>
    </row>
    <row r="592" hidden="1">
      <c r="A592" s="266">
        <f>IFERROR(__xludf.DUMMYFUNCTION("""COMPUTED_VALUE"""),43227.99861111111)</f>
        <v>43227.99861</v>
      </c>
      <c r="B592" s="1">
        <f>IFERROR(__xludf.DUMMYFUNCTION("""COMPUTED_VALUE"""),9366.63)</f>
        <v>9366.63</v>
      </c>
      <c r="C592" s="58">
        <f t="shared" si="1"/>
        <v>3411.998611</v>
      </c>
      <c r="D592" s="1">
        <f t="shared" si="2"/>
        <v>1608.906941</v>
      </c>
      <c r="E592" s="1">
        <f t="shared" si="3"/>
        <v>2896.032494</v>
      </c>
      <c r="F592" s="1">
        <f t="shared" si="4"/>
        <v>5470.283601</v>
      </c>
      <c r="G592" s="1">
        <f t="shared" si="5"/>
        <v>9653.441648</v>
      </c>
      <c r="H592" s="1">
        <f t="shared" si="6"/>
        <v>17697.97635</v>
      </c>
      <c r="I592" s="1">
        <f t="shared" si="7"/>
        <v>28960.32494</v>
      </c>
    </row>
    <row r="593" hidden="1">
      <c r="A593" s="266">
        <f>IFERROR(__xludf.DUMMYFUNCTION("""COMPUTED_VALUE"""),43228.99861111111)</f>
        <v>43228.99861</v>
      </c>
      <c r="B593" s="1">
        <f>IFERROR(__xludf.DUMMYFUNCTION("""COMPUTED_VALUE"""),9185.23)</f>
        <v>9185.23</v>
      </c>
      <c r="C593" s="58">
        <f t="shared" si="1"/>
        <v>3412.998611</v>
      </c>
      <c r="D593" s="1">
        <f t="shared" si="2"/>
        <v>1611.64382</v>
      </c>
      <c r="E593" s="1">
        <f t="shared" si="3"/>
        <v>2900.958876</v>
      </c>
      <c r="F593" s="1">
        <f t="shared" si="4"/>
        <v>5479.588988</v>
      </c>
      <c r="G593" s="1">
        <f t="shared" si="5"/>
        <v>9669.862921</v>
      </c>
      <c r="H593" s="1">
        <f t="shared" si="6"/>
        <v>17728.08202</v>
      </c>
      <c r="I593" s="1">
        <f t="shared" si="7"/>
        <v>29009.58876</v>
      </c>
    </row>
    <row r="594" hidden="1">
      <c r="A594" s="266">
        <f>IFERROR(__xludf.DUMMYFUNCTION("""COMPUTED_VALUE"""),43229.99861111111)</f>
        <v>43229.99861</v>
      </c>
      <c r="B594" s="1">
        <f>IFERROR(__xludf.DUMMYFUNCTION("""COMPUTED_VALUE"""),9308.04)</f>
        <v>9308.04</v>
      </c>
      <c r="C594" s="58">
        <f t="shared" si="1"/>
        <v>3413.998611</v>
      </c>
      <c r="D594" s="1">
        <f t="shared" si="2"/>
        <v>1614.384551</v>
      </c>
      <c r="E594" s="1">
        <f t="shared" si="3"/>
        <v>2905.892191</v>
      </c>
      <c r="F594" s="1">
        <f t="shared" si="4"/>
        <v>5488.907472</v>
      </c>
      <c r="G594" s="1">
        <f t="shared" si="5"/>
        <v>9686.307304</v>
      </c>
      <c r="H594" s="1">
        <f t="shared" si="6"/>
        <v>17758.23006</v>
      </c>
      <c r="I594" s="1">
        <f t="shared" si="7"/>
        <v>29058.92191</v>
      </c>
    </row>
    <row r="595" hidden="1">
      <c r="A595" s="266">
        <f>IFERROR(__xludf.DUMMYFUNCTION("""COMPUTED_VALUE"""),43230.99861111111)</f>
        <v>43230.99861</v>
      </c>
      <c r="B595" s="1">
        <f>IFERROR(__xludf.DUMMYFUNCTION("""COMPUTED_VALUE"""),9017.48)</f>
        <v>9017.48</v>
      </c>
      <c r="C595" s="58">
        <f t="shared" si="1"/>
        <v>3414.998611</v>
      </c>
      <c r="D595" s="1">
        <f t="shared" si="2"/>
        <v>1617.129137</v>
      </c>
      <c r="E595" s="1">
        <f t="shared" si="3"/>
        <v>2910.832447</v>
      </c>
      <c r="F595" s="1">
        <f t="shared" si="4"/>
        <v>5498.239067</v>
      </c>
      <c r="G595" s="1">
        <f t="shared" si="5"/>
        <v>9702.774825</v>
      </c>
      <c r="H595" s="1">
        <f t="shared" si="6"/>
        <v>17788.42051</v>
      </c>
      <c r="I595" s="1">
        <f t="shared" si="7"/>
        <v>29108.32447</v>
      </c>
    </row>
    <row r="596" hidden="1">
      <c r="A596" s="266">
        <f>IFERROR(__xludf.DUMMYFUNCTION("""COMPUTED_VALUE"""),43231.99861111111)</f>
        <v>43231.99861</v>
      </c>
      <c r="B596" s="1">
        <f>IFERROR(__xludf.DUMMYFUNCTION("""COMPUTED_VALUE"""),8406.04)</f>
        <v>8406.04</v>
      </c>
      <c r="C596" s="58">
        <f t="shared" si="1"/>
        <v>3415.998611</v>
      </c>
      <c r="D596" s="1">
        <f t="shared" si="2"/>
        <v>1619.877585</v>
      </c>
      <c r="E596" s="1">
        <f t="shared" si="3"/>
        <v>2915.779652</v>
      </c>
      <c r="F596" s="1">
        <f t="shared" si="4"/>
        <v>5507.583788</v>
      </c>
      <c r="G596" s="1">
        <f t="shared" si="5"/>
        <v>9719.265507</v>
      </c>
      <c r="H596" s="1">
        <f t="shared" si="6"/>
        <v>17818.65343</v>
      </c>
      <c r="I596" s="1">
        <f t="shared" si="7"/>
        <v>29157.79652</v>
      </c>
    </row>
    <row r="597" hidden="1">
      <c r="A597" s="266">
        <f>IFERROR(__xludf.DUMMYFUNCTION("""COMPUTED_VALUE"""),43232.99861111111)</f>
        <v>43232.99861</v>
      </c>
      <c r="B597" s="1">
        <f>IFERROR(__xludf.DUMMYFUNCTION("""COMPUTED_VALUE"""),8467.44)</f>
        <v>8467.44</v>
      </c>
      <c r="C597" s="58">
        <f t="shared" si="1"/>
        <v>3416.998611</v>
      </c>
      <c r="D597" s="1">
        <f t="shared" si="2"/>
        <v>1622.629896</v>
      </c>
      <c r="E597" s="1">
        <f t="shared" si="3"/>
        <v>2920.733813</v>
      </c>
      <c r="F597" s="1">
        <f t="shared" si="4"/>
        <v>5516.941648</v>
      </c>
      <c r="G597" s="1">
        <f t="shared" si="5"/>
        <v>9735.779378</v>
      </c>
      <c r="H597" s="1">
        <f t="shared" si="6"/>
        <v>17848.92886</v>
      </c>
      <c r="I597" s="1">
        <f t="shared" si="7"/>
        <v>29207.33813</v>
      </c>
    </row>
    <row r="598" hidden="1">
      <c r="A598" s="266">
        <f>IFERROR(__xludf.DUMMYFUNCTION("""COMPUTED_VALUE"""),43233.99861111111)</f>
        <v>43233.99861</v>
      </c>
      <c r="B598" s="1">
        <f>IFERROR(__xludf.DUMMYFUNCTION("""COMPUTED_VALUE"""),8687.51)</f>
        <v>8687.51</v>
      </c>
      <c r="C598" s="58">
        <f t="shared" si="1"/>
        <v>3417.998611</v>
      </c>
      <c r="D598" s="1">
        <f t="shared" si="2"/>
        <v>1625.386077</v>
      </c>
      <c r="E598" s="1">
        <f t="shared" si="3"/>
        <v>2925.694939</v>
      </c>
      <c r="F598" s="1">
        <f t="shared" si="4"/>
        <v>5526.312662</v>
      </c>
      <c r="G598" s="1">
        <f t="shared" si="5"/>
        <v>9752.316463</v>
      </c>
      <c r="H598" s="1">
        <f t="shared" si="6"/>
        <v>17879.24685</v>
      </c>
      <c r="I598" s="1">
        <f t="shared" si="7"/>
        <v>29256.94939</v>
      </c>
    </row>
    <row r="599" hidden="1">
      <c r="A599" s="266">
        <f>IFERROR(__xludf.DUMMYFUNCTION("""COMPUTED_VALUE"""),43234.99861111111)</f>
        <v>43234.99861</v>
      </c>
      <c r="B599" s="1">
        <f>IFERROR(__xludf.DUMMYFUNCTION("""COMPUTED_VALUE"""),8671.69)</f>
        <v>8671.69</v>
      </c>
      <c r="C599" s="58">
        <f t="shared" si="1"/>
        <v>3418.998611</v>
      </c>
      <c r="D599" s="1">
        <f t="shared" si="2"/>
        <v>1628.146131</v>
      </c>
      <c r="E599" s="1">
        <f t="shared" si="3"/>
        <v>2930.663036</v>
      </c>
      <c r="F599" s="1">
        <f t="shared" si="4"/>
        <v>5535.696847</v>
      </c>
      <c r="G599" s="1">
        <f t="shared" si="5"/>
        <v>9768.876788</v>
      </c>
      <c r="H599" s="1">
        <f t="shared" si="6"/>
        <v>17909.60744</v>
      </c>
      <c r="I599" s="1">
        <f t="shared" si="7"/>
        <v>29306.63036</v>
      </c>
    </row>
    <row r="600" hidden="1">
      <c r="A600" s="266">
        <f>IFERROR(__xludf.DUMMYFUNCTION("""COMPUTED_VALUE"""),43235.99861111111)</f>
        <v>43235.99861</v>
      </c>
      <c r="B600" s="1">
        <f>IFERROR(__xludf.DUMMYFUNCTION("""COMPUTED_VALUE"""),8474.59)</f>
        <v>8474.59</v>
      </c>
      <c r="C600" s="58">
        <f t="shared" si="1"/>
        <v>3419.998611</v>
      </c>
      <c r="D600" s="1">
        <f t="shared" si="2"/>
        <v>1630.910063</v>
      </c>
      <c r="E600" s="1">
        <f t="shared" si="3"/>
        <v>2935.638114</v>
      </c>
      <c r="F600" s="1">
        <f t="shared" si="4"/>
        <v>5545.094214</v>
      </c>
      <c r="G600" s="1">
        <f t="shared" si="5"/>
        <v>9785.460378</v>
      </c>
      <c r="H600" s="1">
        <f t="shared" si="6"/>
        <v>17940.01069</v>
      </c>
      <c r="I600" s="1">
        <f t="shared" si="7"/>
        <v>29356.38114</v>
      </c>
    </row>
    <row r="601" hidden="1">
      <c r="A601" s="266">
        <f>IFERROR(__xludf.DUMMYFUNCTION("""COMPUTED_VALUE"""),43236.99861111111)</f>
        <v>43236.99861</v>
      </c>
      <c r="B601" s="1">
        <f>IFERROR(__xludf.DUMMYFUNCTION("""COMPUTED_VALUE"""),8337.6)</f>
        <v>8337.6</v>
      </c>
      <c r="C601" s="58">
        <f t="shared" si="1"/>
        <v>3420.998611</v>
      </c>
      <c r="D601" s="1">
        <f t="shared" si="2"/>
        <v>1633.677877</v>
      </c>
      <c r="E601" s="1">
        <f t="shared" si="3"/>
        <v>2940.620178</v>
      </c>
      <c r="F601" s="1">
        <f t="shared" si="4"/>
        <v>5554.504781</v>
      </c>
      <c r="G601" s="1">
        <f t="shared" si="5"/>
        <v>9802.06726</v>
      </c>
      <c r="H601" s="1">
        <f t="shared" si="6"/>
        <v>17970.45664</v>
      </c>
      <c r="I601" s="1">
        <f t="shared" si="7"/>
        <v>29406.20178</v>
      </c>
    </row>
    <row r="602" hidden="1">
      <c r="A602" s="266">
        <f>IFERROR(__xludf.DUMMYFUNCTION("""COMPUTED_VALUE"""),43237.99861111111)</f>
        <v>43237.99861</v>
      </c>
      <c r="B602" s="1">
        <f>IFERROR(__xludf.DUMMYFUNCTION("""COMPUTED_VALUE"""),8045.84)</f>
        <v>8045.84</v>
      </c>
      <c r="C602" s="58">
        <f t="shared" si="1"/>
        <v>3421.998611</v>
      </c>
      <c r="D602" s="1">
        <f t="shared" si="2"/>
        <v>1636.449577</v>
      </c>
      <c r="E602" s="1">
        <f t="shared" si="3"/>
        <v>2945.609238</v>
      </c>
      <c r="F602" s="1">
        <f t="shared" si="4"/>
        <v>5563.928561</v>
      </c>
      <c r="G602" s="1">
        <f t="shared" si="5"/>
        <v>9818.69746</v>
      </c>
      <c r="H602" s="1">
        <f t="shared" si="6"/>
        <v>18000.94534</v>
      </c>
      <c r="I602" s="1">
        <f t="shared" si="7"/>
        <v>29456.09238</v>
      </c>
    </row>
    <row r="603" hidden="1">
      <c r="A603" s="266">
        <f>IFERROR(__xludf.DUMMYFUNCTION("""COMPUTED_VALUE"""),43238.99861111111)</f>
        <v>43238.99861</v>
      </c>
      <c r="B603" s="1">
        <f>IFERROR(__xludf.DUMMYFUNCTION("""COMPUTED_VALUE"""),8237.08)</f>
        <v>8237.08</v>
      </c>
      <c r="C603" s="58">
        <f t="shared" si="1"/>
        <v>3422.998611</v>
      </c>
      <c r="D603" s="1">
        <f t="shared" si="2"/>
        <v>1639.225167</v>
      </c>
      <c r="E603" s="1">
        <f t="shared" si="3"/>
        <v>2950.605301</v>
      </c>
      <c r="F603" s="1">
        <f t="shared" si="4"/>
        <v>5573.365568</v>
      </c>
      <c r="G603" s="1">
        <f t="shared" si="5"/>
        <v>9835.351003</v>
      </c>
      <c r="H603" s="1">
        <f t="shared" si="6"/>
        <v>18031.47684</v>
      </c>
      <c r="I603" s="1">
        <f t="shared" si="7"/>
        <v>29506.05301</v>
      </c>
    </row>
    <row r="604" hidden="1">
      <c r="A604" s="266">
        <f>IFERROR(__xludf.DUMMYFUNCTION("""COMPUTED_VALUE"""),43240.99861111111)</f>
        <v>43240.99861</v>
      </c>
      <c r="B604" s="1">
        <f>IFERROR(__xludf.DUMMYFUNCTION("""COMPUTED_VALUE"""),8516.83)</f>
        <v>8516.83</v>
      </c>
      <c r="C604" s="58">
        <f t="shared" si="1"/>
        <v>3424.998611</v>
      </c>
      <c r="D604" s="1">
        <f t="shared" si="2"/>
        <v>1644.788037</v>
      </c>
      <c r="E604" s="1">
        <f t="shared" si="3"/>
        <v>2960.618467</v>
      </c>
      <c r="F604" s="1">
        <f t="shared" si="4"/>
        <v>5592.279326</v>
      </c>
      <c r="G604" s="1">
        <f t="shared" si="5"/>
        <v>9868.728222</v>
      </c>
      <c r="H604" s="1">
        <f t="shared" si="6"/>
        <v>18092.66841</v>
      </c>
      <c r="I604" s="1">
        <f t="shared" si="7"/>
        <v>29606.18467</v>
      </c>
    </row>
    <row r="605" hidden="1">
      <c r="A605" s="266">
        <f>IFERROR(__xludf.DUMMYFUNCTION("""COMPUTED_VALUE"""),43241.99861111111)</f>
        <v>43241.99861</v>
      </c>
      <c r="B605" s="1">
        <f>IFERROR(__xludf.DUMMYFUNCTION("""COMPUTED_VALUE"""),8396.5)</f>
        <v>8396.5</v>
      </c>
      <c r="C605" s="58">
        <f t="shared" si="1"/>
        <v>3425.998611</v>
      </c>
      <c r="D605" s="1">
        <f t="shared" si="2"/>
        <v>1647.575325</v>
      </c>
      <c r="E605" s="1">
        <f t="shared" si="3"/>
        <v>2965.635585</v>
      </c>
      <c r="F605" s="1">
        <f t="shared" si="4"/>
        <v>5601.756106</v>
      </c>
      <c r="G605" s="1">
        <f t="shared" si="5"/>
        <v>9885.451951</v>
      </c>
      <c r="H605" s="1">
        <f t="shared" si="6"/>
        <v>18123.32858</v>
      </c>
      <c r="I605" s="1">
        <f t="shared" si="7"/>
        <v>29656.35585</v>
      </c>
    </row>
    <row r="606" hidden="1">
      <c r="A606" s="266">
        <f>IFERROR(__xludf.DUMMYFUNCTION("""COMPUTED_VALUE"""),43242.99861111111)</f>
        <v>43242.99861</v>
      </c>
      <c r="B606" s="1">
        <f>IFERROR(__xludf.DUMMYFUNCTION("""COMPUTED_VALUE"""),7996.57)</f>
        <v>7996.57</v>
      </c>
      <c r="C606" s="58">
        <f t="shared" si="1"/>
        <v>3426.998611</v>
      </c>
      <c r="D606" s="1">
        <f t="shared" si="2"/>
        <v>1650.366521</v>
      </c>
      <c r="E606" s="1">
        <f t="shared" si="3"/>
        <v>2970.659738</v>
      </c>
      <c r="F606" s="1">
        <f t="shared" si="4"/>
        <v>5611.246172</v>
      </c>
      <c r="G606" s="1">
        <f t="shared" si="5"/>
        <v>9902.199127</v>
      </c>
      <c r="H606" s="1">
        <f t="shared" si="6"/>
        <v>18154.03173</v>
      </c>
      <c r="I606" s="1">
        <f t="shared" si="7"/>
        <v>29706.59738</v>
      </c>
    </row>
    <row r="607" hidden="1">
      <c r="A607" s="266">
        <f>IFERROR(__xludf.DUMMYFUNCTION("""COMPUTED_VALUE"""),43243.99861111111)</f>
        <v>43243.99861</v>
      </c>
      <c r="B607" s="1">
        <f>IFERROR(__xludf.DUMMYFUNCTION("""COMPUTED_VALUE"""),7503.63)</f>
        <v>7503.63</v>
      </c>
      <c r="C607" s="58">
        <f t="shared" si="1"/>
        <v>3427.998611</v>
      </c>
      <c r="D607" s="1">
        <f t="shared" si="2"/>
        <v>1653.161629</v>
      </c>
      <c r="E607" s="1">
        <f t="shared" si="3"/>
        <v>2975.690933</v>
      </c>
      <c r="F607" s="1">
        <f t="shared" si="4"/>
        <v>5620.74954</v>
      </c>
      <c r="G607" s="1">
        <f t="shared" si="5"/>
        <v>9918.969776</v>
      </c>
      <c r="H607" s="1">
        <f t="shared" si="6"/>
        <v>18184.77792</v>
      </c>
      <c r="I607" s="1">
        <f t="shared" si="7"/>
        <v>29756.90933</v>
      </c>
    </row>
    <row r="608" hidden="1">
      <c r="A608" s="266">
        <f>IFERROR(__xludf.DUMMYFUNCTION("""COMPUTED_VALUE"""),43244.99861111111)</f>
        <v>43244.99861</v>
      </c>
      <c r="B608" s="1">
        <f>IFERROR(__xludf.DUMMYFUNCTION("""COMPUTED_VALUE"""),7574.36)</f>
        <v>7574.36</v>
      </c>
      <c r="C608" s="58">
        <f t="shared" si="1"/>
        <v>3428.998611</v>
      </c>
      <c r="D608" s="1">
        <f t="shared" si="2"/>
        <v>1655.960654</v>
      </c>
      <c r="E608" s="1">
        <f t="shared" si="3"/>
        <v>2980.729177</v>
      </c>
      <c r="F608" s="1">
        <f t="shared" si="4"/>
        <v>5630.266224</v>
      </c>
      <c r="G608" s="1">
        <f t="shared" si="5"/>
        <v>9935.763924</v>
      </c>
      <c r="H608" s="1">
        <f t="shared" si="6"/>
        <v>18215.56719</v>
      </c>
      <c r="I608" s="1">
        <f t="shared" si="7"/>
        <v>29807.29177</v>
      </c>
    </row>
    <row r="609" hidden="1">
      <c r="A609" s="266">
        <f>IFERROR(__xludf.DUMMYFUNCTION("""COMPUTED_VALUE"""),43245.99861111111)</f>
        <v>43245.99861</v>
      </c>
      <c r="B609" s="1">
        <f>IFERROR(__xludf.DUMMYFUNCTION("""COMPUTED_VALUE"""),7467.57)</f>
        <v>7467.57</v>
      </c>
      <c r="C609" s="58">
        <f t="shared" si="1"/>
        <v>3429.998611</v>
      </c>
      <c r="D609" s="1">
        <f t="shared" si="2"/>
        <v>1658.7636</v>
      </c>
      <c r="E609" s="1">
        <f t="shared" si="3"/>
        <v>2985.774479</v>
      </c>
      <c r="F609" s="1">
        <f t="shared" si="4"/>
        <v>5639.796239</v>
      </c>
      <c r="G609" s="1">
        <f t="shared" si="5"/>
        <v>9952.581598</v>
      </c>
      <c r="H609" s="1">
        <f t="shared" si="6"/>
        <v>18246.3996</v>
      </c>
      <c r="I609" s="1">
        <f t="shared" si="7"/>
        <v>29857.74479</v>
      </c>
    </row>
    <row r="610" hidden="1">
      <c r="A610" s="266">
        <f>IFERROR(__xludf.DUMMYFUNCTION("""COMPUTED_VALUE"""),43246.99861111111)</f>
        <v>43246.99861</v>
      </c>
      <c r="B610" s="1">
        <f>IFERROR(__xludf.DUMMYFUNCTION("""COMPUTED_VALUE"""),7335.78)</f>
        <v>7335.78</v>
      </c>
      <c r="C610" s="58">
        <f t="shared" si="1"/>
        <v>3430.998611</v>
      </c>
      <c r="D610" s="1">
        <f t="shared" si="2"/>
        <v>1661.570471</v>
      </c>
      <c r="E610" s="1">
        <f t="shared" si="3"/>
        <v>2990.826847</v>
      </c>
      <c r="F610" s="1">
        <f t="shared" si="4"/>
        <v>5649.3396</v>
      </c>
      <c r="G610" s="1">
        <f t="shared" si="5"/>
        <v>9969.422823</v>
      </c>
      <c r="H610" s="1">
        <f t="shared" si="6"/>
        <v>18277.27518</v>
      </c>
      <c r="I610" s="1">
        <f t="shared" si="7"/>
        <v>29908.26847</v>
      </c>
    </row>
    <row r="611" hidden="1">
      <c r="A611" s="266">
        <f>IFERROR(__xludf.DUMMYFUNCTION("""COMPUTED_VALUE"""),43247.99861111111)</f>
        <v>43247.99861</v>
      </c>
      <c r="B611" s="1">
        <f>IFERROR(__xludf.DUMMYFUNCTION("""COMPUTED_VALUE"""),7353.38)</f>
        <v>7353.38</v>
      </c>
      <c r="C611" s="58">
        <f t="shared" si="1"/>
        <v>3431.998611</v>
      </c>
      <c r="D611" s="1">
        <f t="shared" si="2"/>
        <v>1664.381271</v>
      </c>
      <c r="E611" s="1">
        <f t="shared" si="3"/>
        <v>2995.886288</v>
      </c>
      <c r="F611" s="1">
        <f t="shared" si="4"/>
        <v>5658.896321</v>
      </c>
      <c r="G611" s="1">
        <f t="shared" si="5"/>
        <v>9986.287626</v>
      </c>
      <c r="H611" s="1">
        <f t="shared" si="6"/>
        <v>18308.19398</v>
      </c>
      <c r="I611" s="1">
        <f t="shared" si="7"/>
        <v>29958.86288</v>
      </c>
    </row>
    <row r="612" hidden="1">
      <c r="A612" s="266">
        <f>IFERROR(__xludf.DUMMYFUNCTION("""COMPUTED_VALUE"""),43248.99861111111)</f>
        <v>43248.99861</v>
      </c>
      <c r="B612" s="1">
        <f>IFERROR(__xludf.DUMMYFUNCTION("""COMPUTED_VALUE"""),7102.26)</f>
        <v>7102.26</v>
      </c>
      <c r="C612" s="58">
        <f t="shared" si="1"/>
        <v>3432.998611</v>
      </c>
      <c r="D612" s="1">
        <f t="shared" si="2"/>
        <v>1667.196005</v>
      </c>
      <c r="E612" s="1">
        <f t="shared" si="3"/>
        <v>3000.95281</v>
      </c>
      <c r="F612" s="1">
        <f t="shared" si="4"/>
        <v>5668.466418</v>
      </c>
      <c r="G612" s="1">
        <f t="shared" si="5"/>
        <v>10003.17603</v>
      </c>
      <c r="H612" s="1">
        <f t="shared" si="6"/>
        <v>18339.15606</v>
      </c>
      <c r="I612" s="1">
        <f t="shared" si="7"/>
        <v>30009.5281</v>
      </c>
    </row>
    <row r="613" hidden="1">
      <c r="A613" s="266">
        <f>IFERROR(__xludf.DUMMYFUNCTION("""COMPUTED_VALUE"""),43249.99861111111)</f>
        <v>43249.99861</v>
      </c>
      <c r="B613" s="1">
        <f>IFERROR(__xludf.DUMMYFUNCTION("""COMPUTED_VALUE"""),7454.05)</f>
        <v>7454.05</v>
      </c>
      <c r="C613" s="58">
        <f t="shared" si="1"/>
        <v>3433.998611</v>
      </c>
      <c r="D613" s="1">
        <f t="shared" si="2"/>
        <v>1670.014678</v>
      </c>
      <c r="E613" s="1">
        <f t="shared" si="3"/>
        <v>3006.026421</v>
      </c>
      <c r="F613" s="1">
        <f t="shared" si="4"/>
        <v>5678.049905</v>
      </c>
      <c r="G613" s="1">
        <f t="shared" si="5"/>
        <v>10020.08807</v>
      </c>
      <c r="H613" s="1">
        <f t="shared" si="6"/>
        <v>18370.16146</v>
      </c>
      <c r="I613" s="1">
        <f t="shared" si="7"/>
        <v>30060.26421</v>
      </c>
    </row>
    <row r="614" hidden="1">
      <c r="A614" s="266">
        <f>IFERROR(__xludf.DUMMYFUNCTION("""COMPUTED_VALUE"""),43250.99861111111)</f>
        <v>43250.99861</v>
      </c>
      <c r="B614" s="1">
        <f>IFERROR(__xludf.DUMMYFUNCTION("""COMPUTED_VALUE"""),7374.4)</f>
        <v>7374.4</v>
      </c>
      <c r="C614" s="58">
        <f t="shared" si="1"/>
        <v>3434.998611</v>
      </c>
      <c r="D614" s="1">
        <f t="shared" si="2"/>
        <v>1672.837293</v>
      </c>
      <c r="E614" s="1">
        <f t="shared" si="3"/>
        <v>3011.107128</v>
      </c>
      <c r="F614" s="1">
        <f t="shared" si="4"/>
        <v>5687.646798</v>
      </c>
      <c r="G614" s="1">
        <f t="shared" si="5"/>
        <v>10037.02376</v>
      </c>
      <c r="H614" s="1">
        <f t="shared" si="6"/>
        <v>18401.21023</v>
      </c>
      <c r="I614" s="1">
        <f t="shared" si="7"/>
        <v>30111.07128</v>
      </c>
    </row>
    <row r="615" hidden="1">
      <c r="A615" s="266">
        <f>IFERROR(__xludf.DUMMYFUNCTION("""COMPUTED_VALUE"""),43251.99861111111)</f>
        <v>43251.99861</v>
      </c>
      <c r="B615" s="1">
        <f>IFERROR(__xludf.DUMMYFUNCTION("""COMPUTED_VALUE"""),7318.37)</f>
        <v>7318.37</v>
      </c>
      <c r="C615" s="58">
        <f t="shared" si="1"/>
        <v>3435.998611</v>
      </c>
      <c r="D615" s="1">
        <f t="shared" si="2"/>
        <v>1675.663856</v>
      </c>
      <c r="E615" s="1">
        <f t="shared" si="3"/>
        <v>3016.19494</v>
      </c>
      <c r="F615" s="1">
        <f t="shared" si="4"/>
        <v>5697.25711</v>
      </c>
      <c r="G615" s="1">
        <f t="shared" si="5"/>
        <v>10053.98313</v>
      </c>
      <c r="H615" s="1">
        <f t="shared" si="6"/>
        <v>18432.30241</v>
      </c>
      <c r="I615" s="1">
        <f t="shared" si="7"/>
        <v>30161.9494</v>
      </c>
    </row>
    <row r="616" hidden="1">
      <c r="A616" s="266">
        <f>IFERROR(__xludf.DUMMYFUNCTION("""COMPUTED_VALUE"""),43252.99861111111)</f>
        <v>43252.99861</v>
      </c>
      <c r="B616" s="1">
        <f>IFERROR(__xludf.DUMMYFUNCTION("""COMPUTED_VALUE"""),7520.2)</f>
        <v>7520.2</v>
      </c>
      <c r="C616" s="58">
        <f t="shared" si="1"/>
        <v>3436.998611</v>
      </c>
      <c r="D616" s="1">
        <f t="shared" si="2"/>
        <v>1678.49437</v>
      </c>
      <c r="E616" s="1">
        <f t="shared" si="3"/>
        <v>3021.289865</v>
      </c>
      <c r="F616" s="1">
        <f t="shared" si="4"/>
        <v>5706.880856</v>
      </c>
      <c r="G616" s="1">
        <f t="shared" si="5"/>
        <v>10070.96622</v>
      </c>
      <c r="H616" s="1">
        <f t="shared" si="6"/>
        <v>18463.43806</v>
      </c>
      <c r="I616" s="1">
        <f t="shared" si="7"/>
        <v>30212.89865</v>
      </c>
    </row>
    <row r="617" hidden="1">
      <c r="A617" s="266">
        <f>IFERROR(__xludf.DUMMYFUNCTION("""COMPUTED_VALUE"""),43253.99861111111)</f>
        <v>43253.99861</v>
      </c>
      <c r="B617" s="1">
        <f>IFERROR(__xludf.DUMMYFUNCTION("""COMPUTED_VALUE"""),7634.31)</f>
        <v>7634.31</v>
      </c>
      <c r="C617" s="58">
        <f t="shared" si="1"/>
        <v>3437.998611</v>
      </c>
      <c r="D617" s="1">
        <f t="shared" si="2"/>
        <v>1681.328839</v>
      </c>
      <c r="E617" s="1">
        <f t="shared" si="3"/>
        <v>3026.39191</v>
      </c>
      <c r="F617" s="1">
        <f t="shared" si="4"/>
        <v>5716.518053</v>
      </c>
      <c r="G617" s="1">
        <f t="shared" si="5"/>
        <v>10087.97303</v>
      </c>
      <c r="H617" s="1">
        <f t="shared" si="6"/>
        <v>18494.61723</v>
      </c>
      <c r="I617" s="1">
        <f t="shared" si="7"/>
        <v>30263.9191</v>
      </c>
    </row>
    <row r="618" hidden="1">
      <c r="A618" s="266">
        <f>IFERROR(__xludf.DUMMYFUNCTION("""COMPUTED_VALUE"""),43254.99861111111)</f>
        <v>43254.99861</v>
      </c>
      <c r="B618" s="1">
        <f>IFERROR(__xludf.DUMMYFUNCTION("""COMPUTED_VALUE"""),7713.28)</f>
        <v>7713.28</v>
      </c>
      <c r="C618" s="58">
        <f t="shared" si="1"/>
        <v>3438.998611</v>
      </c>
      <c r="D618" s="1">
        <f t="shared" si="2"/>
        <v>1684.167269</v>
      </c>
      <c r="E618" s="1">
        <f t="shared" si="3"/>
        <v>3031.501084</v>
      </c>
      <c r="F618" s="1">
        <f t="shared" si="4"/>
        <v>5726.168714</v>
      </c>
      <c r="G618" s="1">
        <f t="shared" si="5"/>
        <v>10105.00361</v>
      </c>
      <c r="H618" s="1">
        <f t="shared" si="6"/>
        <v>18525.83996</v>
      </c>
      <c r="I618" s="1">
        <f t="shared" si="7"/>
        <v>30315.01084</v>
      </c>
    </row>
    <row r="619" hidden="1">
      <c r="A619" s="266">
        <f>IFERROR(__xludf.DUMMYFUNCTION("""COMPUTED_VALUE"""),43255.99861111111)</f>
        <v>43255.99861</v>
      </c>
      <c r="B619" s="1">
        <f>IFERROR(__xludf.DUMMYFUNCTION("""COMPUTED_VALUE"""),7491.05)</f>
        <v>7491.05</v>
      </c>
      <c r="C619" s="58">
        <f t="shared" si="1"/>
        <v>3439.998611</v>
      </c>
      <c r="D619" s="1">
        <f t="shared" si="2"/>
        <v>1687.009663</v>
      </c>
      <c r="E619" s="1">
        <f t="shared" si="3"/>
        <v>3036.617393</v>
      </c>
      <c r="F619" s="1">
        <f t="shared" si="4"/>
        <v>5735.832854</v>
      </c>
      <c r="G619" s="1">
        <f t="shared" si="5"/>
        <v>10122.05798</v>
      </c>
      <c r="H619" s="1">
        <f t="shared" si="6"/>
        <v>18557.10629</v>
      </c>
      <c r="I619" s="1">
        <f t="shared" si="7"/>
        <v>30366.17393</v>
      </c>
    </row>
    <row r="620" hidden="1">
      <c r="A620" s="266">
        <f>IFERROR(__xludf.DUMMYFUNCTION("""COMPUTED_VALUE"""),43256.99861111111)</f>
        <v>43256.99861</v>
      </c>
      <c r="B620" s="1">
        <f>IFERROR(__xludf.DUMMYFUNCTION("""COMPUTED_VALUE"""),7619.61)</f>
        <v>7619.61</v>
      </c>
      <c r="C620" s="58">
        <f t="shared" si="1"/>
        <v>3440.998611</v>
      </c>
      <c r="D620" s="1">
        <f t="shared" si="2"/>
        <v>1689.856026</v>
      </c>
      <c r="E620" s="1">
        <f t="shared" si="3"/>
        <v>3041.740847</v>
      </c>
      <c r="F620" s="1">
        <f t="shared" si="4"/>
        <v>5745.510488</v>
      </c>
      <c r="G620" s="1">
        <f t="shared" si="5"/>
        <v>10139.13616</v>
      </c>
      <c r="H620" s="1">
        <f t="shared" si="6"/>
        <v>18588.41629</v>
      </c>
      <c r="I620" s="1">
        <f t="shared" si="7"/>
        <v>30417.40847</v>
      </c>
    </row>
    <row r="621" hidden="1">
      <c r="A621" s="266">
        <f>IFERROR(__xludf.DUMMYFUNCTION("""COMPUTED_VALUE"""),43257.99861111111)</f>
        <v>43257.99861</v>
      </c>
      <c r="B621" s="1">
        <f>IFERROR(__xludf.DUMMYFUNCTION("""COMPUTED_VALUE"""),7654.93)</f>
        <v>7654.93</v>
      </c>
      <c r="C621" s="58">
        <f t="shared" si="1"/>
        <v>3441.998611</v>
      </c>
      <c r="D621" s="1">
        <f t="shared" si="2"/>
        <v>1692.706362</v>
      </c>
      <c r="E621" s="1">
        <f t="shared" si="3"/>
        <v>3046.871452</v>
      </c>
      <c r="F621" s="1">
        <f t="shared" si="4"/>
        <v>5755.201632</v>
      </c>
      <c r="G621" s="1">
        <f t="shared" si="5"/>
        <v>10156.23817</v>
      </c>
      <c r="H621" s="1">
        <f t="shared" si="6"/>
        <v>18619.76999</v>
      </c>
      <c r="I621" s="1">
        <f t="shared" si="7"/>
        <v>30468.71452</v>
      </c>
    </row>
    <row r="622" hidden="1">
      <c r="A622" s="266">
        <f>IFERROR(__xludf.DUMMYFUNCTION("""COMPUTED_VALUE"""),43258.99861111111)</f>
        <v>43258.99861</v>
      </c>
      <c r="B622" s="1">
        <f>IFERROR(__xludf.DUMMYFUNCTION("""COMPUTED_VALUE"""),7687.9)</f>
        <v>7687.9</v>
      </c>
      <c r="C622" s="58">
        <f t="shared" si="1"/>
        <v>3442.998611</v>
      </c>
      <c r="D622" s="1">
        <f t="shared" si="2"/>
        <v>1695.560676</v>
      </c>
      <c r="E622" s="1">
        <f t="shared" si="3"/>
        <v>3052.009218</v>
      </c>
      <c r="F622" s="1">
        <f t="shared" si="4"/>
        <v>5764.9063</v>
      </c>
      <c r="G622" s="1">
        <f t="shared" si="5"/>
        <v>10173.36406</v>
      </c>
      <c r="H622" s="1">
        <f t="shared" si="6"/>
        <v>18651.16744</v>
      </c>
      <c r="I622" s="1">
        <f t="shared" si="7"/>
        <v>30520.09218</v>
      </c>
    </row>
    <row r="623" hidden="1">
      <c r="A623" s="266">
        <f>IFERROR(__xludf.DUMMYFUNCTION("""COMPUTED_VALUE"""),43259.99861111111)</f>
        <v>43259.99861</v>
      </c>
      <c r="B623" s="1">
        <f>IFERROR(__xludf.DUMMYFUNCTION("""COMPUTED_VALUE"""),7617.21)</f>
        <v>7617.21</v>
      </c>
      <c r="C623" s="58">
        <f t="shared" si="1"/>
        <v>3443.998611</v>
      </c>
      <c r="D623" s="1">
        <f t="shared" si="2"/>
        <v>1698.418973</v>
      </c>
      <c r="E623" s="1">
        <f t="shared" si="3"/>
        <v>3057.154151</v>
      </c>
      <c r="F623" s="1">
        <f t="shared" si="4"/>
        <v>5774.624507</v>
      </c>
      <c r="G623" s="1">
        <f t="shared" si="5"/>
        <v>10190.51384</v>
      </c>
      <c r="H623" s="1">
        <f t="shared" si="6"/>
        <v>18682.6087</v>
      </c>
      <c r="I623" s="1">
        <f t="shared" si="7"/>
        <v>30571.54151</v>
      </c>
    </row>
    <row r="624" hidden="1">
      <c r="A624" s="266">
        <f>IFERROR(__xludf.DUMMYFUNCTION("""COMPUTED_VALUE"""),43260.99861111111)</f>
        <v>43260.99861</v>
      </c>
      <c r="B624" s="1">
        <f>IFERROR(__xludf.DUMMYFUNCTION("""COMPUTED_VALUE"""),7493.39)</f>
        <v>7493.39</v>
      </c>
      <c r="C624" s="58">
        <f t="shared" si="1"/>
        <v>3444.998611</v>
      </c>
      <c r="D624" s="1">
        <f t="shared" si="2"/>
        <v>1701.281255</v>
      </c>
      <c r="E624" s="1">
        <f t="shared" si="3"/>
        <v>3062.306259</v>
      </c>
      <c r="F624" s="1">
        <f t="shared" si="4"/>
        <v>5784.356267</v>
      </c>
      <c r="G624" s="1">
        <f t="shared" si="5"/>
        <v>10207.68753</v>
      </c>
      <c r="H624" s="1">
        <f t="shared" si="6"/>
        <v>18714.09381</v>
      </c>
      <c r="I624" s="1">
        <f t="shared" si="7"/>
        <v>30623.06259</v>
      </c>
    </row>
    <row r="625" hidden="1">
      <c r="A625" s="266">
        <f>IFERROR(__xludf.DUMMYFUNCTION("""COMPUTED_VALUE"""),43261.99861111111)</f>
        <v>43261.99861</v>
      </c>
      <c r="B625" s="1">
        <f>IFERROR(__xludf.DUMMYFUNCTION("""COMPUTED_VALUE"""),6754.26)</f>
        <v>6754.26</v>
      </c>
      <c r="C625" s="58">
        <f t="shared" si="1"/>
        <v>3445.998611</v>
      </c>
      <c r="D625" s="1">
        <f t="shared" si="2"/>
        <v>1704.147529</v>
      </c>
      <c r="E625" s="1">
        <f t="shared" si="3"/>
        <v>3067.465551</v>
      </c>
      <c r="F625" s="1">
        <f t="shared" si="4"/>
        <v>5794.101597</v>
      </c>
      <c r="G625" s="1">
        <f t="shared" si="5"/>
        <v>10224.88517</v>
      </c>
      <c r="H625" s="1">
        <f t="shared" si="6"/>
        <v>18745.62281</v>
      </c>
      <c r="I625" s="1">
        <f t="shared" si="7"/>
        <v>30674.65551</v>
      </c>
    </row>
    <row r="626" hidden="1">
      <c r="A626" s="266">
        <f>IFERROR(__xludf.DUMMYFUNCTION("""COMPUTED_VALUE"""),43262.99861111111)</f>
        <v>43262.99861</v>
      </c>
      <c r="B626" s="1">
        <f>IFERROR(__xludf.DUMMYFUNCTION("""COMPUTED_VALUE"""),6883.47)</f>
        <v>6883.47</v>
      </c>
      <c r="C626" s="58">
        <f t="shared" si="1"/>
        <v>3446.998611</v>
      </c>
      <c r="D626" s="1">
        <f t="shared" si="2"/>
        <v>1707.017797</v>
      </c>
      <c r="E626" s="1">
        <f t="shared" si="3"/>
        <v>3072.632035</v>
      </c>
      <c r="F626" s="1">
        <f t="shared" si="4"/>
        <v>5803.860511</v>
      </c>
      <c r="G626" s="1">
        <f t="shared" si="5"/>
        <v>10242.10678</v>
      </c>
      <c r="H626" s="1">
        <f t="shared" si="6"/>
        <v>18777.19577</v>
      </c>
      <c r="I626" s="1">
        <f t="shared" si="7"/>
        <v>30726.32035</v>
      </c>
    </row>
    <row r="627" hidden="1">
      <c r="A627" s="266">
        <f>IFERROR(__xludf.DUMMYFUNCTION("""COMPUTED_VALUE"""),43263.99861111111)</f>
        <v>43263.99861</v>
      </c>
      <c r="B627" s="1">
        <f>IFERROR(__xludf.DUMMYFUNCTION("""COMPUTED_VALUE"""),6555.48)</f>
        <v>6555.48</v>
      </c>
      <c r="C627" s="58">
        <f t="shared" si="1"/>
        <v>3447.998611</v>
      </c>
      <c r="D627" s="1">
        <f t="shared" si="2"/>
        <v>1709.892066</v>
      </c>
      <c r="E627" s="1">
        <f t="shared" si="3"/>
        <v>3077.805718</v>
      </c>
      <c r="F627" s="1">
        <f t="shared" si="4"/>
        <v>5813.633023</v>
      </c>
      <c r="G627" s="1">
        <f t="shared" si="5"/>
        <v>10259.35239</v>
      </c>
      <c r="H627" s="1">
        <f t="shared" si="6"/>
        <v>18808.81272</v>
      </c>
      <c r="I627" s="1">
        <f t="shared" si="7"/>
        <v>30778.05718</v>
      </c>
    </row>
    <row r="628" hidden="1">
      <c r="A628" s="266">
        <f>IFERROR(__xludf.DUMMYFUNCTION("""COMPUTED_VALUE"""),43264.99861111111)</f>
        <v>43264.99861</v>
      </c>
      <c r="B628" s="1">
        <f>IFERROR(__xludf.DUMMYFUNCTION("""COMPUTED_VALUE"""),6300.96)</f>
        <v>6300.96</v>
      </c>
      <c r="C628" s="58">
        <f t="shared" si="1"/>
        <v>3448.998611</v>
      </c>
      <c r="D628" s="1">
        <f t="shared" si="2"/>
        <v>1712.770338</v>
      </c>
      <c r="E628" s="1">
        <f t="shared" si="3"/>
        <v>3082.986609</v>
      </c>
      <c r="F628" s="1">
        <f t="shared" si="4"/>
        <v>5823.41915</v>
      </c>
      <c r="G628" s="1">
        <f t="shared" si="5"/>
        <v>10276.62203</v>
      </c>
      <c r="H628" s="1">
        <f t="shared" si="6"/>
        <v>18840.47372</v>
      </c>
      <c r="I628" s="1">
        <f t="shared" si="7"/>
        <v>30829.86609</v>
      </c>
    </row>
    <row r="629" hidden="1">
      <c r="A629" s="266">
        <f>IFERROR(__xludf.DUMMYFUNCTION("""COMPUTED_VALUE"""),43265.99861111111)</f>
        <v>43265.99861</v>
      </c>
      <c r="B629" s="1">
        <f>IFERROR(__xludf.DUMMYFUNCTION("""COMPUTED_VALUE"""),6636.37)</f>
        <v>6636.37</v>
      </c>
      <c r="C629" s="58">
        <f t="shared" si="1"/>
        <v>3449.998611</v>
      </c>
      <c r="D629" s="1">
        <f t="shared" si="2"/>
        <v>1715.652619</v>
      </c>
      <c r="E629" s="1">
        <f t="shared" si="3"/>
        <v>3088.174715</v>
      </c>
      <c r="F629" s="1">
        <f t="shared" si="4"/>
        <v>5833.218905</v>
      </c>
      <c r="G629" s="1">
        <f t="shared" si="5"/>
        <v>10293.91572</v>
      </c>
      <c r="H629" s="1">
        <f t="shared" si="6"/>
        <v>18872.17881</v>
      </c>
      <c r="I629" s="1">
        <f t="shared" si="7"/>
        <v>30881.74715</v>
      </c>
    </row>
    <row r="630" hidden="1">
      <c r="A630" s="266">
        <f>IFERROR(__xludf.DUMMYFUNCTION("""COMPUTED_VALUE"""),43266.99861111111)</f>
        <v>43266.99861</v>
      </c>
      <c r="B630" s="1">
        <f>IFERROR(__xludf.DUMMYFUNCTION("""COMPUTED_VALUE"""),6392.43)</f>
        <v>6392.43</v>
      </c>
      <c r="C630" s="58">
        <f t="shared" si="1"/>
        <v>3450.998611</v>
      </c>
      <c r="D630" s="1">
        <f t="shared" si="2"/>
        <v>1718.538913</v>
      </c>
      <c r="E630" s="1">
        <f t="shared" si="3"/>
        <v>3093.370044</v>
      </c>
      <c r="F630" s="1">
        <f t="shared" si="4"/>
        <v>5843.032305</v>
      </c>
      <c r="G630" s="1">
        <f t="shared" si="5"/>
        <v>10311.23348</v>
      </c>
      <c r="H630" s="1">
        <f t="shared" si="6"/>
        <v>18903.92804</v>
      </c>
      <c r="I630" s="1">
        <f t="shared" si="7"/>
        <v>30933.70044</v>
      </c>
    </row>
    <row r="631" hidden="1">
      <c r="A631" s="266">
        <f>IFERROR(__xludf.DUMMYFUNCTION("""COMPUTED_VALUE"""),43267.99861111111)</f>
        <v>43267.99861</v>
      </c>
      <c r="B631" s="1">
        <f>IFERROR(__xludf.DUMMYFUNCTION("""COMPUTED_VALUE"""),6491.74)</f>
        <v>6491.74</v>
      </c>
      <c r="C631" s="58">
        <f t="shared" si="1"/>
        <v>3451.998611</v>
      </c>
      <c r="D631" s="1">
        <f t="shared" si="2"/>
        <v>1721.429224</v>
      </c>
      <c r="E631" s="1">
        <f t="shared" si="3"/>
        <v>3098.572604</v>
      </c>
      <c r="F631" s="1">
        <f t="shared" si="4"/>
        <v>5852.859363</v>
      </c>
      <c r="G631" s="1">
        <f t="shared" si="5"/>
        <v>10328.57535</v>
      </c>
      <c r="H631" s="1">
        <f t="shared" si="6"/>
        <v>18935.72147</v>
      </c>
      <c r="I631" s="1">
        <f t="shared" si="7"/>
        <v>30985.72604</v>
      </c>
    </row>
    <row r="632" hidden="1">
      <c r="A632" s="266">
        <f>IFERROR(__xludf.DUMMYFUNCTION("""COMPUTED_VALUE"""),43268.99861111111)</f>
        <v>43268.99861</v>
      </c>
      <c r="B632" s="1">
        <f>IFERROR(__xludf.DUMMYFUNCTION("""COMPUTED_VALUE"""),6460.24)</f>
        <v>6460.24</v>
      </c>
      <c r="C632" s="58">
        <f t="shared" si="1"/>
        <v>3452.998611</v>
      </c>
      <c r="D632" s="1">
        <f t="shared" si="2"/>
        <v>1724.323557</v>
      </c>
      <c r="E632" s="1">
        <f t="shared" si="3"/>
        <v>3103.782403</v>
      </c>
      <c r="F632" s="1">
        <f t="shared" si="4"/>
        <v>5862.700095</v>
      </c>
      <c r="G632" s="1">
        <f t="shared" si="5"/>
        <v>10345.94134</v>
      </c>
      <c r="H632" s="1">
        <f t="shared" si="6"/>
        <v>18967.55913</v>
      </c>
      <c r="I632" s="1">
        <f t="shared" si="7"/>
        <v>31037.82403</v>
      </c>
    </row>
    <row r="633" hidden="1">
      <c r="A633" s="266">
        <f>IFERROR(__xludf.DUMMYFUNCTION("""COMPUTED_VALUE"""),43269.99861111111)</f>
        <v>43269.99861</v>
      </c>
      <c r="B633" s="1">
        <f>IFERROR(__xludf.DUMMYFUNCTION("""COMPUTED_VALUE"""),6711.79)</f>
        <v>6711.79</v>
      </c>
      <c r="C633" s="58">
        <f t="shared" si="1"/>
        <v>3453.998611</v>
      </c>
      <c r="D633" s="1">
        <f t="shared" si="2"/>
        <v>1727.221917</v>
      </c>
      <c r="E633" s="1">
        <f t="shared" si="3"/>
        <v>3108.99945</v>
      </c>
      <c r="F633" s="1">
        <f t="shared" si="4"/>
        <v>5872.554517</v>
      </c>
      <c r="G633" s="1">
        <f t="shared" si="5"/>
        <v>10363.3315</v>
      </c>
      <c r="H633" s="1">
        <f t="shared" si="6"/>
        <v>18999.44108</v>
      </c>
      <c r="I633" s="1">
        <f t="shared" si="7"/>
        <v>31089.9945</v>
      </c>
    </row>
    <row r="634" hidden="1">
      <c r="A634" s="266">
        <f>IFERROR(__xludf.DUMMYFUNCTION("""COMPUTED_VALUE"""),43270.99861111111)</f>
        <v>43270.99861</v>
      </c>
      <c r="B634" s="1">
        <f>IFERROR(__xludf.DUMMYFUNCTION("""COMPUTED_VALUE"""),6735.74)</f>
        <v>6735.74</v>
      </c>
      <c r="C634" s="58">
        <f t="shared" si="1"/>
        <v>3454.998611</v>
      </c>
      <c r="D634" s="1">
        <f t="shared" si="2"/>
        <v>1730.124307</v>
      </c>
      <c r="E634" s="1">
        <f t="shared" si="3"/>
        <v>3114.223752</v>
      </c>
      <c r="F634" s="1">
        <f t="shared" si="4"/>
        <v>5882.422642</v>
      </c>
      <c r="G634" s="1">
        <f t="shared" si="5"/>
        <v>10380.74584</v>
      </c>
      <c r="H634" s="1">
        <f t="shared" si="6"/>
        <v>19031.36737</v>
      </c>
      <c r="I634" s="1">
        <f t="shared" si="7"/>
        <v>31142.23752</v>
      </c>
    </row>
    <row r="635" hidden="1">
      <c r="A635" s="266">
        <f>IFERROR(__xludf.DUMMYFUNCTION("""COMPUTED_VALUE"""),43271.99861111111)</f>
        <v>43271.99861</v>
      </c>
      <c r="B635" s="1">
        <f>IFERROR(__xludf.DUMMYFUNCTION("""COMPUTED_VALUE"""),6759.87)</f>
        <v>6759.87</v>
      </c>
      <c r="C635" s="58">
        <f t="shared" si="1"/>
        <v>3455.998611</v>
      </c>
      <c r="D635" s="1">
        <f t="shared" si="2"/>
        <v>1733.030731</v>
      </c>
      <c r="E635" s="1">
        <f t="shared" si="3"/>
        <v>3119.455317</v>
      </c>
      <c r="F635" s="1">
        <f t="shared" si="4"/>
        <v>5892.304487</v>
      </c>
      <c r="G635" s="1">
        <f t="shared" si="5"/>
        <v>10398.18439</v>
      </c>
      <c r="H635" s="1">
        <f t="shared" si="6"/>
        <v>19063.33805</v>
      </c>
      <c r="I635" s="1">
        <f t="shared" si="7"/>
        <v>31194.55317</v>
      </c>
    </row>
    <row r="636" hidden="1">
      <c r="A636" s="266">
        <f>IFERROR(__xludf.DUMMYFUNCTION("""COMPUTED_VALUE"""),43272.99861111111)</f>
        <v>43272.99861</v>
      </c>
      <c r="B636" s="1">
        <f>IFERROR(__xludf.DUMMYFUNCTION("""COMPUTED_VALUE"""),6720.37)</f>
        <v>6720.37</v>
      </c>
      <c r="C636" s="58">
        <f t="shared" si="1"/>
        <v>3456.998611</v>
      </c>
      <c r="D636" s="1">
        <f t="shared" si="2"/>
        <v>1735.941196</v>
      </c>
      <c r="E636" s="1">
        <f t="shared" si="3"/>
        <v>3124.694153</v>
      </c>
      <c r="F636" s="1">
        <f t="shared" si="4"/>
        <v>5902.200066</v>
      </c>
      <c r="G636" s="1">
        <f t="shared" si="5"/>
        <v>10415.64718</v>
      </c>
      <c r="H636" s="1">
        <f t="shared" si="6"/>
        <v>19095.35316</v>
      </c>
      <c r="I636" s="1">
        <f t="shared" si="7"/>
        <v>31246.94153</v>
      </c>
    </row>
    <row r="637" hidden="1">
      <c r="A637" s="266">
        <f>IFERROR(__xludf.DUMMYFUNCTION("""COMPUTED_VALUE"""),43273.99861111111)</f>
        <v>43273.99861</v>
      </c>
      <c r="B637" s="1">
        <f>IFERROR(__xludf.DUMMYFUNCTION("""COMPUTED_VALUE"""),6044.73)</f>
        <v>6044.73</v>
      </c>
      <c r="C637" s="58">
        <f t="shared" si="1"/>
        <v>3457.998611</v>
      </c>
      <c r="D637" s="1">
        <f t="shared" si="2"/>
        <v>1738.855704</v>
      </c>
      <c r="E637" s="1">
        <f t="shared" si="3"/>
        <v>3129.940268</v>
      </c>
      <c r="F637" s="1">
        <f t="shared" si="4"/>
        <v>5912.109395</v>
      </c>
      <c r="G637" s="1">
        <f t="shared" si="5"/>
        <v>10433.13423</v>
      </c>
      <c r="H637" s="1">
        <f t="shared" si="6"/>
        <v>19127.41275</v>
      </c>
      <c r="I637" s="1">
        <f t="shared" si="7"/>
        <v>31299.40268</v>
      </c>
    </row>
    <row r="638" hidden="1">
      <c r="A638" s="266">
        <f>IFERROR(__xludf.DUMMYFUNCTION("""COMPUTED_VALUE"""),43274.99861111111)</f>
        <v>43274.99861</v>
      </c>
      <c r="B638" s="1">
        <f>IFERROR(__xludf.DUMMYFUNCTION("""COMPUTED_VALUE"""),6177.48)</f>
        <v>6177.48</v>
      </c>
      <c r="C638" s="58">
        <f t="shared" si="1"/>
        <v>3458.998611</v>
      </c>
      <c r="D638" s="1">
        <f t="shared" si="2"/>
        <v>1741.774261</v>
      </c>
      <c r="E638" s="1">
        <f t="shared" si="3"/>
        <v>3135.19367</v>
      </c>
      <c r="F638" s="1">
        <f t="shared" si="4"/>
        <v>5922.032488</v>
      </c>
      <c r="G638" s="1">
        <f t="shared" si="5"/>
        <v>10450.64557</v>
      </c>
      <c r="H638" s="1">
        <f t="shared" si="6"/>
        <v>19159.51687</v>
      </c>
      <c r="I638" s="1">
        <f t="shared" si="7"/>
        <v>31351.9367</v>
      </c>
    </row>
    <row r="639" hidden="1">
      <c r="A639" s="266">
        <f>IFERROR(__xludf.DUMMYFUNCTION("""COMPUTED_VALUE"""),43275.99861111111)</f>
        <v>43275.99861</v>
      </c>
      <c r="B639" s="1">
        <f>IFERROR(__xludf.DUMMYFUNCTION("""COMPUTED_VALUE"""),6148.53)</f>
        <v>6148.53</v>
      </c>
      <c r="C639" s="58">
        <f t="shared" si="1"/>
        <v>3459.998611</v>
      </c>
      <c r="D639" s="1">
        <f t="shared" si="2"/>
        <v>1744.696871</v>
      </c>
      <c r="E639" s="1">
        <f t="shared" si="3"/>
        <v>3140.454367</v>
      </c>
      <c r="F639" s="1">
        <f t="shared" si="4"/>
        <v>5931.969361</v>
      </c>
      <c r="G639" s="1">
        <f t="shared" si="5"/>
        <v>10468.18122</v>
      </c>
      <c r="H639" s="1">
        <f t="shared" si="6"/>
        <v>19191.66558</v>
      </c>
      <c r="I639" s="1">
        <f t="shared" si="7"/>
        <v>31404.54367</v>
      </c>
    </row>
    <row r="640" hidden="1">
      <c r="A640" s="266">
        <f>IFERROR(__xludf.DUMMYFUNCTION("""COMPUTED_VALUE"""),43276.99861111111)</f>
        <v>43276.99861</v>
      </c>
      <c r="B640" s="1">
        <f>IFERROR(__xludf.DUMMYFUNCTION("""COMPUTED_VALUE"""),6248.35)</f>
        <v>6248.35</v>
      </c>
      <c r="C640" s="58">
        <f t="shared" si="1"/>
        <v>3460.998611</v>
      </c>
      <c r="D640" s="1">
        <f t="shared" si="2"/>
        <v>1747.623538</v>
      </c>
      <c r="E640" s="1">
        <f t="shared" si="3"/>
        <v>3145.722368</v>
      </c>
      <c r="F640" s="1">
        <f t="shared" si="4"/>
        <v>5941.920028</v>
      </c>
      <c r="G640" s="1">
        <f t="shared" si="5"/>
        <v>10485.74123</v>
      </c>
      <c r="H640" s="1">
        <f t="shared" si="6"/>
        <v>19223.85891</v>
      </c>
      <c r="I640" s="1">
        <f t="shared" si="7"/>
        <v>31457.22368</v>
      </c>
    </row>
    <row r="641" hidden="1">
      <c r="A641" s="266">
        <f>IFERROR(__xludf.DUMMYFUNCTION("""COMPUTED_VALUE"""),43277.99861111111)</f>
        <v>43277.99861</v>
      </c>
      <c r="B641" s="1">
        <f>IFERROR(__xludf.DUMMYFUNCTION("""COMPUTED_VALUE"""),6082.66)</f>
        <v>6082.66</v>
      </c>
      <c r="C641" s="58">
        <f t="shared" si="1"/>
        <v>3461.998611</v>
      </c>
      <c r="D641" s="1">
        <f t="shared" si="2"/>
        <v>1750.554266</v>
      </c>
      <c r="E641" s="1">
        <f t="shared" si="3"/>
        <v>3150.997679</v>
      </c>
      <c r="F641" s="1">
        <f t="shared" si="4"/>
        <v>5951.884506</v>
      </c>
      <c r="G641" s="1">
        <f t="shared" si="5"/>
        <v>10503.3256</v>
      </c>
      <c r="H641" s="1">
        <f t="shared" si="6"/>
        <v>19256.09693</v>
      </c>
      <c r="I641" s="1">
        <f t="shared" si="7"/>
        <v>31509.97679</v>
      </c>
    </row>
    <row r="642" hidden="1">
      <c r="A642" s="266">
        <f>IFERROR(__xludf.DUMMYFUNCTION("""COMPUTED_VALUE"""),43278.99861111111)</f>
        <v>43278.99861</v>
      </c>
      <c r="B642" s="1">
        <f>IFERROR(__xludf.DUMMYFUNCTION("""COMPUTED_VALUE"""),6131.76)</f>
        <v>6131.76</v>
      </c>
      <c r="C642" s="58">
        <f t="shared" si="1"/>
        <v>3462.998611</v>
      </c>
      <c r="D642" s="1">
        <f t="shared" si="2"/>
        <v>1753.489061</v>
      </c>
      <c r="E642" s="1">
        <f t="shared" si="3"/>
        <v>3156.28031</v>
      </c>
      <c r="F642" s="1">
        <f t="shared" si="4"/>
        <v>5961.862808</v>
      </c>
      <c r="G642" s="1">
        <f t="shared" si="5"/>
        <v>10520.93437</v>
      </c>
      <c r="H642" s="1">
        <f t="shared" si="6"/>
        <v>19288.37967</v>
      </c>
      <c r="I642" s="1">
        <f t="shared" si="7"/>
        <v>31562.8031</v>
      </c>
    </row>
    <row r="643" hidden="1">
      <c r="A643" s="266">
        <f>IFERROR(__xludf.DUMMYFUNCTION("""COMPUTED_VALUE"""),43279.99861111111)</f>
        <v>43279.99861</v>
      </c>
      <c r="B643" s="1">
        <f>IFERROR(__xludf.DUMMYFUNCTION("""COMPUTED_VALUE"""),5883.21)</f>
        <v>5883.21</v>
      </c>
      <c r="C643" s="58">
        <f t="shared" si="1"/>
        <v>3463.998611</v>
      </c>
      <c r="D643" s="1">
        <f t="shared" si="2"/>
        <v>1756.427927</v>
      </c>
      <c r="E643" s="1">
        <f t="shared" si="3"/>
        <v>3161.570268</v>
      </c>
      <c r="F643" s="1">
        <f t="shared" si="4"/>
        <v>5971.854952</v>
      </c>
      <c r="G643" s="1">
        <f t="shared" si="5"/>
        <v>10538.56756</v>
      </c>
      <c r="H643" s="1">
        <f t="shared" si="6"/>
        <v>19320.7072</v>
      </c>
      <c r="I643" s="1">
        <f t="shared" si="7"/>
        <v>31615.70268</v>
      </c>
    </row>
    <row r="644" hidden="1">
      <c r="A644" s="266">
        <f>IFERROR(__xludf.DUMMYFUNCTION("""COMPUTED_VALUE"""),43280.99861111111)</f>
        <v>43280.99861</v>
      </c>
      <c r="B644" s="1">
        <f>IFERROR(__xludf.DUMMYFUNCTION("""COMPUTED_VALUE"""),6208.42)</f>
        <v>6208.42</v>
      </c>
      <c r="C644" s="58">
        <f t="shared" si="1"/>
        <v>3464.998611</v>
      </c>
      <c r="D644" s="1">
        <f t="shared" si="2"/>
        <v>1759.370868</v>
      </c>
      <c r="E644" s="1">
        <f t="shared" si="3"/>
        <v>3166.867562</v>
      </c>
      <c r="F644" s="1">
        <f t="shared" si="4"/>
        <v>5981.86095</v>
      </c>
      <c r="G644" s="1">
        <f t="shared" si="5"/>
        <v>10556.22521</v>
      </c>
      <c r="H644" s="1">
        <f t="shared" si="6"/>
        <v>19353.07954</v>
      </c>
      <c r="I644" s="1">
        <f t="shared" si="7"/>
        <v>31668.67562</v>
      </c>
    </row>
    <row r="645" hidden="1">
      <c r="A645" s="266">
        <f>IFERROR(__xludf.DUMMYFUNCTION("""COMPUTED_VALUE"""),43281.99861111111)</f>
        <v>43281.99861</v>
      </c>
      <c r="B645" s="1">
        <f>IFERROR(__xludf.DUMMYFUNCTION("""COMPUTED_VALUE"""),6387.27)</f>
        <v>6387.27</v>
      </c>
      <c r="C645" s="58">
        <f t="shared" si="1"/>
        <v>3465.998611</v>
      </c>
      <c r="D645" s="1">
        <f t="shared" si="2"/>
        <v>1762.317888</v>
      </c>
      <c r="E645" s="1">
        <f t="shared" si="3"/>
        <v>3172.172199</v>
      </c>
      <c r="F645" s="1">
        <f t="shared" si="4"/>
        <v>5991.880819</v>
      </c>
      <c r="G645" s="1">
        <f t="shared" si="5"/>
        <v>10573.90733</v>
      </c>
      <c r="H645" s="1">
        <f t="shared" si="6"/>
        <v>19385.49677</v>
      </c>
      <c r="I645" s="1">
        <f t="shared" si="7"/>
        <v>31721.72199</v>
      </c>
    </row>
    <row r="646" hidden="1">
      <c r="A646" s="266">
        <f>IFERROR(__xludf.DUMMYFUNCTION("""COMPUTED_VALUE"""),43282.99861111111)</f>
        <v>43282.99861</v>
      </c>
      <c r="B646" s="1">
        <f>IFERROR(__xludf.DUMMYFUNCTION("""COMPUTED_VALUE"""),6347.94)</f>
        <v>6347.94</v>
      </c>
      <c r="C646" s="58">
        <f t="shared" si="1"/>
        <v>3466.998611</v>
      </c>
      <c r="D646" s="1">
        <f t="shared" si="2"/>
        <v>1765.268993</v>
      </c>
      <c r="E646" s="1">
        <f t="shared" si="3"/>
        <v>3177.484187</v>
      </c>
      <c r="F646" s="1">
        <f t="shared" si="4"/>
        <v>6001.914575</v>
      </c>
      <c r="G646" s="1">
        <f t="shared" si="5"/>
        <v>10591.61396</v>
      </c>
      <c r="H646" s="1">
        <f t="shared" si="6"/>
        <v>19417.95892</v>
      </c>
      <c r="I646" s="1">
        <f t="shared" si="7"/>
        <v>31774.84187</v>
      </c>
    </row>
    <row r="647" hidden="1">
      <c r="A647" s="266">
        <f>IFERROR(__xludf.DUMMYFUNCTION("""COMPUTED_VALUE"""),43283.99861111111)</f>
        <v>43283.99861</v>
      </c>
      <c r="B647" s="1">
        <f>IFERROR(__xludf.DUMMYFUNCTION("""COMPUTED_VALUE"""),6621.06)</f>
        <v>6621.06</v>
      </c>
      <c r="C647" s="58">
        <f t="shared" si="1"/>
        <v>3467.998611</v>
      </c>
      <c r="D647" s="1">
        <f t="shared" si="2"/>
        <v>1768.224186</v>
      </c>
      <c r="E647" s="1">
        <f t="shared" si="3"/>
        <v>3182.803534</v>
      </c>
      <c r="F647" s="1">
        <f t="shared" si="4"/>
        <v>6011.962231</v>
      </c>
      <c r="G647" s="1">
        <f t="shared" si="5"/>
        <v>10609.34511</v>
      </c>
      <c r="H647" s="1">
        <f t="shared" si="6"/>
        <v>19450.46604</v>
      </c>
      <c r="I647" s="1">
        <f t="shared" si="7"/>
        <v>31828.03534</v>
      </c>
    </row>
    <row r="648" hidden="1">
      <c r="A648" s="266">
        <f>IFERROR(__xludf.DUMMYFUNCTION("""COMPUTED_VALUE"""),43284.99861111111)</f>
        <v>43284.99861</v>
      </c>
      <c r="B648" s="1">
        <f>IFERROR(__xludf.DUMMYFUNCTION("""COMPUTED_VALUE"""),6505.57)</f>
        <v>6505.57</v>
      </c>
      <c r="C648" s="58">
        <f t="shared" si="1"/>
        <v>3468.998611</v>
      </c>
      <c r="D648" s="1">
        <f t="shared" si="2"/>
        <v>1771.183472</v>
      </c>
      <c r="E648" s="1">
        <f t="shared" si="3"/>
        <v>3188.130249</v>
      </c>
      <c r="F648" s="1">
        <f t="shared" si="4"/>
        <v>6022.023804</v>
      </c>
      <c r="G648" s="1">
        <f t="shared" si="5"/>
        <v>10627.10083</v>
      </c>
      <c r="H648" s="1">
        <f t="shared" si="6"/>
        <v>19483.01819</v>
      </c>
      <c r="I648" s="1">
        <f t="shared" si="7"/>
        <v>31881.30249</v>
      </c>
    </row>
    <row r="649" hidden="1">
      <c r="A649" s="266">
        <f>IFERROR(__xludf.DUMMYFUNCTION("""COMPUTED_VALUE"""),43285.99861111111)</f>
        <v>43285.99861</v>
      </c>
      <c r="B649" s="1">
        <f>IFERROR(__xludf.DUMMYFUNCTION("""COMPUTED_VALUE"""),6592.63)</f>
        <v>6592.63</v>
      </c>
      <c r="C649" s="58">
        <f t="shared" si="1"/>
        <v>3469.998611</v>
      </c>
      <c r="D649" s="1">
        <f t="shared" si="2"/>
        <v>1774.146855</v>
      </c>
      <c r="E649" s="1">
        <f t="shared" si="3"/>
        <v>3193.46434</v>
      </c>
      <c r="F649" s="1">
        <f t="shared" si="4"/>
        <v>6032.099309</v>
      </c>
      <c r="G649" s="1">
        <f t="shared" si="5"/>
        <v>10644.88113</v>
      </c>
      <c r="H649" s="1">
        <f t="shared" si="6"/>
        <v>19515.61541</v>
      </c>
      <c r="I649" s="1">
        <f t="shared" si="7"/>
        <v>31934.6434</v>
      </c>
    </row>
    <row r="650" hidden="1">
      <c r="A650" s="266">
        <f>IFERROR(__xludf.DUMMYFUNCTION("""COMPUTED_VALUE"""),43286.99861111111)</f>
        <v>43286.99861</v>
      </c>
      <c r="B650" s="1">
        <f>IFERROR(__xludf.DUMMYFUNCTION("""COMPUTED_VALUE"""),6536.4)</f>
        <v>6536.4</v>
      </c>
      <c r="C650" s="58">
        <f t="shared" si="1"/>
        <v>3470.998611</v>
      </c>
      <c r="D650" s="1">
        <f t="shared" si="2"/>
        <v>1777.114341</v>
      </c>
      <c r="E650" s="1">
        <f t="shared" si="3"/>
        <v>3198.805814</v>
      </c>
      <c r="F650" s="1">
        <f t="shared" si="4"/>
        <v>6042.18876</v>
      </c>
      <c r="G650" s="1">
        <f t="shared" si="5"/>
        <v>10662.68605</v>
      </c>
      <c r="H650" s="1">
        <f t="shared" si="6"/>
        <v>19548.25775</v>
      </c>
      <c r="I650" s="1">
        <f t="shared" si="7"/>
        <v>31988.05814</v>
      </c>
    </row>
    <row r="651" hidden="1">
      <c r="A651" s="266">
        <f>IFERROR(__xludf.DUMMYFUNCTION("""COMPUTED_VALUE"""),43287.99861111111)</f>
        <v>43287.99861</v>
      </c>
      <c r="B651" s="1">
        <f>IFERROR(__xludf.DUMMYFUNCTION("""COMPUTED_VALUE"""),6617.18)</f>
        <v>6617.18</v>
      </c>
      <c r="C651" s="58">
        <f t="shared" si="1"/>
        <v>3471.998611</v>
      </c>
      <c r="D651" s="1">
        <f t="shared" si="2"/>
        <v>1780.085934</v>
      </c>
      <c r="E651" s="1">
        <f t="shared" si="3"/>
        <v>3204.15468</v>
      </c>
      <c r="F651" s="1">
        <f t="shared" si="4"/>
        <v>6052.292174</v>
      </c>
      <c r="G651" s="1">
        <f t="shared" si="5"/>
        <v>10680.5156</v>
      </c>
      <c r="H651" s="1">
        <f t="shared" si="6"/>
        <v>19580.94527</v>
      </c>
      <c r="I651" s="1">
        <f t="shared" si="7"/>
        <v>32041.5468</v>
      </c>
    </row>
    <row r="652" hidden="1">
      <c r="A652" s="266">
        <f>IFERROR(__xludf.DUMMYFUNCTION("""COMPUTED_VALUE"""),43288.99861111111)</f>
        <v>43288.99861</v>
      </c>
      <c r="B652" s="1">
        <f>IFERROR(__xludf.DUMMYFUNCTION("""COMPUTED_VALUE"""),6773.66)</f>
        <v>6773.66</v>
      </c>
      <c r="C652" s="58">
        <f t="shared" si="1"/>
        <v>3472.998611</v>
      </c>
      <c r="D652" s="1">
        <f t="shared" si="2"/>
        <v>1783.061637</v>
      </c>
      <c r="E652" s="1">
        <f t="shared" si="3"/>
        <v>3209.510946</v>
      </c>
      <c r="F652" s="1">
        <f t="shared" si="4"/>
        <v>6062.409565</v>
      </c>
      <c r="G652" s="1">
        <f t="shared" si="5"/>
        <v>10698.36982</v>
      </c>
      <c r="H652" s="1">
        <f t="shared" si="6"/>
        <v>19613.67801</v>
      </c>
      <c r="I652" s="1">
        <f t="shared" si="7"/>
        <v>32095.10946</v>
      </c>
    </row>
    <row r="653" hidden="1">
      <c r="A653" s="266">
        <f>IFERROR(__xludf.DUMMYFUNCTION("""COMPUTED_VALUE"""),43289.99861111111)</f>
        <v>43289.99861</v>
      </c>
      <c r="B653" s="1">
        <f>IFERROR(__xludf.DUMMYFUNCTION("""COMPUTED_VALUE"""),6708.97)</f>
        <v>6708.97</v>
      </c>
      <c r="C653" s="58">
        <f t="shared" si="1"/>
        <v>3473.998611</v>
      </c>
      <c r="D653" s="1">
        <f t="shared" si="2"/>
        <v>1786.041456</v>
      </c>
      <c r="E653" s="1">
        <f t="shared" si="3"/>
        <v>3214.87462</v>
      </c>
      <c r="F653" s="1">
        <f t="shared" si="4"/>
        <v>6072.540949</v>
      </c>
      <c r="G653" s="1">
        <f t="shared" si="5"/>
        <v>10716.24873</v>
      </c>
      <c r="H653" s="1">
        <f t="shared" si="6"/>
        <v>19646.45601</v>
      </c>
      <c r="I653" s="1">
        <f t="shared" si="7"/>
        <v>32148.7462</v>
      </c>
    </row>
    <row r="654" hidden="1">
      <c r="A654" s="266">
        <f>IFERROR(__xludf.DUMMYFUNCTION("""COMPUTED_VALUE"""),43290.99861111111)</f>
        <v>43290.99861</v>
      </c>
      <c r="B654" s="1">
        <f>IFERROR(__xludf.DUMMYFUNCTION("""COMPUTED_VALUE"""),6663.56)</f>
        <v>6663.56</v>
      </c>
      <c r="C654" s="58">
        <f t="shared" si="1"/>
        <v>3474.998611</v>
      </c>
      <c r="D654" s="1">
        <f t="shared" si="2"/>
        <v>1789.025395</v>
      </c>
      <c r="E654" s="1">
        <f t="shared" si="3"/>
        <v>3220.24571</v>
      </c>
      <c r="F654" s="1">
        <f t="shared" si="4"/>
        <v>6082.686342</v>
      </c>
      <c r="G654" s="1">
        <f t="shared" si="5"/>
        <v>10734.15237</v>
      </c>
      <c r="H654" s="1">
        <f t="shared" si="6"/>
        <v>19679.27934</v>
      </c>
      <c r="I654" s="1">
        <f t="shared" si="7"/>
        <v>32202.4571</v>
      </c>
    </row>
    <row r="655" hidden="1">
      <c r="A655" s="266">
        <f>IFERROR(__xludf.DUMMYFUNCTION("""COMPUTED_VALUE"""),43291.99861111111)</f>
        <v>43291.99861</v>
      </c>
      <c r="B655" s="1">
        <f>IFERROR(__xludf.DUMMYFUNCTION("""COMPUTED_VALUE"""),6304.15)</f>
        <v>6304.15</v>
      </c>
      <c r="C655" s="58">
        <f t="shared" si="1"/>
        <v>3475.998611</v>
      </c>
      <c r="D655" s="1">
        <f t="shared" si="2"/>
        <v>1792.013458</v>
      </c>
      <c r="E655" s="1">
        <f t="shared" si="3"/>
        <v>3225.624224</v>
      </c>
      <c r="F655" s="1">
        <f t="shared" si="4"/>
        <v>6092.845757</v>
      </c>
      <c r="G655" s="1">
        <f t="shared" si="5"/>
        <v>10752.08075</v>
      </c>
      <c r="H655" s="1">
        <f t="shared" si="6"/>
        <v>19712.14804</v>
      </c>
      <c r="I655" s="1">
        <f t="shared" si="7"/>
        <v>32256.24224</v>
      </c>
    </row>
    <row r="656" hidden="1">
      <c r="A656" s="266">
        <f>IFERROR(__xludf.DUMMYFUNCTION("""COMPUTED_VALUE"""),43292.99861111111)</f>
        <v>43292.99861</v>
      </c>
      <c r="B656" s="1">
        <f>IFERROR(__xludf.DUMMYFUNCTION("""COMPUTED_VALUE"""),6389.39)</f>
        <v>6389.39</v>
      </c>
      <c r="C656" s="58">
        <f t="shared" si="1"/>
        <v>3476.998611</v>
      </c>
      <c r="D656" s="1">
        <f t="shared" si="2"/>
        <v>1795.005651</v>
      </c>
      <c r="E656" s="1">
        <f t="shared" si="3"/>
        <v>3231.010171</v>
      </c>
      <c r="F656" s="1">
        <f t="shared" si="4"/>
        <v>6103.019212</v>
      </c>
      <c r="G656" s="1">
        <f t="shared" si="5"/>
        <v>10770.0339</v>
      </c>
      <c r="H656" s="1">
        <f t="shared" si="6"/>
        <v>19745.06216</v>
      </c>
      <c r="I656" s="1">
        <f t="shared" si="7"/>
        <v>32310.10171</v>
      </c>
    </row>
    <row r="657" hidden="1">
      <c r="A657" s="266">
        <f>IFERROR(__xludf.DUMMYFUNCTION("""COMPUTED_VALUE"""),43293.99861111111)</f>
        <v>43293.99861</v>
      </c>
      <c r="B657" s="1">
        <f>IFERROR(__xludf.DUMMYFUNCTION("""COMPUTED_VALUE"""),6238.72)</f>
        <v>6238.72</v>
      </c>
      <c r="C657" s="58">
        <f t="shared" si="1"/>
        <v>3477.998611</v>
      </c>
      <c r="D657" s="1">
        <f t="shared" si="2"/>
        <v>1798.001977</v>
      </c>
      <c r="E657" s="1">
        <f t="shared" si="3"/>
        <v>3236.403558</v>
      </c>
      <c r="F657" s="1">
        <f t="shared" si="4"/>
        <v>6113.20672</v>
      </c>
      <c r="G657" s="1">
        <f t="shared" si="5"/>
        <v>10788.01186</v>
      </c>
      <c r="H657" s="1">
        <f t="shared" si="6"/>
        <v>19778.02174</v>
      </c>
      <c r="I657" s="1">
        <f t="shared" si="7"/>
        <v>32364.03558</v>
      </c>
    </row>
    <row r="658" hidden="1">
      <c r="A658" s="266">
        <f>IFERROR(__xludf.DUMMYFUNCTION("""COMPUTED_VALUE"""),43294.99861111111)</f>
        <v>43294.99861</v>
      </c>
      <c r="B658" s="1">
        <f>IFERROR(__xludf.DUMMYFUNCTION("""COMPUTED_VALUE"""),6219.4)</f>
        <v>6219.4</v>
      </c>
      <c r="C658" s="58">
        <f t="shared" si="1"/>
        <v>3478.998611</v>
      </c>
      <c r="D658" s="1">
        <f t="shared" si="2"/>
        <v>1801.002441</v>
      </c>
      <c r="E658" s="1">
        <f t="shared" si="3"/>
        <v>3241.804393</v>
      </c>
      <c r="F658" s="1">
        <f t="shared" si="4"/>
        <v>6123.408299</v>
      </c>
      <c r="G658" s="1">
        <f t="shared" si="5"/>
        <v>10806.01464</v>
      </c>
      <c r="H658" s="1">
        <f t="shared" si="6"/>
        <v>19811.02685</v>
      </c>
      <c r="I658" s="1">
        <f t="shared" si="7"/>
        <v>32418.04393</v>
      </c>
    </row>
    <row r="659" hidden="1">
      <c r="A659" s="266">
        <f>IFERROR(__xludf.DUMMYFUNCTION("""COMPUTED_VALUE"""),43295.99861111111)</f>
        <v>43295.99861</v>
      </c>
      <c r="B659" s="1">
        <f>IFERROR(__xludf.DUMMYFUNCTION("""COMPUTED_VALUE"""),6249.97)</f>
        <v>6249.97</v>
      </c>
      <c r="C659" s="58">
        <f t="shared" si="1"/>
        <v>3479.998611</v>
      </c>
      <c r="D659" s="1">
        <f t="shared" si="2"/>
        <v>1804.007048</v>
      </c>
      <c r="E659" s="1">
        <f t="shared" si="3"/>
        <v>3247.212686</v>
      </c>
      <c r="F659" s="1">
        <f t="shared" si="4"/>
        <v>6133.623962</v>
      </c>
      <c r="G659" s="1">
        <f t="shared" si="5"/>
        <v>10824.04229</v>
      </c>
      <c r="H659" s="1">
        <f t="shared" si="6"/>
        <v>19844.07752</v>
      </c>
      <c r="I659" s="1">
        <f t="shared" si="7"/>
        <v>32472.12686</v>
      </c>
    </row>
    <row r="660" hidden="1">
      <c r="A660" s="266">
        <f>IFERROR(__xludf.DUMMYFUNCTION("""COMPUTED_VALUE"""),43296.99861111111)</f>
        <v>43296.99861</v>
      </c>
      <c r="B660" s="1">
        <f>IFERROR(__xludf.DUMMYFUNCTION("""COMPUTED_VALUE"""),6348.79)</f>
        <v>6348.79</v>
      </c>
      <c r="C660" s="58">
        <f t="shared" si="1"/>
        <v>3480.998611</v>
      </c>
      <c r="D660" s="1">
        <f t="shared" si="2"/>
        <v>1807.015801</v>
      </c>
      <c r="E660" s="1">
        <f t="shared" si="3"/>
        <v>3252.628443</v>
      </c>
      <c r="F660" s="1">
        <f t="shared" si="4"/>
        <v>6143.853725</v>
      </c>
      <c r="G660" s="1">
        <f t="shared" si="5"/>
        <v>10842.09481</v>
      </c>
      <c r="H660" s="1">
        <f t="shared" si="6"/>
        <v>19877.17382</v>
      </c>
      <c r="I660" s="1">
        <f t="shared" si="7"/>
        <v>32526.28443</v>
      </c>
    </row>
    <row r="661" hidden="1">
      <c r="A661" s="266">
        <f>IFERROR(__xludf.DUMMYFUNCTION("""COMPUTED_VALUE"""),43297.99861111111)</f>
        <v>43297.99861</v>
      </c>
      <c r="B661" s="1">
        <f>IFERROR(__xludf.DUMMYFUNCTION("""COMPUTED_VALUE"""),6714.31)</f>
        <v>6714.31</v>
      </c>
      <c r="C661" s="58">
        <f t="shared" si="1"/>
        <v>3481.998611</v>
      </c>
      <c r="D661" s="1">
        <f t="shared" si="2"/>
        <v>1810.028707</v>
      </c>
      <c r="E661" s="1">
        <f t="shared" si="3"/>
        <v>3258.051673</v>
      </c>
      <c r="F661" s="1">
        <f t="shared" si="4"/>
        <v>6154.097604</v>
      </c>
      <c r="G661" s="1">
        <f t="shared" si="5"/>
        <v>10860.17224</v>
      </c>
      <c r="H661" s="1">
        <f t="shared" si="6"/>
        <v>19910.31578</v>
      </c>
      <c r="I661" s="1">
        <f t="shared" si="7"/>
        <v>32580.51673</v>
      </c>
    </row>
    <row r="662" hidden="1">
      <c r="A662" s="266">
        <f>IFERROR(__xludf.DUMMYFUNCTION("""COMPUTED_VALUE"""),43298.99861111111)</f>
        <v>43298.99861</v>
      </c>
      <c r="B662" s="1">
        <f>IFERROR(__xludf.DUMMYFUNCTION("""COMPUTED_VALUE"""),7317.27)</f>
        <v>7317.27</v>
      </c>
      <c r="C662" s="58">
        <f t="shared" si="1"/>
        <v>3482.998611</v>
      </c>
      <c r="D662" s="1">
        <f t="shared" si="2"/>
        <v>1813.045769</v>
      </c>
      <c r="E662" s="1">
        <f t="shared" si="3"/>
        <v>3263.482384</v>
      </c>
      <c r="F662" s="1">
        <f t="shared" si="4"/>
        <v>6164.355614</v>
      </c>
      <c r="G662" s="1">
        <f t="shared" si="5"/>
        <v>10878.27461</v>
      </c>
      <c r="H662" s="1">
        <f t="shared" si="6"/>
        <v>19943.50346</v>
      </c>
      <c r="I662" s="1">
        <f t="shared" si="7"/>
        <v>32634.82384</v>
      </c>
    </row>
    <row r="663" hidden="1">
      <c r="A663" s="266">
        <f>IFERROR(__xludf.DUMMYFUNCTION("""COMPUTED_VALUE"""),43299.99861111111)</f>
        <v>43299.99861</v>
      </c>
      <c r="B663" s="1">
        <f>IFERROR(__xludf.DUMMYFUNCTION("""COMPUTED_VALUE"""),7378.37)</f>
        <v>7378.37</v>
      </c>
      <c r="C663" s="58">
        <f t="shared" si="1"/>
        <v>3483.998611</v>
      </c>
      <c r="D663" s="1">
        <f t="shared" si="2"/>
        <v>1816.066992</v>
      </c>
      <c r="E663" s="1">
        <f t="shared" si="3"/>
        <v>3268.920585</v>
      </c>
      <c r="F663" s="1">
        <f t="shared" si="4"/>
        <v>6174.627771</v>
      </c>
      <c r="G663" s="1">
        <f t="shared" si="5"/>
        <v>10896.40195</v>
      </c>
      <c r="H663" s="1">
        <f t="shared" si="6"/>
        <v>19976.73691</v>
      </c>
      <c r="I663" s="1">
        <f t="shared" si="7"/>
        <v>32689.20585</v>
      </c>
    </row>
    <row r="664" hidden="1">
      <c r="A664" s="266">
        <f>IFERROR(__xludf.DUMMYFUNCTION("""COMPUTED_VALUE"""),43300.99861111111)</f>
        <v>43300.99861</v>
      </c>
      <c r="B664" s="1">
        <f>IFERROR(__xludf.DUMMYFUNCTION("""COMPUTED_VALUE"""),7472.81)</f>
        <v>7472.81</v>
      </c>
      <c r="C664" s="58">
        <f t="shared" si="1"/>
        <v>3484.998611</v>
      </c>
      <c r="D664" s="1">
        <f t="shared" si="2"/>
        <v>1819.092379</v>
      </c>
      <c r="E664" s="1">
        <f t="shared" si="3"/>
        <v>3274.366283</v>
      </c>
      <c r="F664" s="1">
        <f t="shared" si="4"/>
        <v>6184.91409</v>
      </c>
      <c r="G664" s="1">
        <f t="shared" si="5"/>
        <v>10914.55428</v>
      </c>
      <c r="H664" s="1">
        <f t="shared" si="6"/>
        <v>20010.01617</v>
      </c>
      <c r="I664" s="1">
        <f t="shared" si="7"/>
        <v>32743.66283</v>
      </c>
    </row>
    <row r="665" hidden="1">
      <c r="A665" s="266">
        <f>IFERROR(__xludf.DUMMYFUNCTION("""COMPUTED_VALUE"""),43301.99861111111)</f>
        <v>43301.99861</v>
      </c>
      <c r="B665" s="1">
        <f>IFERROR(__xludf.DUMMYFUNCTION("""COMPUTED_VALUE"""),7334.62)</f>
        <v>7334.62</v>
      </c>
      <c r="C665" s="58">
        <f t="shared" si="1"/>
        <v>3485.998611</v>
      </c>
      <c r="D665" s="1">
        <f t="shared" si="2"/>
        <v>1822.121937</v>
      </c>
      <c r="E665" s="1">
        <f t="shared" si="3"/>
        <v>3279.819487</v>
      </c>
      <c r="F665" s="1">
        <f t="shared" si="4"/>
        <v>6195.214586</v>
      </c>
      <c r="G665" s="1">
        <f t="shared" si="5"/>
        <v>10932.73162</v>
      </c>
      <c r="H665" s="1">
        <f t="shared" si="6"/>
        <v>20043.34131</v>
      </c>
      <c r="I665" s="1">
        <f t="shared" si="7"/>
        <v>32798.19487</v>
      </c>
    </row>
    <row r="666" hidden="1">
      <c r="A666" s="266">
        <f>IFERROR(__xludf.DUMMYFUNCTION("""COMPUTED_VALUE"""),43302.99861111111)</f>
        <v>43302.99861</v>
      </c>
      <c r="B666" s="1">
        <f>IFERROR(__xludf.DUMMYFUNCTION("""COMPUTED_VALUE"""),7423.37)</f>
        <v>7423.37</v>
      </c>
      <c r="C666" s="58">
        <f t="shared" si="1"/>
        <v>3486.998611</v>
      </c>
      <c r="D666" s="1">
        <f t="shared" si="2"/>
        <v>1825.155669</v>
      </c>
      <c r="E666" s="1">
        <f t="shared" si="3"/>
        <v>3285.280204</v>
      </c>
      <c r="F666" s="1">
        <f t="shared" si="4"/>
        <v>6205.529275</v>
      </c>
      <c r="G666" s="1">
        <f t="shared" si="5"/>
        <v>10950.93401</v>
      </c>
      <c r="H666" s="1">
        <f t="shared" si="6"/>
        <v>20076.71236</v>
      </c>
      <c r="I666" s="1">
        <f t="shared" si="7"/>
        <v>32852.80204</v>
      </c>
    </row>
    <row r="667" hidden="1">
      <c r="A667" s="266">
        <f>IFERROR(__xludf.DUMMYFUNCTION("""COMPUTED_VALUE"""),43303.99861111111)</f>
        <v>43303.99861</v>
      </c>
      <c r="B667" s="1">
        <f>IFERROR(__xludf.DUMMYFUNCTION("""COMPUTED_VALUE"""),7398.44)</f>
        <v>7398.44</v>
      </c>
      <c r="C667" s="58">
        <f t="shared" si="1"/>
        <v>3487.998611</v>
      </c>
      <c r="D667" s="1">
        <f t="shared" si="2"/>
        <v>1828.19358</v>
      </c>
      <c r="E667" s="1">
        <f t="shared" si="3"/>
        <v>3290.748444</v>
      </c>
      <c r="F667" s="1">
        <f t="shared" si="4"/>
        <v>6215.858173</v>
      </c>
      <c r="G667" s="1">
        <f t="shared" si="5"/>
        <v>10969.16148</v>
      </c>
      <c r="H667" s="1">
        <f t="shared" si="6"/>
        <v>20110.12938</v>
      </c>
      <c r="I667" s="1">
        <f t="shared" si="7"/>
        <v>32907.48444</v>
      </c>
    </row>
    <row r="668" hidden="1">
      <c r="A668" s="266">
        <f>IFERROR(__xludf.DUMMYFUNCTION("""COMPUTED_VALUE"""),43304.99861111111)</f>
        <v>43304.99861</v>
      </c>
      <c r="B668" s="1">
        <f>IFERROR(__xludf.DUMMYFUNCTION("""COMPUTED_VALUE"""),7717.55)</f>
        <v>7717.55</v>
      </c>
      <c r="C668" s="58">
        <f t="shared" si="1"/>
        <v>3488.998611</v>
      </c>
      <c r="D668" s="1">
        <f t="shared" si="2"/>
        <v>1831.235675</v>
      </c>
      <c r="E668" s="1">
        <f t="shared" si="3"/>
        <v>3296.224214</v>
      </c>
      <c r="F668" s="1">
        <f t="shared" si="4"/>
        <v>6226.201294</v>
      </c>
      <c r="G668" s="1">
        <f t="shared" si="5"/>
        <v>10987.41405</v>
      </c>
      <c r="H668" s="1">
        <f t="shared" si="6"/>
        <v>20143.59242</v>
      </c>
      <c r="I668" s="1">
        <f t="shared" si="7"/>
        <v>32962.24214</v>
      </c>
    </row>
    <row r="669" hidden="1">
      <c r="A669" s="266">
        <f>IFERROR(__xludf.DUMMYFUNCTION("""COMPUTED_VALUE"""),43305.99861111111)</f>
        <v>43305.99861</v>
      </c>
      <c r="B669" s="1">
        <f>IFERROR(__xludf.DUMMYFUNCTION("""COMPUTED_VALUE"""),8429.42)</f>
        <v>8429.42</v>
      </c>
      <c r="C669" s="58">
        <f t="shared" si="1"/>
        <v>3489.998611</v>
      </c>
      <c r="D669" s="1">
        <f t="shared" si="2"/>
        <v>1834.281957</v>
      </c>
      <c r="E669" s="1">
        <f t="shared" si="3"/>
        <v>3301.707523</v>
      </c>
      <c r="F669" s="1">
        <f t="shared" si="4"/>
        <v>6236.558655</v>
      </c>
      <c r="G669" s="1">
        <f t="shared" si="5"/>
        <v>11005.69174</v>
      </c>
      <c r="H669" s="1">
        <f t="shared" si="6"/>
        <v>20177.10153</v>
      </c>
      <c r="I669" s="1">
        <f t="shared" si="7"/>
        <v>33017.07523</v>
      </c>
    </row>
    <row r="670" hidden="1">
      <c r="A670" s="266">
        <f>IFERROR(__xludf.DUMMYFUNCTION("""COMPUTED_VALUE"""),43306.99861111111)</f>
        <v>43306.99861</v>
      </c>
      <c r="B670" s="1">
        <f>IFERROR(__xludf.DUMMYFUNCTION("""COMPUTED_VALUE"""),8176.57)</f>
        <v>8176.57</v>
      </c>
      <c r="C670" s="58">
        <f t="shared" si="1"/>
        <v>3490.998611</v>
      </c>
      <c r="D670" s="1">
        <f t="shared" si="2"/>
        <v>1837.332432</v>
      </c>
      <c r="E670" s="1">
        <f t="shared" si="3"/>
        <v>3307.198378</v>
      </c>
      <c r="F670" s="1">
        <f t="shared" si="4"/>
        <v>6246.93027</v>
      </c>
      <c r="G670" s="1">
        <f t="shared" si="5"/>
        <v>11023.99459</v>
      </c>
      <c r="H670" s="1">
        <f t="shared" si="6"/>
        <v>20210.65676</v>
      </c>
      <c r="I670" s="1">
        <f t="shared" si="7"/>
        <v>33071.98378</v>
      </c>
    </row>
    <row r="671" hidden="1">
      <c r="A671" s="266">
        <f>IFERROR(__xludf.DUMMYFUNCTION("""COMPUTED_VALUE"""),43307.99861111111)</f>
        <v>43307.99861</v>
      </c>
      <c r="B671" s="1">
        <f>IFERROR(__xludf.DUMMYFUNCTION("""COMPUTED_VALUE"""),7935.84)</f>
        <v>7935.84</v>
      </c>
      <c r="C671" s="58">
        <f t="shared" si="1"/>
        <v>3491.998611</v>
      </c>
      <c r="D671" s="1">
        <f t="shared" si="2"/>
        <v>1840.387105</v>
      </c>
      <c r="E671" s="1">
        <f t="shared" si="3"/>
        <v>3312.696789</v>
      </c>
      <c r="F671" s="1">
        <f t="shared" si="4"/>
        <v>6257.316156</v>
      </c>
      <c r="G671" s="1">
        <f t="shared" si="5"/>
        <v>11042.32263</v>
      </c>
      <c r="H671" s="1">
        <f t="shared" si="6"/>
        <v>20244.25815</v>
      </c>
      <c r="I671" s="1">
        <f t="shared" si="7"/>
        <v>33126.96789</v>
      </c>
    </row>
    <row r="672" hidden="1">
      <c r="A672" s="266">
        <f>IFERROR(__xludf.DUMMYFUNCTION("""COMPUTED_VALUE"""),43308.99861111111)</f>
        <v>43308.99861</v>
      </c>
      <c r="B672" s="1">
        <f>IFERROR(__xludf.DUMMYFUNCTION("""COMPUTED_VALUE"""),8167.82)</f>
        <v>8167.82</v>
      </c>
      <c r="C672" s="58">
        <f t="shared" si="1"/>
        <v>3492.998611</v>
      </c>
      <c r="D672" s="1">
        <f t="shared" si="2"/>
        <v>1843.445979</v>
      </c>
      <c r="E672" s="1">
        <f t="shared" si="3"/>
        <v>3318.202762</v>
      </c>
      <c r="F672" s="1">
        <f t="shared" si="4"/>
        <v>6267.716328</v>
      </c>
      <c r="G672" s="1">
        <f t="shared" si="5"/>
        <v>11060.67587</v>
      </c>
      <c r="H672" s="1">
        <f t="shared" si="6"/>
        <v>20277.90577</v>
      </c>
      <c r="I672" s="1">
        <f t="shared" si="7"/>
        <v>33182.02762</v>
      </c>
    </row>
    <row r="673" hidden="1">
      <c r="A673" s="266">
        <f>IFERROR(__xludf.DUMMYFUNCTION("""COMPUTED_VALUE"""),43309.99861111111)</f>
        <v>43309.99861</v>
      </c>
      <c r="B673" s="1">
        <f>IFERROR(__xludf.DUMMYFUNCTION("""COMPUTED_VALUE"""),8211.04)</f>
        <v>8211.04</v>
      </c>
      <c r="C673" s="58">
        <f t="shared" si="1"/>
        <v>3493.998611</v>
      </c>
      <c r="D673" s="1">
        <f t="shared" si="2"/>
        <v>1846.509059</v>
      </c>
      <c r="E673" s="1">
        <f t="shared" si="3"/>
        <v>3323.716307</v>
      </c>
      <c r="F673" s="1">
        <f t="shared" si="4"/>
        <v>6278.130802</v>
      </c>
      <c r="G673" s="1">
        <f t="shared" si="5"/>
        <v>11079.05436</v>
      </c>
      <c r="H673" s="1">
        <f t="shared" si="6"/>
        <v>20311.59965</v>
      </c>
      <c r="I673" s="1">
        <f t="shared" si="7"/>
        <v>33237.16307</v>
      </c>
    </row>
    <row r="674" hidden="1">
      <c r="A674" s="266">
        <f>IFERROR(__xludf.DUMMYFUNCTION("""COMPUTED_VALUE"""),43310.99861111111)</f>
        <v>43310.99861</v>
      </c>
      <c r="B674" s="1">
        <f>IFERROR(__xludf.DUMMYFUNCTION("""COMPUTED_VALUE"""),8222.52)</f>
        <v>8222.52</v>
      </c>
      <c r="C674" s="58">
        <f t="shared" si="1"/>
        <v>3494.998611</v>
      </c>
      <c r="D674" s="1">
        <f t="shared" si="2"/>
        <v>1849.576351</v>
      </c>
      <c r="E674" s="1">
        <f t="shared" si="3"/>
        <v>3329.237431</v>
      </c>
      <c r="F674" s="1">
        <f t="shared" si="4"/>
        <v>6288.559592</v>
      </c>
      <c r="G674" s="1">
        <f t="shared" si="5"/>
        <v>11097.4581</v>
      </c>
      <c r="H674" s="1">
        <f t="shared" si="6"/>
        <v>20345.33986</v>
      </c>
      <c r="I674" s="1">
        <f t="shared" si="7"/>
        <v>33292.37431</v>
      </c>
    </row>
    <row r="675" hidden="1">
      <c r="A675" s="266">
        <f>IFERROR(__xludf.DUMMYFUNCTION("""COMPUTED_VALUE"""),43311.99861111111)</f>
        <v>43311.99861</v>
      </c>
      <c r="B675" s="1">
        <f>IFERROR(__xludf.DUMMYFUNCTION("""COMPUTED_VALUE"""),8173.89)</f>
        <v>8173.89</v>
      </c>
      <c r="C675" s="58">
        <f t="shared" si="1"/>
        <v>3495.998611</v>
      </c>
      <c r="D675" s="1">
        <f t="shared" si="2"/>
        <v>1852.647857</v>
      </c>
      <c r="E675" s="1">
        <f t="shared" si="3"/>
        <v>3334.766143</v>
      </c>
      <c r="F675" s="1">
        <f t="shared" si="4"/>
        <v>6299.002715</v>
      </c>
      <c r="G675" s="1">
        <f t="shared" si="5"/>
        <v>11115.88714</v>
      </c>
      <c r="H675" s="1">
        <f t="shared" si="6"/>
        <v>20379.12643</v>
      </c>
      <c r="I675" s="1">
        <f t="shared" si="7"/>
        <v>33347.66143</v>
      </c>
    </row>
    <row r="676" hidden="1">
      <c r="A676" s="266">
        <f>IFERROR(__xludf.DUMMYFUNCTION("""COMPUTED_VALUE"""),43312.99861111111)</f>
        <v>43312.99861</v>
      </c>
      <c r="B676" s="1">
        <f>IFERROR(__xludf.DUMMYFUNCTION("""COMPUTED_VALUE"""),7736.32)</f>
        <v>7736.32</v>
      </c>
      <c r="C676" s="58">
        <f t="shared" si="1"/>
        <v>3496.998611</v>
      </c>
      <c r="D676" s="1">
        <f t="shared" si="2"/>
        <v>1855.723584</v>
      </c>
      <c r="E676" s="1">
        <f t="shared" si="3"/>
        <v>3340.302452</v>
      </c>
      <c r="F676" s="1">
        <f t="shared" si="4"/>
        <v>6309.460187</v>
      </c>
      <c r="G676" s="1">
        <f t="shared" si="5"/>
        <v>11134.34151</v>
      </c>
      <c r="H676" s="1">
        <f t="shared" si="6"/>
        <v>20412.95943</v>
      </c>
      <c r="I676" s="1">
        <f t="shared" si="7"/>
        <v>33403.02452</v>
      </c>
    </row>
    <row r="677" hidden="1">
      <c r="A677" s="266">
        <f>IFERROR(__xludf.DUMMYFUNCTION("""COMPUTED_VALUE"""),43313.99861111111)</f>
        <v>43313.99861</v>
      </c>
      <c r="B677" s="1">
        <f>IFERROR(__xludf.DUMMYFUNCTION("""COMPUTED_VALUE"""),7602.59)</f>
        <v>7602.59</v>
      </c>
      <c r="C677" s="58">
        <f t="shared" si="1"/>
        <v>3497.998611</v>
      </c>
      <c r="D677" s="1">
        <f t="shared" si="2"/>
        <v>1858.803536</v>
      </c>
      <c r="E677" s="1">
        <f t="shared" si="3"/>
        <v>3345.846365</v>
      </c>
      <c r="F677" s="1">
        <f t="shared" si="4"/>
        <v>6319.932022</v>
      </c>
      <c r="G677" s="1">
        <f t="shared" si="5"/>
        <v>11152.82122</v>
      </c>
      <c r="H677" s="1">
        <f t="shared" si="6"/>
        <v>20446.83889</v>
      </c>
      <c r="I677" s="1">
        <f t="shared" si="7"/>
        <v>33458.46365</v>
      </c>
    </row>
    <row r="678" hidden="1">
      <c r="A678" s="266">
        <f>IFERROR(__xludf.DUMMYFUNCTION("""COMPUTED_VALUE"""),43314.99861111111)</f>
        <v>43314.99861</v>
      </c>
      <c r="B678" s="1">
        <f>IFERROR(__xludf.DUMMYFUNCTION("""COMPUTED_VALUE"""),7534.76)</f>
        <v>7534.76</v>
      </c>
      <c r="C678" s="58">
        <f t="shared" si="1"/>
        <v>3498.998611</v>
      </c>
      <c r="D678" s="1">
        <f t="shared" si="2"/>
        <v>1861.887717</v>
      </c>
      <c r="E678" s="1">
        <f t="shared" si="3"/>
        <v>3351.39789</v>
      </c>
      <c r="F678" s="1">
        <f t="shared" si="4"/>
        <v>6330.418237</v>
      </c>
      <c r="G678" s="1">
        <f t="shared" si="5"/>
        <v>11171.3263</v>
      </c>
      <c r="H678" s="1">
        <f t="shared" si="6"/>
        <v>20480.76488</v>
      </c>
      <c r="I678" s="1">
        <f t="shared" si="7"/>
        <v>33513.9789</v>
      </c>
    </row>
    <row r="679" hidden="1">
      <c r="A679" s="266">
        <f>IFERROR(__xludf.DUMMYFUNCTION("""COMPUTED_VALUE"""),43315.99861111111)</f>
        <v>43315.99861</v>
      </c>
      <c r="B679" s="1">
        <f>IFERROR(__xludf.DUMMYFUNCTION("""COMPUTED_VALUE"""),7416.9)</f>
        <v>7416.9</v>
      </c>
      <c r="C679" s="58">
        <f t="shared" si="1"/>
        <v>3499.998611</v>
      </c>
      <c r="D679" s="1">
        <f t="shared" si="2"/>
        <v>1864.976131</v>
      </c>
      <c r="E679" s="1">
        <f t="shared" si="3"/>
        <v>3356.957036</v>
      </c>
      <c r="F679" s="1">
        <f t="shared" si="4"/>
        <v>6340.918847</v>
      </c>
      <c r="G679" s="1">
        <f t="shared" si="5"/>
        <v>11189.85679</v>
      </c>
      <c r="H679" s="1">
        <f t="shared" si="6"/>
        <v>20514.73744</v>
      </c>
      <c r="I679" s="1">
        <f t="shared" si="7"/>
        <v>33569.57036</v>
      </c>
    </row>
    <row r="680" hidden="1">
      <c r="A680" s="266">
        <f>IFERROR(__xludf.DUMMYFUNCTION("""COMPUTED_VALUE"""),43316.99861111111)</f>
        <v>43316.99861</v>
      </c>
      <c r="B680" s="1">
        <f>IFERROR(__xludf.DUMMYFUNCTION("""COMPUTED_VALUE"""),7010.97)</f>
        <v>7010.97</v>
      </c>
      <c r="C680" s="58">
        <f t="shared" si="1"/>
        <v>3500.998611</v>
      </c>
      <c r="D680" s="1">
        <f t="shared" si="2"/>
        <v>1868.068784</v>
      </c>
      <c r="E680" s="1">
        <f t="shared" si="3"/>
        <v>3362.523812</v>
      </c>
      <c r="F680" s="1">
        <f t="shared" si="4"/>
        <v>6351.433867</v>
      </c>
      <c r="G680" s="1">
        <f t="shared" si="5"/>
        <v>11208.41271</v>
      </c>
      <c r="H680" s="1">
        <f t="shared" si="6"/>
        <v>20548.75663</v>
      </c>
      <c r="I680" s="1">
        <f t="shared" si="7"/>
        <v>33625.23812</v>
      </c>
    </row>
    <row r="681" hidden="1">
      <c r="A681" s="266">
        <f>IFERROR(__xludf.DUMMYFUNCTION("""COMPUTED_VALUE"""),43317.99861111111)</f>
        <v>43317.99861</v>
      </c>
      <c r="B681" s="1">
        <f>IFERROR(__xludf.DUMMYFUNCTION("""COMPUTED_VALUE"""),7027.62)</f>
        <v>7027.62</v>
      </c>
      <c r="C681" s="58">
        <f t="shared" si="1"/>
        <v>3501.998611</v>
      </c>
      <c r="D681" s="1">
        <f t="shared" si="2"/>
        <v>1871.165681</v>
      </c>
      <c r="E681" s="1">
        <f t="shared" si="3"/>
        <v>3368.098225</v>
      </c>
      <c r="F681" s="1">
        <f t="shared" si="4"/>
        <v>6361.963314</v>
      </c>
      <c r="G681" s="1">
        <f t="shared" si="5"/>
        <v>11226.99408</v>
      </c>
      <c r="H681" s="1">
        <f t="shared" si="6"/>
        <v>20582.82249</v>
      </c>
      <c r="I681" s="1">
        <f t="shared" si="7"/>
        <v>33680.98225</v>
      </c>
    </row>
    <row r="682" hidden="1">
      <c r="A682" s="266">
        <f>IFERROR(__xludf.DUMMYFUNCTION("""COMPUTED_VALUE"""),43318.99861111111)</f>
        <v>43318.99861</v>
      </c>
      <c r="B682" s="1">
        <f>IFERROR(__xludf.DUMMYFUNCTION("""COMPUTED_VALUE"""),6932.7)</f>
        <v>6932.7</v>
      </c>
      <c r="C682" s="58">
        <f t="shared" si="1"/>
        <v>3502.998611</v>
      </c>
      <c r="D682" s="1">
        <f t="shared" si="2"/>
        <v>1874.266824</v>
      </c>
      <c r="E682" s="1">
        <f t="shared" si="3"/>
        <v>3373.680284</v>
      </c>
      <c r="F682" s="1">
        <f t="shared" si="4"/>
        <v>6372.507203</v>
      </c>
      <c r="G682" s="1">
        <f t="shared" si="5"/>
        <v>11245.60095</v>
      </c>
      <c r="H682" s="1">
        <f t="shared" si="6"/>
        <v>20616.93507</v>
      </c>
      <c r="I682" s="1">
        <f t="shared" si="7"/>
        <v>33736.80284</v>
      </c>
    </row>
    <row r="683" hidden="1">
      <c r="A683" s="266">
        <f>IFERROR(__xludf.DUMMYFUNCTION("""COMPUTED_VALUE"""),43319.99861111111)</f>
        <v>43319.99861</v>
      </c>
      <c r="B683" s="1">
        <f>IFERROR(__xludf.DUMMYFUNCTION("""COMPUTED_VALUE"""),6717.17)</f>
        <v>6717.17</v>
      </c>
      <c r="C683" s="58">
        <f t="shared" si="1"/>
        <v>3503.998611</v>
      </c>
      <c r="D683" s="1">
        <f t="shared" si="2"/>
        <v>1877.37222</v>
      </c>
      <c r="E683" s="1">
        <f t="shared" si="3"/>
        <v>3379.269997</v>
      </c>
      <c r="F683" s="1">
        <f t="shared" si="4"/>
        <v>6383.065549</v>
      </c>
      <c r="G683" s="1">
        <f t="shared" si="5"/>
        <v>11264.23332</v>
      </c>
      <c r="H683" s="1">
        <f t="shared" si="6"/>
        <v>20651.09442</v>
      </c>
      <c r="I683" s="1">
        <f t="shared" si="7"/>
        <v>33792.69997</v>
      </c>
    </row>
    <row r="684" hidden="1">
      <c r="A684" s="266">
        <f>IFERROR(__xludf.DUMMYFUNCTION("""COMPUTED_VALUE"""),43320.99861111111)</f>
        <v>43320.99861</v>
      </c>
      <c r="B684" s="1">
        <f>IFERROR(__xludf.DUMMYFUNCTION("""COMPUTED_VALUE"""),6278.07)</f>
        <v>6278.07</v>
      </c>
      <c r="C684" s="58">
        <f t="shared" si="1"/>
        <v>3504.998611</v>
      </c>
      <c r="D684" s="1">
        <f t="shared" si="2"/>
        <v>1880.481873</v>
      </c>
      <c r="E684" s="1">
        <f t="shared" si="3"/>
        <v>3384.867372</v>
      </c>
      <c r="F684" s="1">
        <f t="shared" si="4"/>
        <v>6393.63837</v>
      </c>
      <c r="G684" s="1">
        <f t="shared" si="5"/>
        <v>11282.89124</v>
      </c>
      <c r="H684" s="1">
        <f t="shared" si="6"/>
        <v>20685.30061</v>
      </c>
      <c r="I684" s="1">
        <f t="shared" si="7"/>
        <v>33848.67372</v>
      </c>
    </row>
    <row r="685" hidden="1">
      <c r="A685" s="266">
        <f>IFERROR(__xludf.DUMMYFUNCTION("""COMPUTED_VALUE"""),43321.99861111111)</f>
        <v>43321.99861</v>
      </c>
      <c r="B685" s="1">
        <f>IFERROR(__xludf.DUMMYFUNCTION("""COMPUTED_VALUE"""),6533.15)</f>
        <v>6533.15</v>
      </c>
      <c r="C685" s="58">
        <f t="shared" si="1"/>
        <v>3505.998611</v>
      </c>
      <c r="D685" s="1">
        <f t="shared" si="2"/>
        <v>1883.595788</v>
      </c>
      <c r="E685" s="1">
        <f t="shared" si="3"/>
        <v>3390.472418</v>
      </c>
      <c r="F685" s="1">
        <f t="shared" si="4"/>
        <v>6404.225679</v>
      </c>
      <c r="G685" s="1">
        <f t="shared" si="5"/>
        <v>11301.57473</v>
      </c>
      <c r="H685" s="1">
        <f t="shared" si="6"/>
        <v>20719.55367</v>
      </c>
      <c r="I685" s="1">
        <f t="shared" si="7"/>
        <v>33904.72418</v>
      </c>
    </row>
    <row r="686" hidden="1">
      <c r="A686" s="266">
        <f>IFERROR(__xludf.DUMMYFUNCTION("""COMPUTED_VALUE"""),43322.99861111111)</f>
        <v>43322.99861</v>
      </c>
      <c r="B686" s="1">
        <f>IFERROR(__xludf.DUMMYFUNCTION("""COMPUTED_VALUE"""),6141.43)</f>
        <v>6141.43</v>
      </c>
      <c r="C686" s="58">
        <f t="shared" si="1"/>
        <v>3506.998611</v>
      </c>
      <c r="D686" s="1">
        <f t="shared" si="2"/>
        <v>1886.713968</v>
      </c>
      <c r="E686" s="1">
        <f t="shared" si="3"/>
        <v>3396.085143</v>
      </c>
      <c r="F686" s="1">
        <f t="shared" si="4"/>
        <v>6414.827493</v>
      </c>
      <c r="G686" s="1">
        <f t="shared" si="5"/>
        <v>11320.28381</v>
      </c>
      <c r="H686" s="1">
        <f t="shared" si="6"/>
        <v>20753.85365</v>
      </c>
      <c r="I686" s="1">
        <f t="shared" si="7"/>
        <v>33960.85143</v>
      </c>
    </row>
    <row r="687" hidden="1">
      <c r="A687" s="266">
        <f>IFERROR(__xludf.DUMMYFUNCTION("""COMPUTED_VALUE"""),43323.99861111111)</f>
        <v>43323.99861</v>
      </c>
      <c r="B687" s="1">
        <f>IFERROR(__xludf.DUMMYFUNCTION("""COMPUTED_VALUE"""),6227.78)</f>
        <v>6227.78</v>
      </c>
      <c r="C687" s="58">
        <f t="shared" si="1"/>
        <v>3507.998611</v>
      </c>
      <c r="D687" s="1">
        <f t="shared" si="2"/>
        <v>1889.83642</v>
      </c>
      <c r="E687" s="1">
        <f t="shared" si="3"/>
        <v>3401.705556</v>
      </c>
      <c r="F687" s="1">
        <f t="shared" si="4"/>
        <v>6425.443827</v>
      </c>
      <c r="G687" s="1">
        <f t="shared" si="5"/>
        <v>11339.01852</v>
      </c>
      <c r="H687" s="1">
        <f t="shared" si="6"/>
        <v>20788.20062</v>
      </c>
      <c r="I687" s="1">
        <f t="shared" si="7"/>
        <v>34017.05556</v>
      </c>
    </row>
    <row r="688" hidden="1">
      <c r="A688" s="266">
        <f>IFERROR(__xludf.DUMMYFUNCTION("""COMPUTED_VALUE"""),43324.99861111111)</f>
        <v>43324.99861</v>
      </c>
      <c r="B688" s="1">
        <f>IFERROR(__xludf.DUMMYFUNCTION("""COMPUTED_VALUE"""),6311.92)</f>
        <v>6311.92</v>
      </c>
      <c r="C688" s="58">
        <f t="shared" si="1"/>
        <v>3508.998611</v>
      </c>
      <c r="D688" s="1">
        <f t="shared" si="2"/>
        <v>1892.963146</v>
      </c>
      <c r="E688" s="1">
        <f t="shared" si="3"/>
        <v>3407.333664</v>
      </c>
      <c r="F688" s="1">
        <f t="shared" si="4"/>
        <v>6436.074698</v>
      </c>
      <c r="G688" s="1">
        <f t="shared" si="5"/>
        <v>11357.77888</v>
      </c>
      <c r="H688" s="1">
        <f t="shared" si="6"/>
        <v>20822.59461</v>
      </c>
      <c r="I688" s="1">
        <f t="shared" si="7"/>
        <v>34073.33664</v>
      </c>
    </row>
    <row r="689" hidden="1">
      <c r="A689" s="266">
        <f>IFERROR(__xludf.DUMMYFUNCTION("""COMPUTED_VALUE"""),43325.99861111111)</f>
        <v>43325.99861</v>
      </c>
      <c r="B689" s="1">
        <f>IFERROR(__xludf.DUMMYFUNCTION("""COMPUTED_VALUE"""),6251.54)</f>
        <v>6251.54</v>
      </c>
      <c r="C689" s="58">
        <f t="shared" si="1"/>
        <v>3509.998611</v>
      </c>
      <c r="D689" s="1">
        <f t="shared" si="2"/>
        <v>1896.094153</v>
      </c>
      <c r="E689" s="1">
        <f t="shared" si="3"/>
        <v>3412.969476</v>
      </c>
      <c r="F689" s="1">
        <f t="shared" si="4"/>
        <v>6446.720121</v>
      </c>
      <c r="G689" s="1">
        <f t="shared" si="5"/>
        <v>11376.56492</v>
      </c>
      <c r="H689" s="1">
        <f t="shared" si="6"/>
        <v>20857.03569</v>
      </c>
      <c r="I689" s="1">
        <f t="shared" si="7"/>
        <v>34129.69476</v>
      </c>
    </row>
    <row r="690" hidden="1">
      <c r="A690" s="266">
        <f>IFERROR(__xludf.DUMMYFUNCTION("""COMPUTED_VALUE"""),43326.99861111111)</f>
        <v>43326.99861</v>
      </c>
      <c r="B690" s="1">
        <f>IFERROR(__xludf.DUMMYFUNCTION("""COMPUTED_VALUE"""),6183.14)</f>
        <v>6183.14</v>
      </c>
      <c r="C690" s="58">
        <f t="shared" si="1"/>
        <v>3510.998611</v>
      </c>
      <c r="D690" s="1">
        <f t="shared" si="2"/>
        <v>1899.229445</v>
      </c>
      <c r="E690" s="1">
        <f t="shared" si="3"/>
        <v>3418.613</v>
      </c>
      <c r="F690" s="1">
        <f t="shared" si="4"/>
        <v>6457.380112</v>
      </c>
      <c r="G690" s="1">
        <f t="shared" si="5"/>
        <v>11395.37667</v>
      </c>
      <c r="H690" s="1">
        <f t="shared" si="6"/>
        <v>20891.52389</v>
      </c>
      <c r="I690" s="1">
        <f t="shared" si="7"/>
        <v>34186.13</v>
      </c>
    </row>
    <row r="691" hidden="1">
      <c r="A691" s="266">
        <f>IFERROR(__xludf.DUMMYFUNCTION("""COMPUTED_VALUE"""),43327.99861111111)</f>
        <v>43327.99861</v>
      </c>
      <c r="B691" s="1">
        <f>IFERROR(__xludf.DUMMYFUNCTION("""COMPUTED_VALUE"""),6269.88)</f>
        <v>6269.88</v>
      </c>
      <c r="C691" s="58">
        <f t="shared" si="1"/>
        <v>3511.998611</v>
      </c>
      <c r="D691" s="1">
        <f t="shared" si="2"/>
        <v>1902.369025</v>
      </c>
      <c r="E691" s="1">
        <f t="shared" si="3"/>
        <v>3424.264245</v>
      </c>
      <c r="F691" s="1">
        <f t="shared" si="4"/>
        <v>6468.054686</v>
      </c>
      <c r="G691" s="1">
        <f t="shared" si="5"/>
        <v>11414.21415</v>
      </c>
      <c r="H691" s="1">
        <f t="shared" si="6"/>
        <v>20926.05928</v>
      </c>
      <c r="I691" s="1">
        <f t="shared" si="7"/>
        <v>34242.64245</v>
      </c>
    </row>
    <row r="692" hidden="1">
      <c r="A692" s="266">
        <f>IFERROR(__xludf.DUMMYFUNCTION("""COMPUTED_VALUE"""),43328.99861111111)</f>
        <v>43328.99861</v>
      </c>
      <c r="B692" s="1">
        <f>IFERROR(__xludf.DUMMYFUNCTION("""COMPUTED_VALUE"""),6312.28)</f>
        <v>6312.28</v>
      </c>
      <c r="C692" s="58">
        <f t="shared" si="1"/>
        <v>3512.998611</v>
      </c>
      <c r="D692" s="1">
        <f t="shared" si="2"/>
        <v>1905.5129</v>
      </c>
      <c r="E692" s="1">
        <f t="shared" si="3"/>
        <v>3429.92322</v>
      </c>
      <c r="F692" s="1">
        <f t="shared" si="4"/>
        <v>6478.743859</v>
      </c>
      <c r="G692" s="1">
        <f t="shared" si="5"/>
        <v>11433.0774</v>
      </c>
      <c r="H692" s="1">
        <f t="shared" si="6"/>
        <v>20960.6419</v>
      </c>
      <c r="I692" s="1">
        <f t="shared" si="7"/>
        <v>34299.2322</v>
      </c>
    </row>
    <row r="693" hidden="1">
      <c r="A693" s="266">
        <f>IFERROR(__xludf.DUMMYFUNCTION("""COMPUTED_VALUE"""),43329.99861111111)</f>
        <v>43329.99861</v>
      </c>
      <c r="B693" s="1">
        <f>IFERROR(__xludf.DUMMYFUNCTION("""COMPUTED_VALUE"""),6567.87)</f>
        <v>6567.87</v>
      </c>
      <c r="C693" s="58">
        <f t="shared" si="1"/>
        <v>3513.998611</v>
      </c>
      <c r="D693" s="1">
        <f t="shared" si="2"/>
        <v>1908.661073</v>
      </c>
      <c r="E693" s="1">
        <f t="shared" si="3"/>
        <v>3435.589931</v>
      </c>
      <c r="F693" s="1">
        <f t="shared" si="4"/>
        <v>6489.447648</v>
      </c>
      <c r="G693" s="1">
        <f t="shared" si="5"/>
        <v>11451.96644</v>
      </c>
      <c r="H693" s="1">
        <f t="shared" si="6"/>
        <v>20995.2718</v>
      </c>
      <c r="I693" s="1">
        <f t="shared" si="7"/>
        <v>34355.89931</v>
      </c>
    </row>
    <row r="694" hidden="1">
      <c r="A694" s="266">
        <f>IFERROR(__xludf.DUMMYFUNCTION("""COMPUTED_VALUE"""),43330.99861111111)</f>
        <v>43330.99861</v>
      </c>
      <c r="B694" s="1">
        <f>IFERROR(__xludf.DUMMYFUNCTION("""COMPUTED_VALUE"""),6392.53)</f>
        <v>6392.53</v>
      </c>
      <c r="C694" s="58">
        <f t="shared" si="1"/>
        <v>3514.998611</v>
      </c>
      <c r="D694" s="1">
        <f t="shared" si="2"/>
        <v>1911.813549</v>
      </c>
      <c r="E694" s="1">
        <f t="shared" si="3"/>
        <v>3441.264389</v>
      </c>
      <c r="F694" s="1">
        <f t="shared" si="4"/>
        <v>6500.166068</v>
      </c>
      <c r="G694" s="1">
        <f t="shared" si="5"/>
        <v>11470.8813</v>
      </c>
      <c r="H694" s="1">
        <f t="shared" si="6"/>
        <v>21029.94904</v>
      </c>
      <c r="I694" s="1">
        <f t="shared" si="7"/>
        <v>34412.64389</v>
      </c>
    </row>
    <row r="695" hidden="1">
      <c r="A695" s="266">
        <f>IFERROR(__xludf.DUMMYFUNCTION("""COMPUTED_VALUE"""),43331.99861111111)</f>
        <v>43331.99861</v>
      </c>
      <c r="B695" s="1">
        <f>IFERROR(__xludf.DUMMYFUNCTION("""COMPUTED_VALUE"""),6487.48)</f>
        <v>6487.48</v>
      </c>
      <c r="C695" s="58">
        <f t="shared" si="1"/>
        <v>3515.998611</v>
      </c>
      <c r="D695" s="1">
        <f t="shared" si="2"/>
        <v>1914.970334</v>
      </c>
      <c r="E695" s="1">
        <f t="shared" si="3"/>
        <v>3446.946601</v>
      </c>
      <c r="F695" s="1">
        <f t="shared" si="4"/>
        <v>6510.899135</v>
      </c>
      <c r="G695" s="1">
        <f t="shared" si="5"/>
        <v>11489.822</v>
      </c>
      <c r="H695" s="1">
        <f t="shared" si="6"/>
        <v>21064.67367</v>
      </c>
      <c r="I695" s="1">
        <f t="shared" si="7"/>
        <v>34469.46601</v>
      </c>
    </row>
    <row r="696" hidden="1">
      <c r="A696" s="266">
        <f>IFERROR(__xludf.DUMMYFUNCTION("""COMPUTED_VALUE"""),43332.99861111111)</f>
        <v>43332.99861</v>
      </c>
      <c r="B696" s="1">
        <f>IFERROR(__xludf.DUMMYFUNCTION("""COMPUTED_VALUE"""),6264.64)</f>
        <v>6264.64</v>
      </c>
      <c r="C696" s="58">
        <f t="shared" si="1"/>
        <v>3516.998611</v>
      </c>
      <c r="D696" s="1">
        <f t="shared" si="2"/>
        <v>1918.131431</v>
      </c>
      <c r="E696" s="1">
        <f t="shared" si="3"/>
        <v>3452.636575</v>
      </c>
      <c r="F696" s="1">
        <f t="shared" si="4"/>
        <v>6521.646864</v>
      </c>
      <c r="G696" s="1">
        <f t="shared" si="5"/>
        <v>11508.78858</v>
      </c>
      <c r="H696" s="1">
        <f t="shared" si="6"/>
        <v>21099.44574</v>
      </c>
      <c r="I696" s="1">
        <f t="shared" si="7"/>
        <v>34526.36575</v>
      </c>
    </row>
    <row r="697" hidden="1">
      <c r="A697" s="266">
        <f>IFERROR(__xludf.DUMMYFUNCTION("""COMPUTED_VALUE"""),43333.99861111111)</f>
        <v>43333.99861</v>
      </c>
      <c r="B697" s="1">
        <f>IFERROR(__xludf.DUMMYFUNCTION("""COMPUTED_VALUE"""),6475.94)</f>
        <v>6475.94</v>
      </c>
      <c r="C697" s="58">
        <f t="shared" si="1"/>
        <v>3517.998611</v>
      </c>
      <c r="D697" s="1">
        <f t="shared" si="2"/>
        <v>1921.296845</v>
      </c>
      <c r="E697" s="1">
        <f t="shared" si="3"/>
        <v>3458.33432</v>
      </c>
      <c r="F697" s="1">
        <f t="shared" si="4"/>
        <v>6532.409272</v>
      </c>
      <c r="G697" s="1">
        <f t="shared" si="5"/>
        <v>11527.78107</v>
      </c>
      <c r="H697" s="1">
        <f t="shared" si="6"/>
        <v>21134.26529</v>
      </c>
      <c r="I697" s="1">
        <f t="shared" si="7"/>
        <v>34583.3432</v>
      </c>
    </row>
    <row r="698" hidden="1">
      <c r="A698" s="266">
        <f>IFERROR(__xludf.DUMMYFUNCTION("""COMPUTED_VALUE"""),43334.99861111111)</f>
        <v>43334.99861</v>
      </c>
      <c r="B698" s="1">
        <f>IFERROR(__xludf.DUMMYFUNCTION("""COMPUTED_VALUE"""),6350.39)</f>
        <v>6350.39</v>
      </c>
      <c r="C698" s="58">
        <f t="shared" si="1"/>
        <v>3518.998611</v>
      </c>
      <c r="D698" s="1">
        <f t="shared" si="2"/>
        <v>1924.466581</v>
      </c>
      <c r="E698" s="1">
        <f t="shared" si="3"/>
        <v>3464.039845</v>
      </c>
      <c r="F698" s="1">
        <f t="shared" si="4"/>
        <v>6543.186374</v>
      </c>
      <c r="G698" s="1">
        <f t="shared" si="5"/>
        <v>11546.79948</v>
      </c>
      <c r="H698" s="1">
        <f t="shared" si="6"/>
        <v>21169.13239</v>
      </c>
      <c r="I698" s="1">
        <f t="shared" si="7"/>
        <v>34640.39845</v>
      </c>
    </row>
    <row r="699" hidden="1">
      <c r="A699" s="266">
        <f>IFERROR(__xludf.DUMMYFUNCTION("""COMPUTED_VALUE"""),43335.99861111111)</f>
        <v>43335.99861</v>
      </c>
      <c r="B699" s="1">
        <f>IFERROR(__xludf.DUMMYFUNCTION("""COMPUTED_VALUE"""),6515.25)</f>
        <v>6515.25</v>
      </c>
      <c r="C699" s="58">
        <f t="shared" si="1"/>
        <v>3519.998611</v>
      </c>
      <c r="D699" s="1">
        <f t="shared" si="2"/>
        <v>1927.640643</v>
      </c>
      <c r="E699" s="1">
        <f t="shared" si="3"/>
        <v>3469.753157</v>
      </c>
      <c r="F699" s="1">
        <f t="shared" si="4"/>
        <v>6553.978186</v>
      </c>
      <c r="G699" s="1">
        <f t="shared" si="5"/>
        <v>11565.84386</v>
      </c>
      <c r="H699" s="1">
        <f t="shared" si="6"/>
        <v>21204.04707</v>
      </c>
      <c r="I699" s="1">
        <f t="shared" si="7"/>
        <v>34697.53157</v>
      </c>
    </row>
    <row r="700" hidden="1">
      <c r="A700" s="266">
        <f>IFERROR(__xludf.DUMMYFUNCTION("""COMPUTED_VALUE"""),43336.99861111111)</f>
        <v>43336.99861</v>
      </c>
      <c r="B700" s="1">
        <f>IFERROR(__xludf.DUMMYFUNCTION("""COMPUTED_VALUE"""),6692.49)</f>
        <v>6692.49</v>
      </c>
      <c r="C700" s="58">
        <f t="shared" si="1"/>
        <v>3520.998611</v>
      </c>
      <c r="D700" s="1">
        <f t="shared" si="2"/>
        <v>1930.819037</v>
      </c>
      <c r="E700" s="1">
        <f t="shared" si="3"/>
        <v>3475.474266</v>
      </c>
      <c r="F700" s="1">
        <f t="shared" si="4"/>
        <v>6564.784725</v>
      </c>
      <c r="G700" s="1">
        <f t="shared" si="5"/>
        <v>11584.91422</v>
      </c>
      <c r="H700" s="1">
        <f t="shared" si="6"/>
        <v>21239.0094</v>
      </c>
      <c r="I700" s="1">
        <f t="shared" si="7"/>
        <v>34754.74266</v>
      </c>
    </row>
    <row r="701" hidden="1">
      <c r="A701" s="266">
        <f>IFERROR(__xludf.DUMMYFUNCTION("""COMPUTED_VALUE"""),43337.99861111111)</f>
        <v>43337.99861</v>
      </c>
      <c r="B701" s="1">
        <f>IFERROR(__xludf.DUMMYFUNCTION("""COMPUTED_VALUE"""),6715.17)</f>
        <v>6715.17</v>
      </c>
      <c r="C701" s="58">
        <f t="shared" si="1"/>
        <v>3521.998611</v>
      </c>
      <c r="D701" s="1">
        <f t="shared" si="2"/>
        <v>1934.001766</v>
      </c>
      <c r="E701" s="1">
        <f t="shared" si="3"/>
        <v>3481.203179</v>
      </c>
      <c r="F701" s="1">
        <f t="shared" si="4"/>
        <v>6575.606006</v>
      </c>
      <c r="G701" s="1">
        <f t="shared" si="5"/>
        <v>11604.0106</v>
      </c>
      <c r="H701" s="1">
        <f t="shared" si="6"/>
        <v>21274.01943</v>
      </c>
      <c r="I701" s="1">
        <f t="shared" si="7"/>
        <v>34812.03179</v>
      </c>
    </row>
    <row r="702" hidden="1">
      <c r="A702" s="266">
        <f>IFERROR(__xludf.DUMMYFUNCTION("""COMPUTED_VALUE"""),43338.99861111111)</f>
        <v>43338.99861</v>
      </c>
      <c r="B702" s="1">
        <f>IFERROR(__xludf.DUMMYFUNCTION("""COMPUTED_VALUE"""),6699.59)</f>
        <v>6699.59</v>
      </c>
      <c r="C702" s="58">
        <f t="shared" si="1"/>
        <v>3522.998611</v>
      </c>
      <c r="D702" s="1">
        <f t="shared" si="2"/>
        <v>1937.188837</v>
      </c>
      <c r="E702" s="1">
        <f t="shared" si="3"/>
        <v>3486.939906</v>
      </c>
      <c r="F702" s="1">
        <f t="shared" si="4"/>
        <v>6586.442044</v>
      </c>
      <c r="G702" s="1">
        <f t="shared" si="5"/>
        <v>11623.13302</v>
      </c>
      <c r="H702" s="1">
        <f t="shared" si="6"/>
        <v>21309.0772</v>
      </c>
      <c r="I702" s="1">
        <f t="shared" si="7"/>
        <v>34869.39906</v>
      </c>
    </row>
    <row r="703" hidden="1">
      <c r="A703" s="266">
        <f>IFERROR(__xludf.DUMMYFUNCTION("""COMPUTED_VALUE"""),43339.99861111111)</f>
        <v>43339.99861</v>
      </c>
      <c r="B703" s="1">
        <f>IFERROR(__xludf.DUMMYFUNCTION("""COMPUTED_VALUE"""),6906.46)</f>
        <v>6906.46</v>
      </c>
      <c r="C703" s="58">
        <f t="shared" si="1"/>
        <v>3523.998611</v>
      </c>
      <c r="D703" s="1">
        <f t="shared" si="2"/>
        <v>1940.380252</v>
      </c>
      <c r="E703" s="1">
        <f t="shared" si="3"/>
        <v>3492.684454</v>
      </c>
      <c r="F703" s="1">
        <f t="shared" si="4"/>
        <v>6597.292857</v>
      </c>
      <c r="G703" s="1">
        <f t="shared" si="5"/>
        <v>11642.28151</v>
      </c>
      <c r="H703" s="1">
        <f t="shared" si="6"/>
        <v>21344.18277</v>
      </c>
      <c r="I703" s="1">
        <f t="shared" si="7"/>
        <v>34926.84454</v>
      </c>
    </row>
    <row r="704" hidden="1">
      <c r="A704" s="266">
        <f>IFERROR(__xludf.DUMMYFUNCTION("""COMPUTED_VALUE"""),43340.99861111111)</f>
        <v>43340.99861</v>
      </c>
      <c r="B704" s="1">
        <f>IFERROR(__xludf.DUMMYFUNCTION("""COMPUTED_VALUE"""),7075.57)</f>
        <v>7075.57</v>
      </c>
      <c r="C704" s="58">
        <f t="shared" si="1"/>
        <v>3524.998611</v>
      </c>
      <c r="D704" s="1">
        <f t="shared" si="2"/>
        <v>1943.576017</v>
      </c>
      <c r="E704" s="1">
        <f t="shared" si="3"/>
        <v>3498.436831</v>
      </c>
      <c r="F704" s="1">
        <f t="shared" si="4"/>
        <v>6608.158459</v>
      </c>
      <c r="G704" s="1">
        <f t="shared" si="5"/>
        <v>11661.4561</v>
      </c>
      <c r="H704" s="1">
        <f t="shared" si="6"/>
        <v>21379.33619</v>
      </c>
      <c r="I704" s="1">
        <f t="shared" si="7"/>
        <v>34984.36831</v>
      </c>
    </row>
    <row r="705" hidden="1">
      <c r="A705" s="266">
        <f>IFERROR(__xludf.DUMMYFUNCTION("""COMPUTED_VALUE"""),43341.99861111111)</f>
        <v>43341.99861</v>
      </c>
      <c r="B705" s="1">
        <f>IFERROR(__xludf.DUMMYFUNCTION("""COMPUTED_VALUE"""),7036.0)</f>
        <v>7036</v>
      </c>
      <c r="C705" s="58">
        <f t="shared" si="1"/>
        <v>3525.998611</v>
      </c>
      <c r="D705" s="1">
        <f t="shared" si="2"/>
        <v>1946.776137</v>
      </c>
      <c r="E705" s="1">
        <f t="shared" si="3"/>
        <v>3504.197047</v>
      </c>
      <c r="F705" s="1">
        <f t="shared" si="4"/>
        <v>6619.038867</v>
      </c>
      <c r="G705" s="1">
        <f t="shared" si="5"/>
        <v>11680.65682</v>
      </c>
      <c r="H705" s="1">
        <f t="shared" si="6"/>
        <v>21414.53751</v>
      </c>
      <c r="I705" s="1">
        <f t="shared" si="7"/>
        <v>35041.97047</v>
      </c>
    </row>
    <row r="706" hidden="1">
      <c r="A706" s="266">
        <f>IFERROR(__xludf.DUMMYFUNCTION("""COMPUTED_VALUE"""),43342.99861111111)</f>
        <v>43342.99861</v>
      </c>
      <c r="B706" s="1">
        <f>IFERROR(__xludf.DUMMYFUNCTION("""COMPUTED_VALUE"""),6985.56)</f>
        <v>6985.56</v>
      </c>
      <c r="C706" s="58">
        <f t="shared" si="1"/>
        <v>3526.998611</v>
      </c>
      <c r="D706" s="1">
        <f t="shared" si="2"/>
        <v>1949.980617</v>
      </c>
      <c r="E706" s="1">
        <f t="shared" si="3"/>
        <v>3509.96511</v>
      </c>
      <c r="F706" s="1">
        <f t="shared" si="4"/>
        <v>6629.934097</v>
      </c>
      <c r="G706" s="1">
        <f t="shared" si="5"/>
        <v>11699.8837</v>
      </c>
      <c r="H706" s="1">
        <f t="shared" si="6"/>
        <v>21449.78678</v>
      </c>
      <c r="I706" s="1">
        <f t="shared" si="7"/>
        <v>35099.6511</v>
      </c>
    </row>
    <row r="707" hidden="1">
      <c r="A707" s="266">
        <f>IFERROR(__xludf.DUMMYFUNCTION("""COMPUTED_VALUE"""),43343.99861111111)</f>
        <v>43343.99861</v>
      </c>
      <c r="B707" s="1">
        <f>IFERROR(__xludf.DUMMYFUNCTION("""COMPUTED_VALUE"""),7012.26)</f>
        <v>7012.26</v>
      </c>
      <c r="C707" s="58">
        <f t="shared" si="1"/>
        <v>3527.998611</v>
      </c>
      <c r="D707" s="1">
        <f t="shared" si="2"/>
        <v>1953.18946</v>
      </c>
      <c r="E707" s="1">
        <f t="shared" si="3"/>
        <v>3515.741028</v>
      </c>
      <c r="F707" s="1">
        <f t="shared" si="4"/>
        <v>6640.844165</v>
      </c>
      <c r="G707" s="1">
        <f t="shared" si="5"/>
        <v>11719.13676</v>
      </c>
      <c r="H707" s="1">
        <f t="shared" si="6"/>
        <v>21485.08406</v>
      </c>
      <c r="I707" s="1">
        <f t="shared" si="7"/>
        <v>35157.41028</v>
      </c>
    </row>
    <row r="708" hidden="1">
      <c r="A708" s="266">
        <f>IFERROR(__xludf.DUMMYFUNCTION("""COMPUTED_VALUE"""),43344.99861111111)</f>
        <v>43344.99861</v>
      </c>
      <c r="B708" s="1">
        <f>IFERROR(__xludf.DUMMYFUNCTION("""COMPUTED_VALUE"""),7193.82)</f>
        <v>7193.82</v>
      </c>
      <c r="C708" s="58">
        <f t="shared" si="1"/>
        <v>3528.998611</v>
      </c>
      <c r="D708" s="1">
        <f t="shared" si="2"/>
        <v>1956.402672</v>
      </c>
      <c r="E708" s="1">
        <f t="shared" si="3"/>
        <v>3521.52481</v>
      </c>
      <c r="F708" s="1">
        <f t="shared" si="4"/>
        <v>6651.769086</v>
      </c>
      <c r="G708" s="1">
        <f t="shared" si="5"/>
        <v>11738.41603</v>
      </c>
      <c r="H708" s="1">
        <f t="shared" si="6"/>
        <v>21520.4294</v>
      </c>
      <c r="I708" s="1">
        <f t="shared" si="7"/>
        <v>35215.2481</v>
      </c>
    </row>
    <row r="709" hidden="1">
      <c r="A709" s="266">
        <f>IFERROR(__xludf.DUMMYFUNCTION("""COMPUTED_VALUE"""),43345.99861111111)</f>
        <v>43345.99861</v>
      </c>
      <c r="B709" s="1">
        <f>IFERROR(__xludf.DUMMYFUNCTION("""COMPUTED_VALUE"""),7297.35)</f>
        <v>7297.35</v>
      </c>
      <c r="C709" s="58">
        <f t="shared" si="1"/>
        <v>3529.998611</v>
      </c>
      <c r="D709" s="1">
        <f t="shared" si="2"/>
        <v>1959.620258</v>
      </c>
      <c r="E709" s="1">
        <f t="shared" si="3"/>
        <v>3527.316464</v>
      </c>
      <c r="F709" s="1">
        <f t="shared" si="4"/>
        <v>6662.708877</v>
      </c>
      <c r="G709" s="1">
        <f t="shared" si="5"/>
        <v>11757.72155</v>
      </c>
      <c r="H709" s="1">
        <f t="shared" si="6"/>
        <v>21555.82284</v>
      </c>
      <c r="I709" s="1">
        <f t="shared" si="7"/>
        <v>35273.16464</v>
      </c>
    </row>
    <row r="710" hidden="1">
      <c r="A710" s="266">
        <f>IFERROR(__xludf.DUMMYFUNCTION("""COMPUTED_VALUE"""),43346.99861111111)</f>
        <v>43346.99861</v>
      </c>
      <c r="B710" s="1">
        <f>IFERROR(__xludf.DUMMYFUNCTION("""COMPUTED_VALUE"""),7262.03)</f>
        <v>7262.03</v>
      </c>
      <c r="C710" s="58">
        <f t="shared" si="1"/>
        <v>3530.998611</v>
      </c>
      <c r="D710" s="1">
        <f t="shared" si="2"/>
        <v>1962.842222</v>
      </c>
      <c r="E710" s="1">
        <f t="shared" si="3"/>
        <v>3533.115999</v>
      </c>
      <c r="F710" s="1">
        <f t="shared" si="4"/>
        <v>6673.663554</v>
      </c>
      <c r="G710" s="1">
        <f t="shared" si="5"/>
        <v>11777.05333</v>
      </c>
      <c r="H710" s="1">
        <f t="shared" si="6"/>
        <v>21591.26444</v>
      </c>
      <c r="I710" s="1">
        <f t="shared" si="7"/>
        <v>35331.15999</v>
      </c>
    </row>
    <row r="711" hidden="1">
      <c r="A711" s="266">
        <f>IFERROR(__xludf.DUMMYFUNCTION("""COMPUTED_VALUE"""),43347.99861111111)</f>
        <v>43347.99861</v>
      </c>
      <c r="B711" s="1">
        <f>IFERROR(__xludf.DUMMYFUNCTION("""COMPUTED_VALUE"""),7358.54)</f>
        <v>7358.54</v>
      </c>
      <c r="C711" s="58">
        <f t="shared" si="1"/>
        <v>3531.998611</v>
      </c>
      <c r="D711" s="1">
        <f t="shared" si="2"/>
        <v>1966.068569</v>
      </c>
      <c r="E711" s="1">
        <f t="shared" si="3"/>
        <v>3538.923423</v>
      </c>
      <c r="F711" s="1">
        <f t="shared" si="4"/>
        <v>6684.633133</v>
      </c>
      <c r="G711" s="1">
        <f t="shared" si="5"/>
        <v>11796.41141</v>
      </c>
      <c r="H711" s="1">
        <f t="shared" si="6"/>
        <v>21626.75425</v>
      </c>
      <c r="I711" s="1">
        <f t="shared" si="7"/>
        <v>35389.23423</v>
      </c>
    </row>
    <row r="712" hidden="1">
      <c r="A712" s="266">
        <f>IFERROR(__xludf.DUMMYFUNCTION("""COMPUTED_VALUE"""),43348.99861111111)</f>
        <v>43348.99861</v>
      </c>
      <c r="B712" s="1">
        <f>IFERROR(__xludf.DUMMYFUNCTION("""COMPUTED_VALUE"""),6723.36)</f>
        <v>6723.36</v>
      </c>
      <c r="C712" s="58">
        <f t="shared" si="1"/>
        <v>3532.998611</v>
      </c>
      <c r="D712" s="1">
        <f t="shared" si="2"/>
        <v>1969.299303</v>
      </c>
      <c r="E712" s="1">
        <f t="shared" si="3"/>
        <v>3544.738745</v>
      </c>
      <c r="F712" s="1">
        <f t="shared" si="4"/>
        <v>6695.617629</v>
      </c>
      <c r="G712" s="1">
        <f t="shared" si="5"/>
        <v>11815.79582</v>
      </c>
      <c r="H712" s="1">
        <f t="shared" si="6"/>
        <v>21662.29233</v>
      </c>
      <c r="I712" s="1">
        <f t="shared" si="7"/>
        <v>35447.38745</v>
      </c>
    </row>
    <row r="713" hidden="1">
      <c r="A713" s="266">
        <f>IFERROR(__xludf.DUMMYFUNCTION("""COMPUTED_VALUE"""),43349.99861111111)</f>
        <v>43349.99861</v>
      </c>
      <c r="B713" s="1">
        <f>IFERROR(__xludf.DUMMYFUNCTION("""COMPUTED_VALUE"""),6493.98)</f>
        <v>6493.98</v>
      </c>
      <c r="C713" s="58">
        <f t="shared" si="1"/>
        <v>3533.998611</v>
      </c>
      <c r="D713" s="1">
        <f t="shared" si="2"/>
        <v>1972.534429</v>
      </c>
      <c r="E713" s="1">
        <f t="shared" si="3"/>
        <v>3550.561973</v>
      </c>
      <c r="F713" s="1">
        <f t="shared" si="4"/>
        <v>6706.61706</v>
      </c>
      <c r="G713" s="1">
        <f t="shared" si="5"/>
        <v>11835.20658</v>
      </c>
      <c r="H713" s="1">
        <f t="shared" si="6"/>
        <v>21697.87872</v>
      </c>
      <c r="I713" s="1">
        <f t="shared" si="7"/>
        <v>35505.61973</v>
      </c>
    </row>
    <row r="714" hidden="1">
      <c r="A714" s="266">
        <f>IFERROR(__xludf.DUMMYFUNCTION("""COMPUTED_VALUE"""),43350.99861111111)</f>
        <v>43350.99861</v>
      </c>
      <c r="B714" s="1">
        <f>IFERROR(__xludf.DUMMYFUNCTION("""COMPUTED_VALUE"""),6414.06)</f>
        <v>6414.06</v>
      </c>
      <c r="C714" s="58">
        <f t="shared" si="1"/>
        <v>3534.998611</v>
      </c>
      <c r="D714" s="1">
        <f t="shared" si="2"/>
        <v>1975.773953</v>
      </c>
      <c r="E714" s="1">
        <f t="shared" si="3"/>
        <v>3556.393115</v>
      </c>
      <c r="F714" s="1">
        <f t="shared" si="4"/>
        <v>6717.63144</v>
      </c>
      <c r="G714" s="1">
        <f t="shared" si="5"/>
        <v>11854.64372</v>
      </c>
      <c r="H714" s="1">
        <f t="shared" si="6"/>
        <v>21733.51348</v>
      </c>
      <c r="I714" s="1">
        <f t="shared" si="7"/>
        <v>35563.93115</v>
      </c>
    </row>
    <row r="715" hidden="1">
      <c r="A715" s="266">
        <f>IFERROR(__xludf.DUMMYFUNCTION("""COMPUTED_VALUE"""),43351.99861111111)</f>
        <v>43351.99861</v>
      </c>
      <c r="B715" s="1">
        <f>IFERROR(__xludf.DUMMYFUNCTION("""COMPUTED_VALUE"""),6184.05)</f>
        <v>6184.05</v>
      </c>
      <c r="C715" s="58">
        <f t="shared" si="1"/>
        <v>3535.998611</v>
      </c>
      <c r="D715" s="1">
        <f t="shared" si="2"/>
        <v>1979.017878</v>
      </c>
      <c r="E715" s="1">
        <f t="shared" si="3"/>
        <v>3562.232181</v>
      </c>
      <c r="F715" s="1">
        <f t="shared" si="4"/>
        <v>6728.660787</v>
      </c>
      <c r="G715" s="1">
        <f t="shared" si="5"/>
        <v>11874.10727</v>
      </c>
      <c r="H715" s="1">
        <f t="shared" si="6"/>
        <v>21769.19666</v>
      </c>
      <c r="I715" s="1">
        <f t="shared" si="7"/>
        <v>35622.32181</v>
      </c>
    </row>
    <row r="716" hidden="1">
      <c r="A716" s="266">
        <f>IFERROR(__xludf.DUMMYFUNCTION("""COMPUTED_VALUE"""),43352.99861111111)</f>
        <v>43352.99861</v>
      </c>
      <c r="B716" s="1">
        <f>IFERROR(__xludf.DUMMYFUNCTION("""COMPUTED_VALUE"""),6239.63)</f>
        <v>6239.63</v>
      </c>
      <c r="C716" s="58">
        <f t="shared" si="1"/>
        <v>3536.998611</v>
      </c>
      <c r="D716" s="1">
        <f t="shared" si="2"/>
        <v>1982.26621</v>
      </c>
      <c r="E716" s="1">
        <f t="shared" si="3"/>
        <v>3568.079179</v>
      </c>
      <c r="F716" s="1">
        <f t="shared" si="4"/>
        <v>6739.705115</v>
      </c>
      <c r="G716" s="1">
        <f t="shared" si="5"/>
        <v>11893.59726</v>
      </c>
      <c r="H716" s="1">
        <f t="shared" si="6"/>
        <v>21804.92831</v>
      </c>
      <c r="I716" s="1">
        <f t="shared" si="7"/>
        <v>35680.79179</v>
      </c>
    </row>
    <row r="717" hidden="1">
      <c r="A717" s="266">
        <f>IFERROR(__xludf.DUMMYFUNCTION("""COMPUTED_VALUE"""),43353.99861111111)</f>
        <v>43353.99861</v>
      </c>
      <c r="B717" s="1">
        <f>IFERROR(__xludf.DUMMYFUNCTION("""COMPUTED_VALUE"""),6309.37)</f>
        <v>6309.37</v>
      </c>
      <c r="C717" s="58">
        <f t="shared" si="1"/>
        <v>3537.998611</v>
      </c>
      <c r="D717" s="1">
        <f t="shared" si="2"/>
        <v>1985.518954</v>
      </c>
      <c r="E717" s="1">
        <f t="shared" si="3"/>
        <v>3573.934116</v>
      </c>
      <c r="F717" s="1">
        <f t="shared" si="4"/>
        <v>6750.764442</v>
      </c>
      <c r="G717" s="1">
        <f t="shared" si="5"/>
        <v>11913.11372</v>
      </c>
      <c r="H717" s="1">
        <f t="shared" si="6"/>
        <v>21840.70849</v>
      </c>
      <c r="I717" s="1">
        <f t="shared" si="7"/>
        <v>35739.34116</v>
      </c>
    </row>
    <row r="718" hidden="1">
      <c r="A718" s="266">
        <f>IFERROR(__xludf.DUMMYFUNCTION("""COMPUTED_VALUE"""),43354.99861111111)</f>
        <v>43354.99861</v>
      </c>
      <c r="B718" s="1">
        <f>IFERROR(__xludf.DUMMYFUNCTION("""COMPUTED_VALUE"""),6290.01)</f>
        <v>6290.01</v>
      </c>
      <c r="C718" s="58">
        <f t="shared" si="1"/>
        <v>3538.998611</v>
      </c>
      <c r="D718" s="1">
        <f t="shared" si="2"/>
        <v>1988.776113</v>
      </c>
      <c r="E718" s="1">
        <f t="shared" si="3"/>
        <v>3579.797003</v>
      </c>
      <c r="F718" s="1">
        <f t="shared" si="4"/>
        <v>6761.838783</v>
      </c>
      <c r="G718" s="1">
        <f t="shared" si="5"/>
        <v>11932.65668</v>
      </c>
      <c r="H718" s="1">
        <f t="shared" si="6"/>
        <v>21876.53724</v>
      </c>
      <c r="I718" s="1">
        <f t="shared" si="7"/>
        <v>35797.97003</v>
      </c>
    </row>
    <row r="719" hidden="1">
      <c r="A719" s="266">
        <f>IFERROR(__xludf.DUMMYFUNCTION("""COMPUTED_VALUE"""),43355.99861111111)</f>
        <v>43355.99861</v>
      </c>
      <c r="B719" s="1">
        <f>IFERROR(__xludf.DUMMYFUNCTION("""COMPUTED_VALUE"""),6330.41)</f>
        <v>6330.41</v>
      </c>
      <c r="C719" s="58">
        <f t="shared" si="1"/>
        <v>3539.998611</v>
      </c>
      <c r="D719" s="1">
        <f t="shared" si="2"/>
        <v>1992.037693</v>
      </c>
      <c r="E719" s="1">
        <f t="shared" si="3"/>
        <v>3585.667847</v>
      </c>
      <c r="F719" s="1">
        <f t="shared" si="4"/>
        <v>6772.928155</v>
      </c>
      <c r="G719" s="1">
        <f t="shared" si="5"/>
        <v>11952.22616</v>
      </c>
      <c r="H719" s="1">
        <f t="shared" si="6"/>
        <v>21912.41462</v>
      </c>
      <c r="I719" s="1">
        <f t="shared" si="7"/>
        <v>35856.67847</v>
      </c>
    </row>
    <row r="720" hidden="1">
      <c r="A720" s="266">
        <f>IFERROR(__xludf.DUMMYFUNCTION("""COMPUTED_VALUE"""),43356.99861111111)</f>
        <v>43356.99861</v>
      </c>
      <c r="B720" s="1">
        <f>IFERROR(__xludf.DUMMYFUNCTION("""COMPUTED_VALUE"""),6484.96)</f>
        <v>6484.96</v>
      </c>
      <c r="C720" s="58">
        <f t="shared" si="1"/>
        <v>3540.998611</v>
      </c>
      <c r="D720" s="1">
        <f t="shared" si="2"/>
        <v>1995.303698</v>
      </c>
      <c r="E720" s="1">
        <f t="shared" si="3"/>
        <v>3591.546656</v>
      </c>
      <c r="F720" s="1">
        <f t="shared" si="4"/>
        <v>6784.032573</v>
      </c>
      <c r="G720" s="1">
        <f t="shared" si="5"/>
        <v>11971.82219</v>
      </c>
      <c r="H720" s="1">
        <f t="shared" si="6"/>
        <v>21948.34068</v>
      </c>
      <c r="I720" s="1">
        <f t="shared" si="7"/>
        <v>35915.46656</v>
      </c>
    </row>
    <row r="721" hidden="1">
      <c r="A721" s="266">
        <f>IFERROR(__xludf.DUMMYFUNCTION("""COMPUTED_VALUE"""),43357.99861111111)</f>
        <v>43357.99861</v>
      </c>
      <c r="B721" s="1">
        <f>IFERROR(__xludf.DUMMYFUNCTION("""COMPUTED_VALUE"""),6488.08)</f>
        <v>6488.08</v>
      </c>
      <c r="C721" s="58">
        <f t="shared" si="1"/>
        <v>3541.998611</v>
      </c>
      <c r="D721" s="1">
        <f t="shared" si="2"/>
        <v>1998.574134</v>
      </c>
      <c r="E721" s="1">
        <f t="shared" si="3"/>
        <v>3597.433441</v>
      </c>
      <c r="F721" s="1">
        <f t="shared" si="4"/>
        <v>6795.152054</v>
      </c>
      <c r="G721" s="1">
        <f t="shared" si="5"/>
        <v>11991.4448</v>
      </c>
      <c r="H721" s="1">
        <f t="shared" si="6"/>
        <v>21984.31547</v>
      </c>
      <c r="I721" s="1">
        <f t="shared" si="7"/>
        <v>35974.33441</v>
      </c>
    </row>
    <row r="722" hidden="1">
      <c r="A722" s="266">
        <f>IFERROR(__xludf.DUMMYFUNCTION("""COMPUTED_VALUE"""),43358.99861111111)</f>
        <v>43358.99861</v>
      </c>
      <c r="B722" s="1">
        <f>IFERROR(__xludf.DUMMYFUNCTION("""COMPUTED_VALUE"""),6519.52)</f>
        <v>6519.52</v>
      </c>
      <c r="C722" s="58">
        <f t="shared" si="1"/>
        <v>3542.998611</v>
      </c>
      <c r="D722" s="1">
        <f t="shared" si="2"/>
        <v>2001.849004</v>
      </c>
      <c r="E722" s="1">
        <f t="shared" si="3"/>
        <v>3603.328208</v>
      </c>
      <c r="F722" s="1">
        <f t="shared" si="4"/>
        <v>6806.286614</v>
      </c>
      <c r="G722" s="1">
        <f t="shared" si="5"/>
        <v>12011.09403</v>
      </c>
      <c r="H722" s="1">
        <f t="shared" si="6"/>
        <v>22020.33905</v>
      </c>
      <c r="I722" s="1">
        <f t="shared" si="7"/>
        <v>36033.28208</v>
      </c>
    </row>
    <row r="723" hidden="1">
      <c r="A723" s="266">
        <f>IFERROR(__xludf.DUMMYFUNCTION("""COMPUTED_VALUE"""),43359.99861111111)</f>
        <v>43359.99861</v>
      </c>
      <c r="B723" s="1">
        <f>IFERROR(__xludf.DUMMYFUNCTION("""COMPUTED_VALUE"""),6501.13)</f>
        <v>6501.13</v>
      </c>
      <c r="C723" s="58">
        <f t="shared" si="1"/>
        <v>3543.998611</v>
      </c>
      <c r="D723" s="1">
        <f t="shared" si="2"/>
        <v>2005.128315</v>
      </c>
      <c r="E723" s="1">
        <f t="shared" si="3"/>
        <v>3609.230966</v>
      </c>
      <c r="F723" s="1">
        <f t="shared" si="4"/>
        <v>6817.43627</v>
      </c>
      <c r="G723" s="1">
        <f t="shared" si="5"/>
        <v>12030.76989</v>
      </c>
      <c r="H723" s="1">
        <f t="shared" si="6"/>
        <v>22056.41146</v>
      </c>
      <c r="I723" s="1">
        <f t="shared" si="7"/>
        <v>36092.30966</v>
      </c>
    </row>
    <row r="724" hidden="1">
      <c r="A724" s="266">
        <f>IFERROR(__xludf.DUMMYFUNCTION("""COMPUTED_VALUE"""),43360.99861111111)</f>
        <v>43360.99861</v>
      </c>
      <c r="B724" s="1">
        <f>IFERROR(__xludf.DUMMYFUNCTION("""COMPUTED_VALUE"""),6252.05)</f>
        <v>6252.05</v>
      </c>
      <c r="C724" s="58">
        <f t="shared" si="1"/>
        <v>3544.998611</v>
      </c>
      <c r="D724" s="1">
        <f t="shared" si="2"/>
        <v>2008.412069</v>
      </c>
      <c r="E724" s="1">
        <f t="shared" si="3"/>
        <v>3615.141725</v>
      </c>
      <c r="F724" s="1">
        <f t="shared" si="4"/>
        <v>6828.601036</v>
      </c>
      <c r="G724" s="1">
        <f t="shared" si="5"/>
        <v>12050.47242</v>
      </c>
      <c r="H724" s="1">
        <f t="shared" si="6"/>
        <v>22092.53276</v>
      </c>
      <c r="I724" s="1">
        <f t="shared" si="7"/>
        <v>36151.41725</v>
      </c>
    </row>
    <row r="725" hidden="1">
      <c r="A725" s="266">
        <f>IFERROR(__xludf.DUMMYFUNCTION("""COMPUTED_VALUE"""),43361.99861111111)</f>
        <v>43361.99861</v>
      </c>
      <c r="B725" s="1">
        <f>IFERROR(__xludf.DUMMYFUNCTION("""COMPUTED_VALUE"""),6351.71)</f>
        <v>6351.71</v>
      </c>
      <c r="C725" s="58">
        <f t="shared" si="1"/>
        <v>3545.998611</v>
      </c>
      <c r="D725" s="1">
        <f t="shared" si="2"/>
        <v>2011.700274</v>
      </c>
      <c r="E725" s="1">
        <f t="shared" si="3"/>
        <v>3621.060493</v>
      </c>
      <c r="F725" s="1">
        <f t="shared" si="4"/>
        <v>6839.78093</v>
      </c>
      <c r="G725" s="1">
        <f t="shared" si="5"/>
        <v>12070.20164</v>
      </c>
      <c r="H725" s="1">
        <f t="shared" si="6"/>
        <v>22128.70301</v>
      </c>
      <c r="I725" s="1">
        <f t="shared" si="7"/>
        <v>36210.60493</v>
      </c>
    </row>
    <row r="726" hidden="1">
      <c r="A726" s="266">
        <f>IFERROR(__xludf.DUMMYFUNCTION("""COMPUTED_VALUE"""),43362.99861111111)</f>
        <v>43362.99861</v>
      </c>
      <c r="B726" s="1">
        <f>IFERROR(__xludf.DUMMYFUNCTION("""COMPUTED_VALUE"""),6390.73)</f>
        <v>6390.73</v>
      </c>
      <c r="C726" s="58">
        <f t="shared" si="1"/>
        <v>3546.998611</v>
      </c>
      <c r="D726" s="1">
        <f t="shared" si="2"/>
        <v>2014.992932</v>
      </c>
      <c r="E726" s="1">
        <f t="shared" si="3"/>
        <v>3626.987277</v>
      </c>
      <c r="F726" s="1">
        <f t="shared" si="4"/>
        <v>6850.975968</v>
      </c>
      <c r="G726" s="1">
        <f t="shared" si="5"/>
        <v>12089.95759</v>
      </c>
      <c r="H726" s="1">
        <f t="shared" si="6"/>
        <v>22164.92225</v>
      </c>
      <c r="I726" s="1">
        <f t="shared" si="7"/>
        <v>36269.87277</v>
      </c>
    </row>
    <row r="727" hidden="1">
      <c r="A727" s="266">
        <f>IFERROR(__xludf.DUMMYFUNCTION("""COMPUTED_VALUE"""),43363.99861111111)</f>
        <v>43363.99861</v>
      </c>
      <c r="B727" s="1">
        <f>IFERROR(__xludf.DUMMYFUNCTION("""COMPUTED_VALUE"""),6494.14)</f>
        <v>6494.14</v>
      </c>
      <c r="C727" s="58">
        <f t="shared" si="1"/>
        <v>3547.998611</v>
      </c>
      <c r="D727" s="1">
        <f t="shared" si="2"/>
        <v>2018.290049</v>
      </c>
      <c r="E727" s="1">
        <f t="shared" si="3"/>
        <v>3632.922088</v>
      </c>
      <c r="F727" s="1">
        <f t="shared" si="4"/>
        <v>6862.186166</v>
      </c>
      <c r="G727" s="1">
        <f t="shared" si="5"/>
        <v>12109.74029</v>
      </c>
      <c r="H727" s="1">
        <f t="shared" si="6"/>
        <v>22201.19054</v>
      </c>
      <c r="I727" s="1">
        <f t="shared" si="7"/>
        <v>36329.22088</v>
      </c>
    </row>
    <row r="728" hidden="1">
      <c r="A728" s="266">
        <f>IFERROR(__xludf.DUMMYFUNCTION("""COMPUTED_VALUE"""),43364.99861111111)</f>
        <v>43364.99861</v>
      </c>
      <c r="B728" s="1">
        <f>IFERROR(__xludf.DUMMYFUNCTION("""COMPUTED_VALUE"""),6755.04)</f>
        <v>6755.04</v>
      </c>
      <c r="C728" s="58">
        <f t="shared" si="1"/>
        <v>3548.998611</v>
      </c>
      <c r="D728" s="1">
        <f t="shared" si="2"/>
        <v>2021.59163</v>
      </c>
      <c r="E728" s="1">
        <f t="shared" si="3"/>
        <v>3638.864933</v>
      </c>
      <c r="F728" s="1">
        <f t="shared" si="4"/>
        <v>6873.41154</v>
      </c>
      <c r="G728" s="1">
        <f t="shared" si="5"/>
        <v>12129.54978</v>
      </c>
      <c r="H728" s="1">
        <f t="shared" si="6"/>
        <v>22237.50792</v>
      </c>
      <c r="I728" s="1">
        <f t="shared" si="7"/>
        <v>36388.64933</v>
      </c>
    </row>
    <row r="729" hidden="1">
      <c r="A729" s="266">
        <f>IFERROR(__xludf.DUMMYFUNCTION("""COMPUTED_VALUE"""),43365.99861111111)</f>
        <v>43365.99861</v>
      </c>
      <c r="B729" s="1">
        <f>IFERROR(__xludf.DUMMYFUNCTION("""COMPUTED_VALUE"""),6717.5)</f>
        <v>6717.5</v>
      </c>
      <c r="C729" s="58">
        <f t="shared" si="1"/>
        <v>3549.998611</v>
      </c>
      <c r="D729" s="1">
        <f t="shared" si="2"/>
        <v>2024.897679</v>
      </c>
      <c r="E729" s="1">
        <f t="shared" si="3"/>
        <v>3644.815821</v>
      </c>
      <c r="F729" s="1">
        <f t="shared" si="4"/>
        <v>6884.652107</v>
      </c>
      <c r="G729" s="1">
        <f t="shared" si="5"/>
        <v>12149.38607</v>
      </c>
      <c r="H729" s="1">
        <f t="shared" si="6"/>
        <v>22273.87446</v>
      </c>
      <c r="I729" s="1">
        <f t="shared" si="7"/>
        <v>36448.15821</v>
      </c>
    </row>
    <row r="730" hidden="1">
      <c r="A730" s="266">
        <f>IFERROR(__xludf.DUMMYFUNCTION("""COMPUTED_VALUE"""),43366.99861111111)</f>
        <v>43366.99861</v>
      </c>
      <c r="B730" s="1">
        <f>IFERROR(__xludf.DUMMYFUNCTION("""COMPUTED_VALUE"""),6703.87)</f>
        <v>6703.87</v>
      </c>
      <c r="C730" s="58">
        <f t="shared" si="1"/>
        <v>3550.998611</v>
      </c>
      <c r="D730" s="1">
        <f t="shared" si="2"/>
        <v>2028.208201</v>
      </c>
      <c r="E730" s="1">
        <f t="shared" si="3"/>
        <v>3650.774761</v>
      </c>
      <c r="F730" s="1">
        <f t="shared" si="4"/>
        <v>6895.907883</v>
      </c>
      <c r="G730" s="1">
        <f t="shared" si="5"/>
        <v>12169.2492</v>
      </c>
      <c r="H730" s="1">
        <f t="shared" si="6"/>
        <v>22310.29021</v>
      </c>
      <c r="I730" s="1">
        <f t="shared" si="7"/>
        <v>36507.74761</v>
      </c>
    </row>
    <row r="731" hidden="1">
      <c r="A731" s="266">
        <f>IFERROR(__xludf.DUMMYFUNCTION("""COMPUTED_VALUE"""),43367.99861111111)</f>
        <v>43367.99861</v>
      </c>
      <c r="B731" s="1">
        <f>IFERROR(__xludf.DUMMYFUNCTION("""COMPUTED_VALUE"""),6574.98)</f>
        <v>6574.98</v>
      </c>
      <c r="C731" s="58">
        <f t="shared" si="1"/>
        <v>3551.998611</v>
      </c>
      <c r="D731" s="1">
        <f t="shared" si="2"/>
        <v>2031.523201</v>
      </c>
      <c r="E731" s="1">
        <f t="shared" si="3"/>
        <v>3656.741762</v>
      </c>
      <c r="F731" s="1">
        <f t="shared" si="4"/>
        <v>6907.178883</v>
      </c>
      <c r="G731" s="1">
        <f t="shared" si="5"/>
        <v>12189.13921</v>
      </c>
      <c r="H731" s="1">
        <f t="shared" si="6"/>
        <v>22346.75521</v>
      </c>
      <c r="I731" s="1">
        <f t="shared" si="7"/>
        <v>36567.41762</v>
      </c>
    </row>
    <row r="732" hidden="1">
      <c r="A732" s="266">
        <f>IFERROR(__xludf.DUMMYFUNCTION("""COMPUTED_VALUE"""),43368.99861111111)</f>
        <v>43368.99861</v>
      </c>
      <c r="B732" s="1">
        <f>IFERROR(__xludf.DUMMYFUNCTION("""COMPUTED_VALUE"""),6436.6)</f>
        <v>6436.6</v>
      </c>
      <c r="C732" s="58">
        <f t="shared" si="1"/>
        <v>3552.998611</v>
      </c>
      <c r="D732" s="1">
        <f t="shared" si="2"/>
        <v>2034.842684</v>
      </c>
      <c r="E732" s="1">
        <f t="shared" si="3"/>
        <v>3662.716831</v>
      </c>
      <c r="F732" s="1">
        <f t="shared" si="4"/>
        <v>6918.465125</v>
      </c>
      <c r="G732" s="1">
        <f t="shared" si="5"/>
        <v>12209.0561</v>
      </c>
      <c r="H732" s="1">
        <f t="shared" si="6"/>
        <v>22383.26952</v>
      </c>
      <c r="I732" s="1">
        <f t="shared" si="7"/>
        <v>36627.16831</v>
      </c>
    </row>
    <row r="733" hidden="1">
      <c r="A733" s="266">
        <f>IFERROR(__xludf.DUMMYFUNCTION("""COMPUTED_VALUE"""),43369.99861111111)</f>
        <v>43369.99861</v>
      </c>
      <c r="B733" s="1">
        <f>IFERROR(__xludf.DUMMYFUNCTION("""COMPUTED_VALUE"""),6460.57)</f>
        <v>6460.57</v>
      </c>
      <c r="C733" s="58">
        <f t="shared" si="1"/>
        <v>3553.998611</v>
      </c>
      <c r="D733" s="1">
        <f t="shared" si="2"/>
        <v>2038.166654</v>
      </c>
      <c r="E733" s="1">
        <f t="shared" si="3"/>
        <v>3668.699978</v>
      </c>
      <c r="F733" s="1">
        <f t="shared" si="4"/>
        <v>6929.766625</v>
      </c>
      <c r="G733" s="1">
        <f t="shared" si="5"/>
        <v>12228.99993</v>
      </c>
      <c r="H733" s="1">
        <f t="shared" si="6"/>
        <v>22419.8332</v>
      </c>
      <c r="I733" s="1">
        <f t="shared" si="7"/>
        <v>36686.99978</v>
      </c>
    </row>
    <row r="734" hidden="1">
      <c r="A734" s="266">
        <f>IFERROR(__xludf.DUMMYFUNCTION("""COMPUTED_VALUE"""),43370.99861111111)</f>
        <v>43370.99861</v>
      </c>
      <c r="B734" s="1">
        <f>IFERROR(__xludf.DUMMYFUNCTION("""COMPUTED_VALUE"""),6688.11)</f>
        <v>6688.11</v>
      </c>
      <c r="C734" s="58">
        <f t="shared" si="1"/>
        <v>3554.998611</v>
      </c>
      <c r="D734" s="1">
        <f t="shared" si="2"/>
        <v>2041.495117</v>
      </c>
      <c r="E734" s="1">
        <f t="shared" si="3"/>
        <v>3674.691211</v>
      </c>
      <c r="F734" s="1">
        <f t="shared" si="4"/>
        <v>6941.083399</v>
      </c>
      <c r="G734" s="1">
        <f t="shared" si="5"/>
        <v>12248.9707</v>
      </c>
      <c r="H734" s="1">
        <f t="shared" si="6"/>
        <v>22456.44629</v>
      </c>
      <c r="I734" s="1">
        <f t="shared" si="7"/>
        <v>36746.91211</v>
      </c>
    </row>
    <row r="735" hidden="1">
      <c r="A735" s="266">
        <f>IFERROR(__xludf.DUMMYFUNCTION("""COMPUTED_VALUE"""),43371.99861111111)</f>
        <v>43371.99861</v>
      </c>
      <c r="B735" s="1">
        <f>IFERROR(__xludf.DUMMYFUNCTION("""COMPUTED_VALUE"""),6629.4)</f>
        <v>6629.4</v>
      </c>
      <c r="C735" s="58">
        <f t="shared" si="1"/>
        <v>3555.998611</v>
      </c>
      <c r="D735" s="1">
        <f t="shared" si="2"/>
        <v>2044.828077</v>
      </c>
      <c r="E735" s="1">
        <f t="shared" si="3"/>
        <v>3680.690539</v>
      </c>
      <c r="F735" s="1">
        <f t="shared" si="4"/>
        <v>6952.415463</v>
      </c>
      <c r="G735" s="1">
        <f t="shared" si="5"/>
        <v>12268.96846</v>
      </c>
      <c r="H735" s="1">
        <f t="shared" si="6"/>
        <v>22493.10885</v>
      </c>
      <c r="I735" s="1">
        <f t="shared" si="7"/>
        <v>36806.90539</v>
      </c>
    </row>
    <row r="736" hidden="1">
      <c r="A736" s="266">
        <f>IFERROR(__xludf.DUMMYFUNCTION("""COMPUTED_VALUE"""),43372.99861111111)</f>
        <v>43372.99861</v>
      </c>
      <c r="B736" s="1">
        <f>IFERROR(__xludf.DUMMYFUNCTION("""COMPUTED_VALUE"""),6593.03)</f>
        <v>6593.03</v>
      </c>
      <c r="C736" s="58">
        <f t="shared" si="1"/>
        <v>3556.998611</v>
      </c>
      <c r="D736" s="1">
        <f t="shared" si="2"/>
        <v>2048.165539</v>
      </c>
      <c r="E736" s="1">
        <f t="shared" si="3"/>
        <v>3686.697971</v>
      </c>
      <c r="F736" s="1">
        <f t="shared" si="4"/>
        <v>6963.762833</v>
      </c>
      <c r="G736" s="1">
        <f t="shared" si="5"/>
        <v>12288.99324</v>
      </c>
      <c r="H736" s="1">
        <f t="shared" si="6"/>
        <v>22529.82093</v>
      </c>
      <c r="I736" s="1">
        <f t="shared" si="7"/>
        <v>36866.97971</v>
      </c>
    </row>
    <row r="737" hidden="1">
      <c r="A737" s="266">
        <f>IFERROR(__xludf.DUMMYFUNCTION("""COMPUTED_VALUE"""),43373.99861111111)</f>
        <v>43373.99861</v>
      </c>
      <c r="B737" s="1">
        <f>IFERROR(__xludf.DUMMYFUNCTION("""COMPUTED_VALUE"""),6618.76)</f>
        <v>6618.76</v>
      </c>
      <c r="C737" s="58">
        <f t="shared" si="1"/>
        <v>3557.998611</v>
      </c>
      <c r="D737" s="1">
        <f t="shared" si="2"/>
        <v>2051.507508</v>
      </c>
      <c r="E737" s="1">
        <f t="shared" si="3"/>
        <v>3692.713514</v>
      </c>
      <c r="F737" s="1">
        <f t="shared" si="4"/>
        <v>6975.125527</v>
      </c>
      <c r="G737" s="1">
        <f t="shared" si="5"/>
        <v>12309.04505</v>
      </c>
      <c r="H737" s="1">
        <f t="shared" si="6"/>
        <v>22566.58259</v>
      </c>
      <c r="I737" s="1">
        <f t="shared" si="7"/>
        <v>36927.13514</v>
      </c>
    </row>
    <row r="738" hidden="1">
      <c r="A738" s="266">
        <f>IFERROR(__xludf.DUMMYFUNCTION("""COMPUTED_VALUE"""),43374.99861111111)</f>
        <v>43374.99861</v>
      </c>
      <c r="B738" s="1">
        <f>IFERROR(__xludf.DUMMYFUNCTION("""COMPUTED_VALUE"""),6591.01)</f>
        <v>6591.01</v>
      </c>
      <c r="C738" s="58">
        <f t="shared" si="1"/>
        <v>3558.998611</v>
      </c>
      <c r="D738" s="1">
        <f t="shared" si="2"/>
        <v>2054.853988</v>
      </c>
      <c r="E738" s="1">
        <f t="shared" si="3"/>
        <v>3698.737179</v>
      </c>
      <c r="F738" s="1">
        <f t="shared" si="4"/>
        <v>6986.503561</v>
      </c>
      <c r="G738" s="1">
        <f t="shared" si="5"/>
        <v>12329.12393</v>
      </c>
      <c r="H738" s="1">
        <f t="shared" si="6"/>
        <v>22603.39387</v>
      </c>
      <c r="I738" s="1">
        <f t="shared" si="7"/>
        <v>36987.37179</v>
      </c>
    </row>
    <row r="739" hidden="1">
      <c r="A739" s="266">
        <f>IFERROR(__xludf.DUMMYFUNCTION("""COMPUTED_VALUE"""),43375.99861111111)</f>
        <v>43375.99861</v>
      </c>
      <c r="B739" s="1">
        <f>IFERROR(__xludf.DUMMYFUNCTION("""COMPUTED_VALUE"""),6518.96)</f>
        <v>6518.96</v>
      </c>
      <c r="C739" s="58">
        <f t="shared" si="1"/>
        <v>3559.998611</v>
      </c>
      <c r="D739" s="1">
        <f t="shared" si="2"/>
        <v>2058.204985</v>
      </c>
      <c r="E739" s="1">
        <f t="shared" si="3"/>
        <v>3704.768973</v>
      </c>
      <c r="F739" s="1">
        <f t="shared" si="4"/>
        <v>6997.89695</v>
      </c>
      <c r="G739" s="1">
        <f t="shared" si="5"/>
        <v>12349.22991</v>
      </c>
      <c r="H739" s="1">
        <f t="shared" si="6"/>
        <v>22640.25484</v>
      </c>
      <c r="I739" s="1">
        <f t="shared" si="7"/>
        <v>37047.68973</v>
      </c>
    </row>
    <row r="740" hidden="1">
      <c r="A740" s="266">
        <f>IFERROR(__xludf.DUMMYFUNCTION("""COMPUTED_VALUE"""),43376.99861111111)</f>
        <v>43376.99861</v>
      </c>
      <c r="B740" s="1">
        <f>IFERROR(__xludf.DUMMYFUNCTION("""COMPUTED_VALUE"""),6484.92)</f>
        <v>6484.92</v>
      </c>
      <c r="C740" s="58">
        <f t="shared" si="1"/>
        <v>3560.998611</v>
      </c>
      <c r="D740" s="1">
        <f t="shared" si="2"/>
        <v>2061.560503</v>
      </c>
      <c r="E740" s="1">
        <f t="shared" si="3"/>
        <v>3710.808906</v>
      </c>
      <c r="F740" s="1">
        <f t="shared" si="4"/>
        <v>7009.305711</v>
      </c>
      <c r="G740" s="1">
        <f t="shared" si="5"/>
        <v>12369.36302</v>
      </c>
      <c r="H740" s="1">
        <f t="shared" si="6"/>
        <v>22677.16554</v>
      </c>
      <c r="I740" s="1">
        <f t="shared" si="7"/>
        <v>37108.08906</v>
      </c>
    </row>
    <row r="741" hidden="1">
      <c r="A741" s="266">
        <f>IFERROR(__xludf.DUMMYFUNCTION("""COMPUTED_VALUE"""),43377.99861111111)</f>
        <v>43377.99861</v>
      </c>
      <c r="B741" s="1">
        <f>IFERROR(__xludf.DUMMYFUNCTION("""COMPUTED_VALUE"""),6576.6)</f>
        <v>6576.6</v>
      </c>
      <c r="C741" s="58">
        <f t="shared" si="1"/>
        <v>3561.998611</v>
      </c>
      <c r="D741" s="1">
        <f t="shared" si="2"/>
        <v>2064.920547</v>
      </c>
      <c r="E741" s="1">
        <f t="shared" si="3"/>
        <v>3716.856985</v>
      </c>
      <c r="F741" s="1">
        <f t="shared" si="4"/>
        <v>7020.729861</v>
      </c>
      <c r="G741" s="1">
        <f t="shared" si="5"/>
        <v>12389.52328</v>
      </c>
      <c r="H741" s="1">
        <f t="shared" si="6"/>
        <v>22714.12602</v>
      </c>
      <c r="I741" s="1">
        <f t="shared" si="7"/>
        <v>37168.56985</v>
      </c>
    </row>
    <row r="742" hidden="1">
      <c r="A742" s="266">
        <f>IFERROR(__xludf.DUMMYFUNCTION("""COMPUTED_VALUE"""),43378.99861111111)</f>
        <v>43378.99861</v>
      </c>
      <c r="B742" s="1">
        <f>IFERROR(__xludf.DUMMYFUNCTION("""COMPUTED_VALUE"""),6614.16)</f>
        <v>6614.16</v>
      </c>
      <c r="C742" s="58">
        <f t="shared" si="1"/>
        <v>3562.998611</v>
      </c>
      <c r="D742" s="1">
        <f t="shared" si="2"/>
        <v>2068.285122</v>
      </c>
      <c r="E742" s="1">
        <f t="shared" si="3"/>
        <v>3722.91322</v>
      </c>
      <c r="F742" s="1">
        <f t="shared" si="4"/>
        <v>7032.169416</v>
      </c>
      <c r="G742" s="1">
        <f t="shared" si="5"/>
        <v>12409.71073</v>
      </c>
      <c r="H742" s="1">
        <f t="shared" si="6"/>
        <v>22751.13635</v>
      </c>
      <c r="I742" s="1">
        <f t="shared" si="7"/>
        <v>37229.1322</v>
      </c>
    </row>
    <row r="743" hidden="1">
      <c r="A743" s="266">
        <f>IFERROR(__xludf.DUMMYFUNCTION("""COMPUTED_VALUE"""),43379.99861111111)</f>
        <v>43379.99861</v>
      </c>
      <c r="B743" s="1">
        <f>IFERROR(__xludf.DUMMYFUNCTION("""COMPUTED_VALUE"""),6580.74)</f>
        <v>6580.74</v>
      </c>
      <c r="C743" s="58">
        <f t="shared" si="1"/>
        <v>3563.998611</v>
      </c>
      <c r="D743" s="1">
        <f t="shared" si="2"/>
        <v>2071.654233</v>
      </c>
      <c r="E743" s="1">
        <f t="shared" si="3"/>
        <v>3728.97762</v>
      </c>
      <c r="F743" s="1">
        <f t="shared" si="4"/>
        <v>7043.624393</v>
      </c>
      <c r="G743" s="1">
        <f t="shared" si="5"/>
        <v>12429.9254</v>
      </c>
      <c r="H743" s="1">
        <f t="shared" si="6"/>
        <v>22788.19656</v>
      </c>
      <c r="I743" s="1">
        <f t="shared" si="7"/>
        <v>37289.7762</v>
      </c>
    </row>
    <row r="744" hidden="1">
      <c r="A744" s="266">
        <f>IFERROR(__xludf.DUMMYFUNCTION("""COMPUTED_VALUE"""),43380.99861111111)</f>
        <v>43380.99861</v>
      </c>
      <c r="B744" s="1">
        <f>IFERROR(__xludf.DUMMYFUNCTION("""COMPUTED_VALUE"""),6587.88)</f>
        <v>6587.88</v>
      </c>
      <c r="C744" s="58">
        <f t="shared" si="1"/>
        <v>3564.998611</v>
      </c>
      <c r="D744" s="1">
        <f t="shared" si="2"/>
        <v>2075.027885</v>
      </c>
      <c r="E744" s="1">
        <f t="shared" si="3"/>
        <v>3735.050192</v>
      </c>
      <c r="F744" s="1">
        <f t="shared" si="4"/>
        <v>7055.094807</v>
      </c>
      <c r="G744" s="1">
        <f t="shared" si="5"/>
        <v>12450.16731</v>
      </c>
      <c r="H744" s="1">
        <f t="shared" si="6"/>
        <v>22825.30673</v>
      </c>
      <c r="I744" s="1">
        <f t="shared" si="7"/>
        <v>37350.50192</v>
      </c>
    </row>
    <row r="745" hidden="1">
      <c r="A745" s="266">
        <f>IFERROR(__xludf.DUMMYFUNCTION("""COMPUTED_VALUE"""),43381.99861111111)</f>
        <v>43381.99861</v>
      </c>
      <c r="B745" s="1">
        <f>IFERROR(__xludf.DUMMYFUNCTION("""COMPUTED_VALUE"""),6648.31)</f>
        <v>6648.31</v>
      </c>
      <c r="C745" s="58">
        <f t="shared" si="1"/>
        <v>3565.998611</v>
      </c>
      <c r="D745" s="1">
        <f t="shared" si="2"/>
        <v>2078.406081</v>
      </c>
      <c r="E745" s="1">
        <f t="shared" si="3"/>
        <v>3741.130946</v>
      </c>
      <c r="F745" s="1">
        <f t="shared" si="4"/>
        <v>7066.580676</v>
      </c>
      <c r="G745" s="1">
        <f t="shared" si="5"/>
        <v>12470.43649</v>
      </c>
      <c r="H745" s="1">
        <f t="shared" si="6"/>
        <v>22862.46689</v>
      </c>
      <c r="I745" s="1">
        <f t="shared" si="7"/>
        <v>37411.30946</v>
      </c>
    </row>
    <row r="746" hidden="1">
      <c r="A746" s="266">
        <f>IFERROR(__xludf.DUMMYFUNCTION("""COMPUTED_VALUE"""),43382.99861111111)</f>
        <v>43382.99861</v>
      </c>
      <c r="B746" s="1">
        <f>IFERROR(__xludf.DUMMYFUNCTION("""COMPUTED_VALUE"""),6632.57)</f>
        <v>6632.57</v>
      </c>
      <c r="C746" s="58">
        <f t="shared" si="1"/>
        <v>3566.998611</v>
      </c>
      <c r="D746" s="1">
        <f t="shared" si="2"/>
        <v>2081.788828</v>
      </c>
      <c r="E746" s="1">
        <f t="shared" si="3"/>
        <v>3747.219891</v>
      </c>
      <c r="F746" s="1">
        <f t="shared" si="4"/>
        <v>7078.082016</v>
      </c>
      <c r="G746" s="1">
        <f t="shared" si="5"/>
        <v>12490.73297</v>
      </c>
      <c r="H746" s="1">
        <f t="shared" si="6"/>
        <v>22899.67711</v>
      </c>
      <c r="I746" s="1">
        <f t="shared" si="7"/>
        <v>37472.19891</v>
      </c>
    </row>
    <row r="747" hidden="1">
      <c r="A747" s="266">
        <f>IFERROR(__xludf.DUMMYFUNCTION("""COMPUTED_VALUE"""),43383.99861111111)</f>
        <v>43383.99861</v>
      </c>
      <c r="B747" s="1">
        <f>IFERROR(__xludf.DUMMYFUNCTION("""COMPUTED_VALUE"""),6555.78)</f>
        <v>6555.78</v>
      </c>
      <c r="C747" s="58">
        <f t="shared" si="1"/>
        <v>3567.998611</v>
      </c>
      <c r="D747" s="1">
        <f t="shared" si="2"/>
        <v>2085.176131</v>
      </c>
      <c r="E747" s="1">
        <f t="shared" si="3"/>
        <v>3753.317035</v>
      </c>
      <c r="F747" s="1">
        <f t="shared" si="4"/>
        <v>7089.598844</v>
      </c>
      <c r="G747" s="1">
        <f t="shared" si="5"/>
        <v>12511.05678</v>
      </c>
      <c r="H747" s="1">
        <f t="shared" si="6"/>
        <v>22936.93744</v>
      </c>
      <c r="I747" s="1">
        <f t="shared" si="7"/>
        <v>37533.17035</v>
      </c>
    </row>
    <row r="748" hidden="1">
      <c r="A748" s="266">
        <f>IFERROR(__xludf.DUMMYFUNCTION("""COMPUTED_VALUE"""),43384.99861111111)</f>
        <v>43384.99861</v>
      </c>
      <c r="B748" s="1">
        <f>IFERROR(__xludf.DUMMYFUNCTION("""COMPUTED_VALUE"""),6210.11)</f>
        <v>6210.11</v>
      </c>
      <c r="C748" s="58">
        <f t="shared" si="1"/>
        <v>3568.998611</v>
      </c>
      <c r="D748" s="1">
        <f t="shared" si="2"/>
        <v>2088.567993</v>
      </c>
      <c r="E748" s="1">
        <f t="shared" si="3"/>
        <v>3759.422387</v>
      </c>
      <c r="F748" s="1">
        <f t="shared" si="4"/>
        <v>7101.131175</v>
      </c>
      <c r="G748" s="1">
        <f t="shared" si="5"/>
        <v>12531.40796</v>
      </c>
      <c r="H748" s="1">
        <f t="shared" si="6"/>
        <v>22974.24792</v>
      </c>
      <c r="I748" s="1">
        <f t="shared" si="7"/>
        <v>37594.22387</v>
      </c>
    </row>
    <row r="749" hidden="1">
      <c r="A749" s="266">
        <f>IFERROR(__xludf.DUMMYFUNCTION("""COMPUTED_VALUE"""),43385.99861111111)</f>
        <v>43385.99861</v>
      </c>
      <c r="B749" s="1">
        <f>IFERROR(__xludf.DUMMYFUNCTION("""COMPUTED_VALUE"""),6214.35)</f>
        <v>6214.35</v>
      </c>
      <c r="C749" s="58">
        <f t="shared" si="1"/>
        <v>3569.998611</v>
      </c>
      <c r="D749" s="1">
        <f t="shared" si="2"/>
        <v>2091.96442</v>
      </c>
      <c r="E749" s="1">
        <f t="shared" si="3"/>
        <v>3765.535955</v>
      </c>
      <c r="F749" s="1">
        <f t="shared" si="4"/>
        <v>7112.679027</v>
      </c>
      <c r="G749" s="1">
        <f t="shared" si="5"/>
        <v>12551.78652</v>
      </c>
      <c r="H749" s="1">
        <f t="shared" si="6"/>
        <v>23011.60862</v>
      </c>
      <c r="I749" s="1">
        <f t="shared" si="7"/>
        <v>37655.35955</v>
      </c>
    </row>
    <row r="750" hidden="1">
      <c r="A750" s="266">
        <f>IFERROR(__xludf.DUMMYFUNCTION("""COMPUTED_VALUE"""),43386.99861111111)</f>
        <v>43386.99861</v>
      </c>
      <c r="B750" s="1">
        <f>IFERROR(__xludf.DUMMYFUNCTION("""COMPUTED_VALUE"""),6288.44)</f>
        <v>6288.44</v>
      </c>
      <c r="C750" s="58">
        <f t="shared" si="1"/>
        <v>3570.998611</v>
      </c>
      <c r="D750" s="1">
        <f t="shared" si="2"/>
        <v>2095.365416</v>
      </c>
      <c r="E750" s="1">
        <f t="shared" si="3"/>
        <v>3771.657749</v>
      </c>
      <c r="F750" s="1">
        <f t="shared" si="4"/>
        <v>7124.242416</v>
      </c>
      <c r="G750" s="1">
        <f t="shared" si="5"/>
        <v>12572.1925</v>
      </c>
      <c r="H750" s="1">
        <f t="shared" si="6"/>
        <v>23049.01958</v>
      </c>
      <c r="I750" s="1">
        <f t="shared" si="7"/>
        <v>37716.57749</v>
      </c>
    </row>
    <row r="751" hidden="1">
      <c r="A751" s="266">
        <f>IFERROR(__xludf.DUMMYFUNCTION("""COMPUTED_VALUE"""),43387.99861111111)</f>
        <v>43387.99861</v>
      </c>
      <c r="B751" s="1">
        <f>IFERROR(__xludf.DUMMYFUNCTION("""COMPUTED_VALUE"""),6267.51)</f>
        <v>6267.51</v>
      </c>
      <c r="C751" s="58">
        <f t="shared" si="1"/>
        <v>3571.998611</v>
      </c>
      <c r="D751" s="1">
        <f t="shared" si="2"/>
        <v>2098.770988</v>
      </c>
      <c r="E751" s="1">
        <f t="shared" si="3"/>
        <v>3777.787778</v>
      </c>
      <c r="F751" s="1">
        <f t="shared" si="4"/>
        <v>7135.821358</v>
      </c>
      <c r="G751" s="1">
        <f t="shared" si="5"/>
        <v>12592.62593</v>
      </c>
      <c r="H751" s="1">
        <f t="shared" si="6"/>
        <v>23086.48086</v>
      </c>
      <c r="I751" s="1">
        <f t="shared" si="7"/>
        <v>37777.87778</v>
      </c>
    </row>
    <row r="752" hidden="1">
      <c r="A752" s="266">
        <f>IFERROR(__xludf.DUMMYFUNCTION("""COMPUTED_VALUE"""),43388.99861111111)</f>
        <v>43388.99861</v>
      </c>
      <c r="B752" s="1">
        <f>IFERROR(__xludf.DUMMYFUNCTION("""COMPUTED_VALUE"""),6508.55)</f>
        <v>6508.55</v>
      </c>
      <c r="C752" s="58">
        <f t="shared" si="1"/>
        <v>3572.998611</v>
      </c>
      <c r="D752" s="1">
        <f t="shared" si="2"/>
        <v>2102.181138</v>
      </c>
      <c r="E752" s="1">
        <f t="shared" si="3"/>
        <v>3783.926049</v>
      </c>
      <c r="F752" s="1">
        <f t="shared" si="4"/>
        <v>7147.41587</v>
      </c>
      <c r="G752" s="1">
        <f t="shared" si="5"/>
        <v>12613.08683</v>
      </c>
      <c r="H752" s="1">
        <f t="shared" si="6"/>
        <v>23123.99252</v>
      </c>
      <c r="I752" s="1">
        <f t="shared" si="7"/>
        <v>37839.26049</v>
      </c>
    </row>
    <row r="753" hidden="1">
      <c r="A753" s="266">
        <f>IFERROR(__xludf.DUMMYFUNCTION("""COMPUTED_VALUE"""),43389.99861111111)</f>
        <v>43389.99861</v>
      </c>
      <c r="B753" s="1">
        <f>IFERROR(__xludf.DUMMYFUNCTION("""COMPUTED_VALUE"""),6512.89)</f>
        <v>6512.89</v>
      </c>
      <c r="C753" s="58">
        <f t="shared" si="1"/>
        <v>3573.998611</v>
      </c>
      <c r="D753" s="1">
        <f t="shared" si="2"/>
        <v>2105.595873</v>
      </c>
      <c r="E753" s="1">
        <f t="shared" si="3"/>
        <v>3790.072572</v>
      </c>
      <c r="F753" s="1">
        <f t="shared" si="4"/>
        <v>7159.025969</v>
      </c>
      <c r="G753" s="1">
        <f t="shared" si="5"/>
        <v>12633.57524</v>
      </c>
      <c r="H753" s="1">
        <f t="shared" si="6"/>
        <v>23161.55461</v>
      </c>
      <c r="I753" s="1">
        <f t="shared" si="7"/>
        <v>37900.72572</v>
      </c>
    </row>
    <row r="754" hidden="1">
      <c r="A754" s="266">
        <f>IFERROR(__xludf.DUMMYFUNCTION("""COMPUTED_VALUE"""),43390.99861111111)</f>
        <v>43390.99861</v>
      </c>
      <c r="B754" s="1">
        <f>IFERROR(__xludf.DUMMYFUNCTION("""COMPUTED_VALUE"""),6524.91)</f>
        <v>6524.91</v>
      </c>
      <c r="C754" s="58">
        <f t="shared" si="1"/>
        <v>3574.998611</v>
      </c>
      <c r="D754" s="1">
        <f t="shared" si="2"/>
        <v>2109.015197</v>
      </c>
      <c r="E754" s="1">
        <f t="shared" si="3"/>
        <v>3796.227355</v>
      </c>
      <c r="F754" s="1">
        <f t="shared" si="4"/>
        <v>7170.651671</v>
      </c>
      <c r="G754" s="1">
        <f t="shared" si="5"/>
        <v>12654.09118</v>
      </c>
      <c r="H754" s="1">
        <f t="shared" si="6"/>
        <v>23199.16717</v>
      </c>
      <c r="I754" s="1">
        <f t="shared" si="7"/>
        <v>37962.27355</v>
      </c>
    </row>
    <row r="755" hidden="1">
      <c r="A755" s="266">
        <f>IFERROR(__xludf.DUMMYFUNCTION("""COMPUTED_VALUE"""),43391.99861111111)</f>
        <v>43391.99861</v>
      </c>
      <c r="B755" s="1">
        <f>IFERROR(__xludf.DUMMYFUNCTION("""COMPUTED_VALUE"""),6462.59)</f>
        <v>6462.59</v>
      </c>
      <c r="C755" s="58">
        <f t="shared" si="1"/>
        <v>3575.998611</v>
      </c>
      <c r="D755" s="1">
        <f t="shared" si="2"/>
        <v>2112.439116</v>
      </c>
      <c r="E755" s="1">
        <f t="shared" si="3"/>
        <v>3802.390408</v>
      </c>
      <c r="F755" s="1">
        <f t="shared" si="4"/>
        <v>7182.292993</v>
      </c>
      <c r="G755" s="1">
        <f t="shared" si="5"/>
        <v>12674.63469</v>
      </c>
      <c r="H755" s="1">
        <f t="shared" si="6"/>
        <v>23236.83027</v>
      </c>
      <c r="I755" s="1">
        <f t="shared" si="7"/>
        <v>38023.90408</v>
      </c>
    </row>
    <row r="756" hidden="1">
      <c r="A756" s="266">
        <f>IFERROR(__xludf.DUMMYFUNCTION("""COMPUTED_VALUE"""),43392.99861111111)</f>
        <v>43392.99861</v>
      </c>
      <c r="B756" s="1">
        <f>IFERROR(__xludf.DUMMYFUNCTION("""COMPUTED_VALUE"""),6462.98)</f>
        <v>6462.98</v>
      </c>
      <c r="C756" s="58">
        <f t="shared" si="1"/>
        <v>3576.998611</v>
      </c>
      <c r="D756" s="1">
        <f t="shared" si="2"/>
        <v>2115.867633</v>
      </c>
      <c r="E756" s="1">
        <f t="shared" si="3"/>
        <v>3808.561739</v>
      </c>
      <c r="F756" s="1">
        <f t="shared" si="4"/>
        <v>7193.949952</v>
      </c>
      <c r="G756" s="1">
        <f t="shared" si="5"/>
        <v>12695.2058</v>
      </c>
      <c r="H756" s="1">
        <f t="shared" si="6"/>
        <v>23274.54396</v>
      </c>
      <c r="I756" s="1">
        <f t="shared" si="7"/>
        <v>38085.61739</v>
      </c>
    </row>
    <row r="757" hidden="1">
      <c r="A757" s="266">
        <f>IFERROR(__xludf.DUMMYFUNCTION("""COMPUTED_VALUE"""),43393.99861111111)</f>
        <v>43393.99861</v>
      </c>
      <c r="B757" s="1">
        <f>IFERROR(__xludf.DUMMYFUNCTION("""COMPUTED_VALUE"""),6427.48)</f>
        <v>6427.48</v>
      </c>
      <c r="C757" s="58">
        <f t="shared" si="1"/>
        <v>3577.998611</v>
      </c>
      <c r="D757" s="1">
        <f t="shared" si="2"/>
        <v>2119.300754</v>
      </c>
      <c r="E757" s="1">
        <f t="shared" si="3"/>
        <v>3814.741357</v>
      </c>
      <c r="F757" s="1">
        <f t="shared" si="4"/>
        <v>7205.622563</v>
      </c>
      <c r="G757" s="1">
        <f t="shared" si="5"/>
        <v>12715.80452</v>
      </c>
      <c r="H757" s="1">
        <f t="shared" si="6"/>
        <v>23312.30829</v>
      </c>
      <c r="I757" s="1">
        <f t="shared" si="7"/>
        <v>38147.41357</v>
      </c>
    </row>
    <row r="758" hidden="1">
      <c r="A758" s="266">
        <f>IFERROR(__xludf.DUMMYFUNCTION("""COMPUTED_VALUE"""),43394.99861111111)</f>
        <v>43394.99861</v>
      </c>
      <c r="B758" s="1">
        <f>IFERROR(__xludf.DUMMYFUNCTION("""COMPUTED_VALUE"""),6452.49)</f>
        <v>6452.49</v>
      </c>
      <c r="C758" s="58">
        <f t="shared" si="1"/>
        <v>3578.998611</v>
      </c>
      <c r="D758" s="1">
        <f t="shared" si="2"/>
        <v>2122.738484</v>
      </c>
      <c r="E758" s="1">
        <f t="shared" si="3"/>
        <v>3820.929271</v>
      </c>
      <c r="F758" s="1">
        <f t="shared" si="4"/>
        <v>7217.310844</v>
      </c>
      <c r="G758" s="1">
        <f t="shared" si="5"/>
        <v>12736.4309</v>
      </c>
      <c r="H758" s="1">
        <f t="shared" si="6"/>
        <v>23350.12332</v>
      </c>
      <c r="I758" s="1">
        <f t="shared" si="7"/>
        <v>38209.29271</v>
      </c>
    </row>
    <row r="759" hidden="1">
      <c r="A759" s="266">
        <f>IFERROR(__xludf.DUMMYFUNCTION("""COMPUTED_VALUE"""),43395.99861111111)</f>
        <v>43395.99861</v>
      </c>
      <c r="B759" s="1">
        <f>IFERROR(__xludf.DUMMYFUNCTION("""COMPUTED_VALUE"""),6438.33)</f>
        <v>6438.33</v>
      </c>
      <c r="C759" s="58">
        <f t="shared" si="1"/>
        <v>3579.998611</v>
      </c>
      <c r="D759" s="1">
        <f t="shared" si="2"/>
        <v>2126.180827</v>
      </c>
      <c r="E759" s="1">
        <f t="shared" si="3"/>
        <v>3827.125489</v>
      </c>
      <c r="F759" s="1">
        <f t="shared" si="4"/>
        <v>7229.014812</v>
      </c>
      <c r="G759" s="1">
        <f t="shared" si="5"/>
        <v>12757.08496</v>
      </c>
      <c r="H759" s="1">
        <f t="shared" si="6"/>
        <v>23387.9891</v>
      </c>
      <c r="I759" s="1">
        <f t="shared" si="7"/>
        <v>38271.25489</v>
      </c>
    </row>
    <row r="760" hidden="1">
      <c r="A760" s="266">
        <f>IFERROR(__xludf.DUMMYFUNCTION("""COMPUTED_VALUE"""),43396.99861111111)</f>
        <v>43396.99861</v>
      </c>
      <c r="B760" s="1">
        <f>IFERROR(__xludf.DUMMYFUNCTION("""COMPUTED_VALUE"""),6500.33)</f>
        <v>6500.33</v>
      </c>
      <c r="C760" s="58">
        <f t="shared" si="1"/>
        <v>3580.998611</v>
      </c>
      <c r="D760" s="1">
        <f t="shared" si="2"/>
        <v>2129.627789</v>
      </c>
      <c r="E760" s="1">
        <f t="shared" si="3"/>
        <v>3833.33002</v>
      </c>
      <c r="F760" s="1">
        <f t="shared" si="4"/>
        <v>7240.734482</v>
      </c>
      <c r="G760" s="1">
        <f t="shared" si="5"/>
        <v>12777.76673</v>
      </c>
      <c r="H760" s="1">
        <f t="shared" si="6"/>
        <v>23425.90568</v>
      </c>
      <c r="I760" s="1">
        <f t="shared" si="7"/>
        <v>38333.3002</v>
      </c>
    </row>
    <row r="761" hidden="1">
      <c r="A761" s="266">
        <f>IFERROR(__xludf.DUMMYFUNCTION("""COMPUTED_VALUE"""),43397.99861111111)</f>
        <v>43397.99861</v>
      </c>
      <c r="B761" s="1">
        <f>IFERROR(__xludf.DUMMYFUNCTION("""COMPUTED_VALUE"""),6501.4)</f>
        <v>6501.4</v>
      </c>
      <c r="C761" s="58">
        <f t="shared" si="1"/>
        <v>3581.998611</v>
      </c>
      <c r="D761" s="1">
        <f t="shared" si="2"/>
        <v>2133.079374</v>
      </c>
      <c r="E761" s="1">
        <f t="shared" si="3"/>
        <v>3839.542874</v>
      </c>
      <c r="F761" s="1">
        <f t="shared" si="4"/>
        <v>7252.469873</v>
      </c>
      <c r="G761" s="1">
        <f t="shared" si="5"/>
        <v>12798.47625</v>
      </c>
      <c r="H761" s="1">
        <f t="shared" si="6"/>
        <v>23463.87312</v>
      </c>
      <c r="I761" s="1">
        <f t="shared" si="7"/>
        <v>38395.42874</v>
      </c>
    </row>
    <row r="762" hidden="1">
      <c r="A762" s="266">
        <f>IFERROR(__xludf.DUMMYFUNCTION("""COMPUTED_VALUE"""),43398.99861111111)</f>
        <v>43398.99861</v>
      </c>
      <c r="B762" s="1">
        <f>IFERROR(__xludf.DUMMYFUNCTION("""COMPUTED_VALUE"""),6478.63)</f>
        <v>6478.63</v>
      </c>
      <c r="C762" s="58">
        <f t="shared" si="1"/>
        <v>3582.998611</v>
      </c>
      <c r="D762" s="1">
        <f t="shared" si="2"/>
        <v>2136.535588</v>
      </c>
      <c r="E762" s="1">
        <f t="shared" si="3"/>
        <v>3845.764058</v>
      </c>
      <c r="F762" s="1">
        <f t="shared" si="4"/>
        <v>7264.220999</v>
      </c>
      <c r="G762" s="1">
        <f t="shared" si="5"/>
        <v>12819.21353</v>
      </c>
      <c r="H762" s="1">
        <f t="shared" si="6"/>
        <v>23501.89147</v>
      </c>
      <c r="I762" s="1">
        <f t="shared" si="7"/>
        <v>38457.64058</v>
      </c>
    </row>
    <row r="763" hidden="1">
      <c r="A763" s="266">
        <f>IFERROR(__xludf.DUMMYFUNCTION("""COMPUTED_VALUE"""),43399.99861111111)</f>
        <v>43399.99861</v>
      </c>
      <c r="B763" s="1">
        <f>IFERROR(__xludf.DUMMYFUNCTION("""COMPUTED_VALUE"""),6475.54)</f>
        <v>6475.54</v>
      </c>
      <c r="C763" s="58">
        <f t="shared" si="1"/>
        <v>3583.998611</v>
      </c>
      <c r="D763" s="1">
        <f t="shared" si="2"/>
        <v>2139.996435</v>
      </c>
      <c r="E763" s="1">
        <f t="shared" si="3"/>
        <v>3851.993583</v>
      </c>
      <c r="F763" s="1">
        <f t="shared" si="4"/>
        <v>7275.987879</v>
      </c>
      <c r="G763" s="1">
        <f t="shared" si="5"/>
        <v>12839.97861</v>
      </c>
      <c r="H763" s="1">
        <f t="shared" si="6"/>
        <v>23539.96078</v>
      </c>
      <c r="I763" s="1">
        <f t="shared" si="7"/>
        <v>38519.93583</v>
      </c>
    </row>
    <row r="764" hidden="1">
      <c r="A764" s="266">
        <f>IFERROR(__xludf.DUMMYFUNCTION("""COMPUTED_VALUE"""),43400.99861111111)</f>
        <v>43400.99861</v>
      </c>
      <c r="B764" s="1">
        <f>IFERROR(__xludf.DUMMYFUNCTION("""COMPUTED_VALUE"""),6479.03)</f>
        <v>6479.03</v>
      </c>
      <c r="C764" s="58">
        <f t="shared" si="1"/>
        <v>3584.998611</v>
      </c>
      <c r="D764" s="1">
        <f t="shared" si="2"/>
        <v>2143.46192</v>
      </c>
      <c r="E764" s="1">
        <f t="shared" si="3"/>
        <v>3858.231456</v>
      </c>
      <c r="F764" s="1">
        <f t="shared" si="4"/>
        <v>7287.770528</v>
      </c>
      <c r="G764" s="1">
        <f t="shared" si="5"/>
        <v>12860.77152</v>
      </c>
      <c r="H764" s="1">
        <f t="shared" si="6"/>
        <v>23578.08112</v>
      </c>
      <c r="I764" s="1">
        <f t="shared" si="7"/>
        <v>38582.31456</v>
      </c>
    </row>
    <row r="765" hidden="1">
      <c r="A765" s="266">
        <f>IFERROR(__xludf.DUMMYFUNCTION("""COMPUTED_VALUE"""),43401.99861111111)</f>
        <v>43401.99861</v>
      </c>
      <c r="B765" s="1">
        <f>IFERROR(__xludf.DUMMYFUNCTION("""COMPUTED_VALUE"""),6476.76)</f>
        <v>6476.76</v>
      </c>
      <c r="C765" s="58">
        <f t="shared" si="1"/>
        <v>3585.998611</v>
      </c>
      <c r="D765" s="1">
        <f t="shared" si="2"/>
        <v>2146.932048</v>
      </c>
      <c r="E765" s="1">
        <f t="shared" si="3"/>
        <v>3864.477687</v>
      </c>
      <c r="F765" s="1">
        <f t="shared" si="4"/>
        <v>7299.568964</v>
      </c>
      <c r="G765" s="1">
        <f t="shared" si="5"/>
        <v>12881.59229</v>
      </c>
      <c r="H765" s="1">
        <f t="shared" si="6"/>
        <v>23616.25253</v>
      </c>
      <c r="I765" s="1">
        <f t="shared" si="7"/>
        <v>38644.77687</v>
      </c>
    </row>
    <row r="766" hidden="1">
      <c r="A766" s="266">
        <f>IFERROR(__xludf.DUMMYFUNCTION("""COMPUTED_VALUE"""),43402.99861111111)</f>
        <v>43402.99861</v>
      </c>
      <c r="B766" s="1">
        <f>IFERROR(__xludf.DUMMYFUNCTION("""COMPUTED_VALUE"""),6313.7)</f>
        <v>6313.7</v>
      </c>
      <c r="C766" s="58">
        <f t="shared" si="1"/>
        <v>3586.998611</v>
      </c>
      <c r="D766" s="1">
        <f t="shared" si="2"/>
        <v>2150.406825</v>
      </c>
      <c r="E766" s="1">
        <f t="shared" si="3"/>
        <v>3870.732284</v>
      </c>
      <c r="F766" s="1">
        <f t="shared" si="4"/>
        <v>7311.383203</v>
      </c>
      <c r="G766" s="1">
        <f t="shared" si="5"/>
        <v>12902.44095</v>
      </c>
      <c r="H766" s="1">
        <f t="shared" si="6"/>
        <v>23654.47507</v>
      </c>
      <c r="I766" s="1">
        <f t="shared" si="7"/>
        <v>38707.32284</v>
      </c>
    </row>
    <row r="767" hidden="1">
      <c r="A767" s="266">
        <f>IFERROR(__xludf.DUMMYFUNCTION("""COMPUTED_VALUE"""),43403.99861111111)</f>
        <v>43403.99861</v>
      </c>
      <c r="B767" s="1">
        <f>IFERROR(__xludf.DUMMYFUNCTION("""COMPUTED_VALUE"""),6309.67)</f>
        <v>6309.67</v>
      </c>
      <c r="C767" s="58">
        <f t="shared" si="1"/>
        <v>3587.998611</v>
      </c>
      <c r="D767" s="1">
        <f t="shared" si="2"/>
        <v>2153.886254</v>
      </c>
      <c r="E767" s="1">
        <f t="shared" si="3"/>
        <v>3876.995257</v>
      </c>
      <c r="F767" s="1">
        <f t="shared" si="4"/>
        <v>7323.213262</v>
      </c>
      <c r="G767" s="1">
        <f t="shared" si="5"/>
        <v>12923.31752</v>
      </c>
      <c r="H767" s="1">
        <f t="shared" si="6"/>
        <v>23692.74879</v>
      </c>
      <c r="I767" s="1">
        <f t="shared" si="7"/>
        <v>38769.95257</v>
      </c>
    </row>
    <row r="768" hidden="1">
      <c r="A768" s="266">
        <f>IFERROR(__xludf.DUMMYFUNCTION("""COMPUTED_VALUE"""),43404.99861111111)</f>
        <v>43404.99861</v>
      </c>
      <c r="B768" s="1">
        <f>IFERROR(__xludf.DUMMYFUNCTION("""COMPUTED_VALUE"""),6340.38)</f>
        <v>6340.38</v>
      </c>
      <c r="C768" s="58">
        <f t="shared" si="1"/>
        <v>3588.998611</v>
      </c>
      <c r="D768" s="1">
        <f t="shared" si="2"/>
        <v>2157.370341</v>
      </c>
      <c r="E768" s="1">
        <f t="shared" si="3"/>
        <v>3883.266613</v>
      </c>
      <c r="F768" s="1">
        <f t="shared" si="4"/>
        <v>7335.059158</v>
      </c>
      <c r="G768" s="1">
        <f t="shared" si="5"/>
        <v>12944.22204</v>
      </c>
      <c r="H768" s="1">
        <f t="shared" si="6"/>
        <v>23731.07375</v>
      </c>
      <c r="I768" s="1">
        <f t="shared" si="7"/>
        <v>38832.66613</v>
      </c>
    </row>
    <row r="769" hidden="1">
      <c r="A769" s="266">
        <f>IFERROR(__xludf.DUMMYFUNCTION("""COMPUTED_VALUE"""),43405.99861111111)</f>
        <v>43405.99861</v>
      </c>
      <c r="B769" s="1">
        <f>IFERROR(__xludf.DUMMYFUNCTION("""COMPUTED_VALUE"""),6385.378)</f>
        <v>6385.378</v>
      </c>
      <c r="C769" s="58">
        <f t="shared" si="1"/>
        <v>3589.998611</v>
      </c>
      <c r="D769" s="1">
        <f t="shared" si="2"/>
        <v>2160.859091</v>
      </c>
      <c r="E769" s="1">
        <f t="shared" si="3"/>
        <v>3889.546363</v>
      </c>
      <c r="F769" s="1">
        <f t="shared" si="4"/>
        <v>7346.920908</v>
      </c>
      <c r="G769" s="1">
        <f t="shared" si="5"/>
        <v>12965.15454</v>
      </c>
      <c r="H769" s="1">
        <f t="shared" si="6"/>
        <v>23769.45</v>
      </c>
      <c r="I769" s="1">
        <f t="shared" si="7"/>
        <v>38895.46363</v>
      </c>
    </row>
    <row r="770" hidden="1">
      <c r="A770" s="266">
        <f>IFERROR(__xludf.DUMMYFUNCTION("""COMPUTED_VALUE"""),43406.99861111111)</f>
        <v>43406.99861</v>
      </c>
      <c r="B770" s="1">
        <f>IFERROR(__xludf.DUMMYFUNCTION("""COMPUTED_VALUE"""),6397.465)</f>
        <v>6397.465</v>
      </c>
      <c r="C770" s="58">
        <f t="shared" si="1"/>
        <v>3590.998611</v>
      </c>
      <c r="D770" s="1">
        <f t="shared" si="2"/>
        <v>2164.352508</v>
      </c>
      <c r="E770" s="1">
        <f t="shared" si="3"/>
        <v>3895.834515</v>
      </c>
      <c r="F770" s="1">
        <f t="shared" si="4"/>
        <v>7358.798528</v>
      </c>
      <c r="G770" s="1">
        <f t="shared" si="5"/>
        <v>12986.11505</v>
      </c>
      <c r="H770" s="1">
        <f t="shared" si="6"/>
        <v>23807.87759</v>
      </c>
      <c r="I770" s="1">
        <f t="shared" si="7"/>
        <v>38958.34515</v>
      </c>
    </row>
    <row r="771" hidden="1">
      <c r="A771" s="266">
        <f>IFERROR(__xludf.DUMMYFUNCTION("""COMPUTED_VALUE"""),43407.99861111111)</f>
        <v>43407.99861</v>
      </c>
      <c r="B771" s="1">
        <f>IFERROR(__xludf.DUMMYFUNCTION("""COMPUTED_VALUE"""),6371.697)</f>
        <v>6371.697</v>
      </c>
      <c r="C771" s="58">
        <f t="shared" si="1"/>
        <v>3591.998611</v>
      </c>
      <c r="D771" s="1">
        <f t="shared" si="2"/>
        <v>2167.850598</v>
      </c>
      <c r="E771" s="1">
        <f t="shared" si="3"/>
        <v>3902.131077</v>
      </c>
      <c r="F771" s="1">
        <f t="shared" si="4"/>
        <v>7370.692035</v>
      </c>
      <c r="G771" s="1">
        <f t="shared" si="5"/>
        <v>13007.10359</v>
      </c>
      <c r="H771" s="1">
        <f t="shared" si="6"/>
        <v>23846.35658</v>
      </c>
      <c r="I771" s="1">
        <f t="shared" si="7"/>
        <v>39021.31077</v>
      </c>
    </row>
    <row r="772" hidden="1">
      <c r="A772" s="266">
        <f>IFERROR(__xludf.DUMMYFUNCTION("""COMPUTED_VALUE"""),43408.99861111111)</f>
        <v>43408.99861</v>
      </c>
      <c r="B772" s="1">
        <f>IFERROR(__xludf.DUMMYFUNCTION("""COMPUTED_VALUE"""),6449.641)</f>
        <v>6449.641</v>
      </c>
      <c r="C772" s="58">
        <f t="shared" si="1"/>
        <v>3592.998611</v>
      </c>
      <c r="D772" s="1">
        <f t="shared" si="2"/>
        <v>2171.353366</v>
      </c>
      <c r="E772" s="1">
        <f t="shared" si="3"/>
        <v>3908.436059</v>
      </c>
      <c r="F772" s="1">
        <f t="shared" si="4"/>
        <v>7382.601445</v>
      </c>
      <c r="G772" s="1">
        <f t="shared" si="5"/>
        <v>13028.1202</v>
      </c>
      <c r="H772" s="1">
        <f t="shared" si="6"/>
        <v>23884.88703</v>
      </c>
      <c r="I772" s="1">
        <f t="shared" si="7"/>
        <v>39084.36059</v>
      </c>
    </row>
    <row r="773" hidden="1">
      <c r="A773" s="266">
        <f>IFERROR(__xludf.DUMMYFUNCTION("""COMPUTED_VALUE"""),43409.99861111111)</f>
        <v>43409.99861</v>
      </c>
      <c r="B773" s="1">
        <f>IFERROR(__xludf.DUMMYFUNCTION("""COMPUTED_VALUE"""),6427.679)</f>
        <v>6427.679</v>
      </c>
      <c r="C773" s="58">
        <f t="shared" si="1"/>
        <v>3593.998611</v>
      </c>
      <c r="D773" s="1">
        <f t="shared" si="2"/>
        <v>2174.860817</v>
      </c>
      <c r="E773" s="1">
        <f t="shared" si="3"/>
        <v>3914.74947</v>
      </c>
      <c r="F773" s="1">
        <f t="shared" si="4"/>
        <v>7394.526777</v>
      </c>
      <c r="G773" s="1">
        <f t="shared" si="5"/>
        <v>13049.1649</v>
      </c>
      <c r="H773" s="1">
        <f t="shared" si="6"/>
        <v>23923.46898</v>
      </c>
      <c r="I773" s="1">
        <f t="shared" si="7"/>
        <v>39147.4947</v>
      </c>
    </row>
    <row r="774" hidden="1">
      <c r="A774" s="266">
        <f>IFERROR(__xludf.DUMMYFUNCTION("""COMPUTED_VALUE"""),43410.99861111111)</f>
        <v>43410.99861</v>
      </c>
      <c r="B774" s="1">
        <f>IFERROR(__xludf.DUMMYFUNCTION("""COMPUTED_VALUE"""),6465.923)</f>
        <v>6465.923</v>
      </c>
      <c r="C774" s="58">
        <f t="shared" si="1"/>
        <v>3594.998611</v>
      </c>
      <c r="D774" s="1">
        <f t="shared" si="2"/>
        <v>2178.372955</v>
      </c>
      <c r="E774" s="1">
        <f t="shared" si="3"/>
        <v>3921.071319</v>
      </c>
      <c r="F774" s="1">
        <f t="shared" si="4"/>
        <v>7406.468046</v>
      </c>
      <c r="G774" s="1">
        <f t="shared" si="5"/>
        <v>13070.23773</v>
      </c>
      <c r="H774" s="1">
        <f t="shared" si="6"/>
        <v>23962.1025</v>
      </c>
      <c r="I774" s="1">
        <f t="shared" si="7"/>
        <v>39210.71319</v>
      </c>
    </row>
    <row r="775" hidden="1">
      <c r="A775" s="266">
        <f>IFERROR(__xludf.DUMMYFUNCTION("""COMPUTED_VALUE"""),43411.99861111111)</f>
        <v>43411.99861</v>
      </c>
      <c r="B775" s="1">
        <f>IFERROR(__xludf.DUMMYFUNCTION("""COMPUTED_VALUE"""),6541.703)</f>
        <v>6541.703</v>
      </c>
      <c r="C775" s="58">
        <f t="shared" si="1"/>
        <v>3595.998611</v>
      </c>
      <c r="D775" s="1">
        <f t="shared" si="2"/>
        <v>2181.889785</v>
      </c>
      <c r="E775" s="1">
        <f t="shared" si="3"/>
        <v>3927.401614</v>
      </c>
      <c r="F775" s="1">
        <f t="shared" si="4"/>
        <v>7418.42527</v>
      </c>
      <c r="G775" s="1">
        <f t="shared" si="5"/>
        <v>13091.33871</v>
      </c>
      <c r="H775" s="1">
        <f t="shared" si="6"/>
        <v>24000.78764</v>
      </c>
      <c r="I775" s="1">
        <f t="shared" si="7"/>
        <v>39274.01614</v>
      </c>
    </row>
    <row r="776" hidden="1">
      <c r="A776" s="266">
        <f>IFERROR(__xludf.DUMMYFUNCTION("""COMPUTED_VALUE"""),43412.99861111111)</f>
        <v>43412.99861</v>
      </c>
      <c r="B776" s="1">
        <f>IFERROR(__xludf.DUMMYFUNCTION("""COMPUTED_VALUE"""),6444.971)</f>
        <v>6444.971</v>
      </c>
      <c r="C776" s="58">
        <f t="shared" si="1"/>
        <v>3596.998611</v>
      </c>
      <c r="D776" s="1">
        <f t="shared" si="2"/>
        <v>2185.411313</v>
      </c>
      <c r="E776" s="1">
        <f t="shared" si="3"/>
        <v>3933.740364</v>
      </c>
      <c r="F776" s="1">
        <f t="shared" si="4"/>
        <v>7430.398465</v>
      </c>
      <c r="G776" s="1">
        <f t="shared" si="5"/>
        <v>13112.46788</v>
      </c>
      <c r="H776" s="1">
        <f t="shared" si="6"/>
        <v>24039.52445</v>
      </c>
      <c r="I776" s="1">
        <f t="shared" si="7"/>
        <v>39337.40364</v>
      </c>
    </row>
    <row r="777" hidden="1">
      <c r="A777" s="266">
        <f>IFERROR(__xludf.DUMMYFUNCTION("""COMPUTED_VALUE"""),43413.99861111111)</f>
        <v>43413.99861</v>
      </c>
      <c r="B777" s="1">
        <f>IFERROR(__xludf.DUMMYFUNCTION("""COMPUTED_VALUE"""),6386.765)</f>
        <v>6386.765</v>
      </c>
      <c r="C777" s="58">
        <f t="shared" si="1"/>
        <v>3597.998611</v>
      </c>
      <c r="D777" s="1">
        <f t="shared" si="2"/>
        <v>2188.937544</v>
      </c>
      <c r="E777" s="1">
        <f t="shared" si="3"/>
        <v>3940.087579</v>
      </c>
      <c r="F777" s="1">
        <f t="shared" si="4"/>
        <v>7442.387649</v>
      </c>
      <c r="G777" s="1">
        <f t="shared" si="5"/>
        <v>13133.62526</v>
      </c>
      <c r="H777" s="1">
        <f t="shared" si="6"/>
        <v>24078.31298</v>
      </c>
      <c r="I777" s="1">
        <f t="shared" si="7"/>
        <v>39400.87579</v>
      </c>
    </row>
    <row r="778" hidden="1">
      <c r="A778" s="266">
        <f>IFERROR(__xludf.DUMMYFUNCTION("""COMPUTED_VALUE"""),43414.99861111111)</f>
        <v>43414.99861</v>
      </c>
      <c r="B778" s="1">
        <f>IFERROR(__xludf.DUMMYFUNCTION("""COMPUTED_VALUE"""),6399.844)</f>
        <v>6399.844</v>
      </c>
      <c r="C778" s="58">
        <f t="shared" si="1"/>
        <v>3598.998611</v>
      </c>
      <c r="D778" s="1">
        <f t="shared" si="2"/>
        <v>2192.468482</v>
      </c>
      <c r="E778" s="1">
        <f t="shared" si="3"/>
        <v>3946.443267</v>
      </c>
      <c r="F778" s="1">
        <f t="shared" si="4"/>
        <v>7454.392837</v>
      </c>
      <c r="G778" s="1">
        <f t="shared" si="5"/>
        <v>13154.81089</v>
      </c>
      <c r="H778" s="1">
        <f t="shared" si="6"/>
        <v>24117.1533</v>
      </c>
      <c r="I778" s="1">
        <f t="shared" si="7"/>
        <v>39464.43267</v>
      </c>
    </row>
    <row r="779" hidden="1">
      <c r="A779" s="266">
        <f>IFERROR(__xludf.DUMMYFUNCTION("""COMPUTED_VALUE"""),43415.99861111111)</f>
        <v>43415.99861</v>
      </c>
      <c r="B779" s="1">
        <f>IFERROR(__xludf.DUMMYFUNCTION("""COMPUTED_VALUE"""),6409.501)</f>
        <v>6409.501</v>
      </c>
      <c r="C779" s="58">
        <f t="shared" si="1"/>
        <v>3599.998611</v>
      </c>
      <c r="D779" s="1">
        <f t="shared" si="2"/>
        <v>2196.004132</v>
      </c>
      <c r="E779" s="1">
        <f t="shared" si="3"/>
        <v>3952.807437</v>
      </c>
      <c r="F779" s="1">
        <f t="shared" si="4"/>
        <v>7466.414048</v>
      </c>
      <c r="G779" s="1">
        <f t="shared" si="5"/>
        <v>13176.02479</v>
      </c>
      <c r="H779" s="1">
        <f t="shared" si="6"/>
        <v>24156.04545</v>
      </c>
      <c r="I779" s="1">
        <f t="shared" si="7"/>
        <v>39528.07437</v>
      </c>
    </row>
    <row r="780" hidden="1">
      <c r="A780" s="266">
        <f>IFERROR(__xludf.DUMMYFUNCTION("""COMPUTED_VALUE"""),43416.99861111111)</f>
        <v>43416.99861</v>
      </c>
      <c r="B780" s="1">
        <f>IFERROR(__xludf.DUMMYFUNCTION("""COMPUTED_VALUE"""),6388.272)</f>
        <v>6388.272</v>
      </c>
      <c r="C780" s="58">
        <f t="shared" si="1"/>
        <v>3600.998611</v>
      </c>
      <c r="D780" s="1">
        <f t="shared" si="2"/>
        <v>2199.544499</v>
      </c>
      <c r="E780" s="1">
        <f t="shared" si="3"/>
        <v>3959.180099</v>
      </c>
      <c r="F780" s="1">
        <f t="shared" si="4"/>
        <v>7478.451298</v>
      </c>
      <c r="G780" s="1">
        <f t="shared" si="5"/>
        <v>13197.267</v>
      </c>
      <c r="H780" s="1">
        <f t="shared" si="6"/>
        <v>24194.98949</v>
      </c>
      <c r="I780" s="1">
        <f t="shared" si="7"/>
        <v>39591.80099</v>
      </c>
    </row>
    <row r="781" hidden="1">
      <c r="A781" s="266">
        <f>IFERROR(__xludf.DUMMYFUNCTION("""COMPUTED_VALUE"""),43417.99861111111)</f>
        <v>43417.99861</v>
      </c>
      <c r="B781" s="1">
        <f>IFERROR(__xludf.DUMMYFUNCTION("""COMPUTED_VALUE"""),6323.938)</f>
        <v>6323.938</v>
      </c>
      <c r="C781" s="58">
        <f t="shared" si="1"/>
        <v>3601.998611</v>
      </c>
      <c r="D781" s="1">
        <f t="shared" si="2"/>
        <v>2203.089589</v>
      </c>
      <c r="E781" s="1">
        <f t="shared" si="3"/>
        <v>3965.56126</v>
      </c>
      <c r="F781" s="1">
        <f t="shared" si="4"/>
        <v>7490.504603</v>
      </c>
      <c r="G781" s="1">
        <f t="shared" si="5"/>
        <v>13218.53753</v>
      </c>
      <c r="H781" s="1">
        <f t="shared" si="6"/>
        <v>24233.98548</v>
      </c>
      <c r="I781" s="1">
        <f t="shared" si="7"/>
        <v>39655.6126</v>
      </c>
    </row>
    <row r="782" hidden="1">
      <c r="A782" s="266">
        <f>IFERROR(__xludf.DUMMYFUNCTION("""COMPUTED_VALUE"""),43418.99861111111)</f>
        <v>43418.99861</v>
      </c>
      <c r="B782" s="1">
        <f>IFERROR(__xludf.DUMMYFUNCTION("""COMPUTED_VALUE"""),5788.644)</f>
        <v>5788.644</v>
      </c>
      <c r="C782" s="58">
        <f t="shared" si="1"/>
        <v>3602.998611</v>
      </c>
      <c r="D782" s="1">
        <f t="shared" si="2"/>
        <v>2206.639406</v>
      </c>
      <c r="E782" s="1">
        <f t="shared" si="3"/>
        <v>3971.950931</v>
      </c>
      <c r="F782" s="1">
        <f t="shared" si="4"/>
        <v>7502.573981</v>
      </c>
      <c r="G782" s="1">
        <f t="shared" si="5"/>
        <v>13239.83644</v>
      </c>
      <c r="H782" s="1">
        <f t="shared" si="6"/>
        <v>24273.03347</v>
      </c>
      <c r="I782" s="1">
        <f t="shared" si="7"/>
        <v>39719.50931</v>
      </c>
    </row>
    <row r="783" hidden="1">
      <c r="A783" s="266">
        <f>IFERROR(__xludf.DUMMYFUNCTION("""COMPUTED_VALUE"""),43419.99861111111)</f>
        <v>43419.99861</v>
      </c>
      <c r="B783" s="1">
        <f>IFERROR(__xludf.DUMMYFUNCTION("""COMPUTED_VALUE"""),5673.032)</f>
        <v>5673.032</v>
      </c>
      <c r="C783" s="58">
        <f t="shared" si="1"/>
        <v>3603.998611</v>
      </c>
      <c r="D783" s="1">
        <f t="shared" si="2"/>
        <v>2210.193956</v>
      </c>
      <c r="E783" s="1">
        <f t="shared" si="3"/>
        <v>3978.34912</v>
      </c>
      <c r="F783" s="1">
        <f t="shared" si="4"/>
        <v>7514.65945</v>
      </c>
      <c r="G783" s="1">
        <f t="shared" si="5"/>
        <v>13261.16373</v>
      </c>
      <c r="H783" s="1">
        <f t="shared" si="6"/>
        <v>24312.13351</v>
      </c>
      <c r="I783" s="1">
        <f t="shared" si="7"/>
        <v>39783.4912</v>
      </c>
    </row>
    <row r="784" hidden="1">
      <c r="A784" s="266">
        <f>IFERROR(__xludf.DUMMYFUNCTION("""COMPUTED_VALUE"""),43420.99861111111)</f>
        <v>43420.99861</v>
      </c>
      <c r="B784" s="1">
        <f>IFERROR(__xludf.DUMMYFUNCTION("""COMPUTED_VALUE"""),5617.132)</f>
        <v>5617.132</v>
      </c>
      <c r="C784" s="58">
        <f t="shared" si="1"/>
        <v>3604.998611</v>
      </c>
      <c r="D784" s="1">
        <f t="shared" si="2"/>
        <v>2213.753243</v>
      </c>
      <c r="E784" s="1">
        <f t="shared" si="3"/>
        <v>3984.755837</v>
      </c>
      <c r="F784" s="1">
        <f t="shared" si="4"/>
        <v>7526.761025</v>
      </c>
      <c r="G784" s="1">
        <f t="shared" si="5"/>
        <v>13282.51946</v>
      </c>
      <c r="H784" s="1">
        <f t="shared" si="6"/>
        <v>24351.28567</v>
      </c>
      <c r="I784" s="1">
        <f t="shared" si="7"/>
        <v>39847.55837</v>
      </c>
    </row>
    <row r="785" hidden="1">
      <c r="A785" s="266">
        <f>IFERROR(__xludf.DUMMYFUNCTION("""COMPUTED_VALUE"""),43421.99861111111)</f>
        <v>43421.99861</v>
      </c>
      <c r="B785" s="1">
        <f>IFERROR(__xludf.DUMMYFUNCTION("""COMPUTED_VALUE"""),5592.834)</f>
        <v>5592.834</v>
      </c>
      <c r="C785" s="58">
        <f t="shared" si="1"/>
        <v>3605.998611</v>
      </c>
      <c r="D785" s="1">
        <f t="shared" si="2"/>
        <v>2217.317272</v>
      </c>
      <c r="E785" s="1">
        <f t="shared" si="3"/>
        <v>3991.171089</v>
      </c>
      <c r="F785" s="1">
        <f t="shared" si="4"/>
        <v>7538.878723</v>
      </c>
      <c r="G785" s="1">
        <f t="shared" si="5"/>
        <v>13303.90363</v>
      </c>
      <c r="H785" s="1">
        <f t="shared" si="6"/>
        <v>24390.48999</v>
      </c>
      <c r="I785" s="1">
        <f t="shared" si="7"/>
        <v>39911.71089</v>
      </c>
    </row>
    <row r="786" hidden="1">
      <c r="A786" s="266">
        <f>IFERROR(__xludf.DUMMYFUNCTION("""COMPUTED_VALUE"""),43422.99861111111)</f>
        <v>43422.99861</v>
      </c>
      <c r="B786" s="1">
        <f>IFERROR(__xludf.DUMMYFUNCTION("""COMPUTED_VALUE"""),5639.368)</f>
        <v>5639.368</v>
      </c>
      <c r="C786" s="58">
        <f t="shared" si="1"/>
        <v>3606.998611</v>
      </c>
      <c r="D786" s="1">
        <f t="shared" si="2"/>
        <v>2220.886048</v>
      </c>
      <c r="E786" s="1">
        <f t="shared" si="3"/>
        <v>3997.594886</v>
      </c>
      <c r="F786" s="1">
        <f t="shared" si="4"/>
        <v>7551.012563</v>
      </c>
      <c r="G786" s="1">
        <f t="shared" si="5"/>
        <v>13325.31629</v>
      </c>
      <c r="H786" s="1">
        <f t="shared" si="6"/>
        <v>24429.74653</v>
      </c>
      <c r="I786" s="1">
        <f t="shared" si="7"/>
        <v>39975.94886</v>
      </c>
    </row>
    <row r="787" hidden="1">
      <c r="A787" s="266">
        <f>IFERROR(__xludf.DUMMYFUNCTION("""COMPUTED_VALUE"""),43423.99861111111)</f>
        <v>43423.99861</v>
      </c>
      <c r="B787" s="1">
        <f>IFERROR(__xludf.DUMMYFUNCTION("""COMPUTED_VALUE"""),4833.181)</f>
        <v>4833.181</v>
      </c>
      <c r="C787" s="58">
        <f t="shared" si="1"/>
        <v>3607.998611</v>
      </c>
      <c r="D787" s="1">
        <f t="shared" si="2"/>
        <v>2224.459577</v>
      </c>
      <c r="E787" s="1">
        <f t="shared" si="3"/>
        <v>4004.027238</v>
      </c>
      <c r="F787" s="1">
        <f t="shared" si="4"/>
        <v>7563.16256</v>
      </c>
      <c r="G787" s="1">
        <f t="shared" si="5"/>
        <v>13346.75746</v>
      </c>
      <c r="H787" s="1">
        <f t="shared" si="6"/>
        <v>24469.05534</v>
      </c>
      <c r="I787" s="1">
        <f t="shared" si="7"/>
        <v>40040.27238</v>
      </c>
    </row>
    <row r="788" hidden="1">
      <c r="A788" s="266">
        <f>IFERROR(__xludf.DUMMYFUNCTION("""COMPUTED_VALUE"""),43424.99861111111)</f>
        <v>43424.99861</v>
      </c>
      <c r="B788" s="1">
        <f>IFERROR(__xludf.DUMMYFUNCTION("""COMPUTED_VALUE"""),4480.384)</f>
        <v>4480.384</v>
      </c>
      <c r="C788" s="58">
        <f t="shared" si="1"/>
        <v>3608.998611</v>
      </c>
      <c r="D788" s="1">
        <f t="shared" si="2"/>
        <v>2228.037863</v>
      </c>
      <c r="E788" s="1">
        <f t="shared" si="3"/>
        <v>4010.468153</v>
      </c>
      <c r="F788" s="1">
        <f t="shared" si="4"/>
        <v>7575.328733</v>
      </c>
      <c r="G788" s="1">
        <f t="shared" si="5"/>
        <v>13368.22718</v>
      </c>
      <c r="H788" s="1">
        <f t="shared" si="6"/>
        <v>24508.41649</v>
      </c>
      <c r="I788" s="1">
        <f t="shared" si="7"/>
        <v>40104.68153</v>
      </c>
    </row>
    <row r="789" hidden="1">
      <c r="A789" s="266">
        <f>IFERROR(__xludf.DUMMYFUNCTION("""COMPUTED_VALUE"""),43425.99861111111)</f>
        <v>43425.99861</v>
      </c>
      <c r="B789" s="1">
        <f>IFERROR(__xludf.DUMMYFUNCTION("""COMPUTED_VALUE"""),4614.355)</f>
        <v>4614.355</v>
      </c>
      <c r="C789" s="58">
        <f t="shared" si="1"/>
        <v>3609.998611</v>
      </c>
      <c r="D789" s="1">
        <f t="shared" si="2"/>
        <v>2231.620911</v>
      </c>
      <c r="E789" s="1">
        <f t="shared" si="3"/>
        <v>4016.917639</v>
      </c>
      <c r="F789" s="1">
        <f t="shared" si="4"/>
        <v>7587.511097</v>
      </c>
      <c r="G789" s="1">
        <f t="shared" si="5"/>
        <v>13389.72546</v>
      </c>
      <c r="H789" s="1">
        <f t="shared" si="6"/>
        <v>24547.83002</v>
      </c>
      <c r="I789" s="1">
        <f t="shared" si="7"/>
        <v>40169.17639</v>
      </c>
    </row>
    <row r="790" hidden="1">
      <c r="A790" s="266">
        <f>IFERROR(__xludf.DUMMYFUNCTION("""COMPUTED_VALUE"""),43426.99861111111)</f>
        <v>43426.99861</v>
      </c>
      <c r="B790" s="1">
        <f>IFERROR(__xludf.DUMMYFUNCTION("""COMPUTED_VALUE"""),4323.035)</f>
        <v>4323.035</v>
      </c>
      <c r="C790" s="58">
        <f t="shared" si="1"/>
        <v>3610.998611</v>
      </c>
      <c r="D790" s="1">
        <f t="shared" si="2"/>
        <v>2235.208726</v>
      </c>
      <c r="E790" s="1">
        <f t="shared" si="3"/>
        <v>4023.375708</v>
      </c>
      <c r="F790" s="1">
        <f t="shared" si="4"/>
        <v>7599.70967</v>
      </c>
      <c r="G790" s="1">
        <f t="shared" si="5"/>
        <v>13411.25236</v>
      </c>
      <c r="H790" s="1">
        <f t="shared" si="6"/>
        <v>24587.29599</v>
      </c>
      <c r="I790" s="1">
        <f t="shared" si="7"/>
        <v>40233.75708</v>
      </c>
    </row>
    <row r="791" hidden="1">
      <c r="A791" s="266">
        <f>IFERROR(__xludf.DUMMYFUNCTION("""COMPUTED_VALUE"""),43427.99861111111)</f>
        <v>43427.99861</v>
      </c>
      <c r="B791" s="1">
        <f>IFERROR(__xludf.DUMMYFUNCTION("""COMPUTED_VALUE"""),4337.543)</f>
        <v>4337.543</v>
      </c>
      <c r="C791" s="58">
        <f t="shared" si="1"/>
        <v>3611.998611</v>
      </c>
      <c r="D791" s="1">
        <f t="shared" si="2"/>
        <v>2238.801314</v>
      </c>
      <c r="E791" s="1">
        <f t="shared" si="3"/>
        <v>4029.842366</v>
      </c>
      <c r="F791" s="1">
        <f t="shared" si="4"/>
        <v>7611.924469</v>
      </c>
      <c r="G791" s="1">
        <f t="shared" si="5"/>
        <v>13432.80789</v>
      </c>
      <c r="H791" s="1">
        <f t="shared" si="6"/>
        <v>24626.81446</v>
      </c>
      <c r="I791" s="1">
        <f t="shared" si="7"/>
        <v>40298.42366</v>
      </c>
    </row>
    <row r="792" hidden="1">
      <c r="A792" s="266">
        <f>IFERROR(__xludf.DUMMYFUNCTION("""COMPUTED_VALUE"""),43428.99861111111)</f>
        <v>43428.99861</v>
      </c>
      <c r="B792" s="1">
        <f>IFERROR(__xludf.DUMMYFUNCTION("""COMPUTED_VALUE"""),3899.059)</f>
        <v>3899.059</v>
      </c>
      <c r="C792" s="58">
        <f t="shared" si="1"/>
        <v>3612.998611</v>
      </c>
      <c r="D792" s="1">
        <f t="shared" si="2"/>
        <v>2242.39868</v>
      </c>
      <c r="E792" s="1">
        <f t="shared" si="3"/>
        <v>4036.317623</v>
      </c>
      <c r="F792" s="1">
        <f t="shared" si="4"/>
        <v>7624.155511</v>
      </c>
      <c r="G792" s="1">
        <f t="shared" si="5"/>
        <v>13454.39208</v>
      </c>
      <c r="H792" s="1">
        <f t="shared" si="6"/>
        <v>24666.38548</v>
      </c>
      <c r="I792" s="1">
        <f t="shared" si="7"/>
        <v>40363.17623</v>
      </c>
    </row>
    <row r="793" hidden="1">
      <c r="A793" s="266">
        <f>IFERROR(__xludf.DUMMYFUNCTION("""COMPUTED_VALUE"""),43429.99861111111)</f>
        <v>43429.99861</v>
      </c>
      <c r="B793" s="1">
        <f>IFERROR(__xludf.DUMMYFUNCTION("""COMPUTED_VALUE"""),4028.184)</f>
        <v>4028.184</v>
      </c>
      <c r="C793" s="58">
        <f t="shared" si="1"/>
        <v>3613.998611</v>
      </c>
      <c r="D793" s="1">
        <f t="shared" si="2"/>
        <v>2246.000827</v>
      </c>
      <c r="E793" s="1">
        <f t="shared" si="3"/>
        <v>4042.801489</v>
      </c>
      <c r="F793" s="1">
        <f t="shared" si="4"/>
        <v>7636.402813</v>
      </c>
      <c r="G793" s="1">
        <f t="shared" si="5"/>
        <v>13476.00496</v>
      </c>
      <c r="H793" s="1">
        <f t="shared" si="6"/>
        <v>24706.0091</v>
      </c>
      <c r="I793" s="1">
        <f t="shared" si="7"/>
        <v>40428.01489</v>
      </c>
    </row>
    <row r="794" hidden="1">
      <c r="A794" s="266">
        <f>IFERROR(__xludf.DUMMYFUNCTION("""COMPUTED_VALUE"""),43430.99861111111)</f>
        <v>43430.99861</v>
      </c>
      <c r="B794" s="1">
        <f>IFERROR(__xludf.DUMMYFUNCTION("""COMPUTED_VALUE"""),3777.838)</f>
        <v>3777.838</v>
      </c>
      <c r="C794" s="58">
        <f t="shared" si="1"/>
        <v>3614.998611</v>
      </c>
      <c r="D794" s="1">
        <f t="shared" si="2"/>
        <v>2249.607763</v>
      </c>
      <c r="E794" s="1">
        <f t="shared" si="3"/>
        <v>4049.293973</v>
      </c>
      <c r="F794" s="1">
        <f t="shared" si="4"/>
        <v>7648.666393</v>
      </c>
      <c r="G794" s="1">
        <f t="shared" si="5"/>
        <v>13497.64658</v>
      </c>
      <c r="H794" s="1">
        <f t="shared" si="6"/>
        <v>24745.68539</v>
      </c>
      <c r="I794" s="1">
        <f t="shared" si="7"/>
        <v>40492.93973</v>
      </c>
    </row>
    <row r="795" hidden="1">
      <c r="A795" s="266">
        <f>IFERROR(__xludf.DUMMYFUNCTION("""COMPUTED_VALUE"""),43431.99861111111)</f>
        <v>43431.99861</v>
      </c>
      <c r="B795" s="1">
        <f>IFERROR(__xludf.DUMMYFUNCTION("""COMPUTED_VALUE"""),3843.184)</f>
        <v>3843.184</v>
      </c>
      <c r="C795" s="58">
        <f t="shared" si="1"/>
        <v>3615.998611</v>
      </c>
      <c r="D795" s="1">
        <f t="shared" si="2"/>
        <v>2253.21949</v>
      </c>
      <c r="E795" s="1">
        <f t="shared" si="3"/>
        <v>4055.795082</v>
      </c>
      <c r="F795" s="1">
        <f t="shared" si="4"/>
        <v>7660.946267</v>
      </c>
      <c r="G795" s="1">
        <f t="shared" si="5"/>
        <v>13519.31694</v>
      </c>
      <c r="H795" s="1">
        <f t="shared" si="6"/>
        <v>24785.41439</v>
      </c>
      <c r="I795" s="1">
        <f t="shared" si="7"/>
        <v>40557.95082</v>
      </c>
    </row>
    <row r="796" hidden="1">
      <c r="A796" s="266">
        <f>IFERROR(__xludf.DUMMYFUNCTION("""COMPUTED_VALUE"""),43432.99861111111)</f>
        <v>43432.99861</v>
      </c>
      <c r="B796" s="1">
        <f>IFERROR(__xludf.DUMMYFUNCTION("""COMPUTED_VALUE"""),4252.598)</f>
        <v>4252.598</v>
      </c>
      <c r="C796" s="58">
        <f t="shared" si="1"/>
        <v>3616.998611</v>
      </c>
      <c r="D796" s="1">
        <f t="shared" si="2"/>
        <v>2256.836015</v>
      </c>
      <c r="E796" s="1">
        <f t="shared" si="3"/>
        <v>4062.304828</v>
      </c>
      <c r="F796" s="1">
        <f t="shared" si="4"/>
        <v>7673.242452</v>
      </c>
      <c r="G796" s="1">
        <f t="shared" si="5"/>
        <v>13541.01609</v>
      </c>
      <c r="H796" s="1">
        <f t="shared" si="6"/>
        <v>24825.19617</v>
      </c>
      <c r="I796" s="1">
        <f t="shared" si="7"/>
        <v>40623.04828</v>
      </c>
    </row>
    <row r="797" hidden="1">
      <c r="A797" s="266">
        <f>IFERROR(__xludf.DUMMYFUNCTION("""COMPUTED_VALUE"""),43433.99861111111)</f>
        <v>43433.99861</v>
      </c>
      <c r="B797" s="1">
        <f>IFERROR(__xludf.DUMMYFUNCTION("""COMPUTED_VALUE"""),4285.418)</f>
        <v>4285.418</v>
      </c>
      <c r="C797" s="58">
        <f t="shared" si="1"/>
        <v>3617.998611</v>
      </c>
      <c r="D797" s="1">
        <f t="shared" si="2"/>
        <v>2260.457343</v>
      </c>
      <c r="E797" s="1">
        <f t="shared" si="3"/>
        <v>4068.823218</v>
      </c>
      <c r="F797" s="1">
        <f t="shared" si="4"/>
        <v>7685.554967</v>
      </c>
      <c r="G797" s="1">
        <f t="shared" si="5"/>
        <v>13562.74406</v>
      </c>
      <c r="H797" s="1">
        <f t="shared" si="6"/>
        <v>24865.03077</v>
      </c>
      <c r="I797" s="1">
        <f t="shared" si="7"/>
        <v>40688.23218</v>
      </c>
    </row>
    <row r="798" hidden="1">
      <c r="A798" s="266">
        <f>IFERROR(__xludf.DUMMYFUNCTION("""COMPUTED_VALUE"""),43434.99861111111)</f>
        <v>43434.99861</v>
      </c>
      <c r="B798" s="1">
        <f>IFERROR(__xludf.DUMMYFUNCTION("""COMPUTED_VALUE"""),4021.237)</f>
        <v>4021.237</v>
      </c>
      <c r="C798" s="58">
        <f t="shared" si="1"/>
        <v>3618.998611</v>
      </c>
      <c r="D798" s="1">
        <f t="shared" si="2"/>
        <v>2264.083478</v>
      </c>
      <c r="E798" s="1">
        <f t="shared" si="3"/>
        <v>4075.350261</v>
      </c>
      <c r="F798" s="1">
        <f t="shared" si="4"/>
        <v>7697.883827</v>
      </c>
      <c r="G798" s="1">
        <f t="shared" si="5"/>
        <v>13584.50087</v>
      </c>
      <c r="H798" s="1">
        <f t="shared" si="6"/>
        <v>24904.91826</v>
      </c>
      <c r="I798" s="1">
        <f t="shared" si="7"/>
        <v>40753.50261</v>
      </c>
    </row>
    <row r="799" hidden="1">
      <c r="A799" s="266">
        <f>IFERROR(__xludf.DUMMYFUNCTION("""COMPUTED_VALUE"""),43435.99861111111)</f>
        <v>43435.99861</v>
      </c>
      <c r="B799" s="1">
        <f>IFERROR(__xludf.DUMMYFUNCTION("""COMPUTED_VALUE"""),4211.155)</f>
        <v>4211.155</v>
      </c>
      <c r="C799" s="58">
        <f t="shared" si="1"/>
        <v>3619.998611</v>
      </c>
      <c r="D799" s="1">
        <f t="shared" si="2"/>
        <v>2267.714426</v>
      </c>
      <c r="E799" s="1">
        <f t="shared" si="3"/>
        <v>4081.885968</v>
      </c>
      <c r="F799" s="1">
        <f t="shared" si="4"/>
        <v>7710.22905</v>
      </c>
      <c r="G799" s="1">
        <f t="shared" si="5"/>
        <v>13606.28656</v>
      </c>
      <c r="H799" s="1">
        <f t="shared" si="6"/>
        <v>24944.85869</v>
      </c>
      <c r="I799" s="1">
        <f t="shared" si="7"/>
        <v>40818.85968</v>
      </c>
    </row>
    <row r="800" hidden="1">
      <c r="A800" s="266">
        <f>IFERROR(__xludf.DUMMYFUNCTION("""COMPUTED_VALUE"""),43436.99861111111)</f>
        <v>43436.99861</v>
      </c>
      <c r="B800" s="1">
        <f>IFERROR(__xludf.DUMMYFUNCTION("""COMPUTED_VALUE"""),4134.864)</f>
        <v>4134.864</v>
      </c>
      <c r="C800" s="58">
        <f t="shared" si="1"/>
        <v>3620.998611</v>
      </c>
      <c r="D800" s="1">
        <f t="shared" si="2"/>
        <v>2271.350192</v>
      </c>
      <c r="E800" s="1">
        <f t="shared" si="3"/>
        <v>4088.430346</v>
      </c>
      <c r="F800" s="1">
        <f t="shared" si="4"/>
        <v>7722.590653</v>
      </c>
      <c r="G800" s="1">
        <f t="shared" si="5"/>
        <v>13628.10115</v>
      </c>
      <c r="H800" s="1">
        <f t="shared" si="6"/>
        <v>24984.85211</v>
      </c>
      <c r="I800" s="1">
        <f t="shared" si="7"/>
        <v>40884.30346</v>
      </c>
    </row>
    <row r="801" hidden="1">
      <c r="A801" s="266">
        <f>IFERROR(__xludf.DUMMYFUNCTION("""COMPUTED_VALUE"""),43437.99861111111)</f>
        <v>43437.99861</v>
      </c>
      <c r="B801" s="1">
        <f>IFERROR(__xludf.DUMMYFUNCTION("""COMPUTED_VALUE"""),3883.534)</f>
        <v>3883.534</v>
      </c>
      <c r="C801" s="58">
        <f t="shared" si="1"/>
        <v>3621.998611</v>
      </c>
      <c r="D801" s="1">
        <f t="shared" si="2"/>
        <v>2274.990781</v>
      </c>
      <c r="E801" s="1">
        <f t="shared" si="3"/>
        <v>4094.983405</v>
      </c>
      <c r="F801" s="1">
        <f t="shared" si="4"/>
        <v>7734.968654</v>
      </c>
      <c r="G801" s="1">
        <f t="shared" si="5"/>
        <v>13649.94468</v>
      </c>
      <c r="H801" s="1">
        <f t="shared" si="6"/>
        <v>25024.89859</v>
      </c>
      <c r="I801" s="1">
        <f t="shared" si="7"/>
        <v>40949.83405</v>
      </c>
    </row>
    <row r="802" hidden="1">
      <c r="A802" s="266">
        <f>IFERROR(__xludf.DUMMYFUNCTION("""COMPUTED_VALUE"""),43438.99861111111)</f>
        <v>43438.99861</v>
      </c>
      <c r="B802" s="1">
        <f>IFERROR(__xludf.DUMMYFUNCTION("""COMPUTED_VALUE"""),3932.983)</f>
        <v>3932.983</v>
      </c>
      <c r="C802" s="58">
        <f t="shared" si="1"/>
        <v>3622.998611</v>
      </c>
      <c r="D802" s="1">
        <f t="shared" si="2"/>
        <v>2278.636197</v>
      </c>
      <c r="E802" s="1">
        <f t="shared" si="3"/>
        <v>4101.545154</v>
      </c>
      <c r="F802" s="1">
        <f t="shared" si="4"/>
        <v>7747.36307</v>
      </c>
      <c r="G802" s="1">
        <f t="shared" si="5"/>
        <v>13671.81718</v>
      </c>
      <c r="H802" s="1">
        <f t="shared" si="6"/>
        <v>25064.99817</v>
      </c>
      <c r="I802" s="1">
        <f t="shared" si="7"/>
        <v>41015.45154</v>
      </c>
    </row>
    <row r="803" hidden="1">
      <c r="A803" s="266">
        <f>IFERROR(__xludf.DUMMYFUNCTION("""COMPUTED_VALUE"""),43439.99861111111)</f>
        <v>43439.99861</v>
      </c>
      <c r="B803" s="1">
        <f>IFERROR(__xludf.DUMMYFUNCTION("""COMPUTED_VALUE"""),3754.666)</f>
        <v>3754.666</v>
      </c>
      <c r="C803" s="58">
        <f t="shared" si="1"/>
        <v>3623.998611</v>
      </c>
      <c r="D803" s="1">
        <f t="shared" si="2"/>
        <v>2282.286446</v>
      </c>
      <c r="E803" s="1">
        <f t="shared" si="3"/>
        <v>4108.115603</v>
      </c>
      <c r="F803" s="1">
        <f t="shared" si="4"/>
        <v>7759.773917</v>
      </c>
      <c r="G803" s="1">
        <f t="shared" si="5"/>
        <v>13693.71868</v>
      </c>
      <c r="H803" s="1">
        <f t="shared" si="6"/>
        <v>25105.15091</v>
      </c>
      <c r="I803" s="1">
        <f t="shared" si="7"/>
        <v>41081.15603</v>
      </c>
    </row>
    <row r="804" hidden="1">
      <c r="A804" s="266">
        <f>IFERROR(__xludf.DUMMYFUNCTION("""COMPUTED_VALUE"""),43440.99861111111)</f>
        <v>43440.99861</v>
      </c>
      <c r="B804" s="1">
        <f>IFERROR(__xludf.DUMMYFUNCTION("""COMPUTED_VALUE"""),3506.049)</f>
        <v>3506.049</v>
      </c>
      <c r="C804" s="58">
        <f t="shared" si="1"/>
        <v>3624.998611</v>
      </c>
      <c r="D804" s="1">
        <f t="shared" si="2"/>
        <v>2285.941533</v>
      </c>
      <c r="E804" s="1">
        <f t="shared" si="3"/>
        <v>4114.69476</v>
      </c>
      <c r="F804" s="1">
        <f t="shared" si="4"/>
        <v>7772.201213</v>
      </c>
      <c r="G804" s="1">
        <f t="shared" si="5"/>
        <v>13715.6492</v>
      </c>
      <c r="H804" s="1">
        <f t="shared" si="6"/>
        <v>25145.35687</v>
      </c>
      <c r="I804" s="1">
        <f t="shared" si="7"/>
        <v>41146.9476</v>
      </c>
    </row>
    <row r="805" hidden="1">
      <c r="A805" s="266">
        <f>IFERROR(__xludf.DUMMYFUNCTION("""COMPUTED_VALUE"""),43441.99861111111)</f>
        <v>43441.99861</v>
      </c>
      <c r="B805" s="1">
        <f>IFERROR(__xludf.DUMMYFUNCTION("""COMPUTED_VALUE"""),3404.299)</f>
        <v>3404.299</v>
      </c>
      <c r="C805" s="58">
        <f t="shared" si="1"/>
        <v>3625.998611</v>
      </c>
      <c r="D805" s="1">
        <f t="shared" si="2"/>
        <v>2289.601464</v>
      </c>
      <c r="E805" s="1">
        <f t="shared" si="3"/>
        <v>4121.282634</v>
      </c>
      <c r="F805" s="1">
        <f t="shared" si="4"/>
        <v>7784.644976</v>
      </c>
      <c r="G805" s="1">
        <f t="shared" si="5"/>
        <v>13737.60878</v>
      </c>
      <c r="H805" s="1">
        <f t="shared" si="6"/>
        <v>25185.6161</v>
      </c>
      <c r="I805" s="1">
        <f t="shared" si="7"/>
        <v>41212.82634</v>
      </c>
    </row>
    <row r="806" hidden="1">
      <c r="A806" s="266">
        <f>IFERROR(__xludf.DUMMYFUNCTION("""COMPUTED_VALUE"""),43442.99861111111)</f>
        <v>43442.99861</v>
      </c>
      <c r="B806" s="1">
        <f>IFERROR(__xludf.DUMMYFUNCTION("""COMPUTED_VALUE"""),3458.882)</f>
        <v>3458.882</v>
      </c>
      <c r="C806" s="58">
        <f t="shared" si="1"/>
        <v>3626.998611</v>
      </c>
      <c r="D806" s="1">
        <f t="shared" si="2"/>
        <v>2293.266242</v>
      </c>
      <c r="E806" s="1">
        <f t="shared" si="3"/>
        <v>4127.879235</v>
      </c>
      <c r="F806" s="1">
        <f t="shared" si="4"/>
        <v>7797.105222</v>
      </c>
      <c r="G806" s="1">
        <f t="shared" si="5"/>
        <v>13759.59745</v>
      </c>
      <c r="H806" s="1">
        <f t="shared" si="6"/>
        <v>25225.92866</v>
      </c>
      <c r="I806" s="1">
        <f t="shared" si="7"/>
        <v>41278.79235</v>
      </c>
    </row>
    <row r="807" hidden="1">
      <c r="A807" s="266">
        <f>IFERROR(__xludf.DUMMYFUNCTION("""COMPUTED_VALUE"""),43443.99861111111)</f>
        <v>43443.99861</v>
      </c>
      <c r="B807" s="1">
        <f>IFERROR(__xludf.DUMMYFUNCTION("""COMPUTED_VALUE"""),3585.145)</f>
        <v>3585.145</v>
      </c>
      <c r="C807" s="58">
        <f t="shared" si="1"/>
        <v>3627.998611</v>
      </c>
      <c r="D807" s="1">
        <f t="shared" si="2"/>
        <v>2296.935873</v>
      </c>
      <c r="E807" s="1">
        <f t="shared" si="3"/>
        <v>4134.484572</v>
      </c>
      <c r="F807" s="1">
        <f t="shared" si="4"/>
        <v>7809.58197</v>
      </c>
      <c r="G807" s="1">
        <f t="shared" si="5"/>
        <v>13781.61524</v>
      </c>
      <c r="H807" s="1">
        <f t="shared" si="6"/>
        <v>25266.29461</v>
      </c>
      <c r="I807" s="1">
        <f t="shared" si="7"/>
        <v>41344.84572</v>
      </c>
    </row>
    <row r="808" hidden="1">
      <c r="A808" s="266">
        <f>IFERROR(__xludf.DUMMYFUNCTION("""COMPUTED_VALUE"""),43444.99861111111)</f>
        <v>43444.99861</v>
      </c>
      <c r="B808" s="1">
        <f>IFERROR(__xludf.DUMMYFUNCTION("""COMPUTED_VALUE"""),3434.177)</f>
        <v>3434.177</v>
      </c>
      <c r="C808" s="58">
        <f t="shared" si="1"/>
        <v>3628.998611</v>
      </c>
      <c r="D808" s="1">
        <f t="shared" si="2"/>
        <v>2300.610363</v>
      </c>
      <c r="E808" s="1">
        <f t="shared" si="3"/>
        <v>4141.098654</v>
      </c>
      <c r="F808" s="1">
        <f t="shared" si="4"/>
        <v>7822.075235</v>
      </c>
      <c r="G808" s="1">
        <f t="shared" si="5"/>
        <v>13803.66218</v>
      </c>
      <c r="H808" s="1">
        <f t="shared" si="6"/>
        <v>25306.714</v>
      </c>
      <c r="I808" s="1">
        <f t="shared" si="7"/>
        <v>41410.98654</v>
      </c>
    </row>
    <row r="809" hidden="1">
      <c r="A809" s="266">
        <f>IFERROR(__xludf.DUMMYFUNCTION("""COMPUTED_VALUE"""),43445.99861111111)</f>
        <v>43445.99861</v>
      </c>
      <c r="B809" s="1">
        <f>IFERROR(__xludf.DUMMYFUNCTION("""COMPUTED_VALUE"""),3404.865)</f>
        <v>3404.865</v>
      </c>
      <c r="C809" s="58">
        <f t="shared" si="1"/>
        <v>3629.998611</v>
      </c>
      <c r="D809" s="1">
        <f t="shared" si="2"/>
        <v>2304.289717</v>
      </c>
      <c r="E809" s="1">
        <f t="shared" si="3"/>
        <v>4147.72149</v>
      </c>
      <c r="F809" s="1">
        <f t="shared" si="4"/>
        <v>7834.585036</v>
      </c>
      <c r="G809" s="1">
        <f t="shared" si="5"/>
        <v>13825.7383</v>
      </c>
      <c r="H809" s="1">
        <f t="shared" si="6"/>
        <v>25347.18688</v>
      </c>
      <c r="I809" s="1">
        <f t="shared" si="7"/>
        <v>41477.2149</v>
      </c>
    </row>
    <row r="810" hidden="1">
      <c r="A810" s="266">
        <f>IFERROR(__xludf.DUMMYFUNCTION("""COMPUTED_VALUE"""),43446.99861111111)</f>
        <v>43446.99861</v>
      </c>
      <c r="B810" s="1">
        <f>IFERROR(__xludf.DUMMYFUNCTION("""COMPUTED_VALUE"""),3472.654)</f>
        <v>3472.654</v>
      </c>
      <c r="C810" s="58">
        <f t="shared" si="1"/>
        <v>3630.998611</v>
      </c>
      <c r="D810" s="1">
        <f t="shared" si="2"/>
        <v>2307.973938</v>
      </c>
      <c r="E810" s="1">
        <f t="shared" si="3"/>
        <v>4154.353089</v>
      </c>
      <c r="F810" s="1">
        <f t="shared" si="4"/>
        <v>7847.11139</v>
      </c>
      <c r="G810" s="1">
        <f t="shared" si="5"/>
        <v>13847.84363</v>
      </c>
      <c r="H810" s="1">
        <f t="shared" si="6"/>
        <v>25387.71332</v>
      </c>
      <c r="I810" s="1">
        <f t="shared" si="7"/>
        <v>41543.53089</v>
      </c>
    </row>
    <row r="811" hidden="1">
      <c r="A811" s="266">
        <f>IFERROR(__xludf.DUMMYFUNCTION("""COMPUTED_VALUE"""),43447.99861111111)</f>
        <v>43447.99861</v>
      </c>
      <c r="B811" s="1">
        <f>IFERROR(__xludf.DUMMYFUNCTION("""COMPUTED_VALUE"""),3313.618)</f>
        <v>3313.618</v>
      </c>
      <c r="C811" s="58">
        <f t="shared" si="1"/>
        <v>3631.998611</v>
      </c>
      <c r="D811" s="1">
        <f t="shared" si="2"/>
        <v>2311.663034</v>
      </c>
      <c r="E811" s="1">
        <f t="shared" si="3"/>
        <v>4160.99346</v>
      </c>
      <c r="F811" s="1">
        <f t="shared" si="4"/>
        <v>7859.654314</v>
      </c>
      <c r="G811" s="1">
        <f t="shared" si="5"/>
        <v>13869.9782</v>
      </c>
      <c r="H811" s="1">
        <f t="shared" si="6"/>
        <v>25428.29337</v>
      </c>
      <c r="I811" s="1">
        <f t="shared" si="7"/>
        <v>41609.9346</v>
      </c>
    </row>
    <row r="812" hidden="1">
      <c r="A812" s="266">
        <f>IFERROR(__xludf.DUMMYFUNCTION("""COMPUTED_VALUE"""),43448.99861111111)</f>
        <v>43448.99861</v>
      </c>
      <c r="B812" s="1">
        <f>IFERROR(__xludf.DUMMYFUNCTION("""COMPUTED_VALUE"""),3253.172)</f>
        <v>3253.172</v>
      </c>
      <c r="C812" s="58">
        <f t="shared" si="1"/>
        <v>3632.998611</v>
      </c>
      <c r="D812" s="1">
        <f t="shared" si="2"/>
        <v>2315.357008</v>
      </c>
      <c r="E812" s="1">
        <f t="shared" si="3"/>
        <v>4167.642614</v>
      </c>
      <c r="F812" s="1">
        <f t="shared" si="4"/>
        <v>7872.213826</v>
      </c>
      <c r="G812" s="1">
        <f t="shared" si="5"/>
        <v>13892.14205</v>
      </c>
      <c r="H812" s="1">
        <f t="shared" si="6"/>
        <v>25468.92708</v>
      </c>
      <c r="I812" s="1">
        <f t="shared" si="7"/>
        <v>41676.42614</v>
      </c>
    </row>
    <row r="813" hidden="1">
      <c r="A813" s="266">
        <f>IFERROR(__xludf.DUMMYFUNCTION("""COMPUTED_VALUE"""),43449.99861111111)</f>
        <v>43449.99861</v>
      </c>
      <c r="B813" s="1">
        <f>IFERROR(__xludf.DUMMYFUNCTION("""COMPUTED_VALUE"""),3223.352)</f>
        <v>3223.352</v>
      </c>
      <c r="C813" s="58">
        <f t="shared" si="1"/>
        <v>3633.998611</v>
      </c>
      <c r="D813" s="1">
        <f t="shared" si="2"/>
        <v>2319.055865</v>
      </c>
      <c r="E813" s="1">
        <f t="shared" si="3"/>
        <v>4174.300558</v>
      </c>
      <c r="F813" s="1">
        <f t="shared" si="4"/>
        <v>7884.789942</v>
      </c>
      <c r="G813" s="1">
        <f t="shared" si="5"/>
        <v>13914.33519</v>
      </c>
      <c r="H813" s="1">
        <f t="shared" si="6"/>
        <v>25509.61452</v>
      </c>
      <c r="I813" s="1">
        <f t="shared" si="7"/>
        <v>41743.00558</v>
      </c>
    </row>
    <row r="814" hidden="1">
      <c r="A814" s="266">
        <f>IFERROR(__xludf.DUMMYFUNCTION("""COMPUTED_VALUE"""),43450.99861111111)</f>
        <v>43450.99861</v>
      </c>
      <c r="B814" s="1">
        <f>IFERROR(__xludf.DUMMYFUNCTION("""COMPUTED_VALUE"""),3225.617)</f>
        <v>3225.617</v>
      </c>
      <c r="C814" s="58">
        <f t="shared" si="1"/>
        <v>3634.998611</v>
      </c>
      <c r="D814" s="1">
        <f t="shared" si="2"/>
        <v>2322.759612</v>
      </c>
      <c r="E814" s="1">
        <f t="shared" si="3"/>
        <v>4180.967302</v>
      </c>
      <c r="F814" s="1">
        <f t="shared" si="4"/>
        <v>7897.382681</v>
      </c>
      <c r="G814" s="1">
        <f t="shared" si="5"/>
        <v>13936.55767</v>
      </c>
      <c r="H814" s="1">
        <f t="shared" si="6"/>
        <v>25550.35573</v>
      </c>
      <c r="I814" s="1">
        <f t="shared" si="7"/>
        <v>41809.67302</v>
      </c>
    </row>
    <row r="815" hidden="1">
      <c r="A815" s="266">
        <f>IFERROR(__xludf.DUMMYFUNCTION("""COMPUTED_VALUE"""),43451.99861111111)</f>
        <v>43451.99861</v>
      </c>
      <c r="B815" s="1">
        <f>IFERROR(__xludf.DUMMYFUNCTION("""COMPUTED_VALUE"""),3534.36)</f>
        <v>3534.36</v>
      </c>
      <c r="C815" s="58">
        <f t="shared" si="1"/>
        <v>3635.998611</v>
      </c>
      <c r="D815" s="1">
        <f t="shared" si="2"/>
        <v>2326.468253</v>
      </c>
      <c r="E815" s="1">
        <f t="shared" si="3"/>
        <v>4187.642855</v>
      </c>
      <c r="F815" s="1">
        <f t="shared" si="4"/>
        <v>7909.992059</v>
      </c>
      <c r="G815" s="1">
        <f t="shared" si="5"/>
        <v>13958.80952</v>
      </c>
      <c r="H815" s="1">
        <f t="shared" si="6"/>
        <v>25591.15078</v>
      </c>
      <c r="I815" s="1">
        <f t="shared" si="7"/>
        <v>41876.42855</v>
      </c>
    </row>
    <row r="816" hidden="1">
      <c r="A816" s="266">
        <f>IFERROR(__xludf.DUMMYFUNCTION("""COMPUTED_VALUE"""),43452.99861111111)</f>
        <v>43452.99861</v>
      </c>
      <c r="B816" s="1">
        <f>IFERROR(__xludf.DUMMYFUNCTION("""COMPUTED_VALUE"""),3690.134)</f>
        <v>3690.134</v>
      </c>
      <c r="C816" s="58">
        <f t="shared" si="1"/>
        <v>3636.998611</v>
      </c>
      <c r="D816" s="1">
        <f t="shared" si="2"/>
        <v>2330.181792</v>
      </c>
      <c r="E816" s="1">
        <f t="shared" si="3"/>
        <v>4194.327226</v>
      </c>
      <c r="F816" s="1">
        <f t="shared" si="4"/>
        <v>7922.618094</v>
      </c>
      <c r="G816" s="1">
        <f t="shared" si="5"/>
        <v>13981.09075</v>
      </c>
      <c r="H816" s="1">
        <f t="shared" si="6"/>
        <v>25631.99972</v>
      </c>
      <c r="I816" s="1">
        <f t="shared" si="7"/>
        <v>41943.27226</v>
      </c>
    </row>
    <row r="817" hidden="1">
      <c r="A817" s="266">
        <f>IFERROR(__xludf.DUMMYFUNCTION("""COMPUTED_VALUE"""),43453.99861111111)</f>
        <v>43453.99861</v>
      </c>
      <c r="B817" s="1">
        <f>IFERROR(__xludf.DUMMYFUNCTION("""COMPUTED_VALUE"""),3723.869)</f>
        <v>3723.869</v>
      </c>
      <c r="C817" s="58">
        <f t="shared" si="1"/>
        <v>3637.998611</v>
      </c>
      <c r="D817" s="1">
        <f t="shared" si="2"/>
        <v>2333.900237</v>
      </c>
      <c r="E817" s="1">
        <f t="shared" si="3"/>
        <v>4201.020426</v>
      </c>
      <c r="F817" s="1">
        <f t="shared" si="4"/>
        <v>7935.260804</v>
      </c>
      <c r="G817" s="1">
        <f t="shared" si="5"/>
        <v>14003.40142</v>
      </c>
      <c r="H817" s="1">
        <f t="shared" si="6"/>
        <v>25672.9026</v>
      </c>
      <c r="I817" s="1">
        <f t="shared" si="7"/>
        <v>42010.20426</v>
      </c>
    </row>
    <row r="818" hidden="1">
      <c r="A818" s="266">
        <f>IFERROR(__xludf.DUMMYFUNCTION("""COMPUTED_VALUE"""),43454.99861111111)</f>
        <v>43454.99861</v>
      </c>
      <c r="B818" s="1">
        <f>IFERROR(__xludf.DUMMYFUNCTION("""COMPUTED_VALUE"""),4117.111)</f>
        <v>4117.111</v>
      </c>
      <c r="C818" s="58">
        <f t="shared" si="1"/>
        <v>3638.998611</v>
      </c>
      <c r="D818" s="1">
        <f t="shared" si="2"/>
        <v>2337.62359</v>
      </c>
      <c r="E818" s="1">
        <f t="shared" si="3"/>
        <v>4207.722462</v>
      </c>
      <c r="F818" s="1">
        <f t="shared" si="4"/>
        <v>7947.920206</v>
      </c>
      <c r="G818" s="1">
        <f t="shared" si="5"/>
        <v>14025.74154</v>
      </c>
      <c r="H818" s="1">
        <f t="shared" si="6"/>
        <v>25713.85949</v>
      </c>
      <c r="I818" s="1">
        <f t="shared" si="7"/>
        <v>42077.22462</v>
      </c>
    </row>
    <row r="819" hidden="1">
      <c r="A819" s="266">
        <f>IFERROR(__xludf.DUMMYFUNCTION("""COMPUTED_VALUE"""),43455.99861111111)</f>
        <v>43455.99861</v>
      </c>
      <c r="B819" s="1">
        <f>IFERROR(__xludf.DUMMYFUNCTION("""COMPUTED_VALUE"""),3878.206)</f>
        <v>3878.206</v>
      </c>
      <c r="C819" s="58">
        <f t="shared" si="1"/>
        <v>3639.998611</v>
      </c>
      <c r="D819" s="1">
        <f t="shared" si="2"/>
        <v>2341.351858</v>
      </c>
      <c r="E819" s="1">
        <f t="shared" si="3"/>
        <v>4214.433344</v>
      </c>
      <c r="F819" s="1">
        <f t="shared" si="4"/>
        <v>7960.596317</v>
      </c>
      <c r="G819" s="1">
        <f t="shared" si="5"/>
        <v>14048.11115</v>
      </c>
      <c r="H819" s="1">
        <f t="shared" si="6"/>
        <v>25754.87044</v>
      </c>
      <c r="I819" s="1">
        <f t="shared" si="7"/>
        <v>42144.33344</v>
      </c>
    </row>
    <row r="820" hidden="1">
      <c r="A820" s="266">
        <f>IFERROR(__xludf.DUMMYFUNCTION("""COMPUTED_VALUE"""),43456.99861111111)</f>
        <v>43456.99861</v>
      </c>
      <c r="B820" s="1">
        <f>IFERROR(__xludf.DUMMYFUNCTION("""COMPUTED_VALUE"""),4013.565)</f>
        <v>4013.565</v>
      </c>
      <c r="C820" s="58">
        <f t="shared" si="1"/>
        <v>3640.998611</v>
      </c>
      <c r="D820" s="1">
        <f t="shared" si="2"/>
        <v>2345.085045</v>
      </c>
      <c r="E820" s="1">
        <f t="shared" si="3"/>
        <v>4221.153082</v>
      </c>
      <c r="F820" s="1">
        <f t="shared" si="4"/>
        <v>7973.289155</v>
      </c>
      <c r="G820" s="1">
        <f t="shared" si="5"/>
        <v>14070.51027</v>
      </c>
      <c r="H820" s="1">
        <f t="shared" si="6"/>
        <v>25795.9355</v>
      </c>
      <c r="I820" s="1">
        <f t="shared" si="7"/>
        <v>42211.53082</v>
      </c>
    </row>
    <row r="821" hidden="1">
      <c r="A821" s="266">
        <f>IFERROR(__xludf.DUMMYFUNCTION("""COMPUTED_VALUE"""),43457.99861111111)</f>
        <v>43457.99861</v>
      </c>
      <c r="B821" s="1">
        <f>IFERROR(__xludf.DUMMYFUNCTION("""COMPUTED_VALUE"""),3986.246)</f>
        <v>3986.246</v>
      </c>
      <c r="C821" s="58">
        <f t="shared" si="1"/>
        <v>3641.998611</v>
      </c>
      <c r="D821" s="1">
        <f t="shared" si="2"/>
        <v>2348.823158</v>
      </c>
      <c r="E821" s="1">
        <f t="shared" si="3"/>
        <v>4227.881684</v>
      </c>
      <c r="F821" s="1">
        <f t="shared" si="4"/>
        <v>7985.998737</v>
      </c>
      <c r="G821" s="1">
        <f t="shared" si="5"/>
        <v>14092.93895</v>
      </c>
      <c r="H821" s="1">
        <f t="shared" si="6"/>
        <v>25837.05474</v>
      </c>
      <c r="I821" s="1">
        <f t="shared" si="7"/>
        <v>42278.81684</v>
      </c>
    </row>
    <row r="822" hidden="1">
      <c r="A822" s="266">
        <f>IFERROR(__xludf.DUMMYFUNCTION("""COMPUTED_VALUE"""),43458.99861111111)</f>
        <v>43458.99861</v>
      </c>
      <c r="B822" s="1">
        <f>IFERROR(__xludf.DUMMYFUNCTION("""COMPUTED_VALUE"""),4052.492)</f>
        <v>4052.492</v>
      </c>
      <c r="C822" s="58">
        <f t="shared" si="1"/>
        <v>3642.998611</v>
      </c>
      <c r="D822" s="1">
        <f t="shared" si="2"/>
        <v>2352.5662</v>
      </c>
      <c r="E822" s="1">
        <f t="shared" si="3"/>
        <v>4234.61916</v>
      </c>
      <c r="F822" s="1">
        <f t="shared" si="4"/>
        <v>7998.725081</v>
      </c>
      <c r="G822" s="1">
        <f t="shared" si="5"/>
        <v>14115.3972</v>
      </c>
      <c r="H822" s="1">
        <f t="shared" si="6"/>
        <v>25878.2282</v>
      </c>
      <c r="I822" s="1">
        <f t="shared" si="7"/>
        <v>42346.1916</v>
      </c>
    </row>
    <row r="823" hidden="1">
      <c r="A823" s="266">
        <f>IFERROR(__xludf.DUMMYFUNCTION("""COMPUTED_VALUE"""),43459.99861111111)</f>
        <v>43459.99861</v>
      </c>
      <c r="B823" s="1">
        <f>IFERROR(__xludf.DUMMYFUNCTION("""COMPUTED_VALUE"""),3798.141)</f>
        <v>3798.141</v>
      </c>
      <c r="C823" s="58">
        <f t="shared" si="1"/>
        <v>3643.998611</v>
      </c>
      <c r="D823" s="1">
        <f t="shared" si="2"/>
        <v>2356.314178</v>
      </c>
      <c r="E823" s="1">
        <f t="shared" si="3"/>
        <v>4241.36552</v>
      </c>
      <c r="F823" s="1">
        <f t="shared" si="4"/>
        <v>8011.468204</v>
      </c>
      <c r="G823" s="1">
        <f t="shared" si="5"/>
        <v>14137.88507</v>
      </c>
      <c r="H823" s="1">
        <f t="shared" si="6"/>
        <v>25919.45595</v>
      </c>
      <c r="I823" s="1">
        <f t="shared" si="7"/>
        <v>42413.6552</v>
      </c>
    </row>
    <row r="824" hidden="1">
      <c r="A824" s="266">
        <f>IFERROR(__xludf.DUMMYFUNCTION("""COMPUTED_VALUE"""),43460.99861111111)</f>
        <v>43460.99861</v>
      </c>
      <c r="B824" s="1">
        <f>IFERROR(__xludf.DUMMYFUNCTION("""COMPUTED_VALUE"""),3824.445)</f>
        <v>3824.445</v>
      </c>
      <c r="C824" s="58">
        <f t="shared" si="1"/>
        <v>3644.998611</v>
      </c>
      <c r="D824" s="1">
        <f t="shared" si="2"/>
        <v>2360.067095</v>
      </c>
      <c r="E824" s="1">
        <f t="shared" si="3"/>
        <v>4248.120771</v>
      </c>
      <c r="F824" s="1">
        <f t="shared" si="4"/>
        <v>8024.228123</v>
      </c>
      <c r="G824" s="1">
        <f t="shared" si="5"/>
        <v>14160.40257</v>
      </c>
      <c r="H824" s="1">
        <f t="shared" si="6"/>
        <v>25960.73805</v>
      </c>
      <c r="I824" s="1">
        <f t="shared" si="7"/>
        <v>42481.20771</v>
      </c>
    </row>
    <row r="825" hidden="1">
      <c r="A825" s="266">
        <f>IFERROR(__xludf.DUMMYFUNCTION("""COMPUTED_VALUE"""),43461.99861111111)</f>
        <v>43461.99861</v>
      </c>
      <c r="B825" s="1">
        <f>IFERROR(__xludf.DUMMYFUNCTION("""COMPUTED_VALUE"""),3618.055)</f>
        <v>3618.055</v>
      </c>
      <c r="C825" s="58">
        <f t="shared" si="1"/>
        <v>3645.998611</v>
      </c>
      <c r="D825" s="1">
        <f t="shared" si="2"/>
        <v>2363.824958</v>
      </c>
      <c r="E825" s="1">
        <f t="shared" si="3"/>
        <v>4254.884924</v>
      </c>
      <c r="F825" s="1">
        <f t="shared" si="4"/>
        <v>8037.004857</v>
      </c>
      <c r="G825" s="1">
        <f t="shared" si="5"/>
        <v>14182.94975</v>
      </c>
      <c r="H825" s="1">
        <f t="shared" si="6"/>
        <v>26002.07454</v>
      </c>
      <c r="I825" s="1">
        <f t="shared" si="7"/>
        <v>42548.84924</v>
      </c>
    </row>
    <row r="826" hidden="1">
      <c r="A826" s="266">
        <f>IFERROR(__xludf.DUMMYFUNCTION("""COMPUTED_VALUE"""),43462.99861111111)</f>
        <v>43462.99861</v>
      </c>
      <c r="B826" s="1">
        <f>IFERROR(__xludf.DUMMYFUNCTION("""COMPUTED_VALUE"""),3888.177)</f>
        <v>3888.177</v>
      </c>
      <c r="C826" s="58">
        <f t="shared" si="1"/>
        <v>3646.998611</v>
      </c>
      <c r="D826" s="1">
        <f t="shared" si="2"/>
        <v>2367.587772</v>
      </c>
      <c r="E826" s="1">
        <f t="shared" si="3"/>
        <v>4261.657989</v>
      </c>
      <c r="F826" s="1">
        <f t="shared" si="4"/>
        <v>8049.798423</v>
      </c>
      <c r="G826" s="1">
        <f t="shared" si="5"/>
        <v>14205.52663</v>
      </c>
      <c r="H826" s="1">
        <f t="shared" si="6"/>
        <v>26043.46549</v>
      </c>
      <c r="I826" s="1">
        <f t="shared" si="7"/>
        <v>42616.57989</v>
      </c>
    </row>
    <row r="827" hidden="1">
      <c r="A827" s="266">
        <f>IFERROR(__xludf.DUMMYFUNCTION("""COMPUTED_VALUE"""),43463.99861111111)</f>
        <v>43463.99861</v>
      </c>
      <c r="B827" s="1">
        <f>IFERROR(__xludf.DUMMYFUNCTION("""COMPUTED_VALUE"""),3730.59)</f>
        <v>3730.59</v>
      </c>
      <c r="C827" s="58">
        <f t="shared" si="1"/>
        <v>3647.998611</v>
      </c>
      <c r="D827" s="1">
        <f t="shared" si="2"/>
        <v>2371.355541</v>
      </c>
      <c r="E827" s="1">
        <f t="shared" si="3"/>
        <v>4268.439973</v>
      </c>
      <c r="F827" s="1">
        <f t="shared" si="4"/>
        <v>8062.608838</v>
      </c>
      <c r="G827" s="1">
        <f t="shared" si="5"/>
        <v>14228.13324</v>
      </c>
      <c r="H827" s="1">
        <f t="shared" si="6"/>
        <v>26084.91095</v>
      </c>
      <c r="I827" s="1">
        <f t="shared" si="7"/>
        <v>42684.39973</v>
      </c>
    </row>
    <row r="828" hidden="1">
      <c r="A828" s="266">
        <f>IFERROR(__xludf.DUMMYFUNCTION("""COMPUTED_VALUE"""),43464.99861111111)</f>
        <v>43464.99861</v>
      </c>
      <c r="B828" s="1">
        <f>IFERROR(__xludf.DUMMYFUNCTION("""COMPUTED_VALUE"""),3831.982)</f>
        <v>3831.982</v>
      </c>
      <c r="C828" s="58">
        <f t="shared" si="1"/>
        <v>3648.998611</v>
      </c>
      <c r="D828" s="1">
        <f t="shared" si="2"/>
        <v>2375.128271</v>
      </c>
      <c r="E828" s="1">
        <f t="shared" si="3"/>
        <v>4275.230887</v>
      </c>
      <c r="F828" s="1">
        <f t="shared" si="4"/>
        <v>8075.43612</v>
      </c>
      <c r="G828" s="1">
        <f t="shared" si="5"/>
        <v>14250.76962</v>
      </c>
      <c r="H828" s="1">
        <f t="shared" si="6"/>
        <v>26126.41098</v>
      </c>
      <c r="I828" s="1">
        <f t="shared" si="7"/>
        <v>42752.30887</v>
      </c>
    </row>
    <row r="829" hidden="1">
      <c r="A829" s="266">
        <f>IFERROR(__xludf.DUMMYFUNCTION("""COMPUTED_VALUE"""),43465.99861111111)</f>
        <v>43465.99861</v>
      </c>
      <c r="B829" s="1">
        <f>IFERROR(__xludf.DUMMYFUNCTION("""COMPUTED_VALUE"""),3711.907)</f>
        <v>3711.907</v>
      </c>
      <c r="C829" s="58">
        <f t="shared" si="1"/>
        <v>3649.998611</v>
      </c>
      <c r="D829" s="1">
        <f t="shared" si="2"/>
        <v>2378.905967</v>
      </c>
      <c r="E829" s="1">
        <f t="shared" si="3"/>
        <v>4282.03074</v>
      </c>
      <c r="F829" s="1">
        <f t="shared" si="4"/>
        <v>8088.280287</v>
      </c>
      <c r="G829" s="1">
        <f t="shared" si="5"/>
        <v>14273.4358</v>
      </c>
      <c r="H829" s="1">
        <f t="shared" si="6"/>
        <v>26167.96563</v>
      </c>
      <c r="I829" s="1">
        <f t="shared" si="7"/>
        <v>42820.3074</v>
      </c>
    </row>
    <row r="830" hidden="1">
      <c r="A830" s="266">
        <f>IFERROR(__xludf.DUMMYFUNCTION("""COMPUTED_VALUE"""),43466.99861111111)</f>
        <v>43466.99861</v>
      </c>
      <c r="B830" s="1">
        <f>IFERROR(__xludf.DUMMYFUNCTION("""COMPUTED_VALUE"""),3827.963)</f>
        <v>3827.963</v>
      </c>
      <c r="C830" s="58">
        <f t="shared" si="1"/>
        <v>3650.998611</v>
      </c>
      <c r="D830" s="1">
        <f t="shared" si="2"/>
        <v>2382.688634</v>
      </c>
      <c r="E830" s="1">
        <f t="shared" si="3"/>
        <v>4288.839541</v>
      </c>
      <c r="F830" s="1">
        <f t="shared" si="4"/>
        <v>8101.141356</v>
      </c>
      <c r="G830" s="1">
        <f t="shared" si="5"/>
        <v>14296.1318</v>
      </c>
      <c r="H830" s="1">
        <f t="shared" si="6"/>
        <v>26209.57497</v>
      </c>
      <c r="I830" s="1">
        <f t="shared" si="7"/>
        <v>42888.39541</v>
      </c>
    </row>
    <row r="831" hidden="1">
      <c r="A831" s="266">
        <f>IFERROR(__xludf.DUMMYFUNCTION("""COMPUTED_VALUE"""),43467.99861111111)</f>
        <v>43467.99861</v>
      </c>
      <c r="B831" s="1">
        <f>IFERROR(__xludf.DUMMYFUNCTION("""COMPUTED_VALUE"""),3914.791)</f>
        <v>3914.791</v>
      </c>
      <c r="C831" s="58">
        <f t="shared" si="1"/>
        <v>3651.998611</v>
      </c>
      <c r="D831" s="1">
        <f t="shared" si="2"/>
        <v>2386.476278</v>
      </c>
      <c r="E831" s="1">
        <f t="shared" si="3"/>
        <v>4295.6573</v>
      </c>
      <c r="F831" s="1">
        <f t="shared" si="4"/>
        <v>8114.019344</v>
      </c>
      <c r="G831" s="1">
        <f t="shared" si="5"/>
        <v>14318.85767</v>
      </c>
      <c r="H831" s="1">
        <f t="shared" si="6"/>
        <v>26251.23905</v>
      </c>
      <c r="I831" s="1">
        <f t="shared" si="7"/>
        <v>42956.573</v>
      </c>
    </row>
    <row r="832" hidden="1">
      <c r="A832" s="266">
        <f>IFERROR(__xludf.DUMMYFUNCTION("""COMPUTED_VALUE"""),43468.99861111111)</f>
        <v>43468.99861</v>
      </c>
      <c r="B832" s="1">
        <f>IFERROR(__xludf.DUMMYFUNCTION("""COMPUTED_VALUE"""),3792.064)</f>
        <v>3792.064</v>
      </c>
      <c r="C832" s="58">
        <f t="shared" si="1"/>
        <v>3652.998611</v>
      </c>
      <c r="D832" s="1">
        <f t="shared" si="2"/>
        <v>2390.268903</v>
      </c>
      <c r="E832" s="1">
        <f t="shared" si="3"/>
        <v>4302.484025</v>
      </c>
      <c r="F832" s="1">
        <f t="shared" si="4"/>
        <v>8126.914269</v>
      </c>
      <c r="G832" s="1">
        <f t="shared" si="5"/>
        <v>14341.61342</v>
      </c>
      <c r="H832" s="1">
        <f t="shared" si="6"/>
        <v>26292.95793</v>
      </c>
      <c r="I832" s="1">
        <f t="shared" si="7"/>
        <v>43024.84025</v>
      </c>
    </row>
    <row r="833" hidden="1">
      <c r="A833" s="266">
        <f>IFERROR(__xludf.DUMMYFUNCTION("""COMPUTED_VALUE"""),43469.99861111111)</f>
        <v>43469.99861</v>
      </c>
      <c r="B833" s="1">
        <f>IFERROR(__xludf.DUMMYFUNCTION("""COMPUTED_VALUE"""),3831.475)</f>
        <v>3831.475</v>
      </c>
      <c r="C833" s="58">
        <f t="shared" si="1"/>
        <v>3653.998611</v>
      </c>
      <c r="D833" s="1">
        <f t="shared" si="2"/>
        <v>2394.066515</v>
      </c>
      <c r="E833" s="1">
        <f t="shared" si="3"/>
        <v>4309.319726</v>
      </c>
      <c r="F833" s="1">
        <f t="shared" si="4"/>
        <v>8139.82615</v>
      </c>
      <c r="G833" s="1">
        <f t="shared" si="5"/>
        <v>14364.39909</v>
      </c>
      <c r="H833" s="1">
        <f t="shared" si="6"/>
        <v>26334.73166</v>
      </c>
      <c r="I833" s="1">
        <f t="shared" si="7"/>
        <v>43093.19726</v>
      </c>
    </row>
    <row r="834" hidden="1">
      <c r="A834" s="266">
        <f>IFERROR(__xludf.DUMMYFUNCTION("""COMPUTED_VALUE"""),43470.99861111111)</f>
        <v>43470.99861</v>
      </c>
      <c r="B834" s="1">
        <f>IFERROR(__xludf.DUMMYFUNCTION("""COMPUTED_VALUE"""),3802.392)</f>
        <v>3802.392</v>
      </c>
      <c r="C834" s="58">
        <f t="shared" si="1"/>
        <v>3654.998611</v>
      </c>
      <c r="D834" s="1">
        <f t="shared" si="2"/>
        <v>2397.869119</v>
      </c>
      <c r="E834" s="1">
        <f t="shared" si="3"/>
        <v>4316.164413</v>
      </c>
      <c r="F834" s="1">
        <f t="shared" si="4"/>
        <v>8152.755003</v>
      </c>
      <c r="G834" s="1">
        <f t="shared" si="5"/>
        <v>14387.21471</v>
      </c>
      <c r="H834" s="1">
        <f t="shared" si="6"/>
        <v>26376.5603</v>
      </c>
      <c r="I834" s="1">
        <f t="shared" si="7"/>
        <v>43161.64413</v>
      </c>
    </row>
    <row r="835" hidden="1">
      <c r="A835" s="266">
        <f>IFERROR(__xludf.DUMMYFUNCTION("""COMPUTED_VALUE"""),43471.99861111111)</f>
        <v>43471.99861</v>
      </c>
      <c r="B835" s="1">
        <f>IFERROR(__xludf.DUMMYFUNCTION("""COMPUTED_VALUE"""),4053.686)</f>
        <v>4053.686</v>
      </c>
      <c r="C835" s="58">
        <f t="shared" si="1"/>
        <v>3655.998611</v>
      </c>
      <c r="D835" s="1">
        <f t="shared" si="2"/>
        <v>2401.67672</v>
      </c>
      <c r="E835" s="1">
        <f t="shared" si="3"/>
        <v>4323.018095</v>
      </c>
      <c r="F835" s="1">
        <f t="shared" si="4"/>
        <v>8165.700846</v>
      </c>
      <c r="G835" s="1">
        <f t="shared" si="5"/>
        <v>14410.06032</v>
      </c>
      <c r="H835" s="1">
        <f t="shared" si="6"/>
        <v>26418.44392</v>
      </c>
      <c r="I835" s="1">
        <f t="shared" si="7"/>
        <v>43230.18095</v>
      </c>
    </row>
    <row r="836" hidden="1">
      <c r="A836" s="266">
        <f>IFERROR(__xludf.DUMMYFUNCTION("""COMPUTED_VALUE"""),43472.99861111111)</f>
        <v>43472.99861</v>
      </c>
      <c r="B836" s="1">
        <f>IFERROR(__xludf.DUMMYFUNCTION("""COMPUTED_VALUE"""),4014.808)</f>
        <v>4014.808</v>
      </c>
      <c r="C836" s="58">
        <f t="shared" si="1"/>
        <v>3656.998611</v>
      </c>
      <c r="D836" s="1">
        <f t="shared" si="2"/>
        <v>2405.489323</v>
      </c>
      <c r="E836" s="1">
        <f t="shared" si="3"/>
        <v>4329.880781</v>
      </c>
      <c r="F836" s="1">
        <f t="shared" si="4"/>
        <v>8178.663698</v>
      </c>
      <c r="G836" s="1">
        <f t="shared" si="5"/>
        <v>14432.93594</v>
      </c>
      <c r="H836" s="1">
        <f t="shared" si="6"/>
        <v>26460.38255</v>
      </c>
      <c r="I836" s="1">
        <f t="shared" si="7"/>
        <v>43298.80781</v>
      </c>
    </row>
    <row r="837" hidden="1">
      <c r="A837" s="266">
        <f>IFERROR(__xludf.DUMMYFUNCTION("""COMPUTED_VALUE"""),43473.99861111111)</f>
        <v>43473.99861</v>
      </c>
      <c r="B837" s="1">
        <f>IFERROR(__xludf.DUMMYFUNCTION("""COMPUTED_VALUE"""),3997.441)</f>
        <v>3997.441</v>
      </c>
      <c r="C837" s="58">
        <f t="shared" si="1"/>
        <v>3657.998611</v>
      </c>
      <c r="D837" s="1">
        <f t="shared" si="2"/>
        <v>2409.306934</v>
      </c>
      <c r="E837" s="1">
        <f t="shared" si="3"/>
        <v>4336.752481</v>
      </c>
      <c r="F837" s="1">
        <f t="shared" si="4"/>
        <v>8191.643575</v>
      </c>
      <c r="G837" s="1">
        <f t="shared" si="5"/>
        <v>14455.8416</v>
      </c>
      <c r="H837" s="1">
        <f t="shared" si="6"/>
        <v>26502.37627</v>
      </c>
      <c r="I837" s="1">
        <f t="shared" si="7"/>
        <v>43367.52481</v>
      </c>
    </row>
    <row r="838" hidden="1">
      <c r="A838" s="266">
        <f>IFERROR(__xludf.DUMMYFUNCTION("""COMPUTED_VALUE"""),43474.99861111111)</f>
        <v>43474.99861</v>
      </c>
      <c r="B838" s="1">
        <f>IFERROR(__xludf.DUMMYFUNCTION("""COMPUTED_VALUE"""),4018.623)</f>
        <v>4018.623</v>
      </c>
      <c r="C838" s="58">
        <f t="shared" si="1"/>
        <v>3658.998611</v>
      </c>
      <c r="D838" s="1">
        <f t="shared" si="2"/>
        <v>2413.129557</v>
      </c>
      <c r="E838" s="1">
        <f t="shared" si="3"/>
        <v>4343.633203</v>
      </c>
      <c r="F838" s="1">
        <f t="shared" si="4"/>
        <v>8204.640495</v>
      </c>
      <c r="G838" s="1">
        <f t="shared" si="5"/>
        <v>14478.77734</v>
      </c>
      <c r="H838" s="1">
        <f t="shared" si="6"/>
        <v>26544.42513</v>
      </c>
      <c r="I838" s="1">
        <f t="shared" si="7"/>
        <v>43436.33203</v>
      </c>
    </row>
    <row r="839" hidden="1">
      <c r="A839" s="266">
        <f>IFERROR(__xludf.DUMMYFUNCTION("""COMPUTED_VALUE"""),43475.99861111111)</f>
        <v>43475.99861</v>
      </c>
      <c r="B839" s="1">
        <f>IFERROR(__xludf.DUMMYFUNCTION("""COMPUTED_VALUE"""),3624.146)</f>
        <v>3624.146</v>
      </c>
      <c r="C839" s="58">
        <f t="shared" si="1"/>
        <v>3659.998611</v>
      </c>
      <c r="D839" s="1">
        <f t="shared" si="2"/>
        <v>2416.957199</v>
      </c>
      <c r="E839" s="1">
        <f t="shared" si="3"/>
        <v>4350.522958</v>
      </c>
      <c r="F839" s="1">
        <f t="shared" si="4"/>
        <v>8217.654476</v>
      </c>
      <c r="G839" s="1">
        <f t="shared" si="5"/>
        <v>14501.74319</v>
      </c>
      <c r="H839" s="1">
        <f t="shared" si="6"/>
        <v>26586.52919</v>
      </c>
      <c r="I839" s="1">
        <f t="shared" si="7"/>
        <v>43505.22958</v>
      </c>
    </row>
    <row r="840" hidden="1">
      <c r="A840" s="266">
        <f>IFERROR(__xludf.DUMMYFUNCTION("""COMPUTED_VALUE"""),43476.99861111111)</f>
        <v>43476.99861</v>
      </c>
      <c r="B840" s="1">
        <f>IFERROR(__xludf.DUMMYFUNCTION("""COMPUTED_VALUE"""),3640.597)</f>
        <v>3640.597</v>
      </c>
      <c r="C840" s="58">
        <f t="shared" si="1"/>
        <v>3660.998611</v>
      </c>
      <c r="D840" s="1">
        <f t="shared" si="2"/>
        <v>2420.789863</v>
      </c>
      <c r="E840" s="1">
        <f t="shared" si="3"/>
        <v>4357.421754</v>
      </c>
      <c r="F840" s="1">
        <f t="shared" si="4"/>
        <v>8230.685536</v>
      </c>
      <c r="G840" s="1">
        <f t="shared" si="5"/>
        <v>14524.73918</v>
      </c>
      <c r="H840" s="1">
        <f t="shared" si="6"/>
        <v>26628.6885</v>
      </c>
      <c r="I840" s="1">
        <f t="shared" si="7"/>
        <v>43574.21754</v>
      </c>
    </row>
    <row r="841" hidden="1">
      <c r="A841" s="266">
        <f>IFERROR(__xludf.DUMMYFUNCTION("""COMPUTED_VALUE"""),43477.99861111111)</f>
        <v>43477.99861</v>
      </c>
      <c r="B841" s="1">
        <f>IFERROR(__xludf.DUMMYFUNCTION("""COMPUTED_VALUE"""),3624.767)</f>
        <v>3624.767</v>
      </c>
      <c r="C841" s="58">
        <f t="shared" si="1"/>
        <v>3661.998611</v>
      </c>
      <c r="D841" s="1">
        <f t="shared" si="2"/>
        <v>2424.627556</v>
      </c>
      <c r="E841" s="1">
        <f t="shared" si="3"/>
        <v>4364.329602</v>
      </c>
      <c r="F841" s="1">
        <f t="shared" si="4"/>
        <v>8243.733692</v>
      </c>
      <c r="G841" s="1">
        <f t="shared" si="5"/>
        <v>14547.76534</v>
      </c>
      <c r="H841" s="1">
        <f t="shared" si="6"/>
        <v>26670.90312</v>
      </c>
      <c r="I841" s="1">
        <f t="shared" si="7"/>
        <v>43643.29602</v>
      </c>
    </row>
    <row r="842" hidden="1">
      <c r="A842" s="266">
        <f>IFERROR(__xludf.DUMMYFUNCTION("""COMPUTED_VALUE"""),43478.99861111111)</f>
        <v>43478.99861</v>
      </c>
      <c r="B842" s="1">
        <f>IFERROR(__xludf.DUMMYFUNCTION("""COMPUTED_VALUE"""),3511.743)</f>
        <v>3511.743</v>
      </c>
      <c r="C842" s="58">
        <f t="shared" si="1"/>
        <v>3662.998611</v>
      </c>
      <c r="D842" s="1">
        <f t="shared" si="2"/>
        <v>2428.470283</v>
      </c>
      <c r="E842" s="1">
        <f t="shared" si="3"/>
        <v>4371.246509</v>
      </c>
      <c r="F842" s="1">
        <f t="shared" si="4"/>
        <v>8256.798962</v>
      </c>
      <c r="G842" s="1">
        <f t="shared" si="5"/>
        <v>14570.8217</v>
      </c>
      <c r="H842" s="1">
        <f t="shared" si="6"/>
        <v>26713.17311</v>
      </c>
      <c r="I842" s="1">
        <f t="shared" si="7"/>
        <v>43712.46509</v>
      </c>
    </row>
    <row r="843" hidden="1">
      <c r="A843" s="266">
        <f>IFERROR(__xludf.DUMMYFUNCTION("""COMPUTED_VALUE"""),43479.99861111111)</f>
        <v>43479.99861</v>
      </c>
      <c r="B843" s="1">
        <f>IFERROR(__xludf.DUMMYFUNCTION("""COMPUTED_VALUE"""),3670.165)</f>
        <v>3670.165</v>
      </c>
      <c r="C843" s="58">
        <f t="shared" si="1"/>
        <v>3663.998611</v>
      </c>
      <c r="D843" s="1">
        <f t="shared" si="2"/>
        <v>2432.318048</v>
      </c>
      <c r="E843" s="1">
        <f t="shared" si="3"/>
        <v>4378.172487</v>
      </c>
      <c r="F843" s="1">
        <f t="shared" si="4"/>
        <v>8269.881365</v>
      </c>
      <c r="G843" s="1">
        <f t="shared" si="5"/>
        <v>14593.90829</v>
      </c>
      <c r="H843" s="1">
        <f t="shared" si="6"/>
        <v>26755.49853</v>
      </c>
      <c r="I843" s="1">
        <f t="shared" si="7"/>
        <v>43781.72487</v>
      </c>
    </row>
    <row r="844" hidden="1">
      <c r="A844" s="266">
        <f>IFERROR(__xludf.DUMMYFUNCTION("""COMPUTED_VALUE"""),43480.99861111111)</f>
        <v>43480.99861</v>
      </c>
      <c r="B844" s="1">
        <f>IFERROR(__xludf.DUMMYFUNCTION("""COMPUTED_VALUE"""),3604.193)</f>
        <v>3604.193</v>
      </c>
      <c r="C844" s="58">
        <f t="shared" si="1"/>
        <v>3664.998611</v>
      </c>
      <c r="D844" s="1">
        <f t="shared" si="2"/>
        <v>2436.170858</v>
      </c>
      <c r="E844" s="1">
        <f t="shared" si="3"/>
        <v>4385.107544</v>
      </c>
      <c r="F844" s="1">
        <f t="shared" si="4"/>
        <v>8282.980917</v>
      </c>
      <c r="G844" s="1">
        <f t="shared" si="5"/>
        <v>14617.02515</v>
      </c>
      <c r="H844" s="1">
        <f t="shared" si="6"/>
        <v>26797.87944</v>
      </c>
      <c r="I844" s="1">
        <f t="shared" si="7"/>
        <v>43851.07544</v>
      </c>
    </row>
    <row r="845" hidden="1">
      <c r="A845" s="266">
        <f>IFERROR(__xludf.DUMMYFUNCTION("""COMPUTED_VALUE"""),43481.99861111111)</f>
        <v>43481.99861</v>
      </c>
      <c r="B845" s="1">
        <f>IFERROR(__xludf.DUMMYFUNCTION("""COMPUTED_VALUE"""),3604.278)</f>
        <v>3604.278</v>
      </c>
      <c r="C845" s="58">
        <f t="shared" si="1"/>
        <v>3665.998611</v>
      </c>
      <c r="D845" s="1">
        <f t="shared" si="2"/>
        <v>2440.028717</v>
      </c>
      <c r="E845" s="1">
        <f t="shared" si="3"/>
        <v>4392.05169</v>
      </c>
      <c r="F845" s="1">
        <f t="shared" si="4"/>
        <v>8296.097637</v>
      </c>
      <c r="G845" s="1">
        <f t="shared" si="5"/>
        <v>14640.1723</v>
      </c>
      <c r="H845" s="1">
        <f t="shared" si="6"/>
        <v>26840.31588</v>
      </c>
      <c r="I845" s="1">
        <f t="shared" si="7"/>
        <v>43920.5169</v>
      </c>
    </row>
    <row r="846" hidden="1">
      <c r="A846" s="266">
        <f>IFERROR(__xludf.DUMMYFUNCTION("""COMPUTED_VALUE"""),43482.99861111111)</f>
        <v>43482.99861</v>
      </c>
      <c r="B846" s="1">
        <f>IFERROR(__xludf.DUMMYFUNCTION("""COMPUTED_VALUE"""),3650.267)</f>
        <v>3650.267</v>
      </c>
      <c r="C846" s="58">
        <f t="shared" si="1"/>
        <v>3666.998611</v>
      </c>
      <c r="D846" s="1">
        <f t="shared" si="2"/>
        <v>2443.89163</v>
      </c>
      <c r="E846" s="1">
        <f t="shared" si="3"/>
        <v>4399.004934</v>
      </c>
      <c r="F846" s="1">
        <f t="shared" si="4"/>
        <v>8309.231542</v>
      </c>
      <c r="G846" s="1">
        <f t="shared" si="5"/>
        <v>14663.34978</v>
      </c>
      <c r="H846" s="1">
        <f t="shared" si="6"/>
        <v>26882.80793</v>
      </c>
      <c r="I846" s="1">
        <f t="shared" si="7"/>
        <v>43990.04934</v>
      </c>
    </row>
    <row r="847" hidden="1">
      <c r="A847" s="266">
        <f>IFERROR(__xludf.DUMMYFUNCTION("""COMPUTED_VALUE"""),43483.99861111111)</f>
        <v>43483.99861</v>
      </c>
      <c r="B847" s="1">
        <f>IFERROR(__xludf.DUMMYFUNCTION("""COMPUTED_VALUE"""),3613.682)</f>
        <v>3613.682</v>
      </c>
      <c r="C847" s="58">
        <f t="shared" si="1"/>
        <v>3667.998611</v>
      </c>
      <c r="D847" s="1">
        <f t="shared" si="2"/>
        <v>2447.759603</v>
      </c>
      <c r="E847" s="1">
        <f t="shared" si="3"/>
        <v>4405.967285</v>
      </c>
      <c r="F847" s="1">
        <f t="shared" si="4"/>
        <v>8322.38265</v>
      </c>
      <c r="G847" s="1">
        <f t="shared" si="5"/>
        <v>14686.55762</v>
      </c>
      <c r="H847" s="1">
        <f t="shared" si="6"/>
        <v>26925.35563</v>
      </c>
      <c r="I847" s="1">
        <f t="shared" si="7"/>
        <v>44059.67285</v>
      </c>
    </row>
    <row r="848" hidden="1">
      <c r="A848" s="266">
        <f>IFERROR(__xludf.DUMMYFUNCTION("""COMPUTED_VALUE"""),43484.99861111111)</f>
        <v>43484.99861</v>
      </c>
      <c r="B848" s="1">
        <f>IFERROR(__xludf.DUMMYFUNCTION("""COMPUTED_VALUE"""),3704.358)</f>
        <v>3704.358</v>
      </c>
      <c r="C848" s="58">
        <f t="shared" si="1"/>
        <v>3668.998611</v>
      </c>
      <c r="D848" s="1">
        <f t="shared" si="2"/>
        <v>2451.632641</v>
      </c>
      <c r="E848" s="1">
        <f t="shared" si="3"/>
        <v>4412.938754</v>
      </c>
      <c r="F848" s="1">
        <f t="shared" si="4"/>
        <v>8335.550979</v>
      </c>
      <c r="G848" s="1">
        <f t="shared" si="5"/>
        <v>14709.79585</v>
      </c>
      <c r="H848" s="1">
        <f t="shared" si="6"/>
        <v>26967.95905</v>
      </c>
      <c r="I848" s="1">
        <f t="shared" si="7"/>
        <v>44129.38754</v>
      </c>
    </row>
    <row r="849" hidden="1">
      <c r="A849" s="266">
        <f>IFERROR(__xludf.DUMMYFUNCTION("""COMPUTED_VALUE"""),43485.99861111111)</f>
        <v>43485.99861</v>
      </c>
      <c r="B849" s="1">
        <f>IFERROR(__xludf.DUMMYFUNCTION("""COMPUTED_VALUE"""),3546.262)</f>
        <v>3546.262</v>
      </c>
      <c r="C849" s="58">
        <f t="shared" si="1"/>
        <v>3669.998611</v>
      </c>
      <c r="D849" s="1">
        <f t="shared" si="2"/>
        <v>2455.510749</v>
      </c>
      <c r="E849" s="1">
        <f t="shared" si="3"/>
        <v>4419.919349</v>
      </c>
      <c r="F849" s="1">
        <f t="shared" si="4"/>
        <v>8348.736548</v>
      </c>
      <c r="G849" s="1">
        <f t="shared" si="5"/>
        <v>14733.0645</v>
      </c>
      <c r="H849" s="1">
        <f t="shared" si="6"/>
        <v>27010.61824</v>
      </c>
      <c r="I849" s="1">
        <f t="shared" si="7"/>
        <v>44199.19349</v>
      </c>
    </row>
    <row r="850" hidden="1">
      <c r="A850" s="266">
        <f>IFERROR(__xludf.DUMMYFUNCTION("""COMPUTED_VALUE"""),43486.99861111111)</f>
        <v>43486.99861</v>
      </c>
      <c r="B850" s="1">
        <f>IFERROR(__xludf.DUMMYFUNCTION("""COMPUTED_VALUE"""),3535.121)</f>
        <v>3535.121</v>
      </c>
      <c r="C850" s="58">
        <f t="shared" si="1"/>
        <v>3670.998611</v>
      </c>
      <c r="D850" s="1">
        <f t="shared" si="2"/>
        <v>2459.393933</v>
      </c>
      <c r="E850" s="1">
        <f t="shared" si="3"/>
        <v>4426.90908</v>
      </c>
      <c r="F850" s="1">
        <f t="shared" si="4"/>
        <v>8361.939372</v>
      </c>
      <c r="G850" s="1">
        <f t="shared" si="5"/>
        <v>14756.3636</v>
      </c>
      <c r="H850" s="1">
        <f t="shared" si="6"/>
        <v>27053.33326</v>
      </c>
      <c r="I850" s="1">
        <f t="shared" si="7"/>
        <v>44269.0908</v>
      </c>
    </row>
    <row r="851" hidden="1">
      <c r="A851" s="266">
        <f>IFERROR(__xludf.DUMMYFUNCTION("""COMPUTED_VALUE"""),43487.99861111111)</f>
        <v>43487.99861</v>
      </c>
      <c r="B851" s="1">
        <f>IFERROR(__xludf.DUMMYFUNCTION("""COMPUTED_VALUE"""),3580.058)</f>
        <v>3580.058</v>
      </c>
      <c r="C851" s="58">
        <f t="shared" si="1"/>
        <v>3671.998611</v>
      </c>
      <c r="D851" s="1">
        <f t="shared" si="2"/>
        <v>2463.282198</v>
      </c>
      <c r="E851" s="1">
        <f t="shared" si="3"/>
        <v>4433.907956</v>
      </c>
      <c r="F851" s="1">
        <f t="shared" si="4"/>
        <v>8375.159472</v>
      </c>
      <c r="G851" s="1">
        <f t="shared" si="5"/>
        <v>14779.69319</v>
      </c>
      <c r="H851" s="1">
        <f t="shared" si="6"/>
        <v>27096.10417</v>
      </c>
      <c r="I851" s="1">
        <f t="shared" si="7"/>
        <v>44339.07956</v>
      </c>
    </row>
    <row r="852" hidden="1">
      <c r="A852" s="266">
        <f>IFERROR(__xludf.DUMMYFUNCTION("""COMPUTED_VALUE"""),43488.99861111111)</f>
        <v>43488.99861</v>
      </c>
      <c r="B852" s="1">
        <f>IFERROR(__xludf.DUMMYFUNCTION("""COMPUTED_VALUE"""),3562.129)</f>
        <v>3562.129</v>
      </c>
      <c r="C852" s="58">
        <f t="shared" si="1"/>
        <v>3672.998611</v>
      </c>
      <c r="D852" s="1">
        <f t="shared" si="2"/>
        <v>2467.175548</v>
      </c>
      <c r="E852" s="1">
        <f t="shared" si="3"/>
        <v>4440.915987</v>
      </c>
      <c r="F852" s="1">
        <f t="shared" si="4"/>
        <v>8388.396864</v>
      </c>
      <c r="G852" s="1">
        <f t="shared" si="5"/>
        <v>14803.05329</v>
      </c>
      <c r="H852" s="1">
        <f t="shared" si="6"/>
        <v>27138.93103</v>
      </c>
      <c r="I852" s="1">
        <f t="shared" si="7"/>
        <v>44409.15987</v>
      </c>
    </row>
    <row r="853" hidden="1">
      <c r="A853" s="266">
        <f>IFERROR(__xludf.DUMMYFUNCTION("""COMPUTED_VALUE"""),43489.99861111111)</f>
        <v>43489.99861</v>
      </c>
      <c r="B853" s="1">
        <f>IFERROR(__xludf.DUMMYFUNCTION("""COMPUTED_VALUE"""),3581.396)</f>
        <v>3581.396</v>
      </c>
      <c r="C853" s="58">
        <f t="shared" si="1"/>
        <v>3673.998611</v>
      </c>
      <c r="D853" s="1">
        <f t="shared" si="2"/>
        <v>2471.07399</v>
      </c>
      <c r="E853" s="1">
        <f t="shared" si="3"/>
        <v>4447.933182</v>
      </c>
      <c r="F853" s="1">
        <f t="shared" si="4"/>
        <v>8401.651566</v>
      </c>
      <c r="G853" s="1">
        <f t="shared" si="5"/>
        <v>14826.44394</v>
      </c>
      <c r="H853" s="1">
        <f t="shared" si="6"/>
        <v>27181.81389</v>
      </c>
      <c r="I853" s="1">
        <f t="shared" si="7"/>
        <v>44479.33182</v>
      </c>
    </row>
    <row r="854" hidden="1">
      <c r="A854" s="266">
        <f>IFERROR(__xludf.DUMMYFUNCTION("""COMPUTED_VALUE"""),43490.99861111111)</f>
        <v>43490.99861</v>
      </c>
      <c r="B854" s="1">
        <f>IFERROR(__xludf.DUMMYFUNCTION("""COMPUTED_VALUE"""),3572.515)</f>
        <v>3572.515</v>
      </c>
      <c r="C854" s="58">
        <f t="shared" si="1"/>
        <v>3674.998611</v>
      </c>
      <c r="D854" s="1">
        <f t="shared" si="2"/>
        <v>2474.977528</v>
      </c>
      <c r="E854" s="1">
        <f t="shared" si="3"/>
        <v>4454.959551</v>
      </c>
      <c r="F854" s="1">
        <f t="shared" si="4"/>
        <v>8414.923597</v>
      </c>
      <c r="G854" s="1">
        <f t="shared" si="5"/>
        <v>14849.86517</v>
      </c>
      <c r="H854" s="1">
        <f t="shared" si="6"/>
        <v>27224.75281</v>
      </c>
      <c r="I854" s="1">
        <f t="shared" si="7"/>
        <v>44549.59551</v>
      </c>
    </row>
    <row r="855" hidden="1">
      <c r="A855" s="266">
        <f>IFERROR(__xludf.DUMMYFUNCTION("""COMPUTED_VALUE"""),43491.99861111111)</f>
        <v>43491.99861</v>
      </c>
      <c r="B855" s="1">
        <f>IFERROR(__xludf.DUMMYFUNCTION("""COMPUTED_VALUE"""),3573.374)</f>
        <v>3573.374</v>
      </c>
      <c r="C855" s="58">
        <f t="shared" si="1"/>
        <v>3675.998611</v>
      </c>
      <c r="D855" s="1">
        <f t="shared" si="2"/>
        <v>2478.886169</v>
      </c>
      <c r="E855" s="1">
        <f t="shared" si="3"/>
        <v>4461.995104</v>
      </c>
      <c r="F855" s="1">
        <f t="shared" si="4"/>
        <v>8428.212974</v>
      </c>
      <c r="G855" s="1">
        <f t="shared" si="5"/>
        <v>14873.31701</v>
      </c>
      <c r="H855" s="1">
        <f t="shared" si="6"/>
        <v>27267.74786</v>
      </c>
      <c r="I855" s="1">
        <f t="shared" si="7"/>
        <v>44619.95104</v>
      </c>
    </row>
    <row r="856" hidden="1">
      <c r="A856" s="266">
        <f>IFERROR(__xludf.DUMMYFUNCTION("""COMPUTED_VALUE"""),43492.99861111111)</f>
        <v>43492.99861</v>
      </c>
      <c r="B856" s="1">
        <f>IFERROR(__xludf.DUMMYFUNCTION("""COMPUTED_VALUE"""),3563.02)</f>
        <v>3563.02</v>
      </c>
      <c r="C856" s="58">
        <f t="shared" si="1"/>
        <v>3676.998611</v>
      </c>
      <c r="D856" s="1">
        <f t="shared" si="2"/>
        <v>2482.799916</v>
      </c>
      <c r="E856" s="1">
        <f t="shared" si="3"/>
        <v>4469.039849</v>
      </c>
      <c r="F856" s="1">
        <f t="shared" si="4"/>
        <v>8441.519715</v>
      </c>
      <c r="G856" s="1">
        <f t="shared" si="5"/>
        <v>14896.7995</v>
      </c>
      <c r="H856" s="1">
        <f t="shared" si="6"/>
        <v>27310.79908</v>
      </c>
      <c r="I856" s="1">
        <f t="shared" si="7"/>
        <v>44690.39849</v>
      </c>
    </row>
    <row r="857" hidden="1">
      <c r="A857" s="266">
        <f>IFERROR(__xludf.DUMMYFUNCTION("""COMPUTED_VALUE"""),43493.99861111111)</f>
        <v>43493.99861</v>
      </c>
      <c r="B857" s="1">
        <f>IFERROR(__xludf.DUMMYFUNCTION("""COMPUTED_VALUE"""),3440.252)</f>
        <v>3440.252</v>
      </c>
      <c r="C857" s="58">
        <f t="shared" si="1"/>
        <v>3677.998611</v>
      </c>
      <c r="D857" s="1">
        <f t="shared" si="2"/>
        <v>2486.718776</v>
      </c>
      <c r="E857" s="1">
        <f t="shared" si="3"/>
        <v>4476.093797</v>
      </c>
      <c r="F857" s="1">
        <f t="shared" si="4"/>
        <v>8454.843838</v>
      </c>
      <c r="G857" s="1">
        <f t="shared" si="5"/>
        <v>14920.31266</v>
      </c>
      <c r="H857" s="1">
        <f t="shared" si="6"/>
        <v>27353.90653</v>
      </c>
      <c r="I857" s="1">
        <f t="shared" si="7"/>
        <v>44760.93797</v>
      </c>
    </row>
    <row r="858" hidden="1">
      <c r="A858" s="266">
        <f>IFERROR(__xludf.DUMMYFUNCTION("""COMPUTED_VALUE"""),43494.99861111111)</f>
        <v>43494.99861</v>
      </c>
      <c r="B858" s="1">
        <f>IFERROR(__xludf.DUMMYFUNCTION("""COMPUTED_VALUE"""),3404.484)</f>
        <v>3404.484</v>
      </c>
      <c r="C858" s="58">
        <f t="shared" si="1"/>
        <v>3678.998611</v>
      </c>
      <c r="D858" s="1">
        <f t="shared" si="2"/>
        <v>2490.642753</v>
      </c>
      <c r="E858" s="1">
        <f t="shared" si="3"/>
        <v>4483.156956</v>
      </c>
      <c r="F858" s="1">
        <f t="shared" si="4"/>
        <v>8468.185361</v>
      </c>
      <c r="G858" s="1">
        <f t="shared" si="5"/>
        <v>14943.85652</v>
      </c>
      <c r="H858" s="1">
        <f t="shared" si="6"/>
        <v>27397.07029</v>
      </c>
      <c r="I858" s="1">
        <f t="shared" si="7"/>
        <v>44831.56956</v>
      </c>
    </row>
    <row r="859" hidden="1">
      <c r="A859" s="266">
        <f>IFERROR(__xludf.DUMMYFUNCTION("""COMPUTED_VALUE"""),43495.99861111111)</f>
        <v>43495.99861</v>
      </c>
      <c r="B859" s="1">
        <f>IFERROR(__xludf.DUMMYFUNCTION("""COMPUTED_VALUE"""),3458.88)</f>
        <v>3458.88</v>
      </c>
      <c r="C859" s="58">
        <f t="shared" si="1"/>
        <v>3679.998611</v>
      </c>
      <c r="D859" s="1">
        <f t="shared" si="2"/>
        <v>2494.571854</v>
      </c>
      <c r="E859" s="1">
        <f t="shared" si="3"/>
        <v>4490.229337</v>
      </c>
      <c r="F859" s="1">
        <f t="shared" si="4"/>
        <v>8481.544303</v>
      </c>
      <c r="G859" s="1">
        <f t="shared" si="5"/>
        <v>14967.43112</v>
      </c>
      <c r="H859" s="1">
        <f t="shared" si="6"/>
        <v>27440.29039</v>
      </c>
      <c r="I859" s="1">
        <f t="shared" si="7"/>
        <v>44902.29337</v>
      </c>
    </row>
    <row r="860" hidden="1">
      <c r="A860" s="266">
        <f>IFERROR(__xludf.DUMMYFUNCTION("""COMPUTED_VALUE"""),43496.99861111111)</f>
        <v>43496.99861</v>
      </c>
      <c r="B860" s="1">
        <f>IFERROR(__xludf.DUMMYFUNCTION("""COMPUTED_VALUE"""),3419.343)</f>
        <v>3419.343</v>
      </c>
      <c r="C860" s="58">
        <f t="shared" si="1"/>
        <v>3680.998611</v>
      </c>
      <c r="D860" s="1">
        <f t="shared" si="2"/>
        <v>2498.506082</v>
      </c>
      <c r="E860" s="1">
        <f t="shared" si="3"/>
        <v>4497.310948</v>
      </c>
      <c r="F860" s="1">
        <f t="shared" si="4"/>
        <v>8494.92068</v>
      </c>
      <c r="G860" s="1">
        <f t="shared" si="5"/>
        <v>14991.03649</v>
      </c>
      <c r="H860" s="1">
        <f t="shared" si="6"/>
        <v>27483.56691</v>
      </c>
      <c r="I860" s="1">
        <f t="shared" si="7"/>
        <v>44973.10948</v>
      </c>
    </row>
    <row r="861" hidden="1">
      <c r="A861" s="266">
        <f>IFERROR(__xludf.DUMMYFUNCTION("""COMPUTED_VALUE"""),43497.99861111111)</f>
        <v>43497.99861</v>
      </c>
      <c r="B861" s="1">
        <f>IFERROR(__xludf.DUMMYFUNCTION("""COMPUTED_VALUE"""),3450.264)</f>
        <v>3450.264</v>
      </c>
      <c r="C861" s="58">
        <f t="shared" si="1"/>
        <v>3681.998611</v>
      </c>
      <c r="D861" s="1">
        <f t="shared" si="2"/>
        <v>2502.445445</v>
      </c>
      <c r="E861" s="1">
        <f t="shared" si="3"/>
        <v>4504.4018</v>
      </c>
      <c r="F861" s="1">
        <f t="shared" si="4"/>
        <v>8508.314512</v>
      </c>
      <c r="G861" s="1">
        <f t="shared" si="5"/>
        <v>15014.67267</v>
      </c>
      <c r="H861" s="1">
        <f t="shared" si="6"/>
        <v>27526.89989</v>
      </c>
      <c r="I861" s="1">
        <f t="shared" si="7"/>
        <v>45044.018</v>
      </c>
    </row>
    <row r="862" hidden="1">
      <c r="A862" s="266">
        <f>IFERROR(__xludf.DUMMYFUNCTION("""COMPUTED_VALUE"""),43498.99861111111)</f>
        <v>43498.99861</v>
      </c>
      <c r="B862" s="1">
        <f>IFERROR(__xludf.DUMMYFUNCTION("""COMPUTED_VALUE"""),3493.482)</f>
        <v>3493.482</v>
      </c>
      <c r="C862" s="58">
        <f t="shared" si="1"/>
        <v>3682.998611</v>
      </c>
      <c r="D862" s="1">
        <f t="shared" si="2"/>
        <v>2506.389946</v>
      </c>
      <c r="E862" s="1">
        <f t="shared" si="3"/>
        <v>4511.501902</v>
      </c>
      <c r="F862" s="1">
        <f t="shared" si="4"/>
        <v>8521.725815</v>
      </c>
      <c r="G862" s="1">
        <f t="shared" si="5"/>
        <v>15038.33967</v>
      </c>
      <c r="H862" s="1">
        <f t="shared" si="6"/>
        <v>27570.2894</v>
      </c>
      <c r="I862" s="1">
        <f t="shared" si="7"/>
        <v>45115.01902</v>
      </c>
    </row>
    <row r="863" hidden="1">
      <c r="A863" s="266">
        <f>IFERROR(__xludf.DUMMYFUNCTION("""COMPUTED_VALUE"""),43499.99861111111)</f>
        <v>43499.99861</v>
      </c>
      <c r="B863" s="1">
        <f>IFERROR(__xludf.DUMMYFUNCTION("""COMPUTED_VALUE"""),3426.086)</f>
        <v>3426.086</v>
      </c>
      <c r="C863" s="58">
        <f t="shared" si="1"/>
        <v>3683.998611</v>
      </c>
      <c r="D863" s="1">
        <f t="shared" si="2"/>
        <v>2510.339591</v>
      </c>
      <c r="E863" s="1">
        <f t="shared" si="3"/>
        <v>4518.611264</v>
      </c>
      <c r="F863" s="1">
        <f t="shared" si="4"/>
        <v>8535.154609</v>
      </c>
      <c r="G863" s="1">
        <f t="shared" si="5"/>
        <v>15062.03755</v>
      </c>
      <c r="H863" s="1">
        <f t="shared" si="6"/>
        <v>27613.7355</v>
      </c>
      <c r="I863" s="1">
        <f t="shared" si="7"/>
        <v>45186.11264</v>
      </c>
    </row>
    <row r="864" hidden="1">
      <c r="A864" s="266">
        <f>IFERROR(__xludf.DUMMYFUNCTION("""COMPUTED_VALUE"""),43500.99861111111)</f>
        <v>43500.99861</v>
      </c>
      <c r="B864" s="1">
        <f>IFERROR(__xludf.DUMMYFUNCTION("""COMPUTED_VALUE"""),3418.105)</f>
        <v>3418.105</v>
      </c>
      <c r="C864" s="58">
        <f t="shared" si="1"/>
        <v>3684.998611</v>
      </c>
      <c r="D864" s="1">
        <f t="shared" si="2"/>
        <v>2514.294386</v>
      </c>
      <c r="E864" s="1">
        <f t="shared" si="3"/>
        <v>4525.729894</v>
      </c>
      <c r="F864" s="1">
        <f t="shared" si="4"/>
        <v>8548.600911</v>
      </c>
      <c r="G864" s="1">
        <f t="shared" si="5"/>
        <v>15085.76631</v>
      </c>
      <c r="H864" s="1">
        <f t="shared" si="6"/>
        <v>27657.23824</v>
      </c>
      <c r="I864" s="1">
        <f t="shared" si="7"/>
        <v>45257.29894</v>
      </c>
    </row>
    <row r="865" hidden="1">
      <c r="A865" s="266">
        <f>IFERROR(__xludf.DUMMYFUNCTION("""COMPUTED_VALUE"""),43501.99861111111)</f>
        <v>43501.99861</v>
      </c>
      <c r="B865" s="1">
        <f>IFERROR(__xludf.DUMMYFUNCTION("""COMPUTED_VALUE"""),3447.196)</f>
        <v>3447.196</v>
      </c>
      <c r="C865" s="58">
        <f t="shared" si="1"/>
        <v>3685.998611</v>
      </c>
      <c r="D865" s="1">
        <f t="shared" si="2"/>
        <v>2518.254335</v>
      </c>
      <c r="E865" s="1">
        <f t="shared" si="3"/>
        <v>4532.857803</v>
      </c>
      <c r="F865" s="1">
        <f t="shared" si="4"/>
        <v>8562.064739</v>
      </c>
      <c r="G865" s="1">
        <f t="shared" si="5"/>
        <v>15109.52601</v>
      </c>
      <c r="H865" s="1">
        <f t="shared" si="6"/>
        <v>27700.79769</v>
      </c>
      <c r="I865" s="1">
        <f t="shared" si="7"/>
        <v>45328.57803</v>
      </c>
    </row>
    <row r="866" hidden="1">
      <c r="A866" s="266">
        <f>IFERROR(__xludf.DUMMYFUNCTION("""COMPUTED_VALUE"""),43502.99861111111)</f>
        <v>43502.99861</v>
      </c>
      <c r="B866" s="1">
        <f>IFERROR(__xludf.DUMMYFUNCTION("""COMPUTED_VALUE"""),3380.267)</f>
        <v>3380.267</v>
      </c>
      <c r="C866" s="58">
        <f t="shared" si="1"/>
        <v>3686.998611</v>
      </c>
      <c r="D866" s="1">
        <f t="shared" si="2"/>
        <v>2522.219445</v>
      </c>
      <c r="E866" s="1">
        <f t="shared" si="3"/>
        <v>4539.995</v>
      </c>
      <c r="F866" s="1">
        <f t="shared" si="4"/>
        <v>8575.546112</v>
      </c>
      <c r="G866" s="1">
        <f t="shared" si="5"/>
        <v>15133.31667</v>
      </c>
      <c r="H866" s="1">
        <f t="shared" si="6"/>
        <v>27744.41389</v>
      </c>
      <c r="I866" s="1">
        <f t="shared" si="7"/>
        <v>45399.95</v>
      </c>
    </row>
    <row r="867" hidden="1">
      <c r="A867" s="266">
        <f>IFERROR(__xludf.DUMMYFUNCTION("""COMPUTED_VALUE"""),43503.99861111111)</f>
        <v>43503.99861</v>
      </c>
      <c r="B867" s="1">
        <f>IFERROR(__xludf.DUMMYFUNCTION("""COMPUTED_VALUE"""),3367.105)</f>
        <v>3367.105</v>
      </c>
      <c r="C867" s="58">
        <f t="shared" si="1"/>
        <v>3687.998611</v>
      </c>
      <c r="D867" s="1">
        <f t="shared" si="2"/>
        <v>2526.18972</v>
      </c>
      <c r="E867" s="1">
        <f t="shared" si="3"/>
        <v>4547.141495</v>
      </c>
      <c r="F867" s="1">
        <f t="shared" si="4"/>
        <v>8589.045047</v>
      </c>
      <c r="G867" s="1">
        <f t="shared" si="5"/>
        <v>15157.13832</v>
      </c>
      <c r="H867" s="1">
        <f t="shared" si="6"/>
        <v>27788.08692</v>
      </c>
      <c r="I867" s="1">
        <f t="shared" si="7"/>
        <v>45471.41495</v>
      </c>
    </row>
    <row r="868" hidden="1">
      <c r="A868" s="266">
        <f>IFERROR(__xludf.DUMMYFUNCTION("""COMPUTED_VALUE"""),43504.99861111111)</f>
        <v>43504.99861</v>
      </c>
      <c r="B868" s="1">
        <f>IFERROR(__xludf.DUMMYFUNCTION("""COMPUTED_VALUE"""),3644.61)</f>
        <v>3644.61</v>
      </c>
      <c r="C868" s="58">
        <f t="shared" si="1"/>
        <v>3688.998611</v>
      </c>
      <c r="D868" s="1">
        <f t="shared" si="2"/>
        <v>2530.165165</v>
      </c>
      <c r="E868" s="1">
        <f t="shared" si="3"/>
        <v>4554.297298</v>
      </c>
      <c r="F868" s="1">
        <f t="shared" si="4"/>
        <v>8602.561563</v>
      </c>
      <c r="G868" s="1">
        <f t="shared" si="5"/>
        <v>15180.99099</v>
      </c>
      <c r="H868" s="1">
        <f t="shared" si="6"/>
        <v>27831.81682</v>
      </c>
      <c r="I868" s="1">
        <f t="shared" si="7"/>
        <v>45542.97298</v>
      </c>
    </row>
    <row r="869" hidden="1">
      <c r="A869" s="266">
        <f>IFERROR(__xludf.DUMMYFUNCTION("""COMPUTED_VALUE"""),43505.99861111111)</f>
        <v>43505.99861</v>
      </c>
      <c r="B869" s="1">
        <f>IFERROR(__xludf.DUMMYFUNCTION("""COMPUTED_VALUE"""),3638.609)</f>
        <v>3638.609</v>
      </c>
      <c r="C869" s="58">
        <f t="shared" si="1"/>
        <v>3689.998611</v>
      </c>
      <c r="D869" s="1">
        <f t="shared" si="2"/>
        <v>2534.145787</v>
      </c>
      <c r="E869" s="1">
        <f t="shared" si="3"/>
        <v>4561.462417</v>
      </c>
      <c r="F869" s="1">
        <f t="shared" si="4"/>
        <v>8616.095677</v>
      </c>
      <c r="G869" s="1">
        <f t="shared" si="5"/>
        <v>15204.87472</v>
      </c>
      <c r="H869" s="1">
        <f t="shared" si="6"/>
        <v>27875.60366</v>
      </c>
      <c r="I869" s="1">
        <f t="shared" si="7"/>
        <v>45614.62417</v>
      </c>
    </row>
    <row r="870" hidden="1">
      <c r="A870" s="266">
        <f>IFERROR(__xludf.DUMMYFUNCTION("""COMPUTED_VALUE"""),43506.99861111111)</f>
        <v>43506.99861</v>
      </c>
      <c r="B870" s="1">
        <f>IFERROR(__xludf.DUMMYFUNCTION("""COMPUTED_VALUE"""),3653.442)</f>
        <v>3653.442</v>
      </c>
      <c r="C870" s="58">
        <f t="shared" si="1"/>
        <v>3690.998611</v>
      </c>
      <c r="D870" s="1">
        <f t="shared" si="2"/>
        <v>2538.131591</v>
      </c>
      <c r="E870" s="1">
        <f t="shared" si="3"/>
        <v>4568.636863</v>
      </c>
      <c r="F870" s="1">
        <f t="shared" si="4"/>
        <v>8629.647408</v>
      </c>
      <c r="G870" s="1">
        <f t="shared" si="5"/>
        <v>15228.78954</v>
      </c>
      <c r="H870" s="1">
        <f t="shared" si="6"/>
        <v>27919.4475</v>
      </c>
      <c r="I870" s="1">
        <f t="shared" si="7"/>
        <v>45686.36863</v>
      </c>
    </row>
    <row r="871" hidden="1">
      <c r="A871" s="266">
        <f>IFERROR(__xludf.DUMMYFUNCTION("""COMPUTED_VALUE"""),43507.99861111111)</f>
        <v>43507.99861</v>
      </c>
      <c r="B871" s="1">
        <f>IFERROR(__xludf.DUMMYFUNCTION("""COMPUTED_VALUE"""),3616.495)</f>
        <v>3616.495</v>
      </c>
      <c r="C871" s="58">
        <f t="shared" si="1"/>
        <v>3691.998611</v>
      </c>
      <c r="D871" s="1">
        <f t="shared" si="2"/>
        <v>2542.122581</v>
      </c>
      <c r="E871" s="1">
        <f t="shared" si="3"/>
        <v>4575.820645</v>
      </c>
      <c r="F871" s="1">
        <f t="shared" si="4"/>
        <v>8643.216774</v>
      </c>
      <c r="G871" s="1">
        <f t="shared" si="5"/>
        <v>15252.73548</v>
      </c>
      <c r="H871" s="1">
        <f t="shared" si="6"/>
        <v>27963.34839</v>
      </c>
      <c r="I871" s="1">
        <f t="shared" si="7"/>
        <v>45758.20645</v>
      </c>
    </row>
    <row r="872" hidden="1">
      <c r="A872" s="266">
        <f>IFERROR(__xludf.DUMMYFUNCTION("""COMPUTED_VALUE"""),43508.99861111111)</f>
        <v>43508.99861</v>
      </c>
      <c r="B872" s="1">
        <f>IFERROR(__xludf.DUMMYFUNCTION("""COMPUTED_VALUE"""),3611.743)</f>
        <v>3611.743</v>
      </c>
      <c r="C872" s="58">
        <f t="shared" si="1"/>
        <v>3692.998611</v>
      </c>
      <c r="D872" s="1">
        <f t="shared" si="2"/>
        <v>2546.118763</v>
      </c>
      <c r="E872" s="1">
        <f t="shared" si="3"/>
        <v>4583.013773</v>
      </c>
      <c r="F872" s="1">
        <f t="shared" si="4"/>
        <v>8656.803793</v>
      </c>
      <c r="G872" s="1">
        <f t="shared" si="5"/>
        <v>15276.71258</v>
      </c>
      <c r="H872" s="1">
        <f t="shared" si="6"/>
        <v>28007.30639</v>
      </c>
      <c r="I872" s="1">
        <f t="shared" si="7"/>
        <v>45830.13773</v>
      </c>
    </row>
    <row r="873" hidden="1">
      <c r="A873" s="266">
        <f>IFERROR(__xludf.DUMMYFUNCTION("""COMPUTED_VALUE"""),43509.99861111111)</f>
        <v>43509.99861</v>
      </c>
      <c r="B873" s="1">
        <f>IFERROR(__xludf.DUMMYFUNCTION("""COMPUTED_VALUE"""),3585.572)</f>
        <v>3585.572</v>
      </c>
      <c r="C873" s="58">
        <f t="shared" si="1"/>
        <v>3693.998611</v>
      </c>
      <c r="D873" s="1">
        <f t="shared" si="2"/>
        <v>2550.120142</v>
      </c>
      <c r="E873" s="1">
        <f t="shared" si="3"/>
        <v>4590.216256</v>
      </c>
      <c r="F873" s="1">
        <f t="shared" si="4"/>
        <v>8670.408484</v>
      </c>
      <c r="G873" s="1">
        <f t="shared" si="5"/>
        <v>15300.72085</v>
      </c>
      <c r="H873" s="1">
        <f t="shared" si="6"/>
        <v>28051.32157</v>
      </c>
      <c r="I873" s="1">
        <f t="shared" si="7"/>
        <v>45902.16256</v>
      </c>
    </row>
    <row r="874" hidden="1">
      <c r="A874" s="266">
        <f>IFERROR(__xludf.DUMMYFUNCTION("""COMPUTED_VALUE"""),43510.99861111111)</f>
        <v>43510.99861</v>
      </c>
      <c r="B874" s="1">
        <f>IFERROR(__xludf.DUMMYFUNCTION("""COMPUTED_VALUE"""),3568.421)</f>
        <v>3568.421</v>
      </c>
      <c r="C874" s="58">
        <f t="shared" si="1"/>
        <v>3694.998611</v>
      </c>
      <c r="D874" s="1">
        <f t="shared" si="2"/>
        <v>2554.126725</v>
      </c>
      <c r="E874" s="1">
        <f t="shared" si="3"/>
        <v>4597.428104</v>
      </c>
      <c r="F874" s="1">
        <f t="shared" si="4"/>
        <v>8684.030864</v>
      </c>
      <c r="G874" s="1">
        <f t="shared" si="5"/>
        <v>15324.76035</v>
      </c>
      <c r="H874" s="1">
        <f t="shared" si="6"/>
        <v>28095.39397</v>
      </c>
      <c r="I874" s="1">
        <f t="shared" si="7"/>
        <v>45974.28104</v>
      </c>
    </row>
    <row r="875" hidden="1">
      <c r="A875" s="266">
        <f>IFERROR(__xludf.DUMMYFUNCTION("""COMPUTED_VALUE"""),43511.99861111111)</f>
        <v>43511.99861</v>
      </c>
      <c r="B875" s="1">
        <f>IFERROR(__xludf.DUMMYFUNCTION("""COMPUTED_VALUE"""),3576.929)</f>
        <v>3576.929</v>
      </c>
      <c r="C875" s="58">
        <f t="shared" si="1"/>
        <v>3695.998611</v>
      </c>
      <c r="D875" s="1">
        <f t="shared" si="2"/>
        <v>2558.138515</v>
      </c>
      <c r="E875" s="1">
        <f t="shared" si="3"/>
        <v>4604.649327</v>
      </c>
      <c r="F875" s="1">
        <f t="shared" si="4"/>
        <v>8697.670952</v>
      </c>
      <c r="G875" s="1">
        <f t="shared" si="5"/>
        <v>15348.83109</v>
      </c>
      <c r="H875" s="1">
        <f t="shared" si="6"/>
        <v>28139.52367</v>
      </c>
      <c r="I875" s="1">
        <f t="shared" si="7"/>
        <v>46046.49327</v>
      </c>
    </row>
    <row r="876" hidden="1">
      <c r="A876" s="266">
        <f>IFERROR(__xludf.DUMMYFUNCTION("""COMPUTED_VALUE"""),43512.99861111111)</f>
        <v>43512.99861</v>
      </c>
      <c r="B876" s="1">
        <f>IFERROR(__xludf.DUMMYFUNCTION("""COMPUTED_VALUE"""),3602.563)</f>
        <v>3602.563</v>
      </c>
      <c r="C876" s="58">
        <f t="shared" si="1"/>
        <v>3696.998611</v>
      </c>
      <c r="D876" s="1">
        <f t="shared" si="2"/>
        <v>2562.155519</v>
      </c>
      <c r="E876" s="1">
        <f t="shared" si="3"/>
        <v>4611.879935</v>
      </c>
      <c r="F876" s="1">
        <f t="shared" si="4"/>
        <v>8711.328765</v>
      </c>
      <c r="G876" s="1">
        <f t="shared" si="5"/>
        <v>15372.93312</v>
      </c>
      <c r="H876" s="1">
        <f t="shared" si="6"/>
        <v>28183.71071</v>
      </c>
      <c r="I876" s="1">
        <f t="shared" si="7"/>
        <v>46118.79935</v>
      </c>
    </row>
    <row r="877" hidden="1">
      <c r="A877" s="266">
        <f>IFERROR(__xludf.DUMMYFUNCTION("""COMPUTED_VALUE"""),43513.99861111111)</f>
        <v>43513.99861</v>
      </c>
      <c r="B877" s="1">
        <f>IFERROR(__xludf.DUMMYFUNCTION("""COMPUTED_VALUE"""),3638.836)</f>
        <v>3638.836</v>
      </c>
      <c r="C877" s="58">
        <f t="shared" si="1"/>
        <v>3697.998611</v>
      </c>
      <c r="D877" s="1">
        <f t="shared" si="2"/>
        <v>2566.177742</v>
      </c>
      <c r="E877" s="1">
        <f t="shared" si="3"/>
        <v>4619.119936</v>
      </c>
      <c r="F877" s="1">
        <f t="shared" si="4"/>
        <v>8725.004323</v>
      </c>
      <c r="G877" s="1">
        <f t="shared" si="5"/>
        <v>15397.06645</v>
      </c>
      <c r="H877" s="1">
        <f t="shared" si="6"/>
        <v>28227.95516</v>
      </c>
      <c r="I877" s="1">
        <f t="shared" si="7"/>
        <v>46191.19936</v>
      </c>
    </row>
    <row r="878" hidden="1">
      <c r="A878" s="266">
        <f>IFERROR(__xludf.DUMMYFUNCTION("""COMPUTED_VALUE"""),43515.99861111111)</f>
        <v>43515.99861</v>
      </c>
      <c r="B878" s="1">
        <f>IFERROR(__xludf.DUMMYFUNCTION("""COMPUTED_VALUE"""),3925.876)</f>
        <v>3925.876</v>
      </c>
      <c r="C878" s="58">
        <f t="shared" si="1"/>
        <v>3699.998611</v>
      </c>
      <c r="D878" s="1">
        <f t="shared" si="2"/>
        <v>2574.237866</v>
      </c>
      <c r="E878" s="1">
        <f t="shared" si="3"/>
        <v>4633.628159</v>
      </c>
      <c r="F878" s="1">
        <f t="shared" si="4"/>
        <v>8752.408744</v>
      </c>
      <c r="G878" s="1">
        <f t="shared" si="5"/>
        <v>15445.4272</v>
      </c>
      <c r="H878" s="1">
        <f t="shared" si="6"/>
        <v>28316.61653</v>
      </c>
      <c r="I878" s="1">
        <f t="shared" si="7"/>
        <v>46336.28159</v>
      </c>
    </row>
    <row r="879" hidden="1">
      <c r="A879" s="266">
        <f>IFERROR(__xludf.DUMMYFUNCTION("""COMPUTED_VALUE"""),43516.99861111111)</f>
        <v>43516.99861</v>
      </c>
      <c r="B879" s="1">
        <f>IFERROR(__xludf.DUMMYFUNCTION("""COMPUTED_VALUE"""),3952.553)</f>
        <v>3952.553</v>
      </c>
      <c r="C879" s="58">
        <f t="shared" si="1"/>
        <v>3700.998611</v>
      </c>
      <c r="D879" s="1">
        <f t="shared" si="2"/>
        <v>2578.275778</v>
      </c>
      <c r="E879" s="1">
        <f t="shared" si="3"/>
        <v>4640.8964</v>
      </c>
      <c r="F879" s="1">
        <f t="shared" si="4"/>
        <v>8766.137644</v>
      </c>
      <c r="G879" s="1">
        <f t="shared" si="5"/>
        <v>15469.65467</v>
      </c>
      <c r="H879" s="1">
        <f t="shared" si="6"/>
        <v>28361.03355</v>
      </c>
      <c r="I879" s="1">
        <f t="shared" si="7"/>
        <v>46408.964</v>
      </c>
    </row>
    <row r="880" hidden="1">
      <c r="A880" s="266">
        <f>IFERROR(__xludf.DUMMYFUNCTION("""COMPUTED_VALUE"""),43517.99861111111)</f>
        <v>43517.99861</v>
      </c>
      <c r="B880" s="1">
        <f>IFERROR(__xludf.DUMMYFUNCTION("""COMPUTED_VALUE"""),3915.29)</f>
        <v>3915.29</v>
      </c>
      <c r="C880" s="58">
        <f t="shared" si="1"/>
        <v>3701.998611</v>
      </c>
      <c r="D880" s="1">
        <f t="shared" si="2"/>
        <v>2582.31893</v>
      </c>
      <c r="E880" s="1">
        <f t="shared" si="3"/>
        <v>4648.174073</v>
      </c>
      <c r="F880" s="1">
        <f t="shared" si="4"/>
        <v>8779.884361</v>
      </c>
      <c r="G880" s="1">
        <f t="shared" si="5"/>
        <v>15493.91358</v>
      </c>
      <c r="H880" s="1">
        <f t="shared" si="6"/>
        <v>28405.50823</v>
      </c>
      <c r="I880" s="1">
        <f t="shared" si="7"/>
        <v>46481.74073</v>
      </c>
    </row>
    <row r="881" hidden="1">
      <c r="A881" s="266">
        <f>IFERROR(__xludf.DUMMYFUNCTION("""COMPUTED_VALUE"""),43518.99861111111)</f>
        <v>43518.99861</v>
      </c>
      <c r="B881" s="1">
        <f>IFERROR(__xludf.DUMMYFUNCTION("""COMPUTED_VALUE"""),3956.056)</f>
        <v>3956.056</v>
      </c>
      <c r="C881" s="58">
        <f t="shared" si="1"/>
        <v>3702.998611</v>
      </c>
      <c r="D881" s="1">
        <f t="shared" si="2"/>
        <v>2586.367327</v>
      </c>
      <c r="E881" s="1">
        <f t="shared" si="3"/>
        <v>4655.461189</v>
      </c>
      <c r="F881" s="1">
        <f t="shared" si="4"/>
        <v>8793.648913</v>
      </c>
      <c r="G881" s="1">
        <f t="shared" si="5"/>
        <v>15518.20396</v>
      </c>
      <c r="H881" s="1">
        <f t="shared" si="6"/>
        <v>28450.0406</v>
      </c>
      <c r="I881" s="1">
        <f t="shared" si="7"/>
        <v>46554.61189</v>
      </c>
    </row>
    <row r="882" hidden="1">
      <c r="A882" s="266">
        <f>IFERROR(__xludf.DUMMYFUNCTION("""COMPUTED_VALUE"""),43519.99861111111)</f>
        <v>43519.99861</v>
      </c>
      <c r="B882" s="1">
        <f>IFERROR(__xludf.DUMMYFUNCTION("""COMPUTED_VALUE"""),4119.816)</f>
        <v>4119.816</v>
      </c>
      <c r="C882" s="58">
        <f t="shared" si="1"/>
        <v>3703.998611</v>
      </c>
      <c r="D882" s="1">
        <f t="shared" si="2"/>
        <v>2590.420976</v>
      </c>
      <c r="E882" s="1">
        <f t="shared" si="3"/>
        <v>4662.757757</v>
      </c>
      <c r="F882" s="1">
        <f t="shared" si="4"/>
        <v>8807.43132</v>
      </c>
      <c r="G882" s="1">
        <f t="shared" si="5"/>
        <v>15542.52586</v>
      </c>
      <c r="H882" s="1">
        <f t="shared" si="6"/>
        <v>28494.63074</v>
      </c>
      <c r="I882" s="1">
        <f t="shared" si="7"/>
        <v>46627.57757</v>
      </c>
    </row>
    <row r="883" hidden="1">
      <c r="A883" s="266">
        <f>IFERROR(__xludf.DUMMYFUNCTION("""COMPUTED_VALUE"""),43520.99861111111)</f>
        <v>43520.99861</v>
      </c>
      <c r="B883" s="1">
        <f>IFERROR(__xludf.DUMMYFUNCTION("""COMPUTED_VALUE"""),3749.949)</f>
        <v>3749.949</v>
      </c>
      <c r="C883" s="58">
        <f t="shared" si="1"/>
        <v>3704.998611</v>
      </c>
      <c r="D883" s="1">
        <f t="shared" si="2"/>
        <v>2594.479882</v>
      </c>
      <c r="E883" s="1">
        <f t="shared" si="3"/>
        <v>4670.063787</v>
      </c>
      <c r="F883" s="1">
        <f t="shared" si="4"/>
        <v>8821.231598</v>
      </c>
      <c r="G883" s="1">
        <f t="shared" si="5"/>
        <v>15566.87929</v>
      </c>
      <c r="H883" s="1">
        <f t="shared" si="6"/>
        <v>28539.2787</v>
      </c>
      <c r="I883" s="1">
        <f t="shared" si="7"/>
        <v>46700.63787</v>
      </c>
    </row>
    <row r="884" hidden="1">
      <c r="A884" s="266">
        <f>IFERROR(__xludf.DUMMYFUNCTION("""COMPUTED_VALUE"""),43521.99861111111)</f>
        <v>43521.99861</v>
      </c>
      <c r="B884" s="1">
        <f>IFERROR(__xludf.DUMMYFUNCTION("""COMPUTED_VALUE"""),3826.169)</f>
        <v>3826.169</v>
      </c>
      <c r="C884" s="58">
        <f t="shared" si="1"/>
        <v>3705.998611</v>
      </c>
      <c r="D884" s="1">
        <f t="shared" si="2"/>
        <v>2598.544049</v>
      </c>
      <c r="E884" s="1">
        <f t="shared" si="3"/>
        <v>4677.379288</v>
      </c>
      <c r="F884" s="1">
        <f t="shared" si="4"/>
        <v>8835.049767</v>
      </c>
      <c r="G884" s="1">
        <f t="shared" si="5"/>
        <v>15591.26429</v>
      </c>
      <c r="H884" s="1">
        <f t="shared" si="6"/>
        <v>28583.98454</v>
      </c>
      <c r="I884" s="1">
        <f t="shared" si="7"/>
        <v>46773.79288</v>
      </c>
    </row>
    <row r="885" hidden="1">
      <c r="A885" s="266">
        <f>IFERROR(__xludf.DUMMYFUNCTION("""COMPUTED_VALUE"""),43522.99861111111)</f>
        <v>43522.99861</v>
      </c>
      <c r="B885" s="1">
        <f>IFERROR(__xludf.DUMMYFUNCTION("""COMPUTED_VALUE"""),3802.665)</f>
        <v>3802.665</v>
      </c>
      <c r="C885" s="58">
        <f t="shared" si="1"/>
        <v>3706.998611</v>
      </c>
      <c r="D885" s="1">
        <f t="shared" si="2"/>
        <v>2602.613484</v>
      </c>
      <c r="E885" s="1">
        <f t="shared" si="3"/>
        <v>4684.704271</v>
      </c>
      <c r="F885" s="1">
        <f t="shared" si="4"/>
        <v>8848.885845</v>
      </c>
      <c r="G885" s="1">
        <f t="shared" si="5"/>
        <v>15615.6809</v>
      </c>
      <c r="H885" s="1">
        <f t="shared" si="6"/>
        <v>28628.74832</v>
      </c>
      <c r="I885" s="1">
        <f t="shared" si="7"/>
        <v>46847.04271</v>
      </c>
    </row>
    <row r="886" hidden="1">
      <c r="A886" s="266">
        <f>IFERROR(__xludf.DUMMYFUNCTION("""COMPUTED_VALUE"""),43523.99861111111)</f>
        <v>43523.99861</v>
      </c>
      <c r="B886" s="1">
        <f>IFERROR(__xludf.DUMMYFUNCTION("""COMPUTED_VALUE"""),3810.368)</f>
        <v>3810.368</v>
      </c>
      <c r="C886" s="58">
        <f t="shared" si="1"/>
        <v>3707.998611</v>
      </c>
      <c r="D886" s="1">
        <f t="shared" si="2"/>
        <v>2606.688191</v>
      </c>
      <c r="E886" s="1">
        <f t="shared" si="3"/>
        <v>4692.038744</v>
      </c>
      <c r="F886" s="1">
        <f t="shared" si="4"/>
        <v>8862.73985</v>
      </c>
      <c r="G886" s="1">
        <f t="shared" si="5"/>
        <v>15640.12915</v>
      </c>
      <c r="H886" s="1">
        <f t="shared" si="6"/>
        <v>28673.5701</v>
      </c>
      <c r="I886" s="1">
        <f t="shared" si="7"/>
        <v>46920.38744</v>
      </c>
    </row>
    <row r="887" hidden="1">
      <c r="A887" s="266">
        <f>IFERROR(__xludf.DUMMYFUNCTION("""COMPUTED_VALUE"""),43524.99861111111)</f>
        <v>43524.99861</v>
      </c>
      <c r="B887" s="1">
        <f>IFERROR(__xludf.DUMMYFUNCTION("""COMPUTED_VALUE"""),3801.876)</f>
        <v>3801.876</v>
      </c>
      <c r="C887" s="58">
        <f t="shared" si="1"/>
        <v>3708.998611</v>
      </c>
      <c r="D887" s="1">
        <f t="shared" si="2"/>
        <v>2610.768177</v>
      </c>
      <c r="E887" s="1">
        <f t="shared" si="3"/>
        <v>4699.382718</v>
      </c>
      <c r="F887" s="1">
        <f t="shared" si="4"/>
        <v>8876.6118</v>
      </c>
      <c r="G887" s="1">
        <f t="shared" si="5"/>
        <v>15664.60906</v>
      </c>
      <c r="H887" s="1">
        <f t="shared" si="6"/>
        <v>28718.44994</v>
      </c>
      <c r="I887" s="1">
        <f t="shared" si="7"/>
        <v>46993.82718</v>
      </c>
    </row>
    <row r="888" hidden="1">
      <c r="A888" s="266">
        <f>IFERROR(__xludf.DUMMYFUNCTION("""COMPUTED_VALUE"""),43525.99861111111)</f>
        <v>43525.99861</v>
      </c>
      <c r="B888" s="1">
        <f>IFERROR(__xludf.DUMMYFUNCTION("""COMPUTED_VALUE"""),3808.862)</f>
        <v>3808.862</v>
      </c>
      <c r="C888" s="58">
        <f t="shared" si="1"/>
        <v>3709.998611</v>
      </c>
      <c r="D888" s="1">
        <f t="shared" si="2"/>
        <v>2614.853446</v>
      </c>
      <c r="E888" s="1">
        <f t="shared" si="3"/>
        <v>4706.736202</v>
      </c>
      <c r="F888" s="1">
        <f t="shared" si="4"/>
        <v>8890.501715</v>
      </c>
      <c r="G888" s="1">
        <f t="shared" si="5"/>
        <v>15689.12067</v>
      </c>
      <c r="H888" s="1">
        <f t="shared" si="6"/>
        <v>28763.3879</v>
      </c>
      <c r="I888" s="1">
        <f t="shared" si="7"/>
        <v>47067.36202</v>
      </c>
    </row>
    <row r="889" hidden="1">
      <c r="A889" s="266">
        <f>IFERROR(__xludf.DUMMYFUNCTION("""COMPUTED_VALUE"""),43526.99861111111)</f>
        <v>43526.99861</v>
      </c>
      <c r="B889" s="1">
        <f>IFERROR(__xludf.DUMMYFUNCTION("""COMPUTED_VALUE"""),3812.141)</f>
        <v>3812.141</v>
      </c>
      <c r="C889" s="58">
        <f t="shared" si="1"/>
        <v>3710.998611</v>
      </c>
      <c r="D889" s="1">
        <f t="shared" si="2"/>
        <v>2618.944004</v>
      </c>
      <c r="E889" s="1">
        <f t="shared" si="3"/>
        <v>4714.099206</v>
      </c>
      <c r="F889" s="1">
        <f t="shared" si="4"/>
        <v>8904.409612</v>
      </c>
      <c r="G889" s="1">
        <f t="shared" si="5"/>
        <v>15713.66402</v>
      </c>
      <c r="H889" s="1">
        <f t="shared" si="6"/>
        <v>28808.38404</v>
      </c>
      <c r="I889" s="1">
        <f t="shared" si="7"/>
        <v>47140.99206</v>
      </c>
    </row>
    <row r="890" hidden="1">
      <c r="A890" s="266">
        <f>IFERROR(__xludf.DUMMYFUNCTION("""COMPUTED_VALUE"""),43527.99861111111)</f>
        <v>43527.99861</v>
      </c>
      <c r="B890" s="1">
        <f>IFERROR(__xludf.DUMMYFUNCTION("""COMPUTED_VALUE"""),3796.865)</f>
        <v>3796.865</v>
      </c>
      <c r="C890" s="58">
        <f t="shared" si="1"/>
        <v>3711.998611</v>
      </c>
      <c r="D890" s="1">
        <f t="shared" si="2"/>
        <v>2623.039856</v>
      </c>
      <c r="E890" s="1">
        <f t="shared" si="3"/>
        <v>4721.471741</v>
      </c>
      <c r="F890" s="1">
        <f t="shared" si="4"/>
        <v>8918.33551</v>
      </c>
      <c r="G890" s="1">
        <f t="shared" si="5"/>
        <v>15738.23914</v>
      </c>
      <c r="H890" s="1">
        <f t="shared" si="6"/>
        <v>28853.43841</v>
      </c>
      <c r="I890" s="1">
        <f t="shared" si="7"/>
        <v>47214.71741</v>
      </c>
    </row>
    <row r="891" hidden="1">
      <c r="A891" s="266">
        <f>IFERROR(__xludf.DUMMYFUNCTION("""COMPUTED_VALUE"""),43528.99861111111)</f>
        <v>43528.99861</v>
      </c>
      <c r="B891" s="1">
        <f>IFERROR(__xludf.DUMMYFUNCTION("""COMPUTED_VALUE"""),3709.697)</f>
        <v>3709.697</v>
      </c>
      <c r="C891" s="58">
        <f t="shared" si="1"/>
        <v>3712.998611</v>
      </c>
      <c r="D891" s="1">
        <f t="shared" si="2"/>
        <v>2627.141008</v>
      </c>
      <c r="E891" s="1">
        <f t="shared" si="3"/>
        <v>4728.853814</v>
      </c>
      <c r="F891" s="1">
        <f t="shared" si="4"/>
        <v>8932.279427</v>
      </c>
      <c r="G891" s="1">
        <f t="shared" si="5"/>
        <v>15762.84605</v>
      </c>
      <c r="H891" s="1">
        <f t="shared" si="6"/>
        <v>28898.55109</v>
      </c>
      <c r="I891" s="1">
        <f t="shared" si="7"/>
        <v>47288.53814</v>
      </c>
    </row>
    <row r="892" hidden="1">
      <c r="A892" s="266">
        <f>IFERROR(__xludf.DUMMYFUNCTION("""COMPUTED_VALUE"""),43529.99861111111)</f>
        <v>43529.99861</v>
      </c>
      <c r="B892" s="1">
        <f>IFERROR(__xludf.DUMMYFUNCTION("""COMPUTED_VALUE"""),3854.687)</f>
        <v>3854.687</v>
      </c>
      <c r="C892" s="58">
        <f t="shared" si="1"/>
        <v>3713.998611</v>
      </c>
      <c r="D892" s="1">
        <f t="shared" si="2"/>
        <v>2631.247465</v>
      </c>
      <c r="E892" s="1">
        <f t="shared" si="3"/>
        <v>4736.245438</v>
      </c>
      <c r="F892" s="1">
        <f t="shared" si="4"/>
        <v>8946.241382</v>
      </c>
      <c r="G892" s="1">
        <f t="shared" si="5"/>
        <v>15787.48479</v>
      </c>
      <c r="H892" s="1">
        <f t="shared" si="6"/>
        <v>28943.72212</v>
      </c>
      <c r="I892" s="1">
        <f t="shared" si="7"/>
        <v>47362.45438</v>
      </c>
    </row>
    <row r="893" hidden="1">
      <c r="A893" s="266">
        <f>IFERROR(__xludf.DUMMYFUNCTION("""COMPUTED_VALUE"""),43530.99861111111)</f>
        <v>43530.99861</v>
      </c>
      <c r="B893" s="1">
        <f>IFERROR(__xludf.DUMMYFUNCTION("""COMPUTED_VALUE"""),3865.892)</f>
        <v>3865.892</v>
      </c>
      <c r="C893" s="58">
        <f t="shared" si="1"/>
        <v>3714.998611</v>
      </c>
      <c r="D893" s="1">
        <f t="shared" si="2"/>
        <v>2635.359233</v>
      </c>
      <c r="E893" s="1">
        <f t="shared" si="3"/>
        <v>4743.64662</v>
      </c>
      <c r="F893" s="1">
        <f t="shared" si="4"/>
        <v>8960.221393</v>
      </c>
      <c r="G893" s="1">
        <f t="shared" si="5"/>
        <v>15812.1554</v>
      </c>
      <c r="H893" s="1">
        <f t="shared" si="6"/>
        <v>28988.95157</v>
      </c>
      <c r="I893" s="1">
        <f t="shared" si="7"/>
        <v>47436.4662</v>
      </c>
    </row>
    <row r="894" hidden="1">
      <c r="A894" s="266">
        <f>IFERROR(__xludf.DUMMYFUNCTION("""COMPUTED_VALUE"""),43531.99861111111)</f>
        <v>43531.99861</v>
      </c>
      <c r="B894" s="1">
        <f>IFERROR(__xludf.DUMMYFUNCTION("""COMPUTED_VALUE"""),3868.382)</f>
        <v>3868.382</v>
      </c>
      <c r="C894" s="58">
        <f t="shared" si="1"/>
        <v>3715.998611</v>
      </c>
      <c r="D894" s="1">
        <f t="shared" si="2"/>
        <v>2639.476317</v>
      </c>
      <c r="E894" s="1">
        <f t="shared" si="3"/>
        <v>4751.057371</v>
      </c>
      <c r="F894" s="1">
        <f t="shared" si="4"/>
        <v>8974.219479</v>
      </c>
      <c r="G894" s="1">
        <f t="shared" si="5"/>
        <v>15836.8579</v>
      </c>
      <c r="H894" s="1">
        <f t="shared" si="6"/>
        <v>29034.23949</v>
      </c>
      <c r="I894" s="1">
        <f t="shared" si="7"/>
        <v>47510.57371</v>
      </c>
    </row>
    <row r="895" hidden="1">
      <c r="A895" s="266">
        <f>IFERROR(__xludf.DUMMYFUNCTION("""COMPUTED_VALUE"""),43532.99861111111)</f>
        <v>43532.99861</v>
      </c>
      <c r="B895" s="1">
        <f>IFERROR(__xludf.DUMMYFUNCTION("""COMPUTED_VALUE"""),3854.778)</f>
        <v>3854.778</v>
      </c>
      <c r="C895" s="58">
        <f t="shared" si="1"/>
        <v>3716.998611</v>
      </c>
      <c r="D895" s="1">
        <f t="shared" si="2"/>
        <v>2643.598723</v>
      </c>
      <c r="E895" s="1">
        <f t="shared" si="3"/>
        <v>4758.477701</v>
      </c>
      <c r="F895" s="1">
        <f t="shared" si="4"/>
        <v>8988.235658</v>
      </c>
      <c r="G895" s="1">
        <f t="shared" si="5"/>
        <v>15861.59234</v>
      </c>
      <c r="H895" s="1">
        <f t="shared" si="6"/>
        <v>29079.58595</v>
      </c>
      <c r="I895" s="1">
        <f t="shared" si="7"/>
        <v>47584.77701</v>
      </c>
    </row>
    <row r="896" hidden="1">
      <c r="A896" s="266">
        <f>IFERROR(__xludf.DUMMYFUNCTION("""COMPUTED_VALUE"""),43533.99861111111)</f>
        <v>43533.99861</v>
      </c>
      <c r="B896" s="1">
        <f>IFERROR(__xludf.DUMMYFUNCTION("""COMPUTED_VALUE"""),3936.172)</f>
        <v>3936.172</v>
      </c>
      <c r="C896" s="58">
        <f t="shared" si="1"/>
        <v>3717.998611</v>
      </c>
      <c r="D896" s="1">
        <f t="shared" si="2"/>
        <v>2647.726455</v>
      </c>
      <c r="E896" s="1">
        <f t="shared" si="3"/>
        <v>4765.90762</v>
      </c>
      <c r="F896" s="1">
        <f t="shared" si="4"/>
        <v>9002.269948</v>
      </c>
      <c r="G896" s="1">
        <f t="shared" si="5"/>
        <v>15886.35873</v>
      </c>
      <c r="H896" s="1">
        <f t="shared" si="6"/>
        <v>29124.99101</v>
      </c>
      <c r="I896" s="1">
        <f t="shared" si="7"/>
        <v>47659.0762</v>
      </c>
    </row>
    <row r="897" hidden="1">
      <c r="A897" s="266">
        <f>IFERROR(__xludf.DUMMYFUNCTION("""COMPUTED_VALUE"""),43534.99861111111)</f>
        <v>43534.99861</v>
      </c>
      <c r="B897" s="1">
        <f>IFERROR(__xludf.DUMMYFUNCTION("""COMPUTED_VALUE"""),3901.575)</f>
        <v>3901.575</v>
      </c>
      <c r="C897" s="58">
        <f t="shared" si="1"/>
        <v>3718.998611</v>
      </c>
      <c r="D897" s="1">
        <f t="shared" si="2"/>
        <v>2651.85952</v>
      </c>
      <c r="E897" s="1">
        <f t="shared" si="3"/>
        <v>4773.347137</v>
      </c>
      <c r="F897" s="1">
        <f t="shared" si="4"/>
        <v>9016.322369</v>
      </c>
      <c r="G897" s="1">
        <f t="shared" si="5"/>
        <v>15911.15712</v>
      </c>
      <c r="H897" s="1">
        <f t="shared" si="6"/>
        <v>29170.45472</v>
      </c>
      <c r="I897" s="1">
        <f t="shared" si="7"/>
        <v>47733.47137</v>
      </c>
    </row>
    <row r="898" hidden="1">
      <c r="A898" s="266">
        <f>IFERROR(__xludf.DUMMYFUNCTION("""COMPUTED_VALUE"""),43535.99861111111)</f>
        <v>43535.99861</v>
      </c>
      <c r="B898" s="1">
        <f>IFERROR(__xludf.DUMMYFUNCTION("""COMPUTED_VALUE"""),3869.576)</f>
        <v>3869.576</v>
      </c>
      <c r="C898" s="58">
        <f t="shared" si="1"/>
        <v>3719.998611</v>
      </c>
      <c r="D898" s="1">
        <f t="shared" si="2"/>
        <v>2655.997923</v>
      </c>
      <c r="E898" s="1">
        <f t="shared" si="3"/>
        <v>4780.796262</v>
      </c>
      <c r="F898" s="1">
        <f t="shared" si="4"/>
        <v>9030.392939</v>
      </c>
      <c r="G898" s="1">
        <f t="shared" si="5"/>
        <v>15935.98754</v>
      </c>
      <c r="H898" s="1">
        <f t="shared" si="6"/>
        <v>29215.97716</v>
      </c>
      <c r="I898" s="1">
        <f t="shared" si="7"/>
        <v>47807.96262</v>
      </c>
    </row>
    <row r="899" hidden="1">
      <c r="A899" s="266">
        <f>IFERROR(__xludf.DUMMYFUNCTION("""COMPUTED_VALUE"""),43536.99861111111)</f>
        <v>43536.99861</v>
      </c>
      <c r="B899" s="1">
        <f>IFERROR(__xludf.DUMMYFUNCTION("""COMPUTED_VALUE"""),3880.146)</f>
        <v>3880.146</v>
      </c>
      <c r="C899" s="58">
        <f t="shared" si="1"/>
        <v>3720.998611</v>
      </c>
      <c r="D899" s="1">
        <f t="shared" si="2"/>
        <v>2660.141669</v>
      </c>
      <c r="E899" s="1">
        <f t="shared" si="3"/>
        <v>4788.255005</v>
      </c>
      <c r="F899" s="1">
        <f t="shared" si="4"/>
        <v>9044.481676</v>
      </c>
      <c r="G899" s="1">
        <f t="shared" si="5"/>
        <v>15960.85002</v>
      </c>
      <c r="H899" s="1">
        <f t="shared" si="6"/>
        <v>29261.55836</v>
      </c>
      <c r="I899" s="1">
        <f t="shared" si="7"/>
        <v>47882.55005</v>
      </c>
    </row>
    <row r="900" hidden="1">
      <c r="A900" s="266">
        <f>IFERROR(__xludf.DUMMYFUNCTION("""COMPUTED_VALUE"""),43537.99861111111)</f>
        <v>43537.99861</v>
      </c>
      <c r="B900" s="1">
        <f>IFERROR(__xludf.DUMMYFUNCTION("""COMPUTED_VALUE"""),3857.517)</f>
        <v>3857.517</v>
      </c>
      <c r="C900" s="58">
        <f t="shared" si="1"/>
        <v>3721.998611</v>
      </c>
      <c r="D900" s="1">
        <f t="shared" si="2"/>
        <v>2664.290764</v>
      </c>
      <c r="E900" s="1">
        <f t="shared" si="3"/>
        <v>4795.723376</v>
      </c>
      <c r="F900" s="1">
        <f t="shared" si="4"/>
        <v>9058.588599</v>
      </c>
      <c r="G900" s="1">
        <f t="shared" si="5"/>
        <v>15985.74459</v>
      </c>
      <c r="H900" s="1">
        <f t="shared" si="6"/>
        <v>29307.19841</v>
      </c>
      <c r="I900" s="1">
        <f t="shared" si="7"/>
        <v>47957.23376</v>
      </c>
    </row>
    <row r="901" hidden="1">
      <c r="A901" s="266">
        <f>IFERROR(__xludf.DUMMYFUNCTION("""COMPUTED_VALUE"""),43538.99861111111)</f>
        <v>43538.99861</v>
      </c>
      <c r="B901" s="1">
        <f>IFERROR(__xludf.DUMMYFUNCTION("""COMPUTED_VALUE"""),3863.484)</f>
        <v>3863.484</v>
      </c>
      <c r="C901" s="58">
        <f t="shared" si="1"/>
        <v>3722.998611</v>
      </c>
      <c r="D901" s="1">
        <f t="shared" si="2"/>
        <v>2668.445213</v>
      </c>
      <c r="E901" s="1">
        <f t="shared" si="3"/>
        <v>4803.201384</v>
      </c>
      <c r="F901" s="1">
        <f t="shared" si="4"/>
        <v>9072.713726</v>
      </c>
      <c r="G901" s="1">
        <f t="shared" si="5"/>
        <v>16010.67128</v>
      </c>
      <c r="H901" s="1">
        <f t="shared" si="6"/>
        <v>29352.89735</v>
      </c>
      <c r="I901" s="1">
        <f t="shared" si="7"/>
        <v>48032.01384</v>
      </c>
    </row>
    <row r="902" hidden="1">
      <c r="A902" s="266">
        <f>IFERROR(__xludf.DUMMYFUNCTION("""COMPUTED_VALUE"""),43539.99861111111)</f>
        <v>43539.99861</v>
      </c>
      <c r="B902" s="1">
        <f>IFERROR(__xludf.DUMMYFUNCTION("""COMPUTED_VALUE"""),3907.974)</f>
        <v>3907.974</v>
      </c>
      <c r="C902" s="58">
        <f t="shared" si="1"/>
        <v>3723.998611</v>
      </c>
      <c r="D902" s="1">
        <f t="shared" si="2"/>
        <v>2672.605022</v>
      </c>
      <c r="E902" s="1">
        <f t="shared" si="3"/>
        <v>4810.68904</v>
      </c>
      <c r="F902" s="1">
        <f t="shared" si="4"/>
        <v>9086.857076</v>
      </c>
      <c r="G902" s="1">
        <f t="shared" si="5"/>
        <v>16035.63013</v>
      </c>
      <c r="H902" s="1">
        <f t="shared" si="6"/>
        <v>29398.65525</v>
      </c>
      <c r="I902" s="1">
        <f t="shared" si="7"/>
        <v>48106.8904</v>
      </c>
    </row>
    <row r="903" hidden="1">
      <c r="A903" s="266">
        <f>IFERROR(__xludf.DUMMYFUNCTION("""COMPUTED_VALUE"""),43540.99861111111)</f>
        <v>43540.99861</v>
      </c>
      <c r="B903" s="1">
        <f>IFERROR(__xludf.DUMMYFUNCTION("""COMPUTED_VALUE"""),4011.145)</f>
        <v>4011.145</v>
      </c>
      <c r="C903" s="58">
        <f t="shared" si="1"/>
        <v>3724.998611</v>
      </c>
      <c r="D903" s="1">
        <f t="shared" si="2"/>
        <v>2676.770196</v>
      </c>
      <c r="E903" s="1">
        <f t="shared" si="3"/>
        <v>4818.186354</v>
      </c>
      <c r="F903" s="1">
        <f t="shared" si="4"/>
        <v>9101.018668</v>
      </c>
      <c r="G903" s="1">
        <f t="shared" si="5"/>
        <v>16060.62118</v>
      </c>
      <c r="H903" s="1">
        <f t="shared" si="6"/>
        <v>29444.47216</v>
      </c>
      <c r="I903" s="1">
        <f t="shared" si="7"/>
        <v>48181.86354</v>
      </c>
    </row>
    <row r="904" hidden="1">
      <c r="A904" s="266">
        <f>IFERROR(__xludf.DUMMYFUNCTION("""COMPUTED_VALUE"""),43541.99861111111)</f>
        <v>43541.99861</v>
      </c>
      <c r="B904" s="1">
        <f>IFERROR(__xludf.DUMMYFUNCTION("""COMPUTED_VALUE"""),3982.854)</f>
        <v>3982.854</v>
      </c>
      <c r="C904" s="58">
        <f t="shared" si="1"/>
        <v>3725.998611</v>
      </c>
      <c r="D904" s="1">
        <f t="shared" si="2"/>
        <v>2680.940741</v>
      </c>
      <c r="E904" s="1">
        <f t="shared" si="3"/>
        <v>4825.693334</v>
      </c>
      <c r="F904" s="1">
        <f t="shared" si="4"/>
        <v>9115.19852</v>
      </c>
      <c r="G904" s="1">
        <f t="shared" si="5"/>
        <v>16085.64445</v>
      </c>
      <c r="H904" s="1">
        <f t="shared" si="6"/>
        <v>29490.34815</v>
      </c>
      <c r="I904" s="1">
        <f t="shared" si="7"/>
        <v>48256.93334</v>
      </c>
    </row>
    <row r="905" hidden="1">
      <c r="A905" s="266">
        <f>IFERROR(__xludf.DUMMYFUNCTION("""COMPUTED_VALUE"""),43542.99861111111)</f>
        <v>43542.99861</v>
      </c>
      <c r="B905" s="1">
        <f>IFERROR(__xludf.DUMMYFUNCTION("""COMPUTED_VALUE"""),3972.293)</f>
        <v>3972.293</v>
      </c>
      <c r="C905" s="58">
        <f t="shared" si="1"/>
        <v>3726.998611</v>
      </c>
      <c r="D905" s="1">
        <f t="shared" si="2"/>
        <v>2685.116662</v>
      </c>
      <c r="E905" s="1">
        <f t="shared" si="3"/>
        <v>4833.209992</v>
      </c>
      <c r="F905" s="1">
        <f t="shared" si="4"/>
        <v>9129.396651</v>
      </c>
      <c r="G905" s="1">
        <f t="shared" si="5"/>
        <v>16110.69997</v>
      </c>
      <c r="H905" s="1">
        <f t="shared" si="6"/>
        <v>29536.28328</v>
      </c>
      <c r="I905" s="1">
        <f t="shared" si="7"/>
        <v>48332.09992</v>
      </c>
    </row>
    <row r="906" hidden="1">
      <c r="A906" s="266">
        <f>IFERROR(__xludf.DUMMYFUNCTION("""COMPUTED_VALUE"""),43543.99861111111)</f>
        <v>43543.99861</v>
      </c>
      <c r="B906" s="1">
        <f>IFERROR(__xludf.DUMMYFUNCTION("""COMPUTED_VALUE"""),4013.002)</f>
        <v>4013.002</v>
      </c>
      <c r="C906" s="58">
        <f t="shared" si="1"/>
        <v>3727.998611</v>
      </c>
      <c r="D906" s="1">
        <f t="shared" si="2"/>
        <v>2689.297965</v>
      </c>
      <c r="E906" s="1">
        <f t="shared" si="3"/>
        <v>4840.736336</v>
      </c>
      <c r="F906" s="1">
        <f t="shared" si="4"/>
        <v>9143.61308</v>
      </c>
      <c r="G906" s="1">
        <f t="shared" si="5"/>
        <v>16135.78779</v>
      </c>
      <c r="H906" s="1">
        <f t="shared" si="6"/>
        <v>29582.27761</v>
      </c>
      <c r="I906" s="1">
        <f t="shared" si="7"/>
        <v>48407.36336</v>
      </c>
    </row>
    <row r="907" hidden="1">
      <c r="A907" s="266">
        <f>IFERROR(__xludf.DUMMYFUNCTION("""COMPUTED_VALUE"""),43544.99861111111)</f>
        <v>43544.99861</v>
      </c>
      <c r="B907" s="1">
        <f>IFERROR(__xludf.DUMMYFUNCTION("""COMPUTED_VALUE"""),4045.087)</f>
        <v>4045.087</v>
      </c>
      <c r="C907" s="58">
        <f t="shared" si="1"/>
        <v>3728.998611</v>
      </c>
      <c r="D907" s="1">
        <f t="shared" si="2"/>
        <v>2693.484654</v>
      </c>
      <c r="E907" s="1">
        <f t="shared" si="3"/>
        <v>4848.272378</v>
      </c>
      <c r="F907" s="1">
        <f t="shared" si="4"/>
        <v>9157.847825</v>
      </c>
      <c r="G907" s="1">
        <f t="shared" si="5"/>
        <v>16160.90793</v>
      </c>
      <c r="H907" s="1">
        <f t="shared" si="6"/>
        <v>29628.3312</v>
      </c>
      <c r="I907" s="1">
        <f t="shared" si="7"/>
        <v>48482.72378</v>
      </c>
    </row>
    <row r="908" hidden="1">
      <c r="A908" s="266">
        <f>IFERROR(__xludf.DUMMYFUNCTION("""COMPUTED_VALUE"""),43545.99861111111)</f>
        <v>43545.99861</v>
      </c>
      <c r="B908" s="1">
        <f>IFERROR(__xludf.DUMMYFUNCTION("""COMPUTED_VALUE"""),3979.77)</f>
        <v>3979.77</v>
      </c>
      <c r="C908" s="58">
        <f t="shared" si="1"/>
        <v>3729.998611</v>
      </c>
      <c r="D908" s="1">
        <f t="shared" si="2"/>
        <v>2697.676737</v>
      </c>
      <c r="E908" s="1">
        <f t="shared" si="3"/>
        <v>4855.818126</v>
      </c>
      <c r="F908" s="1">
        <f t="shared" si="4"/>
        <v>9172.100904</v>
      </c>
      <c r="G908" s="1">
        <f t="shared" si="5"/>
        <v>16186.06042</v>
      </c>
      <c r="H908" s="1">
        <f t="shared" si="6"/>
        <v>29674.4441</v>
      </c>
      <c r="I908" s="1">
        <f t="shared" si="7"/>
        <v>48558.18126</v>
      </c>
    </row>
    <row r="909" hidden="1">
      <c r="A909" s="266">
        <f>IFERROR(__xludf.DUMMYFUNCTION("""COMPUTED_VALUE"""),43546.99861111111)</f>
        <v>43546.99861</v>
      </c>
      <c r="B909" s="1">
        <f>IFERROR(__xludf.DUMMYFUNCTION("""COMPUTED_VALUE"""),3990.55)</f>
        <v>3990.55</v>
      </c>
      <c r="C909" s="58">
        <f t="shared" si="1"/>
        <v>3730.998611</v>
      </c>
      <c r="D909" s="1">
        <f t="shared" si="2"/>
        <v>2701.874217</v>
      </c>
      <c r="E909" s="1">
        <f t="shared" si="3"/>
        <v>4863.37359</v>
      </c>
      <c r="F909" s="1">
        <f t="shared" si="4"/>
        <v>9186.372338</v>
      </c>
      <c r="G909" s="1">
        <f t="shared" si="5"/>
        <v>16211.2453</v>
      </c>
      <c r="H909" s="1">
        <f t="shared" si="6"/>
        <v>29720.61639</v>
      </c>
      <c r="I909" s="1">
        <f t="shared" si="7"/>
        <v>48633.7359</v>
      </c>
    </row>
    <row r="910" hidden="1">
      <c r="A910" s="266">
        <f>IFERROR(__xludf.DUMMYFUNCTION("""COMPUTED_VALUE"""),43547.99861111111)</f>
        <v>43547.99861</v>
      </c>
      <c r="B910" s="1">
        <f>IFERROR(__xludf.DUMMYFUNCTION("""COMPUTED_VALUE"""),4003.255)</f>
        <v>4003.255</v>
      </c>
      <c r="C910" s="58">
        <f t="shared" si="1"/>
        <v>3731.998611</v>
      </c>
      <c r="D910" s="1">
        <f t="shared" si="2"/>
        <v>2706.077101</v>
      </c>
      <c r="E910" s="1">
        <f t="shared" si="3"/>
        <v>4870.938782</v>
      </c>
      <c r="F910" s="1">
        <f t="shared" si="4"/>
        <v>9200.662143</v>
      </c>
      <c r="G910" s="1">
        <f t="shared" si="5"/>
        <v>16236.46261</v>
      </c>
      <c r="H910" s="1">
        <f t="shared" si="6"/>
        <v>29766.84811</v>
      </c>
      <c r="I910" s="1">
        <f t="shared" si="7"/>
        <v>48709.38782</v>
      </c>
    </row>
    <row r="911" hidden="1">
      <c r="A911" s="266">
        <f>IFERROR(__xludf.DUMMYFUNCTION("""COMPUTED_VALUE"""),43548.99861111111)</f>
        <v>43548.99861</v>
      </c>
      <c r="B911" s="1">
        <f>IFERROR(__xludf.DUMMYFUNCTION("""COMPUTED_VALUE"""),3986.74)</f>
        <v>3986.74</v>
      </c>
      <c r="C911" s="58">
        <f t="shared" si="1"/>
        <v>3732.998611</v>
      </c>
      <c r="D911" s="1">
        <f t="shared" si="2"/>
        <v>2710.285394</v>
      </c>
      <c r="E911" s="1">
        <f t="shared" si="3"/>
        <v>4878.513709</v>
      </c>
      <c r="F911" s="1">
        <f t="shared" si="4"/>
        <v>9214.97034</v>
      </c>
      <c r="G911" s="1">
        <f t="shared" si="5"/>
        <v>16261.71236</v>
      </c>
      <c r="H911" s="1">
        <f t="shared" si="6"/>
        <v>29813.13933</v>
      </c>
      <c r="I911" s="1">
        <f t="shared" si="7"/>
        <v>48785.13709</v>
      </c>
    </row>
    <row r="912" hidden="1">
      <c r="A912" s="266">
        <f>IFERROR(__xludf.DUMMYFUNCTION("""COMPUTED_VALUE"""),43549.99861111111)</f>
        <v>43549.99861</v>
      </c>
      <c r="B912" s="1">
        <f>IFERROR(__xludf.DUMMYFUNCTION("""COMPUTED_VALUE"""),3917.902)</f>
        <v>3917.902</v>
      </c>
      <c r="C912" s="58">
        <f t="shared" si="1"/>
        <v>3733.998611</v>
      </c>
      <c r="D912" s="1">
        <f t="shared" si="2"/>
        <v>2714.499102</v>
      </c>
      <c r="E912" s="1">
        <f t="shared" si="3"/>
        <v>4886.098383</v>
      </c>
      <c r="F912" s="1">
        <f t="shared" si="4"/>
        <v>9229.296946</v>
      </c>
      <c r="G912" s="1">
        <f t="shared" si="5"/>
        <v>16286.99461</v>
      </c>
      <c r="H912" s="1">
        <f t="shared" si="6"/>
        <v>29859.49012</v>
      </c>
      <c r="I912" s="1">
        <f t="shared" si="7"/>
        <v>48860.98383</v>
      </c>
    </row>
    <row r="913" hidden="1">
      <c r="A913" s="266">
        <f>IFERROR(__xludf.DUMMYFUNCTION("""COMPUTED_VALUE"""),43550.99861111111)</f>
        <v>43550.99861</v>
      </c>
      <c r="B913" s="1">
        <f>IFERROR(__xludf.DUMMYFUNCTION("""COMPUTED_VALUE"""),3934.936)</f>
        <v>3934.936</v>
      </c>
      <c r="C913" s="58">
        <f t="shared" si="1"/>
        <v>3734.998611</v>
      </c>
      <c r="D913" s="1">
        <f t="shared" si="2"/>
        <v>2718.71823</v>
      </c>
      <c r="E913" s="1">
        <f t="shared" si="3"/>
        <v>4893.692813</v>
      </c>
      <c r="F913" s="1">
        <f t="shared" si="4"/>
        <v>9243.641981</v>
      </c>
      <c r="G913" s="1">
        <f t="shared" si="5"/>
        <v>16312.30938</v>
      </c>
      <c r="H913" s="1">
        <f t="shared" si="6"/>
        <v>29905.90053</v>
      </c>
      <c r="I913" s="1">
        <f t="shared" si="7"/>
        <v>48936.92813</v>
      </c>
    </row>
    <row r="914" hidden="1">
      <c r="A914" s="266">
        <f>IFERROR(__xludf.DUMMYFUNCTION("""COMPUTED_VALUE"""),43551.99861111111)</f>
        <v>43551.99861</v>
      </c>
      <c r="B914" s="1">
        <f>IFERROR(__xludf.DUMMYFUNCTION("""COMPUTED_VALUE"""),4046.737)</f>
        <v>4046.737</v>
      </c>
      <c r="C914" s="58">
        <f t="shared" si="1"/>
        <v>3735.998611</v>
      </c>
      <c r="D914" s="1">
        <f t="shared" si="2"/>
        <v>2722.942783</v>
      </c>
      <c r="E914" s="1">
        <f t="shared" si="3"/>
        <v>4901.29701</v>
      </c>
      <c r="F914" s="1">
        <f t="shared" si="4"/>
        <v>9258.005463</v>
      </c>
      <c r="G914" s="1">
        <f t="shared" si="5"/>
        <v>16337.6567</v>
      </c>
      <c r="H914" s="1">
        <f t="shared" si="6"/>
        <v>29952.37061</v>
      </c>
      <c r="I914" s="1">
        <f t="shared" si="7"/>
        <v>49012.9701</v>
      </c>
    </row>
    <row r="915" hidden="1">
      <c r="A915" s="266">
        <f>IFERROR(__xludf.DUMMYFUNCTION("""COMPUTED_VALUE"""),43552.99861111111)</f>
        <v>43552.99861</v>
      </c>
      <c r="B915" s="1">
        <f>IFERROR(__xludf.DUMMYFUNCTION("""COMPUTED_VALUE"""),4026.161)</f>
        <v>4026.161</v>
      </c>
      <c r="C915" s="58">
        <f t="shared" si="1"/>
        <v>3736.998611</v>
      </c>
      <c r="D915" s="1">
        <f t="shared" si="2"/>
        <v>2727.172768</v>
      </c>
      <c r="E915" s="1">
        <f t="shared" si="3"/>
        <v>4908.910982</v>
      </c>
      <c r="F915" s="1">
        <f t="shared" si="4"/>
        <v>9272.387411</v>
      </c>
      <c r="G915" s="1">
        <f t="shared" si="5"/>
        <v>16363.03661</v>
      </c>
      <c r="H915" s="1">
        <f t="shared" si="6"/>
        <v>29998.90045</v>
      </c>
      <c r="I915" s="1">
        <f t="shared" si="7"/>
        <v>49089.10982</v>
      </c>
    </row>
    <row r="916" hidden="1">
      <c r="A916" s="266">
        <f>IFERROR(__xludf.DUMMYFUNCTION("""COMPUTED_VALUE"""),43553.99861111111)</f>
        <v>43553.99861</v>
      </c>
      <c r="B916" s="1">
        <f>IFERROR(__xludf.DUMMYFUNCTION("""COMPUTED_VALUE"""),4101.418)</f>
        <v>4101.418</v>
      </c>
      <c r="C916" s="58">
        <f t="shared" si="1"/>
        <v>3737.998611</v>
      </c>
      <c r="D916" s="1">
        <f t="shared" si="2"/>
        <v>2731.408189</v>
      </c>
      <c r="E916" s="1">
        <f t="shared" si="3"/>
        <v>4916.534741</v>
      </c>
      <c r="F916" s="1">
        <f t="shared" si="4"/>
        <v>9286.787844</v>
      </c>
      <c r="G916" s="1">
        <f t="shared" si="5"/>
        <v>16388.44914</v>
      </c>
      <c r="H916" s="1">
        <f t="shared" si="6"/>
        <v>30045.49008</v>
      </c>
      <c r="I916" s="1">
        <f t="shared" si="7"/>
        <v>49165.34741</v>
      </c>
    </row>
    <row r="917" hidden="1">
      <c r="A917" s="266">
        <f>IFERROR(__xludf.DUMMYFUNCTION("""COMPUTED_VALUE"""),43554.99861111111)</f>
        <v>43554.99861</v>
      </c>
      <c r="B917" s="1">
        <f>IFERROR(__xludf.DUMMYFUNCTION("""COMPUTED_VALUE"""),4116.457)</f>
        <v>4116.457</v>
      </c>
      <c r="C917" s="58">
        <f t="shared" si="1"/>
        <v>3738.998611</v>
      </c>
      <c r="D917" s="1">
        <f t="shared" si="2"/>
        <v>2735.649053</v>
      </c>
      <c r="E917" s="1">
        <f t="shared" si="3"/>
        <v>4924.168295</v>
      </c>
      <c r="F917" s="1">
        <f t="shared" si="4"/>
        <v>9301.20678</v>
      </c>
      <c r="G917" s="1">
        <f t="shared" si="5"/>
        <v>16413.89432</v>
      </c>
      <c r="H917" s="1">
        <f t="shared" si="6"/>
        <v>30092.13958</v>
      </c>
      <c r="I917" s="1">
        <f t="shared" si="7"/>
        <v>49241.68295</v>
      </c>
    </row>
    <row r="918" hidden="1">
      <c r="A918" s="266">
        <f>IFERROR(__xludf.DUMMYFUNCTION("""COMPUTED_VALUE"""),43555.99861111111)</f>
        <v>43555.99861</v>
      </c>
      <c r="B918" s="1">
        <f>IFERROR(__xludf.DUMMYFUNCTION("""COMPUTED_VALUE"""),4121.252)</f>
        <v>4121.252</v>
      </c>
      <c r="C918" s="58">
        <f t="shared" si="1"/>
        <v>3739.998611</v>
      </c>
      <c r="D918" s="1">
        <f t="shared" si="2"/>
        <v>2739.895364</v>
      </c>
      <c r="E918" s="1">
        <f t="shared" si="3"/>
        <v>4931.811656</v>
      </c>
      <c r="F918" s="1">
        <f t="shared" si="4"/>
        <v>9315.644239</v>
      </c>
      <c r="G918" s="1">
        <f t="shared" si="5"/>
        <v>16439.37219</v>
      </c>
      <c r="H918" s="1">
        <f t="shared" si="6"/>
        <v>30138.84901</v>
      </c>
      <c r="I918" s="1">
        <f t="shared" si="7"/>
        <v>49318.11656</v>
      </c>
    </row>
    <row r="919" hidden="1">
      <c r="A919" s="266">
        <f>IFERROR(__xludf.DUMMYFUNCTION("""COMPUTED_VALUE"""),43556.99861111111)</f>
        <v>43556.99861</v>
      </c>
      <c r="B919" s="1">
        <f>IFERROR(__xludf.DUMMYFUNCTION("""COMPUTED_VALUE"""),4153.23)</f>
        <v>4153.23</v>
      </c>
      <c r="C919" s="58">
        <f t="shared" si="1"/>
        <v>3740.998611</v>
      </c>
      <c r="D919" s="1">
        <f t="shared" si="2"/>
        <v>2744.147129</v>
      </c>
      <c r="E919" s="1">
        <f t="shared" si="3"/>
        <v>4939.464832</v>
      </c>
      <c r="F919" s="1">
        <f t="shared" si="4"/>
        <v>9330.100239</v>
      </c>
      <c r="G919" s="1">
        <f t="shared" si="5"/>
        <v>16464.88277</v>
      </c>
      <c r="H919" s="1">
        <f t="shared" si="6"/>
        <v>30185.61842</v>
      </c>
      <c r="I919" s="1">
        <f t="shared" si="7"/>
        <v>49394.64832</v>
      </c>
    </row>
    <row r="920" hidden="1">
      <c r="A920" s="266">
        <f>IFERROR(__xludf.DUMMYFUNCTION("""COMPUTED_VALUE"""),43557.99861111111)</f>
        <v>43557.99861</v>
      </c>
      <c r="B920" s="1">
        <f>IFERROR(__xludf.DUMMYFUNCTION("""COMPUTED_VALUE"""),4897.085)</f>
        <v>4897.085</v>
      </c>
      <c r="C920" s="58">
        <f t="shared" si="1"/>
        <v>3741.998611</v>
      </c>
      <c r="D920" s="1">
        <f t="shared" si="2"/>
        <v>2748.404353</v>
      </c>
      <c r="E920" s="1">
        <f t="shared" si="3"/>
        <v>4947.127835</v>
      </c>
      <c r="F920" s="1">
        <f t="shared" si="4"/>
        <v>9344.574799</v>
      </c>
      <c r="G920" s="1">
        <f t="shared" si="5"/>
        <v>16490.42612</v>
      </c>
      <c r="H920" s="1">
        <f t="shared" si="6"/>
        <v>30232.44788</v>
      </c>
      <c r="I920" s="1">
        <f t="shared" si="7"/>
        <v>49471.27835</v>
      </c>
    </row>
    <row r="921" hidden="1">
      <c r="A921" s="266">
        <f>IFERROR(__xludf.DUMMYFUNCTION("""COMPUTED_VALUE"""),43558.99861111111)</f>
        <v>43558.99861</v>
      </c>
      <c r="B921" s="1">
        <f>IFERROR(__xludf.DUMMYFUNCTION("""COMPUTED_VALUE"""),4972.537)</f>
        <v>4972.537</v>
      </c>
      <c r="C921" s="58">
        <f t="shared" si="1"/>
        <v>3742.998611</v>
      </c>
      <c r="D921" s="1">
        <f t="shared" si="2"/>
        <v>2752.667041</v>
      </c>
      <c r="E921" s="1">
        <f t="shared" si="3"/>
        <v>4954.800673</v>
      </c>
      <c r="F921" s="1">
        <f t="shared" si="4"/>
        <v>9359.067939</v>
      </c>
      <c r="G921" s="1">
        <f t="shared" si="5"/>
        <v>16516.00224</v>
      </c>
      <c r="H921" s="1">
        <f t="shared" si="6"/>
        <v>30279.33745</v>
      </c>
      <c r="I921" s="1">
        <f t="shared" si="7"/>
        <v>49548.00673</v>
      </c>
    </row>
    <row r="922" hidden="1">
      <c r="A922" s="266">
        <f>IFERROR(__xludf.DUMMYFUNCTION("""COMPUTED_VALUE"""),43559.99861111111)</f>
        <v>43559.99861</v>
      </c>
      <c r="B922" s="1">
        <f>IFERROR(__xludf.DUMMYFUNCTION("""COMPUTED_VALUE"""),4913.774)</f>
        <v>4913.774</v>
      </c>
      <c r="C922" s="58">
        <f t="shared" si="1"/>
        <v>3743.998611</v>
      </c>
      <c r="D922" s="1">
        <f t="shared" si="2"/>
        <v>2756.935199</v>
      </c>
      <c r="E922" s="1">
        <f t="shared" si="3"/>
        <v>4962.483358</v>
      </c>
      <c r="F922" s="1">
        <f t="shared" si="4"/>
        <v>9373.579676</v>
      </c>
      <c r="G922" s="1">
        <f t="shared" si="5"/>
        <v>16541.61119</v>
      </c>
      <c r="H922" s="1">
        <f t="shared" si="6"/>
        <v>30326.28719</v>
      </c>
      <c r="I922" s="1">
        <f t="shared" si="7"/>
        <v>49624.83358</v>
      </c>
    </row>
    <row r="923" hidden="1">
      <c r="A923" s="266">
        <f>IFERROR(__xludf.DUMMYFUNCTION("""COMPUTED_VALUE"""),43560.99861111111)</f>
        <v>43560.99861</v>
      </c>
      <c r="B923" s="1">
        <f>IFERROR(__xludf.DUMMYFUNCTION("""COMPUTED_VALUE"""),5041.908)</f>
        <v>5041.908</v>
      </c>
      <c r="C923" s="58">
        <f t="shared" si="1"/>
        <v>3744.998611</v>
      </c>
      <c r="D923" s="1">
        <f t="shared" si="2"/>
        <v>2761.208832</v>
      </c>
      <c r="E923" s="1">
        <f t="shared" si="3"/>
        <v>4970.175898</v>
      </c>
      <c r="F923" s="1">
        <f t="shared" si="4"/>
        <v>9388.110029</v>
      </c>
      <c r="G923" s="1">
        <f t="shared" si="5"/>
        <v>16567.25299</v>
      </c>
      <c r="H923" s="1">
        <f t="shared" si="6"/>
        <v>30373.29715</v>
      </c>
      <c r="I923" s="1">
        <f t="shared" si="7"/>
        <v>49701.75898</v>
      </c>
    </row>
    <row r="924" hidden="1">
      <c r="A924" s="266">
        <f>IFERROR(__xludf.DUMMYFUNCTION("""COMPUTED_VALUE"""),43561.99861111111)</f>
        <v>43561.99861</v>
      </c>
      <c r="B924" s="1">
        <f>IFERROR(__xludf.DUMMYFUNCTION("""COMPUTED_VALUE"""),5058.361)</f>
        <v>5058.361</v>
      </c>
      <c r="C924" s="58">
        <f t="shared" si="1"/>
        <v>3745.998611</v>
      </c>
      <c r="D924" s="1">
        <f t="shared" si="2"/>
        <v>2765.487947</v>
      </c>
      <c r="E924" s="1">
        <f t="shared" si="3"/>
        <v>4977.878304</v>
      </c>
      <c r="F924" s="1">
        <f t="shared" si="4"/>
        <v>9402.659019</v>
      </c>
      <c r="G924" s="1">
        <f t="shared" si="5"/>
        <v>16592.92768</v>
      </c>
      <c r="H924" s="1">
        <f t="shared" si="6"/>
        <v>30420.36741</v>
      </c>
      <c r="I924" s="1">
        <f t="shared" si="7"/>
        <v>49778.78304</v>
      </c>
    </row>
    <row r="925" hidden="1">
      <c r="A925" s="266">
        <f>IFERROR(__xludf.DUMMYFUNCTION("""COMPUTED_VALUE"""),43562.99861111111)</f>
        <v>43562.99861</v>
      </c>
      <c r="B925" s="1">
        <f>IFERROR(__xludf.DUMMYFUNCTION("""COMPUTED_VALUE"""),5200.219)</f>
        <v>5200.219</v>
      </c>
      <c r="C925" s="58">
        <f t="shared" si="1"/>
        <v>3746.998611</v>
      </c>
      <c r="D925" s="1">
        <f t="shared" si="2"/>
        <v>2769.772548</v>
      </c>
      <c r="E925" s="1">
        <f t="shared" si="3"/>
        <v>4985.590586</v>
      </c>
      <c r="F925" s="1">
        <f t="shared" si="4"/>
        <v>9417.226663</v>
      </c>
      <c r="G925" s="1">
        <f t="shared" si="5"/>
        <v>16618.63529</v>
      </c>
      <c r="H925" s="1">
        <f t="shared" si="6"/>
        <v>30467.49803</v>
      </c>
      <c r="I925" s="1">
        <f t="shared" si="7"/>
        <v>49855.90586</v>
      </c>
    </row>
    <row r="926" hidden="1">
      <c r="A926" s="266">
        <f>IFERROR(__xludf.DUMMYFUNCTION("""COMPUTED_VALUE"""),43563.99861111111)</f>
        <v>43563.99861</v>
      </c>
      <c r="B926" s="1">
        <f>IFERROR(__xludf.DUMMYFUNCTION("""COMPUTED_VALUE"""),5289.03)</f>
        <v>5289.03</v>
      </c>
      <c r="C926" s="58">
        <f t="shared" si="1"/>
        <v>3747.998611</v>
      </c>
      <c r="D926" s="1">
        <f t="shared" si="2"/>
        <v>2774.062641</v>
      </c>
      <c r="E926" s="1">
        <f t="shared" si="3"/>
        <v>4993.312754</v>
      </c>
      <c r="F926" s="1">
        <f t="shared" si="4"/>
        <v>9431.81298</v>
      </c>
      <c r="G926" s="1">
        <f t="shared" si="5"/>
        <v>16644.37585</v>
      </c>
      <c r="H926" s="1">
        <f t="shared" si="6"/>
        <v>30514.68905</v>
      </c>
      <c r="I926" s="1">
        <f t="shared" si="7"/>
        <v>49933.12754</v>
      </c>
    </row>
    <row r="927" hidden="1">
      <c r="A927" s="266">
        <f>IFERROR(__xludf.DUMMYFUNCTION("""COMPUTED_VALUE"""),43564.99861111111)</f>
        <v>43564.99861</v>
      </c>
      <c r="B927" s="1">
        <f>IFERROR(__xludf.DUMMYFUNCTION("""COMPUTED_VALUE"""),5199.502)</f>
        <v>5199.502</v>
      </c>
      <c r="C927" s="58">
        <f t="shared" si="1"/>
        <v>3748.998611</v>
      </c>
      <c r="D927" s="1">
        <f t="shared" si="2"/>
        <v>2778.358232</v>
      </c>
      <c r="E927" s="1">
        <f t="shared" si="3"/>
        <v>5001.044818</v>
      </c>
      <c r="F927" s="1">
        <f t="shared" si="4"/>
        <v>9446.41799</v>
      </c>
      <c r="G927" s="1">
        <f t="shared" si="5"/>
        <v>16670.14939</v>
      </c>
      <c r="H927" s="1">
        <f t="shared" si="6"/>
        <v>30561.94056</v>
      </c>
      <c r="I927" s="1">
        <f t="shared" si="7"/>
        <v>50010.44818</v>
      </c>
    </row>
    <row r="928" hidden="1">
      <c r="A928" s="266">
        <f>IFERROR(__xludf.DUMMYFUNCTION("""COMPUTED_VALUE"""),43565.99861111111)</f>
        <v>43565.99861</v>
      </c>
      <c r="B928" s="1">
        <f>IFERROR(__xludf.DUMMYFUNCTION("""COMPUTED_VALUE"""),5312.551)</f>
        <v>5312.551</v>
      </c>
      <c r="C928" s="58">
        <f t="shared" si="1"/>
        <v>3749.998611</v>
      </c>
      <c r="D928" s="1">
        <f t="shared" si="2"/>
        <v>2782.659327</v>
      </c>
      <c r="E928" s="1">
        <f t="shared" si="3"/>
        <v>5008.786788</v>
      </c>
      <c r="F928" s="1">
        <f t="shared" si="4"/>
        <v>9461.041711</v>
      </c>
      <c r="G928" s="1">
        <f t="shared" si="5"/>
        <v>16695.95596</v>
      </c>
      <c r="H928" s="1">
        <f t="shared" si="6"/>
        <v>30609.2526</v>
      </c>
      <c r="I928" s="1">
        <f t="shared" si="7"/>
        <v>50087.86788</v>
      </c>
    </row>
    <row r="929" hidden="1">
      <c r="A929" s="266">
        <f>IFERROR(__xludf.DUMMYFUNCTION("""COMPUTED_VALUE"""),43566.99861111111)</f>
        <v>43566.99861</v>
      </c>
      <c r="B929" s="1">
        <f>IFERROR(__xludf.DUMMYFUNCTION("""COMPUTED_VALUE"""),5039.996)</f>
        <v>5039.996</v>
      </c>
      <c r="C929" s="58">
        <f t="shared" si="1"/>
        <v>3750.998611</v>
      </c>
      <c r="D929" s="1">
        <f t="shared" si="2"/>
        <v>2786.96593</v>
      </c>
      <c r="E929" s="1">
        <f t="shared" si="3"/>
        <v>5016.538675</v>
      </c>
      <c r="F929" s="1">
        <f t="shared" si="4"/>
        <v>9475.684163</v>
      </c>
      <c r="G929" s="1">
        <f t="shared" si="5"/>
        <v>16721.79558</v>
      </c>
      <c r="H929" s="1">
        <f t="shared" si="6"/>
        <v>30656.62523</v>
      </c>
      <c r="I929" s="1">
        <f t="shared" si="7"/>
        <v>50165.38675</v>
      </c>
    </row>
    <row r="930" hidden="1">
      <c r="A930" s="266">
        <f>IFERROR(__xludf.DUMMYFUNCTION("""COMPUTED_VALUE"""),43567.99861111111)</f>
        <v>43567.99861</v>
      </c>
      <c r="B930" s="1">
        <f>IFERROR(__xludf.DUMMYFUNCTION("""COMPUTED_VALUE"""),5087.412)</f>
        <v>5087.412</v>
      </c>
      <c r="C930" s="58">
        <f t="shared" si="1"/>
        <v>3751.998611</v>
      </c>
      <c r="D930" s="1">
        <f t="shared" si="2"/>
        <v>2791.278048</v>
      </c>
      <c r="E930" s="1">
        <f t="shared" si="3"/>
        <v>5024.300487</v>
      </c>
      <c r="F930" s="1">
        <f t="shared" si="4"/>
        <v>9490.345364</v>
      </c>
      <c r="G930" s="1">
        <f t="shared" si="5"/>
        <v>16747.66829</v>
      </c>
      <c r="H930" s="1">
        <f t="shared" si="6"/>
        <v>30704.05853</v>
      </c>
      <c r="I930" s="1">
        <f t="shared" si="7"/>
        <v>50243.00487</v>
      </c>
    </row>
    <row r="931" hidden="1">
      <c r="A931" s="266">
        <f>IFERROR(__xludf.DUMMYFUNCTION("""COMPUTED_VALUE"""),43568.99861111111)</f>
        <v>43568.99861</v>
      </c>
      <c r="B931" s="1">
        <f>IFERROR(__xludf.DUMMYFUNCTION("""COMPUTED_VALUE"""),5067.361)</f>
        <v>5067.361</v>
      </c>
      <c r="C931" s="58">
        <f t="shared" si="1"/>
        <v>3752.998611</v>
      </c>
      <c r="D931" s="1">
        <f t="shared" si="2"/>
        <v>2795.595686</v>
      </c>
      <c r="E931" s="1">
        <f t="shared" si="3"/>
        <v>5032.072235</v>
      </c>
      <c r="F931" s="1">
        <f t="shared" si="4"/>
        <v>9505.025333</v>
      </c>
      <c r="G931" s="1">
        <f t="shared" si="5"/>
        <v>16773.57412</v>
      </c>
      <c r="H931" s="1">
        <f t="shared" si="6"/>
        <v>30751.55255</v>
      </c>
      <c r="I931" s="1">
        <f t="shared" si="7"/>
        <v>50320.72235</v>
      </c>
    </row>
    <row r="932" hidden="1">
      <c r="A932" s="266">
        <f>IFERROR(__xludf.DUMMYFUNCTION("""COMPUTED_VALUE"""),43569.99861111111)</f>
        <v>43569.99861</v>
      </c>
      <c r="B932" s="1">
        <f>IFERROR(__xludf.DUMMYFUNCTION("""COMPUTED_VALUE"""),5173.506)</f>
        <v>5173.506</v>
      </c>
      <c r="C932" s="58">
        <f t="shared" si="1"/>
        <v>3753.998611</v>
      </c>
      <c r="D932" s="1">
        <f t="shared" si="2"/>
        <v>2799.91885</v>
      </c>
      <c r="E932" s="1">
        <f t="shared" si="3"/>
        <v>5039.85393</v>
      </c>
      <c r="F932" s="1">
        <f t="shared" si="4"/>
        <v>9519.72409</v>
      </c>
      <c r="G932" s="1">
        <f t="shared" si="5"/>
        <v>16799.5131</v>
      </c>
      <c r="H932" s="1">
        <f t="shared" si="6"/>
        <v>30799.10735</v>
      </c>
      <c r="I932" s="1">
        <f t="shared" si="7"/>
        <v>50398.5393</v>
      </c>
    </row>
    <row r="933" hidden="1">
      <c r="A933" s="266">
        <f>IFERROR(__xludf.DUMMYFUNCTION("""COMPUTED_VALUE"""),43570.99861111111)</f>
        <v>43570.99861</v>
      </c>
      <c r="B933" s="1">
        <f>IFERROR(__xludf.DUMMYFUNCTION("""COMPUTED_VALUE"""),5037.448)</f>
        <v>5037.448</v>
      </c>
      <c r="C933" s="58">
        <f t="shared" si="1"/>
        <v>3754.998611</v>
      </c>
      <c r="D933" s="1">
        <f t="shared" si="2"/>
        <v>2804.247545</v>
      </c>
      <c r="E933" s="1">
        <f t="shared" si="3"/>
        <v>5047.645581</v>
      </c>
      <c r="F933" s="1">
        <f t="shared" si="4"/>
        <v>9534.441653</v>
      </c>
      <c r="G933" s="1">
        <f t="shared" si="5"/>
        <v>16825.48527</v>
      </c>
      <c r="H933" s="1">
        <f t="shared" si="6"/>
        <v>30846.72299</v>
      </c>
      <c r="I933" s="1">
        <f t="shared" si="7"/>
        <v>50476.45581</v>
      </c>
    </row>
    <row r="934" hidden="1">
      <c r="A934" s="266">
        <f>IFERROR(__xludf.DUMMYFUNCTION("""COMPUTED_VALUE"""),43571.99861111111)</f>
        <v>43571.99861</v>
      </c>
      <c r="B934" s="1">
        <f>IFERROR(__xludf.DUMMYFUNCTION("""COMPUTED_VALUE"""),5202.311)</f>
        <v>5202.311</v>
      </c>
      <c r="C934" s="58">
        <f t="shared" si="1"/>
        <v>3755.998611</v>
      </c>
      <c r="D934" s="1">
        <f t="shared" si="2"/>
        <v>2808.581777</v>
      </c>
      <c r="E934" s="1">
        <f t="shared" si="3"/>
        <v>5055.447198</v>
      </c>
      <c r="F934" s="1">
        <f t="shared" si="4"/>
        <v>9549.178041</v>
      </c>
      <c r="G934" s="1">
        <f t="shared" si="5"/>
        <v>16851.49066</v>
      </c>
      <c r="H934" s="1">
        <f t="shared" si="6"/>
        <v>30894.39955</v>
      </c>
      <c r="I934" s="1">
        <f t="shared" si="7"/>
        <v>50554.47198</v>
      </c>
    </row>
    <row r="935" hidden="1">
      <c r="A935" s="266">
        <f>IFERROR(__xludf.DUMMYFUNCTION("""COMPUTED_VALUE"""),43572.99861111111)</f>
        <v>43572.99861</v>
      </c>
      <c r="B935" s="1">
        <f>IFERROR(__xludf.DUMMYFUNCTION("""COMPUTED_VALUE"""),5237.68)</f>
        <v>5237.68</v>
      </c>
      <c r="C935" s="58">
        <f t="shared" si="1"/>
        <v>3756.998611</v>
      </c>
      <c r="D935" s="1">
        <f t="shared" si="2"/>
        <v>2812.921551</v>
      </c>
      <c r="E935" s="1">
        <f t="shared" si="3"/>
        <v>5063.258792</v>
      </c>
      <c r="F935" s="1">
        <f t="shared" si="4"/>
        <v>9563.933274</v>
      </c>
      <c r="G935" s="1">
        <f t="shared" si="5"/>
        <v>16877.52931</v>
      </c>
      <c r="H935" s="1">
        <f t="shared" si="6"/>
        <v>30942.13706</v>
      </c>
      <c r="I935" s="1">
        <f t="shared" si="7"/>
        <v>50632.58792</v>
      </c>
    </row>
    <row r="936" hidden="1">
      <c r="A936" s="266">
        <f>IFERROR(__xludf.DUMMYFUNCTION("""COMPUTED_VALUE"""),43573.99861111111)</f>
        <v>43573.99861</v>
      </c>
      <c r="B936" s="1">
        <f>IFERROR(__xludf.DUMMYFUNCTION("""COMPUTED_VALUE"""),5288.075)</f>
        <v>5288.075</v>
      </c>
      <c r="C936" s="58">
        <f t="shared" si="1"/>
        <v>3757.998611</v>
      </c>
      <c r="D936" s="1">
        <f t="shared" si="2"/>
        <v>2817.266874</v>
      </c>
      <c r="E936" s="1">
        <f t="shared" si="3"/>
        <v>5071.080373</v>
      </c>
      <c r="F936" s="1">
        <f t="shared" si="4"/>
        <v>9578.707371</v>
      </c>
      <c r="G936" s="1">
        <f t="shared" si="5"/>
        <v>16903.60124</v>
      </c>
      <c r="H936" s="1">
        <f t="shared" si="6"/>
        <v>30989.93561</v>
      </c>
      <c r="I936" s="1">
        <f t="shared" si="7"/>
        <v>50710.80373</v>
      </c>
    </row>
    <row r="937" hidden="1">
      <c r="A937" s="266">
        <f>IFERROR(__xludf.DUMMYFUNCTION("""COMPUTED_VALUE"""),43574.99861111111)</f>
        <v>43574.99861</v>
      </c>
      <c r="B937" s="1">
        <f>IFERROR(__xludf.DUMMYFUNCTION("""COMPUTED_VALUE"""),5299.659)</f>
        <v>5299.659</v>
      </c>
      <c r="C937" s="58">
        <f t="shared" si="1"/>
        <v>3758.998611</v>
      </c>
      <c r="D937" s="1">
        <f t="shared" si="2"/>
        <v>2821.61775</v>
      </c>
      <c r="E937" s="1">
        <f t="shared" si="3"/>
        <v>5078.91195</v>
      </c>
      <c r="F937" s="1">
        <f t="shared" si="4"/>
        <v>9593.50035</v>
      </c>
      <c r="G937" s="1">
        <f t="shared" si="5"/>
        <v>16929.7065</v>
      </c>
      <c r="H937" s="1">
        <f t="shared" si="6"/>
        <v>31037.79525</v>
      </c>
      <c r="I937" s="1">
        <f t="shared" si="7"/>
        <v>50789.1195</v>
      </c>
    </row>
    <row r="938" hidden="1">
      <c r="A938" s="266">
        <f>IFERROR(__xludf.DUMMYFUNCTION("""COMPUTED_VALUE"""),43575.99861111111)</f>
        <v>43575.99861</v>
      </c>
      <c r="B938" s="1">
        <f>IFERROR(__xludf.DUMMYFUNCTION("""COMPUTED_VALUE"""),5327.135)</f>
        <v>5327.135</v>
      </c>
      <c r="C938" s="58">
        <f t="shared" si="1"/>
        <v>3759.998611</v>
      </c>
      <c r="D938" s="1">
        <f t="shared" si="2"/>
        <v>2825.974186</v>
      </c>
      <c r="E938" s="1">
        <f t="shared" si="3"/>
        <v>5086.753534</v>
      </c>
      <c r="F938" s="1">
        <f t="shared" si="4"/>
        <v>9608.312231</v>
      </c>
      <c r="G938" s="1">
        <f t="shared" si="5"/>
        <v>16955.84511</v>
      </c>
      <c r="H938" s="1">
        <f t="shared" si="6"/>
        <v>31085.71604</v>
      </c>
      <c r="I938" s="1">
        <f t="shared" si="7"/>
        <v>50867.53534</v>
      </c>
    </row>
    <row r="939" hidden="1">
      <c r="A939" s="266">
        <f>IFERROR(__xludf.DUMMYFUNCTION("""COMPUTED_VALUE"""),43576.99861111111)</f>
        <v>43576.99861</v>
      </c>
      <c r="B939" s="1">
        <f>IFERROR(__xludf.DUMMYFUNCTION("""COMPUTED_VALUE"""),5306.332)</f>
        <v>5306.332</v>
      </c>
      <c r="C939" s="58">
        <f t="shared" si="1"/>
        <v>3760.998611</v>
      </c>
      <c r="D939" s="1">
        <f t="shared" si="2"/>
        <v>2830.336186</v>
      </c>
      <c r="E939" s="1">
        <f t="shared" si="3"/>
        <v>5094.605135</v>
      </c>
      <c r="F939" s="1">
        <f t="shared" si="4"/>
        <v>9623.143033</v>
      </c>
      <c r="G939" s="1">
        <f t="shared" si="5"/>
        <v>16982.01712</v>
      </c>
      <c r="H939" s="1">
        <f t="shared" si="6"/>
        <v>31133.69805</v>
      </c>
      <c r="I939" s="1">
        <f t="shared" si="7"/>
        <v>50946.05135</v>
      </c>
    </row>
    <row r="940" hidden="1">
      <c r="A940" s="266">
        <f>IFERROR(__xludf.DUMMYFUNCTION("""COMPUTED_VALUE"""),43577.99861111111)</f>
        <v>43577.99861</v>
      </c>
      <c r="B940" s="1">
        <f>IFERROR(__xludf.DUMMYFUNCTION("""COMPUTED_VALUE"""),5396.643)</f>
        <v>5396.643</v>
      </c>
      <c r="C940" s="58">
        <f t="shared" si="1"/>
        <v>3761.998611</v>
      </c>
      <c r="D940" s="1">
        <f t="shared" si="2"/>
        <v>2834.703757</v>
      </c>
      <c r="E940" s="1">
        <f t="shared" si="3"/>
        <v>5102.466763</v>
      </c>
      <c r="F940" s="1">
        <f t="shared" si="4"/>
        <v>9637.992775</v>
      </c>
      <c r="G940" s="1">
        <f t="shared" si="5"/>
        <v>17008.22254</v>
      </c>
      <c r="H940" s="1">
        <f t="shared" si="6"/>
        <v>31181.74133</v>
      </c>
      <c r="I940" s="1">
        <f t="shared" si="7"/>
        <v>51024.66763</v>
      </c>
    </row>
    <row r="941" hidden="1">
      <c r="A941" s="266">
        <f>IFERROR(__xludf.DUMMYFUNCTION("""COMPUTED_VALUE"""),43578.99861111111)</f>
        <v>43578.99861</v>
      </c>
      <c r="B941" s="1">
        <f>IFERROR(__xludf.DUMMYFUNCTION("""COMPUTED_VALUE"""),5526.234)</f>
        <v>5526.234</v>
      </c>
      <c r="C941" s="58">
        <f t="shared" si="1"/>
        <v>3762.998611</v>
      </c>
      <c r="D941" s="1">
        <f t="shared" si="2"/>
        <v>2839.076905</v>
      </c>
      <c r="E941" s="1">
        <f t="shared" si="3"/>
        <v>5110.338428</v>
      </c>
      <c r="F941" s="1">
        <f t="shared" si="4"/>
        <v>9652.861476</v>
      </c>
      <c r="G941" s="1">
        <f t="shared" si="5"/>
        <v>17034.46143</v>
      </c>
      <c r="H941" s="1">
        <f t="shared" si="6"/>
        <v>31229.84595</v>
      </c>
      <c r="I941" s="1">
        <f t="shared" si="7"/>
        <v>51103.38428</v>
      </c>
    </row>
    <row r="942" hidden="1">
      <c r="A942" s="266">
        <f>IFERROR(__xludf.DUMMYFUNCTION("""COMPUTED_VALUE"""),43579.99861111111)</f>
        <v>43579.99861</v>
      </c>
      <c r="B942" s="1">
        <f>IFERROR(__xludf.DUMMYFUNCTION("""COMPUTED_VALUE"""),5436.695)</f>
        <v>5436.695</v>
      </c>
      <c r="C942" s="58">
        <f t="shared" si="1"/>
        <v>3763.998611</v>
      </c>
      <c r="D942" s="1">
        <f t="shared" si="2"/>
        <v>2843.455634</v>
      </c>
      <c r="E942" s="1">
        <f t="shared" si="3"/>
        <v>5118.220141</v>
      </c>
      <c r="F942" s="1">
        <f t="shared" si="4"/>
        <v>9667.749155</v>
      </c>
      <c r="G942" s="1">
        <f t="shared" si="5"/>
        <v>17060.7338</v>
      </c>
      <c r="H942" s="1">
        <f t="shared" si="6"/>
        <v>31278.01197</v>
      </c>
      <c r="I942" s="1">
        <f t="shared" si="7"/>
        <v>51182.20141</v>
      </c>
    </row>
    <row r="943" hidden="1">
      <c r="A943" s="266">
        <f>IFERROR(__xludf.DUMMYFUNCTION("""COMPUTED_VALUE"""),43580.99861111111)</f>
        <v>43580.99861</v>
      </c>
      <c r="B943" s="1">
        <f>IFERROR(__xludf.DUMMYFUNCTION("""COMPUTED_VALUE"""),5157.866)</f>
        <v>5157.866</v>
      </c>
      <c r="C943" s="58">
        <f t="shared" si="1"/>
        <v>3764.998611</v>
      </c>
      <c r="D943" s="1">
        <f t="shared" si="2"/>
        <v>2847.83995</v>
      </c>
      <c r="E943" s="1">
        <f t="shared" si="3"/>
        <v>5126.111911</v>
      </c>
      <c r="F943" s="1">
        <f t="shared" si="4"/>
        <v>9682.655831</v>
      </c>
      <c r="G943" s="1">
        <f t="shared" si="5"/>
        <v>17087.0397</v>
      </c>
      <c r="H943" s="1">
        <f t="shared" si="6"/>
        <v>31326.23945</v>
      </c>
      <c r="I943" s="1">
        <f t="shared" si="7"/>
        <v>51261.11911</v>
      </c>
    </row>
    <row r="944" hidden="1">
      <c r="A944" s="266">
        <f>IFERROR(__xludf.DUMMYFUNCTION("""COMPUTED_VALUE"""),43581.99861111111)</f>
        <v>43581.99861</v>
      </c>
      <c r="B944" s="1">
        <f>IFERROR(__xludf.DUMMYFUNCTION("""COMPUTED_VALUE"""),5205.166)</f>
        <v>5205.166</v>
      </c>
      <c r="C944" s="58">
        <f t="shared" si="1"/>
        <v>3765.998611</v>
      </c>
      <c r="D944" s="1">
        <f t="shared" si="2"/>
        <v>2852.22986</v>
      </c>
      <c r="E944" s="1">
        <f t="shared" si="3"/>
        <v>5134.013748</v>
      </c>
      <c r="F944" s="1">
        <f t="shared" si="4"/>
        <v>9697.581525</v>
      </c>
      <c r="G944" s="1">
        <f t="shared" si="5"/>
        <v>17113.37916</v>
      </c>
      <c r="H944" s="1">
        <f t="shared" si="6"/>
        <v>31374.52846</v>
      </c>
      <c r="I944" s="1">
        <f t="shared" si="7"/>
        <v>51340.13748</v>
      </c>
    </row>
    <row r="945" hidden="1">
      <c r="A945" s="266">
        <f>IFERROR(__xludf.DUMMYFUNCTION("""COMPUTED_VALUE"""),43582.99861111111)</f>
        <v>43582.99861</v>
      </c>
      <c r="B945" s="1">
        <f>IFERROR(__xludf.DUMMYFUNCTION("""COMPUTED_VALUE"""),5183.623)</f>
        <v>5183.623</v>
      </c>
      <c r="C945" s="58">
        <f t="shared" si="1"/>
        <v>3766.998611</v>
      </c>
      <c r="D945" s="1">
        <f t="shared" si="2"/>
        <v>2856.625369</v>
      </c>
      <c r="E945" s="1">
        <f t="shared" si="3"/>
        <v>5141.925664</v>
      </c>
      <c r="F945" s="1">
        <f t="shared" si="4"/>
        <v>9712.526254</v>
      </c>
      <c r="G945" s="1">
        <f t="shared" si="5"/>
        <v>17139.75221</v>
      </c>
      <c r="H945" s="1">
        <f t="shared" si="6"/>
        <v>31422.87906</v>
      </c>
      <c r="I945" s="1">
        <f t="shared" si="7"/>
        <v>51419.25664</v>
      </c>
    </row>
    <row r="946" hidden="1">
      <c r="A946" s="266">
        <f>IFERROR(__xludf.DUMMYFUNCTION("""COMPUTED_VALUE"""),43583.99861111111)</f>
        <v>43583.99861</v>
      </c>
      <c r="B946" s="1">
        <f>IFERROR(__xludf.DUMMYFUNCTION("""COMPUTED_VALUE"""),5180.474)</f>
        <v>5180.474</v>
      </c>
      <c r="C946" s="58">
        <f t="shared" si="1"/>
        <v>3767.998611</v>
      </c>
      <c r="D946" s="1">
        <f t="shared" si="2"/>
        <v>2861.026482</v>
      </c>
      <c r="E946" s="1">
        <f t="shared" si="3"/>
        <v>5149.847667</v>
      </c>
      <c r="F946" s="1">
        <f t="shared" si="4"/>
        <v>9727.490038</v>
      </c>
      <c r="G946" s="1">
        <f t="shared" si="5"/>
        <v>17166.15889</v>
      </c>
      <c r="H946" s="1">
        <f t="shared" si="6"/>
        <v>31471.2913</v>
      </c>
      <c r="I946" s="1">
        <f t="shared" si="7"/>
        <v>51498.47667</v>
      </c>
    </row>
    <row r="947" hidden="1">
      <c r="A947" s="266">
        <f>IFERROR(__xludf.DUMMYFUNCTION("""COMPUTED_VALUE"""),43584.99861111111)</f>
        <v>43584.99861</v>
      </c>
      <c r="B947" s="1">
        <f>IFERROR(__xludf.DUMMYFUNCTION("""COMPUTED_VALUE"""),5167.4)</f>
        <v>5167.4</v>
      </c>
      <c r="C947" s="58">
        <f t="shared" si="1"/>
        <v>3768.998611</v>
      </c>
      <c r="D947" s="1">
        <f t="shared" si="2"/>
        <v>2865.433205</v>
      </c>
      <c r="E947" s="1">
        <f t="shared" si="3"/>
        <v>5157.779769</v>
      </c>
      <c r="F947" s="1">
        <f t="shared" si="4"/>
        <v>9742.472897</v>
      </c>
      <c r="G947" s="1">
        <f t="shared" si="5"/>
        <v>17192.59923</v>
      </c>
      <c r="H947" s="1">
        <f t="shared" si="6"/>
        <v>31519.76525</v>
      </c>
      <c r="I947" s="1">
        <f t="shared" si="7"/>
        <v>51577.79769</v>
      </c>
    </row>
    <row r="948" hidden="1">
      <c r="A948" s="266">
        <f>IFERROR(__xludf.DUMMYFUNCTION("""COMPUTED_VALUE"""),43585.99861111111)</f>
        <v>43585.99861</v>
      </c>
      <c r="B948" s="1">
        <f>IFERROR(__xludf.DUMMYFUNCTION("""COMPUTED_VALUE"""),5286.545)</f>
        <v>5286.545</v>
      </c>
      <c r="C948" s="58">
        <f t="shared" si="1"/>
        <v>3769.998611</v>
      </c>
      <c r="D948" s="1">
        <f t="shared" si="2"/>
        <v>2869.845544</v>
      </c>
      <c r="E948" s="1">
        <f t="shared" si="3"/>
        <v>5165.721979</v>
      </c>
      <c r="F948" s="1">
        <f t="shared" si="4"/>
        <v>9757.474849</v>
      </c>
      <c r="G948" s="1">
        <f t="shared" si="5"/>
        <v>17219.07326</v>
      </c>
      <c r="H948" s="1">
        <f t="shared" si="6"/>
        <v>31568.30098</v>
      </c>
      <c r="I948" s="1">
        <f t="shared" si="7"/>
        <v>51657.21979</v>
      </c>
    </row>
    <row r="949" hidden="1">
      <c r="A949" s="266">
        <f>IFERROR(__xludf.DUMMYFUNCTION("""COMPUTED_VALUE"""),43586.99861111111)</f>
        <v>43586.99861</v>
      </c>
      <c r="B949" s="1">
        <f>IFERROR(__xludf.DUMMYFUNCTION("""COMPUTED_VALUE"""),5352.741)</f>
        <v>5352.741</v>
      </c>
      <c r="C949" s="58">
        <f t="shared" si="1"/>
        <v>3770.998611</v>
      </c>
      <c r="D949" s="1">
        <f t="shared" si="2"/>
        <v>2874.263504</v>
      </c>
      <c r="E949" s="1">
        <f t="shared" si="3"/>
        <v>5173.674307</v>
      </c>
      <c r="F949" s="1">
        <f t="shared" si="4"/>
        <v>9772.495914</v>
      </c>
      <c r="G949" s="1">
        <f t="shared" si="5"/>
        <v>17245.58102</v>
      </c>
      <c r="H949" s="1">
        <f t="shared" si="6"/>
        <v>31616.89854</v>
      </c>
      <c r="I949" s="1">
        <f t="shared" si="7"/>
        <v>51736.74307</v>
      </c>
    </row>
    <row r="950" hidden="1">
      <c r="A950" s="266">
        <f>IFERROR(__xludf.DUMMYFUNCTION("""COMPUTED_VALUE"""),43587.99861111111)</f>
        <v>43587.99861</v>
      </c>
      <c r="B950" s="1">
        <f>IFERROR(__xludf.DUMMYFUNCTION("""COMPUTED_VALUE"""),5404.646)</f>
        <v>5404.646</v>
      </c>
      <c r="C950" s="58">
        <f t="shared" si="1"/>
        <v>3771.998611</v>
      </c>
      <c r="D950" s="1">
        <f t="shared" si="2"/>
        <v>2878.687091</v>
      </c>
      <c r="E950" s="1">
        <f t="shared" si="3"/>
        <v>5181.636765</v>
      </c>
      <c r="F950" s="1">
        <f t="shared" si="4"/>
        <v>9787.536111</v>
      </c>
      <c r="G950" s="1">
        <f t="shared" si="5"/>
        <v>17272.12255</v>
      </c>
      <c r="H950" s="1">
        <f t="shared" si="6"/>
        <v>31665.55801</v>
      </c>
      <c r="I950" s="1">
        <f t="shared" si="7"/>
        <v>51816.36765</v>
      </c>
    </row>
    <row r="951" hidden="1">
      <c r="A951" s="266">
        <f>IFERROR(__xludf.DUMMYFUNCTION("""COMPUTED_VALUE"""),43588.99861111111)</f>
        <v>43588.99861</v>
      </c>
      <c r="B951" s="1">
        <f>IFERROR(__xludf.DUMMYFUNCTION("""COMPUTED_VALUE"""),5681.206)</f>
        <v>5681.206</v>
      </c>
      <c r="C951" s="58">
        <f t="shared" si="1"/>
        <v>3772.998611</v>
      </c>
      <c r="D951" s="1">
        <f t="shared" si="2"/>
        <v>2883.116312</v>
      </c>
      <c r="E951" s="1">
        <f t="shared" si="3"/>
        <v>5189.609361</v>
      </c>
      <c r="F951" s="1">
        <f t="shared" si="4"/>
        <v>9802.595459</v>
      </c>
      <c r="G951" s="1">
        <f t="shared" si="5"/>
        <v>17298.69787</v>
      </c>
      <c r="H951" s="1">
        <f t="shared" si="6"/>
        <v>31714.27943</v>
      </c>
      <c r="I951" s="1">
        <f t="shared" si="7"/>
        <v>51896.09361</v>
      </c>
    </row>
    <row r="952" hidden="1">
      <c r="A952" s="266">
        <f>IFERROR(__xludf.DUMMYFUNCTION("""COMPUTED_VALUE"""),43589.99861111111)</f>
        <v>43589.99861</v>
      </c>
      <c r="B952" s="1">
        <f>IFERROR(__xludf.DUMMYFUNCTION("""COMPUTED_VALUE"""),5798.636)</f>
        <v>5798.636</v>
      </c>
      <c r="C952" s="58">
        <f t="shared" si="1"/>
        <v>3773.998611</v>
      </c>
      <c r="D952" s="1">
        <f t="shared" si="2"/>
        <v>2887.55117</v>
      </c>
      <c r="E952" s="1">
        <f t="shared" si="3"/>
        <v>5197.592106</v>
      </c>
      <c r="F952" s="1">
        <f t="shared" si="4"/>
        <v>9817.673978</v>
      </c>
      <c r="G952" s="1">
        <f t="shared" si="5"/>
        <v>17325.30702</v>
      </c>
      <c r="H952" s="1">
        <f t="shared" si="6"/>
        <v>31763.06287</v>
      </c>
      <c r="I952" s="1">
        <f t="shared" si="7"/>
        <v>51975.92106</v>
      </c>
    </row>
    <row r="953" hidden="1">
      <c r="A953" s="266">
        <f>IFERROR(__xludf.DUMMYFUNCTION("""COMPUTED_VALUE"""),43590.99861111111)</f>
        <v>43590.99861</v>
      </c>
      <c r="B953" s="1">
        <f>IFERROR(__xludf.DUMMYFUNCTION("""COMPUTED_VALUE"""),5720.7)</f>
        <v>5720.7</v>
      </c>
      <c r="C953" s="58">
        <f t="shared" si="1"/>
        <v>3774.998611</v>
      </c>
      <c r="D953" s="1">
        <f t="shared" si="2"/>
        <v>2891.991673</v>
      </c>
      <c r="E953" s="1">
        <f t="shared" si="3"/>
        <v>5205.585011</v>
      </c>
      <c r="F953" s="1">
        <f t="shared" si="4"/>
        <v>9832.771687</v>
      </c>
      <c r="G953" s="1">
        <f t="shared" si="5"/>
        <v>17351.95004</v>
      </c>
      <c r="H953" s="1">
        <f t="shared" si="6"/>
        <v>31811.9084</v>
      </c>
      <c r="I953" s="1">
        <f t="shared" si="7"/>
        <v>52055.85011</v>
      </c>
    </row>
    <row r="954" hidden="1">
      <c r="A954" s="266">
        <f>IFERROR(__xludf.DUMMYFUNCTION("""COMPUTED_VALUE"""),43591.99861111111)</f>
        <v>43591.99861</v>
      </c>
      <c r="B954" s="1">
        <f>IFERROR(__xludf.DUMMYFUNCTION("""COMPUTED_VALUE"""),5693.083)</f>
        <v>5693.083</v>
      </c>
      <c r="C954" s="58">
        <f t="shared" si="1"/>
        <v>3775.998611</v>
      </c>
      <c r="D954" s="1">
        <f t="shared" si="2"/>
        <v>2896.437825</v>
      </c>
      <c r="E954" s="1">
        <f t="shared" si="3"/>
        <v>5213.588085</v>
      </c>
      <c r="F954" s="1">
        <f t="shared" si="4"/>
        <v>9847.888605</v>
      </c>
      <c r="G954" s="1">
        <f t="shared" si="5"/>
        <v>17378.62695</v>
      </c>
      <c r="H954" s="1">
        <f t="shared" si="6"/>
        <v>31860.81608</v>
      </c>
      <c r="I954" s="1">
        <f t="shared" si="7"/>
        <v>52135.88085</v>
      </c>
    </row>
    <row r="955" hidden="1">
      <c r="A955" s="266">
        <f>IFERROR(__xludf.DUMMYFUNCTION("""COMPUTED_VALUE"""),43592.99861111111)</f>
        <v>43592.99861</v>
      </c>
      <c r="B955" s="1">
        <f>IFERROR(__xludf.DUMMYFUNCTION("""COMPUTED_VALUE"""),5763.569)</f>
        <v>5763.569</v>
      </c>
      <c r="C955" s="58">
        <f t="shared" si="1"/>
        <v>3776.998611</v>
      </c>
      <c r="D955" s="1">
        <f t="shared" si="2"/>
        <v>2900.889633</v>
      </c>
      <c r="E955" s="1">
        <f t="shared" si="3"/>
        <v>5221.601339</v>
      </c>
      <c r="F955" s="1">
        <f t="shared" si="4"/>
        <v>9863.024752</v>
      </c>
      <c r="G955" s="1">
        <f t="shared" si="5"/>
        <v>17405.3378</v>
      </c>
      <c r="H955" s="1">
        <f t="shared" si="6"/>
        <v>31909.78596</v>
      </c>
      <c r="I955" s="1">
        <f t="shared" si="7"/>
        <v>52216.01339</v>
      </c>
    </row>
    <row r="956" hidden="1">
      <c r="A956" s="266">
        <f>IFERROR(__xludf.DUMMYFUNCTION("""COMPUTED_VALUE"""),43593.99861111111)</f>
        <v>43593.99861</v>
      </c>
      <c r="B956" s="1">
        <f>IFERROR(__xludf.DUMMYFUNCTION("""COMPUTED_VALUE"""),5957.77)</f>
        <v>5957.77</v>
      </c>
      <c r="C956" s="58">
        <f t="shared" si="1"/>
        <v>3777.998611</v>
      </c>
      <c r="D956" s="1">
        <f t="shared" si="2"/>
        <v>2905.347102</v>
      </c>
      <c r="E956" s="1">
        <f t="shared" si="3"/>
        <v>5229.624784</v>
      </c>
      <c r="F956" s="1">
        <f t="shared" si="4"/>
        <v>9878.180147</v>
      </c>
      <c r="G956" s="1">
        <f t="shared" si="5"/>
        <v>17432.08261</v>
      </c>
      <c r="H956" s="1">
        <f t="shared" si="6"/>
        <v>31958.81812</v>
      </c>
      <c r="I956" s="1">
        <f t="shared" si="7"/>
        <v>52296.24784</v>
      </c>
    </row>
    <row r="957" hidden="1">
      <c r="A957" s="266">
        <f>IFERROR(__xludf.DUMMYFUNCTION("""COMPUTED_VALUE"""),43594.99861111111)</f>
        <v>43594.99861</v>
      </c>
      <c r="B957" s="1">
        <f>IFERROR(__xludf.DUMMYFUNCTION("""COMPUTED_VALUE"""),6161.655)</f>
        <v>6161.655</v>
      </c>
      <c r="C957" s="58">
        <f t="shared" si="1"/>
        <v>3778.998611</v>
      </c>
      <c r="D957" s="1">
        <f t="shared" si="2"/>
        <v>2909.810238</v>
      </c>
      <c r="E957" s="1">
        <f t="shared" si="3"/>
        <v>5237.658429</v>
      </c>
      <c r="F957" s="1">
        <f t="shared" si="4"/>
        <v>9893.35481</v>
      </c>
      <c r="G957" s="1">
        <f t="shared" si="5"/>
        <v>17458.86143</v>
      </c>
      <c r="H957" s="1">
        <f t="shared" si="6"/>
        <v>32007.91262</v>
      </c>
      <c r="I957" s="1">
        <f t="shared" si="7"/>
        <v>52376.58429</v>
      </c>
    </row>
    <row r="958" hidden="1">
      <c r="A958" s="266">
        <f>IFERROR(__xludf.DUMMYFUNCTION("""COMPUTED_VALUE"""),43595.99861111111)</f>
        <v>43595.99861</v>
      </c>
      <c r="B958" s="1">
        <f>IFERROR(__xludf.DUMMYFUNCTION("""COMPUTED_VALUE"""),6358.179)</f>
        <v>6358.179</v>
      </c>
      <c r="C958" s="58">
        <f t="shared" si="1"/>
        <v>3779.998611</v>
      </c>
      <c r="D958" s="1">
        <f t="shared" si="2"/>
        <v>2914.279047</v>
      </c>
      <c r="E958" s="1">
        <f t="shared" si="3"/>
        <v>5245.702284</v>
      </c>
      <c r="F958" s="1">
        <f t="shared" si="4"/>
        <v>9908.548759</v>
      </c>
      <c r="G958" s="1">
        <f t="shared" si="5"/>
        <v>17485.67428</v>
      </c>
      <c r="H958" s="1">
        <f t="shared" si="6"/>
        <v>32057.06951</v>
      </c>
      <c r="I958" s="1">
        <f t="shared" si="7"/>
        <v>52457.02284</v>
      </c>
    </row>
    <row r="959" hidden="1">
      <c r="A959" s="266">
        <f>IFERROR(__xludf.DUMMYFUNCTION("""COMPUTED_VALUE"""),43596.99861111111)</f>
        <v>43596.99861</v>
      </c>
      <c r="B959" s="1">
        <f>IFERROR(__xludf.DUMMYFUNCTION("""COMPUTED_VALUE"""),7187.249)</f>
        <v>7187.249</v>
      </c>
      <c r="C959" s="58">
        <f t="shared" si="1"/>
        <v>3780.998611</v>
      </c>
      <c r="D959" s="1">
        <f t="shared" si="2"/>
        <v>2918.753533</v>
      </c>
      <c r="E959" s="1">
        <f t="shared" si="3"/>
        <v>5253.75636</v>
      </c>
      <c r="F959" s="1">
        <f t="shared" si="4"/>
        <v>9923.762014</v>
      </c>
      <c r="G959" s="1">
        <f t="shared" si="5"/>
        <v>17512.5212</v>
      </c>
      <c r="H959" s="1">
        <f t="shared" si="6"/>
        <v>32106.28887</v>
      </c>
      <c r="I959" s="1">
        <f t="shared" si="7"/>
        <v>52537.5636</v>
      </c>
    </row>
    <row r="960" hidden="1">
      <c r="A960" s="266">
        <f>IFERROR(__xludf.DUMMYFUNCTION("""COMPUTED_VALUE"""),43597.99861111111)</f>
        <v>43597.99861</v>
      </c>
      <c r="B960" s="1">
        <f>IFERROR(__xludf.DUMMYFUNCTION("""COMPUTED_VALUE"""),6978.169)</f>
        <v>6978.169</v>
      </c>
      <c r="C960" s="58">
        <f t="shared" si="1"/>
        <v>3781.998611</v>
      </c>
      <c r="D960" s="1">
        <f t="shared" si="2"/>
        <v>2923.233704</v>
      </c>
      <c r="E960" s="1">
        <f t="shared" si="3"/>
        <v>5261.820668</v>
      </c>
      <c r="F960" s="1">
        <f t="shared" si="4"/>
        <v>9938.994595</v>
      </c>
      <c r="G960" s="1">
        <f t="shared" si="5"/>
        <v>17539.40223</v>
      </c>
      <c r="H960" s="1">
        <f t="shared" si="6"/>
        <v>32155.57075</v>
      </c>
      <c r="I960" s="1">
        <f t="shared" si="7"/>
        <v>52618.20668</v>
      </c>
    </row>
    <row r="961" hidden="1">
      <c r="A961" s="266">
        <f>IFERROR(__xludf.DUMMYFUNCTION("""COMPUTED_VALUE"""),43598.99861111111)</f>
        <v>43598.99861</v>
      </c>
      <c r="B961" s="1">
        <f>IFERROR(__xludf.DUMMYFUNCTION("""COMPUTED_VALUE"""),7809.004)</f>
        <v>7809.004</v>
      </c>
      <c r="C961" s="58">
        <f t="shared" si="1"/>
        <v>3782.998611</v>
      </c>
      <c r="D961" s="1">
        <f t="shared" si="2"/>
        <v>2927.719565</v>
      </c>
      <c r="E961" s="1">
        <f t="shared" si="3"/>
        <v>5269.895217</v>
      </c>
      <c r="F961" s="1">
        <f t="shared" si="4"/>
        <v>9954.24652</v>
      </c>
      <c r="G961" s="1">
        <f t="shared" si="5"/>
        <v>17566.31739</v>
      </c>
      <c r="H961" s="1">
        <f t="shared" si="6"/>
        <v>32204.91521</v>
      </c>
      <c r="I961" s="1">
        <f t="shared" si="7"/>
        <v>52698.95217</v>
      </c>
    </row>
    <row r="962" hidden="1">
      <c r="A962" s="266">
        <f>IFERROR(__xludf.DUMMYFUNCTION("""COMPUTED_VALUE"""),43599.99861111111)</f>
        <v>43599.99861</v>
      </c>
      <c r="B962" s="1">
        <f>IFERROR(__xludf.DUMMYFUNCTION("""COMPUTED_VALUE"""),7991.535)</f>
        <v>7991.535</v>
      </c>
      <c r="C962" s="58">
        <f t="shared" si="1"/>
        <v>3783.998611</v>
      </c>
      <c r="D962" s="1">
        <f t="shared" si="2"/>
        <v>2932.211121</v>
      </c>
      <c r="E962" s="1">
        <f t="shared" si="3"/>
        <v>5277.980017</v>
      </c>
      <c r="F962" s="1">
        <f t="shared" si="4"/>
        <v>9969.517811</v>
      </c>
      <c r="G962" s="1">
        <f t="shared" si="5"/>
        <v>17593.26672</v>
      </c>
      <c r="H962" s="1">
        <f t="shared" si="6"/>
        <v>32254.32233</v>
      </c>
      <c r="I962" s="1">
        <f t="shared" si="7"/>
        <v>52779.80017</v>
      </c>
    </row>
    <row r="963" hidden="1">
      <c r="A963" s="266">
        <f>IFERROR(__xludf.DUMMYFUNCTION("""COMPUTED_VALUE"""),43600.99861111111)</f>
        <v>43600.99861</v>
      </c>
      <c r="B963" s="1">
        <f>IFERROR(__xludf.DUMMYFUNCTION("""COMPUTED_VALUE"""),8182.613)</f>
        <v>8182.613</v>
      </c>
      <c r="C963" s="58">
        <f t="shared" si="1"/>
        <v>3784.998611</v>
      </c>
      <c r="D963" s="1">
        <f t="shared" si="2"/>
        <v>2936.708378</v>
      </c>
      <c r="E963" s="1">
        <f t="shared" si="3"/>
        <v>5286.07508</v>
      </c>
      <c r="F963" s="1">
        <f t="shared" si="4"/>
        <v>9984.808485</v>
      </c>
      <c r="G963" s="1">
        <f t="shared" si="5"/>
        <v>17620.25027</v>
      </c>
      <c r="H963" s="1">
        <f t="shared" si="6"/>
        <v>32303.79216</v>
      </c>
      <c r="I963" s="1">
        <f t="shared" si="7"/>
        <v>52860.7508</v>
      </c>
    </row>
    <row r="964" hidden="1">
      <c r="A964" s="266">
        <f>IFERROR(__xludf.DUMMYFUNCTION("""COMPUTED_VALUE"""),43601.99861111111)</f>
        <v>43601.99861</v>
      </c>
      <c r="B964" s="1">
        <f>IFERROR(__xludf.DUMMYFUNCTION("""COMPUTED_VALUE"""),7875.48)</f>
        <v>7875.48</v>
      </c>
      <c r="C964" s="58">
        <f t="shared" si="1"/>
        <v>3785.998611</v>
      </c>
      <c r="D964" s="1">
        <f t="shared" si="2"/>
        <v>2941.211342</v>
      </c>
      <c r="E964" s="1">
        <f t="shared" si="3"/>
        <v>5294.180415</v>
      </c>
      <c r="F964" s="1">
        <f t="shared" si="4"/>
        <v>10000.11856</v>
      </c>
      <c r="G964" s="1">
        <f t="shared" si="5"/>
        <v>17647.26805</v>
      </c>
      <c r="H964" s="1">
        <f t="shared" si="6"/>
        <v>32353.32476</v>
      </c>
      <c r="I964" s="1">
        <f t="shared" si="7"/>
        <v>52941.80415</v>
      </c>
    </row>
    <row r="965" hidden="1">
      <c r="A965" s="266">
        <f>IFERROR(__xludf.DUMMYFUNCTION("""COMPUTED_VALUE"""),43602.99861111111)</f>
        <v>43602.99861</v>
      </c>
      <c r="B965" s="1">
        <f>IFERROR(__xludf.DUMMYFUNCTION("""COMPUTED_VALUE"""),7372.684)</f>
        <v>7372.684</v>
      </c>
      <c r="C965" s="58">
        <f t="shared" si="1"/>
        <v>3786.998611</v>
      </c>
      <c r="D965" s="1">
        <f t="shared" si="2"/>
        <v>2945.720019</v>
      </c>
      <c r="E965" s="1">
        <f t="shared" si="3"/>
        <v>5302.296033</v>
      </c>
      <c r="F965" s="1">
        <f t="shared" si="4"/>
        <v>10015.44806</v>
      </c>
      <c r="G965" s="1">
        <f t="shared" si="5"/>
        <v>17674.32011</v>
      </c>
      <c r="H965" s="1">
        <f t="shared" si="6"/>
        <v>32402.9202</v>
      </c>
      <c r="I965" s="1">
        <f t="shared" si="7"/>
        <v>53022.96033</v>
      </c>
    </row>
    <row r="966" hidden="1">
      <c r="A966" s="266">
        <f>IFERROR(__xludf.DUMMYFUNCTION("""COMPUTED_VALUE"""),43603.99861111111)</f>
        <v>43603.99861</v>
      </c>
      <c r="B966" s="1">
        <f>IFERROR(__xludf.DUMMYFUNCTION("""COMPUTED_VALUE"""),7261.926)</f>
        <v>7261.926</v>
      </c>
      <c r="C966" s="58">
        <f t="shared" si="1"/>
        <v>3787.998611</v>
      </c>
      <c r="D966" s="1">
        <f t="shared" si="2"/>
        <v>2950.234413</v>
      </c>
      <c r="E966" s="1">
        <f t="shared" si="3"/>
        <v>5310.421944</v>
      </c>
      <c r="F966" s="1">
        <f t="shared" si="4"/>
        <v>10030.79701</v>
      </c>
      <c r="G966" s="1">
        <f t="shared" si="5"/>
        <v>17701.40648</v>
      </c>
      <c r="H966" s="1">
        <f t="shared" si="6"/>
        <v>32452.57855</v>
      </c>
      <c r="I966" s="1">
        <f t="shared" si="7"/>
        <v>53104.21944</v>
      </c>
    </row>
    <row r="967" hidden="1">
      <c r="A967" s="266">
        <f>IFERROR(__xludf.DUMMYFUNCTION("""COMPUTED_VALUE"""),43604.99861111111)</f>
        <v>43604.99861</v>
      </c>
      <c r="B967" s="1">
        <f>IFERROR(__xludf.DUMMYFUNCTION("""COMPUTED_VALUE"""),8180.666)</f>
        <v>8180.666</v>
      </c>
      <c r="C967" s="58">
        <f t="shared" si="1"/>
        <v>3788.998611</v>
      </c>
      <c r="D967" s="1">
        <f t="shared" si="2"/>
        <v>2954.754533</v>
      </c>
      <c r="E967" s="1">
        <f t="shared" si="3"/>
        <v>5318.558159</v>
      </c>
      <c r="F967" s="1">
        <f t="shared" si="4"/>
        <v>10046.16541</v>
      </c>
      <c r="G967" s="1">
        <f t="shared" si="5"/>
        <v>17728.5272</v>
      </c>
      <c r="H967" s="1">
        <f t="shared" si="6"/>
        <v>32502.29986</v>
      </c>
      <c r="I967" s="1">
        <f t="shared" si="7"/>
        <v>53185.58159</v>
      </c>
    </row>
    <row r="968" hidden="1">
      <c r="A968" s="266">
        <f>IFERROR(__xludf.DUMMYFUNCTION("""COMPUTED_VALUE"""),43605.99861111111)</f>
        <v>43605.99861</v>
      </c>
      <c r="B968" s="1">
        <f>IFERROR(__xludf.DUMMYFUNCTION("""COMPUTED_VALUE"""),7980.215)</f>
        <v>7980.215</v>
      </c>
      <c r="C968" s="58">
        <f t="shared" si="1"/>
        <v>3789.998611</v>
      </c>
      <c r="D968" s="1">
        <f t="shared" si="2"/>
        <v>2959.280381</v>
      </c>
      <c r="E968" s="1">
        <f t="shared" si="3"/>
        <v>5326.704687</v>
      </c>
      <c r="F968" s="1">
        <f t="shared" si="4"/>
        <v>10061.5533</v>
      </c>
      <c r="G968" s="1">
        <f t="shared" si="5"/>
        <v>17755.68229</v>
      </c>
      <c r="H968" s="1">
        <f t="shared" si="6"/>
        <v>32552.0842</v>
      </c>
      <c r="I968" s="1">
        <f t="shared" si="7"/>
        <v>53267.04687</v>
      </c>
    </row>
    <row r="969" hidden="1">
      <c r="A969" s="266">
        <f>IFERROR(__xludf.DUMMYFUNCTION("""COMPUTED_VALUE"""),43606.99861111111)</f>
        <v>43606.99861</v>
      </c>
      <c r="B969" s="1">
        <f>IFERROR(__xludf.DUMMYFUNCTION("""COMPUTED_VALUE"""),7944.941)</f>
        <v>7944.941</v>
      </c>
      <c r="C969" s="58">
        <f t="shared" si="1"/>
        <v>3790.998611</v>
      </c>
      <c r="D969" s="1">
        <f t="shared" si="2"/>
        <v>2963.811966</v>
      </c>
      <c r="E969" s="1">
        <f t="shared" si="3"/>
        <v>5334.861539</v>
      </c>
      <c r="F969" s="1">
        <f t="shared" si="4"/>
        <v>10076.96068</v>
      </c>
      <c r="G969" s="1">
        <f t="shared" si="5"/>
        <v>17782.8718</v>
      </c>
      <c r="H969" s="1">
        <f t="shared" si="6"/>
        <v>32601.93162</v>
      </c>
      <c r="I969" s="1">
        <f t="shared" si="7"/>
        <v>53348.61539</v>
      </c>
    </row>
    <row r="970" hidden="1">
      <c r="A970" s="266">
        <f>IFERROR(__xludf.DUMMYFUNCTION("""COMPUTED_VALUE"""),43607.99861111111)</f>
        <v>43607.99861</v>
      </c>
      <c r="B970" s="1">
        <f>IFERROR(__xludf.DUMMYFUNCTION("""COMPUTED_VALUE"""),7624.847)</f>
        <v>7624.847</v>
      </c>
      <c r="C970" s="58">
        <f t="shared" si="1"/>
        <v>3791.998611</v>
      </c>
      <c r="D970" s="1">
        <f t="shared" si="2"/>
        <v>2968.349292</v>
      </c>
      <c r="E970" s="1">
        <f t="shared" si="3"/>
        <v>5343.028725</v>
      </c>
      <c r="F970" s="1">
        <f t="shared" si="4"/>
        <v>10092.38759</v>
      </c>
      <c r="G970" s="1">
        <f t="shared" si="5"/>
        <v>17810.09575</v>
      </c>
      <c r="H970" s="1">
        <f t="shared" si="6"/>
        <v>32651.84221</v>
      </c>
      <c r="I970" s="1">
        <f t="shared" si="7"/>
        <v>53430.28725</v>
      </c>
    </row>
    <row r="971" hidden="1">
      <c r="A971" s="266">
        <f>IFERROR(__xludf.DUMMYFUNCTION("""COMPUTED_VALUE"""),43608.99861111111)</f>
        <v>43608.99861</v>
      </c>
      <c r="B971" s="1">
        <f>IFERROR(__xludf.DUMMYFUNCTION("""COMPUTED_VALUE"""),7862.905)</f>
        <v>7862.905</v>
      </c>
      <c r="C971" s="58">
        <f t="shared" si="1"/>
        <v>3792.998611</v>
      </c>
      <c r="D971" s="1">
        <f t="shared" si="2"/>
        <v>2972.892364</v>
      </c>
      <c r="E971" s="1">
        <f t="shared" si="3"/>
        <v>5351.206256</v>
      </c>
      <c r="F971" s="1">
        <f t="shared" si="4"/>
        <v>10107.83404</v>
      </c>
      <c r="G971" s="1">
        <f t="shared" si="5"/>
        <v>17837.35419</v>
      </c>
      <c r="H971" s="1">
        <f t="shared" si="6"/>
        <v>32701.81601</v>
      </c>
      <c r="I971" s="1">
        <f t="shared" si="7"/>
        <v>53512.06256</v>
      </c>
    </row>
    <row r="972" hidden="1">
      <c r="A972" s="266">
        <f>IFERROR(__xludf.DUMMYFUNCTION("""COMPUTED_VALUE"""),43609.99861111111)</f>
        <v>43609.99861</v>
      </c>
      <c r="B972" s="1">
        <f>IFERROR(__xludf.DUMMYFUNCTION("""COMPUTED_VALUE"""),7998.16)</f>
        <v>7998.16</v>
      </c>
      <c r="C972" s="58">
        <f t="shared" si="1"/>
        <v>3793.998611</v>
      </c>
      <c r="D972" s="1">
        <f t="shared" si="2"/>
        <v>2977.44119</v>
      </c>
      <c r="E972" s="1">
        <f t="shared" si="3"/>
        <v>5359.394142</v>
      </c>
      <c r="F972" s="1">
        <f t="shared" si="4"/>
        <v>10123.30005</v>
      </c>
      <c r="G972" s="1">
        <f t="shared" si="5"/>
        <v>17864.64714</v>
      </c>
      <c r="H972" s="1">
        <f t="shared" si="6"/>
        <v>32751.85309</v>
      </c>
      <c r="I972" s="1">
        <f t="shared" si="7"/>
        <v>53593.94142</v>
      </c>
    </row>
    <row r="973" hidden="1">
      <c r="A973" s="266">
        <f>IFERROR(__xludf.DUMMYFUNCTION("""COMPUTED_VALUE"""),43610.99861111111)</f>
        <v>43610.99861</v>
      </c>
      <c r="B973" s="1">
        <f>IFERROR(__xludf.DUMMYFUNCTION("""COMPUTED_VALUE"""),8053.577)</f>
        <v>8053.577</v>
      </c>
      <c r="C973" s="58">
        <f t="shared" si="1"/>
        <v>3794.998611</v>
      </c>
      <c r="D973" s="1">
        <f t="shared" si="2"/>
        <v>2981.995775</v>
      </c>
      <c r="E973" s="1">
        <f t="shared" si="3"/>
        <v>5367.592394</v>
      </c>
      <c r="F973" s="1">
        <f t="shared" si="4"/>
        <v>10138.78563</v>
      </c>
      <c r="G973" s="1">
        <f t="shared" si="5"/>
        <v>17891.97465</v>
      </c>
      <c r="H973" s="1">
        <f t="shared" si="6"/>
        <v>32801.95352</v>
      </c>
      <c r="I973" s="1">
        <f t="shared" si="7"/>
        <v>53675.92394</v>
      </c>
    </row>
    <row r="974" hidden="1">
      <c r="A974" s="266">
        <f>IFERROR(__xludf.DUMMYFUNCTION("""COMPUTED_VALUE"""),43611.99861111111)</f>
        <v>43611.99861</v>
      </c>
      <c r="B974" s="1">
        <f>IFERROR(__xludf.DUMMYFUNCTION("""COMPUTED_VALUE"""),8699.422)</f>
        <v>8699.422</v>
      </c>
      <c r="C974" s="58">
        <f t="shared" si="1"/>
        <v>3795.998611</v>
      </c>
      <c r="D974" s="1">
        <f t="shared" si="2"/>
        <v>2986.556123</v>
      </c>
      <c r="E974" s="1">
        <f t="shared" si="3"/>
        <v>5375.801022</v>
      </c>
      <c r="F974" s="1">
        <f t="shared" si="4"/>
        <v>10154.29082</v>
      </c>
      <c r="G974" s="1">
        <f t="shared" si="5"/>
        <v>17919.33674</v>
      </c>
      <c r="H974" s="1">
        <f t="shared" si="6"/>
        <v>32852.11736</v>
      </c>
      <c r="I974" s="1">
        <f t="shared" si="7"/>
        <v>53758.01022</v>
      </c>
    </row>
    <row r="975" hidden="1">
      <c r="A975" s="266">
        <f>IFERROR(__xludf.DUMMYFUNCTION("""COMPUTED_VALUE"""),43612.99861111111)</f>
        <v>43612.99861</v>
      </c>
      <c r="B975" s="1">
        <f>IFERROR(__xludf.DUMMYFUNCTION("""COMPUTED_VALUE"""),8770.217)</f>
        <v>8770.217</v>
      </c>
      <c r="C975" s="58">
        <f t="shared" si="1"/>
        <v>3796.998611</v>
      </c>
      <c r="D975" s="1">
        <f t="shared" si="2"/>
        <v>2991.122242</v>
      </c>
      <c r="E975" s="1">
        <f t="shared" si="3"/>
        <v>5384.020036</v>
      </c>
      <c r="F975" s="1">
        <f t="shared" si="4"/>
        <v>10169.81562</v>
      </c>
      <c r="G975" s="1">
        <f t="shared" si="5"/>
        <v>17946.73345</v>
      </c>
      <c r="H975" s="1">
        <f t="shared" si="6"/>
        <v>32902.34466</v>
      </c>
      <c r="I975" s="1">
        <f t="shared" si="7"/>
        <v>53840.20036</v>
      </c>
    </row>
    <row r="976" hidden="1">
      <c r="A976" s="266">
        <f>IFERROR(__xludf.DUMMYFUNCTION("""COMPUTED_VALUE"""),43613.99861111111)</f>
        <v>43613.99861</v>
      </c>
      <c r="B976" s="1">
        <f>IFERROR(__xludf.DUMMYFUNCTION("""COMPUTED_VALUE"""),8719.517)</f>
        <v>8719.517</v>
      </c>
      <c r="C976" s="58">
        <f t="shared" si="1"/>
        <v>3797.998611</v>
      </c>
      <c r="D976" s="1">
        <f t="shared" si="2"/>
        <v>2995.694137</v>
      </c>
      <c r="E976" s="1">
        <f t="shared" si="3"/>
        <v>5392.249447</v>
      </c>
      <c r="F976" s="1">
        <f t="shared" si="4"/>
        <v>10185.36007</v>
      </c>
      <c r="G976" s="1">
        <f t="shared" si="5"/>
        <v>17974.16482</v>
      </c>
      <c r="H976" s="1">
        <f t="shared" si="6"/>
        <v>32952.63551</v>
      </c>
      <c r="I976" s="1">
        <f t="shared" si="7"/>
        <v>53922.49447</v>
      </c>
    </row>
    <row r="977" hidden="1">
      <c r="A977" s="266">
        <f>IFERROR(__xludf.DUMMYFUNCTION("""COMPUTED_VALUE"""),43614.99861111111)</f>
        <v>43614.99861</v>
      </c>
      <c r="B977" s="1">
        <f>IFERROR(__xludf.DUMMYFUNCTION("""COMPUTED_VALUE"""),8658.063)</f>
        <v>8658.063</v>
      </c>
      <c r="C977" s="58">
        <f t="shared" si="1"/>
        <v>3798.998611</v>
      </c>
      <c r="D977" s="1">
        <f t="shared" si="2"/>
        <v>3000.271814</v>
      </c>
      <c r="E977" s="1">
        <f t="shared" si="3"/>
        <v>5400.489264</v>
      </c>
      <c r="F977" s="1">
        <f t="shared" si="4"/>
        <v>10200.92417</v>
      </c>
      <c r="G977" s="1">
        <f t="shared" si="5"/>
        <v>18001.63088</v>
      </c>
      <c r="H977" s="1">
        <f t="shared" si="6"/>
        <v>33002.98995</v>
      </c>
      <c r="I977" s="1">
        <f t="shared" si="7"/>
        <v>54004.89264</v>
      </c>
    </row>
    <row r="978" hidden="1">
      <c r="A978" s="266">
        <f>IFERROR(__xludf.DUMMYFUNCTION("""COMPUTED_VALUE"""),43615.99861111111)</f>
        <v>43615.99861</v>
      </c>
      <c r="B978" s="1">
        <f>IFERROR(__xludf.DUMMYFUNCTION("""COMPUTED_VALUE"""),8273.329)</f>
        <v>8273.329</v>
      </c>
      <c r="C978" s="58">
        <f t="shared" si="1"/>
        <v>3799.998611</v>
      </c>
      <c r="D978" s="1">
        <f t="shared" si="2"/>
        <v>3004.855278</v>
      </c>
      <c r="E978" s="1">
        <f t="shared" si="3"/>
        <v>5408.7395</v>
      </c>
      <c r="F978" s="1">
        <f t="shared" si="4"/>
        <v>10216.50794</v>
      </c>
      <c r="G978" s="1">
        <f t="shared" si="5"/>
        <v>18029.13167</v>
      </c>
      <c r="H978" s="1">
        <f t="shared" si="6"/>
        <v>33053.40805</v>
      </c>
      <c r="I978" s="1">
        <f t="shared" si="7"/>
        <v>54087.395</v>
      </c>
    </row>
    <row r="979" hidden="1">
      <c r="A979" s="266">
        <f>IFERROR(__xludf.DUMMYFUNCTION("""COMPUTED_VALUE"""),43616.99861111111)</f>
        <v>43616.99861</v>
      </c>
      <c r="B979" s="1">
        <f>IFERROR(__xludf.DUMMYFUNCTION("""COMPUTED_VALUE"""),8554.387)</f>
        <v>8554.387</v>
      </c>
      <c r="C979" s="58">
        <f t="shared" si="1"/>
        <v>3800.998611</v>
      </c>
      <c r="D979" s="1">
        <f t="shared" si="2"/>
        <v>3009.444535</v>
      </c>
      <c r="E979" s="1">
        <f t="shared" si="3"/>
        <v>5417.000163</v>
      </c>
      <c r="F979" s="1">
        <f t="shared" si="4"/>
        <v>10232.11142</v>
      </c>
      <c r="G979" s="1">
        <f t="shared" si="5"/>
        <v>18056.66721</v>
      </c>
      <c r="H979" s="1">
        <f t="shared" si="6"/>
        <v>33103.88988</v>
      </c>
      <c r="I979" s="1">
        <f t="shared" si="7"/>
        <v>54170.00163</v>
      </c>
    </row>
    <row r="980" hidden="1">
      <c r="A980" s="266">
        <f>IFERROR(__xludf.DUMMYFUNCTION("""COMPUTED_VALUE"""),43617.99861111111)</f>
        <v>43617.99861</v>
      </c>
      <c r="B980" s="1">
        <f>IFERROR(__xludf.DUMMYFUNCTION("""COMPUTED_VALUE"""),8552.642)</f>
        <v>8552.642</v>
      </c>
      <c r="C980" s="58">
        <f t="shared" si="1"/>
        <v>3801.998611</v>
      </c>
      <c r="D980" s="1">
        <f t="shared" si="2"/>
        <v>3014.039591</v>
      </c>
      <c r="E980" s="1">
        <f t="shared" si="3"/>
        <v>5425.271264</v>
      </c>
      <c r="F980" s="1">
        <f t="shared" si="4"/>
        <v>10247.73461</v>
      </c>
      <c r="G980" s="1">
        <f t="shared" si="5"/>
        <v>18084.23755</v>
      </c>
      <c r="H980" s="1">
        <f t="shared" si="6"/>
        <v>33154.4355</v>
      </c>
      <c r="I980" s="1">
        <f t="shared" si="7"/>
        <v>54252.71264</v>
      </c>
    </row>
    <row r="981" hidden="1">
      <c r="A981" s="266">
        <f>IFERROR(__xludf.DUMMYFUNCTION("""COMPUTED_VALUE"""),43618.99861111111)</f>
        <v>43618.99861</v>
      </c>
      <c r="B981" s="1">
        <f>IFERROR(__xludf.DUMMYFUNCTION("""COMPUTED_VALUE"""),8735.978)</f>
        <v>8735.978</v>
      </c>
      <c r="C981" s="58">
        <f t="shared" si="1"/>
        <v>3802.998611</v>
      </c>
      <c r="D981" s="1">
        <f t="shared" si="2"/>
        <v>3018.640453</v>
      </c>
      <c r="E981" s="1">
        <f t="shared" si="3"/>
        <v>5433.552815</v>
      </c>
      <c r="F981" s="1">
        <f t="shared" si="4"/>
        <v>10263.37754</v>
      </c>
      <c r="G981" s="1">
        <f t="shared" si="5"/>
        <v>18111.84272</v>
      </c>
      <c r="H981" s="1">
        <f t="shared" si="6"/>
        <v>33205.04498</v>
      </c>
      <c r="I981" s="1">
        <f t="shared" si="7"/>
        <v>54335.52815</v>
      </c>
    </row>
    <row r="982" hidden="1">
      <c r="A982" s="266">
        <f>IFERROR(__xludf.DUMMYFUNCTION("""COMPUTED_VALUE"""),43619.99861111111)</f>
        <v>43619.99861</v>
      </c>
      <c r="B982" s="1">
        <f>IFERROR(__xludf.DUMMYFUNCTION("""COMPUTED_VALUE"""),8110.814)</f>
        <v>8110.814</v>
      </c>
      <c r="C982" s="58">
        <f t="shared" si="1"/>
        <v>3803.998611</v>
      </c>
      <c r="D982" s="1">
        <f t="shared" si="2"/>
        <v>3023.247125</v>
      </c>
      <c r="E982" s="1">
        <f t="shared" si="3"/>
        <v>5441.844824</v>
      </c>
      <c r="F982" s="1">
        <f t="shared" si="4"/>
        <v>10279.04022</v>
      </c>
      <c r="G982" s="1">
        <f t="shared" si="5"/>
        <v>18139.48275</v>
      </c>
      <c r="H982" s="1">
        <f t="shared" si="6"/>
        <v>33255.71837</v>
      </c>
      <c r="I982" s="1">
        <f t="shared" si="7"/>
        <v>54418.44824</v>
      </c>
    </row>
    <row r="983" hidden="1">
      <c r="A983" s="266">
        <f>IFERROR(__xludf.DUMMYFUNCTION("""COMPUTED_VALUE"""),43620.99861111111)</f>
        <v>43620.99861</v>
      </c>
      <c r="B983" s="1">
        <f>IFERROR(__xludf.DUMMYFUNCTION("""COMPUTED_VALUE"""),7675.762)</f>
        <v>7675.762</v>
      </c>
      <c r="C983" s="58">
        <f t="shared" si="1"/>
        <v>3804.998611</v>
      </c>
      <c r="D983" s="1">
        <f t="shared" si="2"/>
        <v>3027.859613</v>
      </c>
      <c r="E983" s="1">
        <f t="shared" si="3"/>
        <v>5450.147304</v>
      </c>
      <c r="F983" s="1">
        <f t="shared" si="4"/>
        <v>10294.72269</v>
      </c>
      <c r="G983" s="1">
        <f t="shared" si="5"/>
        <v>18167.15768</v>
      </c>
      <c r="H983" s="1">
        <f t="shared" si="6"/>
        <v>33306.45575</v>
      </c>
      <c r="I983" s="1">
        <f t="shared" si="7"/>
        <v>54501.47304</v>
      </c>
    </row>
    <row r="984" hidden="1">
      <c r="A984" s="266">
        <f>IFERROR(__xludf.DUMMYFUNCTION("""COMPUTED_VALUE"""),43621.99861111111)</f>
        <v>43621.99861</v>
      </c>
      <c r="B984" s="1">
        <f>IFERROR(__xludf.DUMMYFUNCTION("""COMPUTED_VALUE"""),7788.414)</f>
        <v>7788.414</v>
      </c>
      <c r="C984" s="58">
        <f t="shared" si="1"/>
        <v>3805.998611</v>
      </c>
      <c r="D984" s="1">
        <f t="shared" si="2"/>
        <v>3032.477924</v>
      </c>
      <c r="E984" s="1">
        <f t="shared" si="3"/>
        <v>5458.460263</v>
      </c>
      <c r="F984" s="1">
        <f t="shared" si="4"/>
        <v>10310.42494</v>
      </c>
      <c r="G984" s="1">
        <f t="shared" si="5"/>
        <v>18194.86754</v>
      </c>
      <c r="H984" s="1">
        <f t="shared" si="6"/>
        <v>33357.25717</v>
      </c>
      <c r="I984" s="1">
        <f t="shared" si="7"/>
        <v>54584.60263</v>
      </c>
    </row>
    <row r="985" hidden="1">
      <c r="A985" s="266">
        <f>IFERROR(__xludf.DUMMYFUNCTION("""COMPUTED_VALUE"""),43622.99861111111)</f>
        <v>43622.99861</v>
      </c>
      <c r="B985" s="1">
        <f>IFERROR(__xludf.DUMMYFUNCTION("""COMPUTED_VALUE"""),7803.107)</f>
        <v>7803.107</v>
      </c>
      <c r="C985" s="58">
        <f t="shared" si="1"/>
        <v>3806.998611</v>
      </c>
      <c r="D985" s="1">
        <f t="shared" si="2"/>
        <v>3037.102063</v>
      </c>
      <c r="E985" s="1">
        <f t="shared" si="3"/>
        <v>5466.783714</v>
      </c>
      <c r="F985" s="1">
        <f t="shared" si="4"/>
        <v>10326.14701</v>
      </c>
      <c r="G985" s="1">
        <f t="shared" si="5"/>
        <v>18222.61238</v>
      </c>
      <c r="H985" s="1">
        <f t="shared" si="6"/>
        <v>33408.12269</v>
      </c>
      <c r="I985" s="1">
        <f t="shared" si="7"/>
        <v>54667.83714</v>
      </c>
    </row>
    <row r="986" hidden="1">
      <c r="A986" s="266">
        <f>IFERROR(__xludf.DUMMYFUNCTION("""COMPUTED_VALUE"""),43623.99861111111)</f>
        <v>43623.99861</v>
      </c>
      <c r="B986" s="1">
        <f>IFERROR(__xludf.DUMMYFUNCTION("""COMPUTED_VALUE"""),8007.554)</f>
        <v>8007.554</v>
      </c>
      <c r="C986" s="58">
        <f t="shared" si="1"/>
        <v>3807.998611</v>
      </c>
      <c r="D986" s="1">
        <f t="shared" si="2"/>
        <v>3041.732036</v>
      </c>
      <c r="E986" s="1">
        <f t="shared" si="3"/>
        <v>5475.117665</v>
      </c>
      <c r="F986" s="1">
        <f t="shared" si="4"/>
        <v>10341.88892</v>
      </c>
      <c r="G986" s="1">
        <f t="shared" si="5"/>
        <v>18250.39222</v>
      </c>
      <c r="H986" s="1">
        <f t="shared" si="6"/>
        <v>33459.0524</v>
      </c>
      <c r="I986" s="1">
        <f t="shared" si="7"/>
        <v>54751.17665</v>
      </c>
    </row>
    <row r="987" hidden="1">
      <c r="A987" s="266">
        <f>IFERROR(__xludf.DUMMYFUNCTION("""COMPUTED_VALUE"""),43624.99861111111)</f>
        <v>43624.99861</v>
      </c>
      <c r="B987" s="1">
        <f>IFERROR(__xludf.DUMMYFUNCTION("""COMPUTED_VALUE"""),7927.408)</f>
        <v>7927.408</v>
      </c>
      <c r="C987" s="58">
        <f t="shared" si="1"/>
        <v>3808.998611</v>
      </c>
      <c r="D987" s="1">
        <f t="shared" si="2"/>
        <v>3046.367849</v>
      </c>
      <c r="E987" s="1">
        <f t="shared" si="3"/>
        <v>5483.462128</v>
      </c>
      <c r="F987" s="1">
        <f t="shared" si="4"/>
        <v>10357.65069</v>
      </c>
      <c r="G987" s="1">
        <f t="shared" si="5"/>
        <v>18278.20709</v>
      </c>
      <c r="H987" s="1">
        <f t="shared" si="6"/>
        <v>33510.04634</v>
      </c>
      <c r="I987" s="1">
        <f t="shared" si="7"/>
        <v>54834.62128</v>
      </c>
    </row>
    <row r="988" hidden="1">
      <c r="A988" s="266">
        <f>IFERROR(__xludf.DUMMYFUNCTION("""COMPUTED_VALUE"""),43625.99861111111)</f>
        <v>43625.99861</v>
      </c>
      <c r="B988" s="1">
        <f>IFERROR(__xludf.DUMMYFUNCTION("""COMPUTED_VALUE"""),7636.332)</f>
        <v>7636.332</v>
      </c>
      <c r="C988" s="58">
        <f t="shared" si="1"/>
        <v>3809.998611</v>
      </c>
      <c r="D988" s="1">
        <f t="shared" si="2"/>
        <v>3051.009507</v>
      </c>
      <c r="E988" s="1">
        <f t="shared" si="3"/>
        <v>5491.817113</v>
      </c>
      <c r="F988" s="1">
        <f t="shared" si="4"/>
        <v>10373.43232</v>
      </c>
      <c r="G988" s="1">
        <f t="shared" si="5"/>
        <v>18306.05704</v>
      </c>
      <c r="H988" s="1">
        <f t="shared" si="6"/>
        <v>33561.10458</v>
      </c>
      <c r="I988" s="1">
        <f t="shared" si="7"/>
        <v>54918.17113</v>
      </c>
    </row>
    <row r="989" hidden="1">
      <c r="A989" s="266">
        <f>IFERROR(__xludf.DUMMYFUNCTION("""COMPUTED_VALUE"""),43626.99861111111)</f>
        <v>43626.99861</v>
      </c>
      <c r="B989" s="1">
        <f>IFERROR(__xludf.DUMMYFUNCTION("""COMPUTED_VALUE"""),8007.007)</f>
        <v>8007.007</v>
      </c>
      <c r="C989" s="58">
        <f t="shared" si="1"/>
        <v>3810.998611</v>
      </c>
      <c r="D989" s="1">
        <f t="shared" si="2"/>
        <v>3055.657017</v>
      </c>
      <c r="E989" s="1">
        <f t="shared" si="3"/>
        <v>5500.18263</v>
      </c>
      <c r="F989" s="1">
        <f t="shared" si="4"/>
        <v>10389.23386</v>
      </c>
      <c r="G989" s="1">
        <f t="shared" si="5"/>
        <v>18333.9421</v>
      </c>
      <c r="H989" s="1">
        <f t="shared" si="6"/>
        <v>33612.22719</v>
      </c>
      <c r="I989" s="1">
        <f t="shared" si="7"/>
        <v>55001.8263</v>
      </c>
    </row>
    <row r="990" hidden="1">
      <c r="A990" s="266">
        <f>IFERROR(__xludf.DUMMYFUNCTION("""COMPUTED_VALUE"""),43627.99861111111)</f>
        <v>43627.99861</v>
      </c>
      <c r="B990" s="1">
        <f>IFERROR(__xludf.DUMMYFUNCTION("""COMPUTED_VALUE"""),7911.261)</f>
        <v>7911.261</v>
      </c>
      <c r="C990" s="58">
        <f t="shared" si="1"/>
        <v>3811.998611</v>
      </c>
      <c r="D990" s="1">
        <f t="shared" si="2"/>
        <v>3060.310384</v>
      </c>
      <c r="E990" s="1">
        <f t="shared" si="3"/>
        <v>5508.558691</v>
      </c>
      <c r="F990" s="1">
        <f t="shared" si="4"/>
        <v>10405.05531</v>
      </c>
      <c r="G990" s="1">
        <f t="shared" si="5"/>
        <v>18361.8623</v>
      </c>
      <c r="H990" s="1">
        <f t="shared" si="6"/>
        <v>33663.41422</v>
      </c>
      <c r="I990" s="1">
        <f t="shared" si="7"/>
        <v>55085.58691</v>
      </c>
    </row>
    <row r="991" hidden="1">
      <c r="A991" s="266">
        <f>IFERROR(__xludf.DUMMYFUNCTION("""COMPUTED_VALUE"""),43628.99861111111)</f>
        <v>43628.99861</v>
      </c>
      <c r="B991" s="1">
        <f>IFERROR(__xludf.DUMMYFUNCTION("""COMPUTED_VALUE"""),8161.967)</f>
        <v>8161.967</v>
      </c>
      <c r="C991" s="58">
        <f t="shared" si="1"/>
        <v>3812.998611</v>
      </c>
      <c r="D991" s="1">
        <f t="shared" si="2"/>
        <v>3064.969614</v>
      </c>
      <c r="E991" s="1">
        <f t="shared" si="3"/>
        <v>5516.945306</v>
      </c>
      <c r="F991" s="1">
        <f t="shared" si="4"/>
        <v>10420.89669</v>
      </c>
      <c r="G991" s="1">
        <f t="shared" si="5"/>
        <v>18389.81769</v>
      </c>
      <c r="H991" s="1">
        <f t="shared" si="6"/>
        <v>33714.66576</v>
      </c>
      <c r="I991" s="1">
        <f t="shared" si="7"/>
        <v>55169.45306</v>
      </c>
    </row>
    <row r="992" hidden="1">
      <c r="A992" s="266">
        <f>IFERROR(__xludf.DUMMYFUNCTION("""COMPUTED_VALUE"""),43629.99861111111)</f>
        <v>43629.99861</v>
      </c>
      <c r="B992" s="1">
        <f>IFERROR(__xludf.DUMMYFUNCTION("""COMPUTED_VALUE"""),8231.103)</f>
        <v>8231.103</v>
      </c>
      <c r="C992" s="58">
        <f t="shared" si="1"/>
        <v>3813.998611</v>
      </c>
      <c r="D992" s="1">
        <f t="shared" si="2"/>
        <v>3069.634713</v>
      </c>
      <c r="E992" s="1">
        <f t="shared" si="3"/>
        <v>5525.342484</v>
      </c>
      <c r="F992" s="1">
        <f t="shared" si="4"/>
        <v>10436.75803</v>
      </c>
      <c r="G992" s="1">
        <f t="shared" si="5"/>
        <v>18417.80828</v>
      </c>
      <c r="H992" s="1">
        <f t="shared" si="6"/>
        <v>33765.98185</v>
      </c>
      <c r="I992" s="1">
        <f t="shared" si="7"/>
        <v>55253.42484</v>
      </c>
    </row>
    <row r="993" hidden="1">
      <c r="A993" s="266">
        <f>IFERROR(__xludf.DUMMYFUNCTION("""COMPUTED_VALUE"""),43630.99861111111)</f>
        <v>43630.99861</v>
      </c>
      <c r="B993" s="1">
        <f>IFERROR(__xludf.DUMMYFUNCTION("""COMPUTED_VALUE"""),8693.585)</f>
        <v>8693.585</v>
      </c>
      <c r="C993" s="58">
        <f t="shared" si="1"/>
        <v>3814.998611</v>
      </c>
      <c r="D993" s="1">
        <f t="shared" si="2"/>
        <v>3074.305687</v>
      </c>
      <c r="E993" s="1">
        <f t="shared" si="3"/>
        <v>5533.750237</v>
      </c>
      <c r="F993" s="1">
        <f t="shared" si="4"/>
        <v>10452.63934</v>
      </c>
      <c r="G993" s="1">
        <f t="shared" si="5"/>
        <v>18445.83412</v>
      </c>
      <c r="H993" s="1">
        <f t="shared" si="6"/>
        <v>33817.36256</v>
      </c>
      <c r="I993" s="1">
        <f t="shared" si="7"/>
        <v>55337.50237</v>
      </c>
    </row>
    <row r="994" hidden="1">
      <c r="A994" s="266">
        <f>IFERROR(__xludf.DUMMYFUNCTION("""COMPUTED_VALUE"""),43631.99861111111)</f>
        <v>43631.99861</v>
      </c>
      <c r="B994" s="1">
        <f>IFERROR(__xludf.DUMMYFUNCTION("""COMPUTED_VALUE"""),8852.57)</f>
        <v>8852.57</v>
      </c>
      <c r="C994" s="58">
        <f t="shared" si="1"/>
        <v>3815.998611</v>
      </c>
      <c r="D994" s="1">
        <f t="shared" si="2"/>
        <v>3078.982542</v>
      </c>
      <c r="E994" s="1">
        <f t="shared" si="3"/>
        <v>5542.168576</v>
      </c>
      <c r="F994" s="1">
        <f t="shared" si="4"/>
        <v>10468.54064</v>
      </c>
      <c r="G994" s="1">
        <f t="shared" si="5"/>
        <v>18473.89525</v>
      </c>
      <c r="H994" s="1">
        <f t="shared" si="6"/>
        <v>33868.80796</v>
      </c>
      <c r="I994" s="1">
        <f t="shared" si="7"/>
        <v>55421.68576</v>
      </c>
    </row>
    <row r="995" hidden="1">
      <c r="A995" s="266">
        <f>IFERROR(__xludf.DUMMYFUNCTION("""COMPUTED_VALUE"""),43632.99861111111)</f>
        <v>43632.99861</v>
      </c>
      <c r="B995" s="1">
        <f>IFERROR(__xludf.DUMMYFUNCTION("""COMPUTED_VALUE"""),8973.007)</f>
        <v>8973.007</v>
      </c>
      <c r="C995" s="58">
        <f t="shared" si="1"/>
        <v>3816.998611</v>
      </c>
      <c r="D995" s="1">
        <f t="shared" si="2"/>
        <v>3083.665283</v>
      </c>
      <c r="E995" s="1">
        <f t="shared" si="3"/>
        <v>5550.59751</v>
      </c>
      <c r="F995" s="1">
        <f t="shared" si="4"/>
        <v>10484.46196</v>
      </c>
      <c r="G995" s="1">
        <f t="shared" si="5"/>
        <v>18501.9917</v>
      </c>
      <c r="H995" s="1">
        <f t="shared" si="6"/>
        <v>33920.31812</v>
      </c>
      <c r="I995" s="1">
        <f t="shared" si="7"/>
        <v>55505.9751</v>
      </c>
    </row>
    <row r="996" hidden="1">
      <c r="A996" s="266">
        <f>IFERROR(__xludf.DUMMYFUNCTION("""COMPUTED_VALUE"""),43633.99861111111)</f>
        <v>43633.99861</v>
      </c>
      <c r="B996" s="1">
        <f>IFERROR(__xludf.DUMMYFUNCTION("""COMPUTED_VALUE"""),9331.599)</f>
        <v>9331.599</v>
      </c>
      <c r="C996" s="58">
        <f t="shared" si="1"/>
        <v>3817.998611</v>
      </c>
      <c r="D996" s="1">
        <f t="shared" si="2"/>
        <v>3088.353917</v>
      </c>
      <c r="E996" s="1">
        <f t="shared" si="3"/>
        <v>5559.03705</v>
      </c>
      <c r="F996" s="1">
        <f t="shared" si="4"/>
        <v>10500.40332</v>
      </c>
      <c r="G996" s="1">
        <f t="shared" si="5"/>
        <v>18530.1235</v>
      </c>
      <c r="H996" s="1">
        <f t="shared" si="6"/>
        <v>33971.89309</v>
      </c>
      <c r="I996" s="1">
        <f t="shared" si="7"/>
        <v>55590.3705</v>
      </c>
    </row>
    <row r="997" hidden="1">
      <c r="A997" s="266">
        <f>IFERROR(__xludf.DUMMYFUNCTION("""COMPUTED_VALUE"""),43634.99861111111)</f>
        <v>43634.99861</v>
      </c>
      <c r="B997" s="1">
        <f>IFERROR(__xludf.DUMMYFUNCTION("""COMPUTED_VALUE"""),9074.902)</f>
        <v>9074.902</v>
      </c>
      <c r="C997" s="58">
        <f t="shared" si="1"/>
        <v>3818.998611</v>
      </c>
      <c r="D997" s="1">
        <f t="shared" si="2"/>
        <v>3093.048449</v>
      </c>
      <c r="E997" s="1">
        <f t="shared" si="3"/>
        <v>5567.487208</v>
      </c>
      <c r="F997" s="1">
        <f t="shared" si="4"/>
        <v>10516.36473</v>
      </c>
      <c r="G997" s="1">
        <f t="shared" si="5"/>
        <v>18558.29069</v>
      </c>
      <c r="H997" s="1">
        <f t="shared" si="6"/>
        <v>34023.53294</v>
      </c>
      <c r="I997" s="1">
        <f t="shared" si="7"/>
        <v>55674.87208</v>
      </c>
    </row>
    <row r="998" hidden="1">
      <c r="A998" s="266">
        <f>IFERROR(__xludf.DUMMYFUNCTION("""COMPUTED_VALUE"""),43635.99861111111)</f>
        <v>43635.99861</v>
      </c>
      <c r="B998" s="1">
        <f>IFERROR(__xludf.DUMMYFUNCTION("""COMPUTED_VALUE"""),9276.275)</f>
        <v>9276.275</v>
      </c>
      <c r="C998" s="58">
        <f t="shared" si="1"/>
        <v>3819.998611</v>
      </c>
      <c r="D998" s="1">
        <f t="shared" si="2"/>
        <v>3097.748885</v>
      </c>
      <c r="E998" s="1">
        <f t="shared" si="3"/>
        <v>5575.947993</v>
      </c>
      <c r="F998" s="1">
        <f t="shared" si="4"/>
        <v>10532.34621</v>
      </c>
      <c r="G998" s="1">
        <f t="shared" si="5"/>
        <v>18586.49331</v>
      </c>
      <c r="H998" s="1">
        <f t="shared" si="6"/>
        <v>34075.23773</v>
      </c>
      <c r="I998" s="1">
        <f t="shared" si="7"/>
        <v>55759.47993</v>
      </c>
    </row>
    <row r="999" hidden="1">
      <c r="A999" s="266">
        <f>IFERROR(__xludf.DUMMYFUNCTION("""COMPUTED_VALUE"""),43636.99861111111)</f>
        <v>43636.99861</v>
      </c>
      <c r="B999" s="1">
        <f>IFERROR(__xludf.DUMMYFUNCTION("""COMPUTED_VALUE"""),9534.129)</f>
        <v>9534.129</v>
      </c>
      <c r="C999" s="58">
        <f t="shared" si="1"/>
        <v>3820.998611</v>
      </c>
      <c r="D999" s="1">
        <f t="shared" si="2"/>
        <v>3102.455231</v>
      </c>
      <c r="E999" s="1">
        <f t="shared" si="3"/>
        <v>5584.419416</v>
      </c>
      <c r="F999" s="1">
        <f t="shared" si="4"/>
        <v>10548.34778</v>
      </c>
      <c r="G999" s="1">
        <f t="shared" si="5"/>
        <v>18614.73139</v>
      </c>
      <c r="H999" s="1">
        <f t="shared" si="6"/>
        <v>34127.00754</v>
      </c>
      <c r="I999" s="1">
        <f t="shared" si="7"/>
        <v>55844.19416</v>
      </c>
    </row>
    <row r="1000" hidden="1">
      <c r="A1000" s="266">
        <f>IFERROR(__xludf.DUMMYFUNCTION("""COMPUTED_VALUE"""),43637.99861111111)</f>
        <v>43637.99861</v>
      </c>
      <c r="B1000" s="1">
        <f>IFERROR(__xludf.DUMMYFUNCTION("""COMPUTED_VALUE"""),10210.77)</f>
        <v>10210.77</v>
      </c>
      <c r="C1000" s="58">
        <f t="shared" si="1"/>
        <v>3821.998611</v>
      </c>
      <c r="D1000" s="1">
        <f t="shared" si="2"/>
        <v>3107.167493</v>
      </c>
      <c r="E1000" s="1">
        <f t="shared" si="3"/>
        <v>5592.901487</v>
      </c>
      <c r="F1000" s="1">
        <f t="shared" si="4"/>
        <v>10564.36948</v>
      </c>
      <c r="G1000" s="1">
        <f t="shared" si="5"/>
        <v>18643.00496</v>
      </c>
      <c r="H1000" s="1">
        <f t="shared" si="6"/>
        <v>34178.84242</v>
      </c>
      <c r="I1000" s="1">
        <f t="shared" si="7"/>
        <v>55929.01487</v>
      </c>
    </row>
    <row r="1001" hidden="1">
      <c r="A1001" s="266">
        <f>IFERROR(__xludf.DUMMYFUNCTION("""COMPUTED_VALUE"""),43638.99861111111)</f>
        <v>43638.99861</v>
      </c>
      <c r="B1001" s="1">
        <f>IFERROR(__xludf.DUMMYFUNCTION("""COMPUTED_VALUE"""),10703.1)</f>
        <v>10703.1</v>
      </c>
      <c r="C1001" s="58">
        <f t="shared" si="1"/>
        <v>3822.998611</v>
      </c>
      <c r="D1001" s="1">
        <f t="shared" si="2"/>
        <v>3111.885677</v>
      </c>
      <c r="E1001" s="1">
        <f t="shared" si="3"/>
        <v>5601.394218</v>
      </c>
      <c r="F1001" s="1">
        <f t="shared" si="4"/>
        <v>10580.4113</v>
      </c>
      <c r="G1001" s="1">
        <f t="shared" si="5"/>
        <v>18671.31406</v>
      </c>
      <c r="H1001" s="1">
        <f t="shared" si="6"/>
        <v>34230.74244</v>
      </c>
      <c r="I1001" s="1">
        <f t="shared" si="7"/>
        <v>56013.94218</v>
      </c>
    </row>
    <row r="1002" hidden="1">
      <c r="A1002" s="266">
        <f>IFERROR(__xludf.DUMMYFUNCTION("""COMPUTED_VALUE"""),43639.99861111111)</f>
        <v>43639.99861</v>
      </c>
      <c r="B1002" s="1">
        <f>IFERROR(__xludf.DUMMYFUNCTION("""COMPUTED_VALUE"""),10859.55)</f>
        <v>10859.55</v>
      </c>
      <c r="C1002" s="58">
        <f t="shared" si="1"/>
        <v>3823.998611</v>
      </c>
      <c r="D1002" s="1">
        <f t="shared" si="2"/>
        <v>3116.609788</v>
      </c>
      <c r="E1002" s="1">
        <f t="shared" si="3"/>
        <v>5609.897618</v>
      </c>
      <c r="F1002" s="1">
        <f t="shared" si="4"/>
        <v>10596.47328</v>
      </c>
      <c r="G1002" s="1">
        <f t="shared" si="5"/>
        <v>18699.65873</v>
      </c>
      <c r="H1002" s="1">
        <f t="shared" si="6"/>
        <v>34282.70767</v>
      </c>
      <c r="I1002" s="1">
        <f t="shared" si="7"/>
        <v>56098.97618</v>
      </c>
    </row>
    <row r="1003" hidden="1">
      <c r="A1003" s="266">
        <f>IFERROR(__xludf.DUMMYFUNCTION("""COMPUTED_VALUE"""),43640.99861111111)</f>
        <v>43640.99861</v>
      </c>
      <c r="B1003" s="1">
        <f>IFERROR(__xludf.DUMMYFUNCTION("""COMPUTED_VALUE"""),11037.08)</f>
        <v>11037.08</v>
      </c>
      <c r="C1003" s="58">
        <f t="shared" si="1"/>
        <v>3824.998611</v>
      </c>
      <c r="D1003" s="1">
        <f t="shared" si="2"/>
        <v>3121.339833</v>
      </c>
      <c r="E1003" s="1">
        <f t="shared" si="3"/>
        <v>5618.411699</v>
      </c>
      <c r="F1003" s="1">
        <f t="shared" si="4"/>
        <v>10612.55543</v>
      </c>
      <c r="G1003" s="1">
        <f t="shared" si="5"/>
        <v>18728.039</v>
      </c>
      <c r="H1003" s="1">
        <f t="shared" si="6"/>
        <v>34334.73816</v>
      </c>
      <c r="I1003" s="1">
        <f t="shared" si="7"/>
        <v>56184.11699</v>
      </c>
    </row>
    <row r="1004" hidden="1">
      <c r="A1004" s="266">
        <f>IFERROR(__xludf.DUMMYFUNCTION("""COMPUTED_VALUE"""),43641.99861111111)</f>
        <v>43641.99861</v>
      </c>
      <c r="B1004" s="1">
        <f>IFERROR(__xludf.DUMMYFUNCTION("""COMPUTED_VALUE"""),11740.15)</f>
        <v>11740.15</v>
      </c>
      <c r="C1004" s="58">
        <f t="shared" si="1"/>
        <v>3825.998611</v>
      </c>
      <c r="D1004" s="1">
        <f t="shared" si="2"/>
        <v>3126.075817</v>
      </c>
      <c r="E1004" s="1">
        <f t="shared" si="3"/>
        <v>5626.936471</v>
      </c>
      <c r="F1004" s="1">
        <f t="shared" si="4"/>
        <v>10628.65778</v>
      </c>
      <c r="G1004" s="1">
        <f t="shared" si="5"/>
        <v>18756.4549</v>
      </c>
      <c r="H1004" s="1">
        <f t="shared" si="6"/>
        <v>34386.83399</v>
      </c>
      <c r="I1004" s="1">
        <f t="shared" si="7"/>
        <v>56269.36471</v>
      </c>
    </row>
    <row r="1005" hidden="1">
      <c r="A1005" s="266">
        <f>IFERROR(__xludf.DUMMYFUNCTION("""COMPUTED_VALUE"""),43642.99861111111)</f>
        <v>43642.99861</v>
      </c>
      <c r="B1005" s="1">
        <f>IFERROR(__xludf.DUMMYFUNCTION("""COMPUTED_VALUE"""),12938.37)</f>
        <v>12938.37</v>
      </c>
      <c r="C1005" s="58">
        <f t="shared" si="1"/>
        <v>3826.998611</v>
      </c>
      <c r="D1005" s="1">
        <f t="shared" si="2"/>
        <v>3130.817747</v>
      </c>
      <c r="E1005" s="1">
        <f t="shared" si="3"/>
        <v>5635.471945</v>
      </c>
      <c r="F1005" s="1">
        <f t="shared" si="4"/>
        <v>10644.78034</v>
      </c>
      <c r="G1005" s="1">
        <f t="shared" si="5"/>
        <v>18784.90648</v>
      </c>
      <c r="H1005" s="1">
        <f t="shared" si="6"/>
        <v>34438.99522</v>
      </c>
      <c r="I1005" s="1">
        <f t="shared" si="7"/>
        <v>56354.71945</v>
      </c>
    </row>
    <row r="1006" hidden="1">
      <c r="A1006" s="266">
        <f>IFERROR(__xludf.DUMMYFUNCTION("""COMPUTED_VALUE"""),43643.99861111111)</f>
        <v>43643.99861</v>
      </c>
      <c r="B1006" s="1">
        <f>IFERROR(__xludf.DUMMYFUNCTION("""COMPUTED_VALUE"""),11133.89)</f>
        <v>11133.89</v>
      </c>
      <c r="C1006" s="58">
        <f t="shared" si="1"/>
        <v>3827.998611</v>
      </c>
      <c r="D1006" s="1">
        <f t="shared" si="2"/>
        <v>3135.565628</v>
      </c>
      <c r="E1006" s="1">
        <f t="shared" si="3"/>
        <v>5644.018131</v>
      </c>
      <c r="F1006" s="1">
        <f t="shared" si="4"/>
        <v>10660.92314</v>
      </c>
      <c r="G1006" s="1">
        <f t="shared" si="5"/>
        <v>18813.39377</v>
      </c>
      <c r="H1006" s="1">
        <f t="shared" si="6"/>
        <v>34491.22191</v>
      </c>
      <c r="I1006" s="1">
        <f t="shared" si="7"/>
        <v>56440.18131</v>
      </c>
    </row>
    <row r="1007" hidden="1">
      <c r="A1007" s="266">
        <f>IFERROR(__xludf.DUMMYFUNCTION("""COMPUTED_VALUE"""),43644.99861111111)</f>
        <v>43644.99861</v>
      </c>
      <c r="B1007" s="1">
        <f>IFERROR(__xludf.DUMMYFUNCTION("""COMPUTED_VALUE"""),12363.4)</f>
        <v>12363.4</v>
      </c>
      <c r="C1007" s="58">
        <f t="shared" si="1"/>
        <v>3828.998611</v>
      </c>
      <c r="D1007" s="1">
        <f t="shared" si="2"/>
        <v>3140.319467</v>
      </c>
      <c r="E1007" s="1">
        <f t="shared" si="3"/>
        <v>5652.57504</v>
      </c>
      <c r="F1007" s="1">
        <f t="shared" si="4"/>
        <v>10677.08619</v>
      </c>
      <c r="G1007" s="1">
        <f t="shared" si="5"/>
        <v>18841.9168</v>
      </c>
      <c r="H1007" s="1">
        <f t="shared" si="6"/>
        <v>34543.51413</v>
      </c>
      <c r="I1007" s="1">
        <f t="shared" si="7"/>
        <v>56525.7504</v>
      </c>
    </row>
    <row r="1008" hidden="1">
      <c r="A1008" s="266">
        <f>IFERROR(__xludf.DUMMYFUNCTION("""COMPUTED_VALUE"""),43645.99861111111)</f>
        <v>43645.99861</v>
      </c>
      <c r="B1008" s="1">
        <f>IFERROR(__xludf.DUMMYFUNCTION("""COMPUTED_VALUE"""),11893.99)</f>
        <v>11893.99</v>
      </c>
      <c r="C1008" s="58">
        <f t="shared" si="1"/>
        <v>3829.998611</v>
      </c>
      <c r="D1008" s="1">
        <f t="shared" si="2"/>
        <v>3145.079268</v>
      </c>
      <c r="E1008" s="1">
        <f t="shared" si="3"/>
        <v>5661.142683</v>
      </c>
      <c r="F1008" s="1">
        <f t="shared" si="4"/>
        <v>10693.26951</v>
      </c>
      <c r="G1008" s="1">
        <f t="shared" si="5"/>
        <v>18870.47561</v>
      </c>
      <c r="H1008" s="1">
        <f t="shared" si="6"/>
        <v>34595.87195</v>
      </c>
      <c r="I1008" s="1">
        <f t="shared" si="7"/>
        <v>56611.42683</v>
      </c>
    </row>
    <row r="1009" hidden="1">
      <c r="A1009" s="266">
        <f>IFERROR(__xludf.DUMMYFUNCTION("""COMPUTED_VALUE"""),43646.99861111111)</f>
        <v>43646.99861</v>
      </c>
      <c r="B1009" s="1">
        <f>IFERROR(__xludf.DUMMYFUNCTION("""COMPUTED_VALUE"""),10769.18)</f>
        <v>10769.18</v>
      </c>
      <c r="C1009" s="58">
        <f t="shared" si="1"/>
        <v>3830.998611</v>
      </c>
      <c r="D1009" s="1">
        <f t="shared" si="2"/>
        <v>3149.845039</v>
      </c>
      <c r="E1009" s="1">
        <f t="shared" si="3"/>
        <v>5669.72107</v>
      </c>
      <c r="F1009" s="1">
        <f t="shared" si="4"/>
        <v>10709.47313</v>
      </c>
      <c r="G1009" s="1">
        <f t="shared" si="5"/>
        <v>18899.07023</v>
      </c>
      <c r="H1009" s="1">
        <f t="shared" si="6"/>
        <v>34648.29543</v>
      </c>
      <c r="I1009" s="1">
        <f t="shared" si="7"/>
        <v>56697.2107</v>
      </c>
    </row>
    <row r="1010" hidden="1">
      <c r="A1010" s="266">
        <f>IFERROR(__xludf.DUMMYFUNCTION("""COMPUTED_VALUE"""),43647.99861111111)</f>
        <v>43647.99861</v>
      </c>
      <c r="B1010" s="1">
        <f>IFERROR(__xludf.DUMMYFUNCTION("""COMPUTED_VALUE"""),10588.54)</f>
        <v>10588.54</v>
      </c>
      <c r="C1010" s="58">
        <f t="shared" si="1"/>
        <v>3831.998611</v>
      </c>
      <c r="D1010" s="1">
        <f t="shared" si="2"/>
        <v>3154.616784</v>
      </c>
      <c r="E1010" s="1">
        <f t="shared" si="3"/>
        <v>5678.310211</v>
      </c>
      <c r="F1010" s="1">
        <f t="shared" si="4"/>
        <v>10725.69707</v>
      </c>
      <c r="G1010" s="1">
        <f t="shared" si="5"/>
        <v>18927.7007</v>
      </c>
      <c r="H1010" s="1">
        <f t="shared" si="6"/>
        <v>34700.78462</v>
      </c>
      <c r="I1010" s="1">
        <f t="shared" si="7"/>
        <v>56783.10211</v>
      </c>
    </row>
    <row r="1011" hidden="1">
      <c r="A1011" s="266">
        <f>IFERROR(__xludf.DUMMYFUNCTION("""COMPUTED_VALUE"""),43648.99861111111)</f>
        <v>43648.99861</v>
      </c>
      <c r="B1011" s="1">
        <f>IFERROR(__xludf.DUMMYFUNCTION("""COMPUTED_VALUE"""),10837.34)</f>
        <v>10837.34</v>
      </c>
      <c r="C1011" s="58">
        <f t="shared" si="1"/>
        <v>3832.998611</v>
      </c>
      <c r="D1011" s="1">
        <f t="shared" si="2"/>
        <v>3159.39451</v>
      </c>
      <c r="E1011" s="1">
        <f t="shared" si="3"/>
        <v>5686.910119</v>
      </c>
      <c r="F1011" s="1">
        <f t="shared" si="4"/>
        <v>10741.94134</v>
      </c>
      <c r="G1011" s="1">
        <f t="shared" si="5"/>
        <v>18956.36706</v>
      </c>
      <c r="H1011" s="1">
        <f t="shared" si="6"/>
        <v>34753.33961</v>
      </c>
      <c r="I1011" s="1">
        <f t="shared" si="7"/>
        <v>56869.10119</v>
      </c>
    </row>
    <row r="1012" hidden="1">
      <c r="A1012" s="266">
        <f>IFERROR(__xludf.DUMMYFUNCTION("""COMPUTED_VALUE"""),43649.99861111111)</f>
        <v>43649.99861</v>
      </c>
      <c r="B1012" s="1">
        <f>IFERROR(__xludf.DUMMYFUNCTION("""COMPUTED_VALUE"""),11972.06)</f>
        <v>11972.06</v>
      </c>
      <c r="C1012" s="58">
        <f t="shared" si="1"/>
        <v>3833.998611</v>
      </c>
      <c r="D1012" s="1">
        <f t="shared" si="2"/>
        <v>3164.178223</v>
      </c>
      <c r="E1012" s="1">
        <f t="shared" si="3"/>
        <v>5695.520802</v>
      </c>
      <c r="F1012" s="1">
        <f t="shared" si="4"/>
        <v>10758.20596</v>
      </c>
      <c r="G1012" s="1">
        <f t="shared" si="5"/>
        <v>18985.06934</v>
      </c>
      <c r="H1012" s="1">
        <f t="shared" si="6"/>
        <v>34805.96046</v>
      </c>
      <c r="I1012" s="1">
        <f t="shared" si="7"/>
        <v>56955.20802</v>
      </c>
    </row>
    <row r="1013" hidden="1">
      <c r="A1013" s="266">
        <f>IFERROR(__xludf.DUMMYFUNCTION("""COMPUTED_VALUE"""),43650.99861111111)</f>
        <v>43650.99861</v>
      </c>
      <c r="B1013" s="1">
        <f>IFERROR(__xludf.DUMMYFUNCTION("""COMPUTED_VALUE"""),11159.69)</f>
        <v>11159.69</v>
      </c>
      <c r="C1013" s="58">
        <f t="shared" si="1"/>
        <v>3834.998611</v>
      </c>
      <c r="D1013" s="1">
        <f t="shared" si="2"/>
        <v>3168.967929</v>
      </c>
      <c r="E1013" s="1">
        <f t="shared" si="3"/>
        <v>5704.142273</v>
      </c>
      <c r="F1013" s="1">
        <f t="shared" si="4"/>
        <v>10774.49096</v>
      </c>
      <c r="G1013" s="1">
        <f t="shared" si="5"/>
        <v>19013.80758</v>
      </c>
      <c r="H1013" s="1">
        <f t="shared" si="6"/>
        <v>34858.64722</v>
      </c>
      <c r="I1013" s="1">
        <f t="shared" si="7"/>
        <v>57041.42273</v>
      </c>
    </row>
    <row r="1014" hidden="1">
      <c r="A1014" s="266">
        <f>IFERROR(__xludf.DUMMYFUNCTION("""COMPUTED_VALUE"""),43651.99861111111)</f>
        <v>43651.99861</v>
      </c>
      <c r="B1014" s="1">
        <f>IFERROR(__xludf.DUMMYFUNCTION("""COMPUTED_VALUE"""),10982.98)</f>
        <v>10982.98</v>
      </c>
      <c r="C1014" s="58">
        <f t="shared" si="1"/>
        <v>3835.998611</v>
      </c>
      <c r="D1014" s="1">
        <f t="shared" si="2"/>
        <v>3173.763634</v>
      </c>
      <c r="E1014" s="1">
        <f t="shared" si="3"/>
        <v>5712.774541</v>
      </c>
      <c r="F1014" s="1">
        <f t="shared" si="4"/>
        <v>10790.79636</v>
      </c>
      <c r="G1014" s="1">
        <f t="shared" si="5"/>
        <v>19042.5818</v>
      </c>
      <c r="H1014" s="1">
        <f t="shared" si="6"/>
        <v>34911.39997</v>
      </c>
      <c r="I1014" s="1">
        <f t="shared" si="7"/>
        <v>57127.74541</v>
      </c>
    </row>
    <row r="1015" hidden="1">
      <c r="A1015" s="266">
        <f>IFERROR(__xludf.DUMMYFUNCTION("""COMPUTED_VALUE"""),43652.99861111111)</f>
        <v>43652.99861</v>
      </c>
      <c r="B1015" s="1">
        <f>IFERROR(__xludf.DUMMYFUNCTION("""COMPUTED_VALUE"""),11250.14)</f>
        <v>11250.14</v>
      </c>
      <c r="C1015" s="58">
        <f t="shared" si="1"/>
        <v>3836.998611</v>
      </c>
      <c r="D1015" s="1">
        <f t="shared" si="2"/>
        <v>3178.565343</v>
      </c>
      <c r="E1015" s="1">
        <f t="shared" si="3"/>
        <v>5721.417617</v>
      </c>
      <c r="F1015" s="1">
        <f t="shared" si="4"/>
        <v>10807.12217</v>
      </c>
      <c r="G1015" s="1">
        <f t="shared" si="5"/>
        <v>19071.39206</v>
      </c>
      <c r="H1015" s="1">
        <f t="shared" si="6"/>
        <v>34964.21877</v>
      </c>
      <c r="I1015" s="1">
        <f t="shared" si="7"/>
        <v>57214.17617</v>
      </c>
    </row>
    <row r="1016" hidden="1">
      <c r="A1016" s="266">
        <f>IFERROR(__xludf.DUMMYFUNCTION("""COMPUTED_VALUE"""),43653.99861111111)</f>
        <v>43653.99861</v>
      </c>
      <c r="B1016" s="1">
        <f>IFERROR(__xludf.DUMMYFUNCTION("""COMPUTED_VALUE"""),11472.0)</f>
        <v>11472</v>
      </c>
      <c r="C1016" s="58">
        <f t="shared" si="1"/>
        <v>3837.998611</v>
      </c>
      <c r="D1016" s="1">
        <f t="shared" si="2"/>
        <v>3183.373063</v>
      </c>
      <c r="E1016" s="1">
        <f t="shared" si="3"/>
        <v>5730.071513</v>
      </c>
      <c r="F1016" s="1">
        <f t="shared" si="4"/>
        <v>10823.46841</v>
      </c>
      <c r="G1016" s="1">
        <f t="shared" si="5"/>
        <v>19100.23838</v>
      </c>
      <c r="H1016" s="1">
        <f t="shared" si="6"/>
        <v>35017.10369</v>
      </c>
      <c r="I1016" s="1">
        <f t="shared" si="7"/>
        <v>57300.71513</v>
      </c>
    </row>
    <row r="1017" hidden="1">
      <c r="A1017" s="266">
        <f>IFERROR(__xludf.DUMMYFUNCTION("""COMPUTED_VALUE"""),43654.99861111111)</f>
        <v>43654.99861</v>
      </c>
      <c r="B1017" s="1">
        <f>IFERROR(__xludf.DUMMYFUNCTION("""COMPUTED_VALUE"""),12286.77)</f>
        <v>12286.77</v>
      </c>
      <c r="C1017" s="58">
        <f t="shared" si="1"/>
        <v>3838.998611</v>
      </c>
      <c r="D1017" s="1">
        <f t="shared" si="2"/>
        <v>3188.186799</v>
      </c>
      <c r="E1017" s="1">
        <f t="shared" si="3"/>
        <v>5738.736238</v>
      </c>
      <c r="F1017" s="1">
        <f t="shared" si="4"/>
        <v>10839.83512</v>
      </c>
      <c r="G1017" s="1">
        <f t="shared" si="5"/>
        <v>19129.12079</v>
      </c>
      <c r="H1017" s="1">
        <f t="shared" si="6"/>
        <v>35070.05479</v>
      </c>
      <c r="I1017" s="1">
        <f t="shared" si="7"/>
        <v>57387.36238</v>
      </c>
    </row>
    <row r="1018" hidden="1">
      <c r="A1018" s="266">
        <f>IFERROR(__xludf.DUMMYFUNCTION("""COMPUTED_VALUE"""),43655.99861111111)</f>
        <v>43655.99861</v>
      </c>
      <c r="B1018" s="1">
        <f>IFERROR(__xludf.DUMMYFUNCTION("""COMPUTED_VALUE"""),12558.42)</f>
        <v>12558.42</v>
      </c>
      <c r="C1018" s="58">
        <f t="shared" si="1"/>
        <v>3839.998611</v>
      </c>
      <c r="D1018" s="1">
        <f t="shared" si="2"/>
        <v>3193.006558</v>
      </c>
      <c r="E1018" s="1">
        <f t="shared" si="3"/>
        <v>5747.411804</v>
      </c>
      <c r="F1018" s="1">
        <f t="shared" si="4"/>
        <v>10856.2223</v>
      </c>
      <c r="G1018" s="1">
        <f t="shared" si="5"/>
        <v>19158.03935</v>
      </c>
      <c r="H1018" s="1">
        <f t="shared" si="6"/>
        <v>35123.07214</v>
      </c>
      <c r="I1018" s="1">
        <f t="shared" si="7"/>
        <v>57474.11804</v>
      </c>
    </row>
    <row r="1019" hidden="1">
      <c r="A1019" s="266">
        <f>IFERROR(__xludf.DUMMYFUNCTION("""COMPUTED_VALUE"""),43656.99861111111)</f>
        <v>43656.99861</v>
      </c>
      <c r="B1019" s="1">
        <f>IFERROR(__xludf.DUMMYFUNCTION("""COMPUTED_VALUE"""),12101.73)</f>
        <v>12101.73</v>
      </c>
      <c r="C1019" s="58">
        <f t="shared" si="1"/>
        <v>3840.998611</v>
      </c>
      <c r="D1019" s="1">
        <f t="shared" si="2"/>
        <v>3197.832345</v>
      </c>
      <c r="E1019" s="1">
        <f t="shared" si="3"/>
        <v>5756.098221</v>
      </c>
      <c r="F1019" s="1">
        <f t="shared" si="4"/>
        <v>10872.62997</v>
      </c>
      <c r="G1019" s="1">
        <f t="shared" si="5"/>
        <v>19186.99407</v>
      </c>
      <c r="H1019" s="1">
        <f t="shared" si="6"/>
        <v>35176.1558</v>
      </c>
      <c r="I1019" s="1">
        <f t="shared" si="7"/>
        <v>57560.98221</v>
      </c>
    </row>
    <row r="1020" hidden="1">
      <c r="A1020" s="266">
        <f>IFERROR(__xludf.DUMMYFUNCTION("""COMPUTED_VALUE"""),43657.99861111111)</f>
        <v>43657.99861</v>
      </c>
      <c r="B1020" s="1">
        <f>IFERROR(__xludf.DUMMYFUNCTION("""COMPUTED_VALUE"""),11350.24)</f>
        <v>11350.24</v>
      </c>
      <c r="C1020" s="58">
        <f t="shared" si="1"/>
        <v>3841.998611</v>
      </c>
      <c r="D1020" s="1">
        <f t="shared" si="2"/>
        <v>3202.664167</v>
      </c>
      <c r="E1020" s="1">
        <f t="shared" si="3"/>
        <v>5764.795501</v>
      </c>
      <c r="F1020" s="1">
        <f t="shared" si="4"/>
        <v>10889.05817</v>
      </c>
      <c r="G1020" s="1">
        <f t="shared" si="5"/>
        <v>19215.985</v>
      </c>
      <c r="H1020" s="1">
        <f t="shared" si="6"/>
        <v>35229.30584</v>
      </c>
      <c r="I1020" s="1">
        <f t="shared" si="7"/>
        <v>57647.95501</v>
      </c>
    </row>
    <row r="1021" hidden="1">
      <c r="A1021" s="266">
        <f>IFERROR(__xludf.DUMMYFUNCTION("""COMPUTED_VALUE"""),43658.99861111111)</f>
        <v>43658.99861</v>
      </c>
      <c r="B1021" s="1">
        <f>IFERROR(__xludf.DUMMYFUNCTION("""COMPUTED_VALUE"""),11803.48)</f>
        <v>11803.48</v>
      </c>
      <c r="C1021" s="58">
        <f t="shared" si="1"/>
        <v>3842.998611</v>
      </c>
      <c r="D1021" s="1">
        <f t="shared" si="2"/>
        <v>3207.502029</v>
      </c>
      <c r="E1021" s="1">
        <f t="shared" si="3"/>
        <v>5773.503652</v>
      </c>
      <c r="F1021" s="1">
        <f t="shared" si="4"/>
        <v>10905.5069</v>
      </c>
      <c r="G1021" s="1">
        <f t="shared" si="5"/>
        <v>19245.01217</v>
      </c>
      <c r="H1021" s="1">
        <f t="shared" si="6"/>
        <v>35282.52232</v>
      </c>
      <c r="I1021" s="1">
        <f t="shared" si="7"/>
        <v>57735.03652</v>
      </c>
    </row>
    <row r="1022" hidden="1">
      <c r="A1022" s="266">
        <f>IFERROR(__xludf.DUMMYFUNCTION("""COMPUTED_VALUE"""),43659.99861111111)</f>
        <v>43659.99861</v>
      </c>
      <c r="B1022" s="1">
        <f>IFERROR(__xludf.DUMMYFUNCTION("""COMPUTED_VALUE"""),11364.7)</f>
        <v>11364.7</v>
      </c>
      <c r="C1022" s="58">
        <f t="shared" si="1"/>
        <v>3843.998611</v>
      </c>
      <c r="D1022" s="1">
        <f t="shared" si="2"/>
        <v>3212.345938</v>
      </c>
      <c r="E1022" s="1">
        <f t="shared" si="3"/>
        <v>5782.222688</v>
      </c>
      <c r="F1022" s="1">
        <f t="shared" si="4"/>
        <v>10921.97619</v>
      </c>
      <c r="G1022" s="1">
        <f t="shared" si="5"/>
        <v>19274.07563</v>
      </c>
      <c r="H1022" s="1">
        <f t="shared" si="6"/>
        <v>35335.80531</v>
      </c>
      <c r="I1022" s="1">
        <f t="shared" si="7"/>
        <v>57822.22688</v>
      </c>
    </row>
    <row r="1023" hidden="1">
      <c r="A1023" s="266">
        <f>IFERROR(__xludf.DUMMYFUNCTION("""COMPUTED_VALUE"""),43660.99861111111)</f>
        <v>43660.99861</v>
      </c>
      <c r="B1023" s="1">
        <f>IFERROR(__xludf.DUMMYFUNCTION("""COMPUTED_VALUE"""),10211.42)</f>
        <v>10211.42</v>
      </c>
      <c r="C1023" s="58">
        <f t="shared" si="1"/>
        <v>3844.998611</v>
      </c>
      <c r="D1023" s="1">
        <f t="shared" si="2"/>
        <v>3217.195899</v>
      </c>
      <c r="E1023" s="1">
        <f t="shared" si="3"/>
        <v>5790.952617</v>
      </c>
      <c r="F1023" s="1">
        <f t="shared" si="4"/>
        <v>10938.46606</v>
      </c>
      <c r="G1023" s="1">
        <f t="shared" si="5"/>
        <v>19303.17539</v>
      </c>
      <c r="H1023" s="1">
        <f t="shared" si="6"/>
        <v>35389.15488</v>
      </c>
      <c r="I1023" s="1">
        <f t="shared" si="7"/>
        <v>57909.52617</v>
      </c>
    </row>
    <row r="1024" hidden="1">
      <c r="A1024" s="266">
        <f>IFERROR(__xludf.DUMMYFUNCTION("""COMPUTED_VALUE"""),43661.99861111111)</f>
        <v>43661.99861</v>
      </c>
      <c r="B1024" s="1">
        <f>IFERROR(__xludf.DUMMYFUNCTION("""COMPUTED_VALUE"""),10846.35)</f>
        <v>10846.35</v>
      </c>
      <c r="C1024" s="58">
        <f t="shared" si="1"/>
        <v>3845.998611</v>
      </c>
      <c r="D1024" s="1">
        <f t="shared" si="2"/>
        <v>3222.051918</v>
      </c>
      <c r="E1024" s="1">
        <f t="shared" si="3"/>
        <v>5799.693452</v>
      </c>
      <c r="F1024" s="1">
        <f t="shared" si="4"/>
        <v>10954.97652</v>
      </c>
      <c r="G1024" s="1">
        <f t="shared" si="5"/>
        <v>19332.31151</v>
      </c>
      <c r="H1024" s="1">
        <f t="shared" si="6"/>
        <v>35442.5711</v>
      </c>
      <c r="I1024" s="1">
        <f t="shared" si="7"/>
        <v>57996.93452</v>
      </c>
    </row>
    <row r="1025" hidden="1">
      <c r="A1025" s="266">
        <f>IFERROR(__xludf.DUMMYFUNCTION("""COMPUTED_VALUE"""),43662.99861111111)</f>
        <v>43662.99861</v>
      </c>
      <c r="B1025" s="1">
        <f>IFERROR(__xludf.DUMMYFUNCTION("""COMPUTED_VALUE"""),9425.55)</f>
        <v>9425.55</v>
      </c>
      <c r="C1025" s="58">
        <f t="shared" si="1"/>
        <v>3846.998611</v>
      </c>
      <c r="D1025" s="1">
        <f t="shared" si="2"/>
        <v>3226.914001</v>
      </c>
      <c r="E1025" s="1">
        <f t="shared" si="3"/>
        <v>5808.445202</v>
      </c>
      <c r="F1025" s="1">
        <f t="shared" si="4"/>
        <v>10971.5076</v>
      </c>
      <c r="G1025" s="1">
        <f t="shared" si="5"/>
        <v>19361.48401</v>
      </c>
      <c r="H1025" s="1">
        <f t="shared" si="6"/>
        <v>35496.05401</v>
      </c>
      <c r="I1025" s="1">
        <f t="shared" si="7"/>
        <v>58084.45202</v>
      </c>
    </row>
    <row r="1026" hidden="1">
      <c r="A1026" s="266">
        <f>IFERROR(__xludf.DUMMYFUNCTION("""COMPUTED_VALUE"""),43663.99861111111)</f>
        <v>43663.99861</v>
      </c>
      <c r="B1026" s="1">
        <f>IFERROR(__xludf.DUMMYFUNCTION("""COMPUTED_VALUE"""),9684.662)</f>
        <v>9684.662</v>
      </c>
      <c r="C1026" s="58">
        <f t="shared" si="1"/>
        <v>3847.998611</v>
      </c>
      <c r="D1026" s="1">
        <f t="shared" si="2"/>
        <v>3231.782155</v>
      </c>
      <c r="E1026" s="1">
        <f t="shared" si="3"/>
        <v>5817.207879</v>
      </c>
      <c r="F1026" s="1">
        <f t="shared" si="4"/>
        <v>10988.05933</v>
      </c>
      <c r="G1026" s="1">
        <f t="shared" si="5"/>
        <v>19390.69293</v>
      </c>
      <c r="H1026" s="1">
        <f t="shared" si="6"/>
        <v>35549.60371</v>
      </c>
      <c r="I1026" s="1">
        <f t="shared" si="7"/>
        <v>58172.07879</v>
      </c>
    </row>
    <row r="1027" hidden="1">
      <c r="A1027" s="266">
        <f>IFERROR(__xludf.DUMMYFUNCTION("""COMPUTED_VALUE"""),43664.99861111111)</f>
        <v>43664.99861</v>
      </c>
      <c r="B1027" s="1">
        <f>IFERROR(__xludf.DUMMYFUNCTION("""COMPUTED_VALUE"""),10631.28)</f>
        <v>10631.28</v>
      </c>
      <c r="C1027" s="58">
        <f t="shared" si="1"/>
        <v>3848.998611</v>
      </c>
      <c r="D1027" s="1">
        <f t="shared" si="2"/>
        <v>3236.656386</v>
      </c>
      <c r="E1027" s="1">
        <f t="shared" si="3"/>
        <v>5825.981494</v>
      </c>
      <c r="F1027" s="1">
        <f t="shared" si="4"/>
        <v>11004.63171</v>
      </c>
      <c r="G1027" s="1">
        <f t="shared" si="5"/>
        <v>19419.93831</v>
      </c>
      <c r="H1027" s="1">
        <f t="shared" si="6"/>
        <v>35603.22024</v>
      </c>
      <c r="I1027" s="1">
        <f t="shared" si="7"/>
        <v>58259.81494</v>
      </c>
    </row>
    <row r="1028" hidden="1">
      <c r="A1028" s="266">
        <f>IFERROR(__xludf.DUMMYFUNCTION("""COMPUTED_VALUE"""),43665.99861111111)</f>
        <v>43665.99861</v>
      </c>
      <c r="B1028" s="1">
        <f>IFERROR(__xludf.DUMMYFUNCTION("""COMPUTED_VALUE"""),10528.37)</f>
        <v>10528.37</v>
      </c>
      <c r="C1028" s="58">
        <f t="shared" si="1"/>
        <v>3849.998611</v>
      </c>
      <c r="D1028" s="1">
        <f t="shared" si="2"/>
        <v>3241.536698</v>
      </c>
      <c r="E1028" s="1">
        <f t="shared" si="3"/>
        <v>5834.766057</v>
      </c>
      <c r="F1028" s="1">
        <f t="shared" si="4"/>
        <v>11021.22477</v>
      </c>
      <c r="G1028" s="1">
        <f t="shared" si="5"/>
        <v>19449.22019</v>
      </c>
      <c r="H1028" s="1">
        <f t="shared" si="6"/>
        <v>35656.90368</v>
      </c>
      <c r="I1028" s="1">
        <f t="shared" si="7"/>
        <v>58347.66057</v>
      </c>
    </row>
    <row r="1029" hidden="1">
      <c r="A1029" s="266">
        <f>IFERROR(__xludf.DUMMYFUNCTION("""COMPUTED_VALUE"""),43666.99861111111)</f>
        <v>43666.99861</v>
      </c>
      <c r="B1029" s="1">
        <f>IFERROR(__xludf.DUMMYFUNCTION("""COMPUTED_VALUE"""),10749.29)</f>
        <v>10749.29</v>
      </c>
      <c r="C1029" s="58">
        <f t="shared" si="1"/>
        <v>3850.998611</v>
      </c>
      <c r="D1029" s="1">
        <f t="shared" si="2"/>
        <v>3246.423099</v>
      </c>
      <c r="E1029" s="1">
        <f t="shared" si="3"/>
        <v>5843.561578</v>
      </c>
      <c r="F1029" s="1">
        <f t="shared" si="4"/>
        <v>11037.83854</v>
      </c>
      <c r="G1029" s="1">
        <f t="shared" si="5"/>
        <v>19478.53859</v>
      </c>
      <c r="H1029" s="1">
        <f t="shared" si="6"/>
        <v>35710.65409</v>
      </c>
      <c r="I1029" s="1">
        <f t="shared" si="7"/>
        <v>58435.61578</v>
      </c>
    </row>
    <row r="1030" hidden="1">
      <c r="A1030" s="266">
        <f>IFERROR(__xludf.DUMMYFUNCTION("""COMPUTED_VALUE"""),43667.99861111111)</f>
        <v>43667.99861</v>
      </c>
      <c r="B1030" s="1">
        <f>IFERROR(__xludf.DUMMYFUNCTION("""COMPUTED_VALUE"""),10585.77)</f>
        <v>10585.77</v>
      </c>
      <c r="C1030" s="58">
        <f t="shared" si="1"/>
        <v>3851.998611</v>
      </c>
      <c r="D1030" s="1">
        <f t="shared" si="2"/>
        <v>3251.315594</v>
      </c>
      <c r="E1030" s="1">
        <f t="shared" si="3"/>
        <v>5852.36807</v>
      </c>
      <c r="F1030" s="1">
        <f t="shared" si="4"/>
        <v>11054.47302</v>
      </c>
      <c r="G1030" s="1">
        <f t="shared" si="5"/>
        <v>19507.89357</v>
      </c>
      <c r="H1030" s="1">
        <f t="shared" si="6"/>
        <v>35764.47154</v>
      </c>
      <c r="I1030" s="1">
        <f t="shared" si="7"/>
        <v>58523.6807</v>
      </c>
    </row>
    <row r="1031" hidden="1">
      <c r="A1031" s="266">
        <f>IFERROR(__xludf.DUMMYFUNCTION("""COMPUTED_VALUE"""),43668.99861111111)</f>
        <v>43668.99861</v>
      </c>
      <c r="B1031" s="1">
        <f>IFERROR(__xludf.DUMMYFUNCTION("""COMPUTED_VALUE"""),10325.27)</f>
        <v>10325.27</v>
      </c>
      <c r="C1031" s="58">
        <f t="shared" si="1"/>
        <v>3852.998611</v>
      </c>
      <c r="D1031" s="1">
        <f t="shared" si="2"/>
        <v>3256.21419</v>
      </c>
      <c r="E1031" s="1">
        <f t="shared" si="3"/>
        <v>5861.185542</v>
      </c>
      <c r="F1031" s="1">
        <f t="shared" si="4"/>
        <v>11071.12825</v>
      </c>
      <c r="G1031" s="1">
        <f t="shared" si="5"/>
        <v>19537.28514</v>
      </c>
      <c r="H1031" s="1">
        <f t="shared" si="6"/>
        <v>35818.35609</v>
      </c>
      <c r="I1031" s="1">
        <f t="shared" si="7"/>
        <v>58611.85542</v>
      </c>
    </row>
    <row r="1032" hidden="1">
      <c r="A1032" s="266">
        <f>IFERROR(__xludf.DUMMYFUNCTION("""COMPUTED_VALUE"""),43669.99861111111)</f>
        <v>43669.99861</v>
      </c>
      <c r="B1032" s="1">
        <f>IFERROR(__xludf.DUMMYFUNCTION("""COMPUTED_VALUE"""),9860.352)</f>
        <v>9860.352</v>
      </c>
      <c r="C1032" s="58">
        <f t="shared" si="1"/>
        <v>3853.998611</v>
      </c>
      <c r="D1032" s="1">
        <f t="shared" si="2"/>
        <v>3261.118892</v>
      </c>
      <c r="E1032" s="1">
        <f t="shared" si="3"/>
        <v>5870.014006</v>
      </c>
      <c r="F1032" s="1">
        <f t="shared" si="4"/>
        <v>11087.80423</v>
      </c>
      <c r="G1032" s="1">
        <f t="shared" si="5"/>
        <v>19566.71335</v>
      </c>
      <c r="H1032" s="1">
        <f t="shared" si="6"/>
        <v>35872.30781</v>
      </c>
      <c r="I1032" s="1">
        <f t="shared" si="7"/>
        <v>58700.14006</v>
      </c>
    </row>
    <row r="1033" hidden="1">
      <c r="A1033" s="266">
        <f>IFERROR(__xludf.DUMMYFUNCTION("""COMPUTED_VALUE"""),43670.99861111111)</f>
        <v>43670.99861</v>
      </c>
      <c r="B1033" s="1">
        <f>IFERROR(__xludf.DUMMYFUNCTION("""COMPUTED_VALUE"""),9773.864)</f>
        <v>9773.864</v>
      </c>
      <c r="C1033" s="58">
        <f t="shared" si="1"/>
        <v>3854.998611</v>
      </c>
      <c r="D1033" s="1">
        <f t="shared" si="2"/>
        <v>3266.029706</v>
      </c>
      <c r="E1033" s="1">
        <f t="shared" si="3"/>
        <v>5878.853472</v>
      </c>
      <c r="F1033" s="1">
        <f t="shared" si="4"/>
        <v>11104.501</v>
      </c>
      <c r="G1033" s="1">
        <f t="shared" si="5"/>
        <v>19596.17824</v>
      </c>
      <c r="H1033" s="1">
        <f t="shared" si="6"/>
        <v>35926.32677</v>
      </c>
      <c r="I1033" s="1">
        <f t="shared" si="7"/>
        <v>58788.53472</v>
      </c>
    </row>
    <row r="1034" hidden="1">
      <c r="A1034" s="266">
        <f>IFERROR(__xludf.DUMMYFUNCTION("""COMPUTED_VALUE"""),43671.99861111111)</f>
        <v>43671.99861</v>
      </c>
      <c r="B1034" s="1">
        <f>IFERROR(__xludf.DUMMYFUNCTION("""COMPUTED_VALUE"""),9879.488)</f>
        <v>9879.488</v>
      </c>
      <c r="C1034" s="58">
        <f t="shared" si="1"/>
        <v>3855.998611</v>
      </c>
      <c r="D1034" s="1">
        <f t="shared" si="2"/>
        <v>3270.946639</v>
      </c>
      <c r="E1034" s="1">
        <f t="shared" si="3"/>
        <v>5887.703951</v>
      </c>
      <c r="F1034" s="1">
        <f t="shared" si="4"/>
        <v>11121.21857</v>
      </c>
      <c r="G1034" s="1">
        <f t="shared" si="5"/>
        <v>19625.67984</v>
      </c>
      <c r="H1034" s="1">
        <f t="shared" si="6"/>
        <v>35980.41303</v>
      </c>
      <c r="I1034" s="1">
        <f t="shared" si="7"/>
        <v>58877.03951</v>
      </c>
    </row>
    <row r="1035" hidden="1">
      <c r="A1035" s="266">
        <f>IFERROR(__xludf.DUMMYFUNCTION("""COMPUTED_VALUE"""),43672.99861111111)</f>
        <v>43672.99861</v>
      </c>
      <c r="B1035" s="1">
        <f>IFERROR(__xludf.DUMMYFUNCTION("""COMPUTED_VALUE"""),9846.078)</f>
        <v>9846.078</v>
      </c>
      <c r="C1035" s="58">
        <f t="shared" si="1"/>
        <v>3856.998611</v>
      </c>
      <c r="D1035" s="1">
        <f t="shared" si="2"/>
        <v>3275.869697</v>
      </c>
      <c r="E1035" s="1">
        <f t="shared" si="3"/>
        <v>5896.565454</v>
      </c>
      <c r="F1035" s="1">
        <f t="shared" si="4"/>
        <v>11137.95697</v>
      </c>
      <c r="G1035" s="1">
        <f t="shared" si="5"/>
        <v>19655.21818</v>
      </c>
      <c r="H1035" s="1">
        <f t="shared" si="6"/>
        <v>36034.56666</v>
      </c>
      <c r="I1035" s="1">
        <f t="shared" si="7"/>
        <v>58965.65454</v>
      </c>
    </row>
    <row r="1036" hidden="1">
      <c r="A1036" s="266">
        <f>IFERROR(__xludf.DUMMYFUNCTION("""COMPUTED_VALUE"""),43673.99861111111)</f>
        <v>43673.99861</v>
      </c>
      <c r="B1036" s="1">
        <f>IFERROR(__xludf.DUMMYFUNCTION("""COMPUTED_VALUE"""),9472.251)</f>
        <v>9472.251</v>
      </c>
      <c r="C1036" s="58">
        <f t="shared" si="1"/>
        <v>3857.998611</v>
      </c>
      <c r="D1036" s="1">
        <f t="shared" si="2"/>
        <v>3280.798885</v>
      </c>
      <c r="E1036" s="1">
        <f t="shared" si="3"/>
        <v>5905.437992</v>
      </c>
      <c r="F1036" s="1">
        <f t="shared" si="4"/>
        <v>11154.71621</v>
      </c>
      <c r="G1036" s="1">
        <f t="shared" si="5"/>
        <v>19684.79331</v>
      </c>
      <c r="H1036" s="1">
        <f t="shared" si="6"/>
        <v>36088.78773</v>
      </c>
      <c r="I1036" s="1">
        <f t="shared" si="7"/>
        <v>59054.37992</v>
      </c>
    </row>
    <row r="1037" hidden="1">
      <c r="A1037" s="266">
        <f>IFERROR(__xludf.DUMMYFUNCTION("""COMPUTED_VALUE"""),43674.99861111111)</f>
        <v>43674.99861</v>
      </c>
      <c r="B1037" s="1">
        <f>IFERROR(__xludf.DUMMYFUNCTION("""COMPUTED_VALUE"""),9525.349)</f>
        <v>9525.349</v>
      </c>
      <c r="C1037" s="58">
        <f t="shared" si="1"/>
        <v>3858.998611</v>
      </c>
      <c r="D1037" s="1">
        <f t="shared" si="2"/>
        <v>3285.734209</v>
      </c>
      <c r="E1037" s="1">
        <f t="shared" si="3"/>
        <v>5914.321576</v>
      </c>
      <c r="F1037" s="1">
        <f t="shared" si="4"/>
        <v>11171.49631</v>
      </c>
      <c r="G1037" s="1">
        <f t="shared" si="5"/>
        <v>19714.40525</v>
      </c>
      <c r="H1037" s="1">
        <f t="shared" si="6"/>
        <v>36143.0763</v>
      </c>
      <c r="I1037" s="1">
        <f t="shared" si="7"/>
        <v>59143.21576</v>
      </c>
    </row>
    <row r="1038" hidden="1">
      <c r="A1038" s="266">
        <f>IFERROR(__xludf.DUMMYFUNCTION("""COMPUTED_VALUE"""),43675.99861111111)</f>
        <v>43675.99861</v>
      </c>
      <c r="B1038" s="1">
        <f>IFERROR(__xludf.DUMMYFUNCTION("""COMPUTED_VALUE"""),9508.112)</f>
        <v>9508.112</v>
      </c>
      <c r="C1038" s="58">
        <f t="shared" si="1"/>
        <v>3859.998611</v>
      </c>
      <c r="D1038" s="1">
        <f t="shared" si="2"/>
        <v>3290.675676</v>
      </c>
      <c r="E1038" s="1">
        <f t="shared" si="3"/>
        <v>5923.216217</v>
      </c>
      <c r="F1038" s="1">
        <f t="shared" si="4"/>
        <v>11188.2973</v>
      </c>
      <c r="G1038" s="1">
        <f t="shared" si="5"/>
        <v>19744.05406</v>
      </c>
      <c r="H1038" s="1">
        <f t="shared" si="6"/>
        <v>36197.43244</v>
      </c>
      <c r="I1038" s="1">
        <f t="shared" si="7"/>
        <v>59232.16217</v>
      </c>
    </row>
    <row r="1039" hidden="1">
      <c r="A1039" s="266">
        <f>IFERROR(__xludf.DUMMYFUNCTION("""COMPUTED_VALUE"""),43676.99861111111)</f>
        <v>43676.99861</v>
      </c>
      <c r="B1039" s="1">
        <f>IFERROR(__xludf.DUMMYFUNCTION("""COMPUTED_VALUE"""),9591.0)</f>
        <v>9591</v>
      </c>
      <c r="C1039" s="58">
        <f t="shared" si="1"/>
        <v>3860.998611</v>
      </c>
      <c r="D1039" s="1">
        <f t="shared" si="2"/>
        <v>3295.623292</v>
      </c>
      <c r="E1039" s="1">
        <f t="shared" si="3"/>
        <v>5932.121925</v>
      </c>
      <c r="F1039" s="1">
        <f t="shared" si="4"/>
        <v>11205.11919</v>
      </c>
      <c r="G1039" s="1">
        <f t="shared" si="5"/>
        <v>19773.73975</v>
      </c>
      <c r="H1039" s="1">
        <f t="shared" si="6"/>
        <v>36251.85621</v>
      </c>
      <c r="I1039" s="1">
        <f t="shared" si="7"/>
        <v>59321.21925</v>
      </c>
    </row>
    <row r="1040" hidden="1">
      <c r="A1040" s="266">
        <f>IFERROR(__xludf.DUMMYFUNCTION("""COMPUTED_VALUE"""),43677.99861111111)</f>
        <v>43677.99861</v>
      </c>
      <c r="B1040" s="1">
        <f>IFERROR(__xludf.DUMMYFUNCTION("""COMPUTED_VALUE"""),10084.75)</f>
        <v>10084.75</v>
      </c>
      <c r="C1040" s="58">
        <f t="shared" si="1"/>
        <v>3861.998611</v>
      </c>
      <c r="D1040" s="1">
        <f t="shared" si="2"/>
        <v>3300.577062</v>
      </c>
      <c r="E1040" s="1">
        <f t="shared" si="3"/>
        <v>5941.038712</v>
      </c>
      <c r="F1040" s="1">
        <f t="shared" si="4"/>
        <v>11221.96201</v>
      </c>
      <c r="G1040" s="1">
        <f t="shared" si="5"/>
        <v>19803.46237</v>
      </c>
      <c r="H1040" s="1">
        <f t="shared" si="6"/>
        <v>36306.34768</v>
      </c>
      <c r="I1040" s="1">
        <f t="shared" si="7"/>
        <v>59410.38712</v>
      </c>
    </row>
    <row r="1041" hidden="1">
      <c r="A1041" s="266">
        <f>IFERROR(__xludf.DUMMYFUNCTION("""COMPUTED_VALUE"""),43678.99861111111)</f>
        <v>43678.99861</v>
      </c>
      <c r="B1041" s="1">
        <f>IFERROR(__xludf.DUMMYFUNCTION("""COMPUTED_VALUE"""),10400.27)</f>
        <v>10400.27</v>
      </c>
      <c r="C1041" s="58">
        <f t="shared" si="1"/>
        <v>3862.998611</v>
      </c>
      <c r="D1041" s="1">
        <f t="shared" si="2"/>
        <v>3305.536993</v>
      </c>
      <c r="E1041" s="1">
        <f t="shared" si="3"/>
        <v>5949.966588</v>
      </c>
      <c r="F1041" s="1">
        <f t="shared" si="4"/>
        <v>11238.82578</v>
      </c>
      <c r="G1041" s="1">
        <f t="shared" si="5"/>
        <v>19833.22196</v>
      </c>
      <c r="H1041" s="1">
        <f t="shared" si="6"/>
        <v>36360.90693</v>
      </c>
      <c r="I1041" s="1">
        <f t="shared" si="7"/>
        <v>59499.66588</v>
      </c>
    </row>
    <row r="1042" hidden="1">
      <c r="A1042" s="266">
        <f>IFERROR(__xludf.DUMMYFUNCTION("""COMPUTED_VALUE"""),43679.99861111111)</f>
        <v>43679.99861</v>
      </c>
      <c r="B1042" s="1">
        <f>IFERROR(__xludf.DUMMYFUNCTION("""COMPUTED_VALUE"""),10520.34)</f>
        <v>10520.34</v>
      </c>
      <c r="C1042" s="58">
        <f t="shared" si="1"/>
        <v>3863.998611</v>
      </c>
      <c r="D1042" s="1">
        <f t="shared" si="2"/>
        <v>3310.503091</v>
      </c>
      <c r="E1042" s="1">
        <f t="shared" si="3"/>
        <v>5958.905564</v>
      </c>
      <c r="F1042" s="1">
        <f t="shared" si="4"/>
        <v>11255.71051</v>
      </c>
      <c r="G1042" s="1">
        <f t="shared" si="5"/>
        <v>19863.01855</v>
      </c>
      <c r="H1042" s="1">
        <f t="shared" si="6"/>
        <v>36415.534</v>
      </c>
      <c r="I1042" s="1">
        <f t="shared" si="7"/>
        <v>59589.05564</v>
      </c>
    </row>
    <row r="1043" hidden="1">
      <c r="A1043" s="266">
        <f>IFERROR(__xludf.DUMMYFUNCTION("""COMPUTED_VALUE"""),43680.99861111111)</f>
        <v>43680.99861</v>
      </c>
      <c r="B1043" s="1">
        <f>IFERROR(__xludf.DUMMYFUNCTION("""COMPUTED_VALUE"""),10815.73)</f>
        <v>10815.73</v>
      </c>
      <c r="C1043" s="58">
        <f t="shared" si="1"/>
        <v>3864.998611</v>
      </c>
      <c r="D1043" s="1">
        <f t="shared" si="2"/>
        <v>3315.475362</v>
      </c>
      <c r="E1043" s="1">
        <f t="shared" si="3"/>
        <v>5967.855652</v>
      </c>
      <c r="F1043" s="1">
        <f t="shared" si="4"/>
        <v>11272.61623</v>
      </c>
      <c r="G1043" s="1">
        <f t="shared" si="5"/>
        <v>19892.85217</v>
      </c>
      <c r="H1043" s="1">
        <f t="shared" si="6"/>
        <v>36470.22898</v>
      </c>
      <c r="I1043" s="1">
        <f t="shared" si="7"/>
        <v>59678.55652</v>
      </c>
    </row>
    <row r="1044" hidden="1">
      <c r="A1044" s="266">
        <f>IFERROR(__xludf.DUMMYFUNCTION("""COMPUTED_VALUE"""),43681.99861111111)</f>
        <v>43681.99861</v>
      </c>
      <c r="B1044" s="1">
        <f>IFERROR(__xludf.DUMMYFUNCTION("""COMPUTED_VALUE"""),10969.55)</f>
        <v>10969.55</v>
      </c>
      <c r="C1044" s="58">
        <f t="shared" si="1"/>
        <v>3865.998611</v>
      </c>
      <c r="D1044" s="1">
        <f t="shared" si="2"/>
        <v>3320.453812</v>
      </c>
      <c r="E1044" s="1">
        <f t="shared" si="3"/>
        <v>5976.816862</v>
      </c>
      <c r="F1044" s="1">
        <f t="shared" si="4"/>
        <v>11289.54296</v>
      </c>
      <c r="G1044" s="1">
        <f t="shared" si="5"/>
        <v>19922.72287</v>
      </c>
      <c r="H1044" s="1">
        <f t="shared" si="6"/>
        <v>36524.99193</v>
      </c>
      <c r="I1044" s="1">
        <f t="shared" si="7"/>
        <v>59768.16862</v>
      </c>
    </row>
    <row r="1045" hidden="1">
      <c r="A1045" s="266">
        <f>IFERROR(__xludf.DUMMYFUNCTION("""COMPUTED_VALUE"""),43682.99861111111)</f>
        <v>43682.99861</v>
      </c>
      <c r="B1045" s="1">
        <f>IFERROR(__xludf.DUMMYFUNCTION("""COMPUTED_VALUE"""),11789.66)</f>
        <v>11789.66</v>
      </c>
      <c r="C1045" s="58">
        <f t="shared" si="1"/>
        <v>3866.998611</v>
      </c>
      <c r="D1045" s="1">
        <f t="shared" si="2"/>
        <v>3325.438447</v>
      </c>
      <c r="E1045" s="1">
        <f t="shared" si="3"/>
        <v>5985.789205</v>
      </c>
      <c r="F1045" s="1">
        <f t="shared" si="4"/>
        <v>11306.49072</v>
      </c>
      <c r="G1045" s="1">
        <f t="shared" si="5"/>
        <v>19952.63068</v>
      </c>
      <c r="H1045" s="1">
        <f t="shared" si="6"/>
        <v>36579.82292</v>
      </c>
      <c r="I1045" s="1">
        <f t="shared" si="7"/>
        <v>59857.89205</v>
      </c>
    </row>
    <row r="1046" hidden="1">
      <c r="A1046" s="266">
        <f>IFERROR(__xludf.DUMMYFUNCTION("""COMPUTED_VALUE"""),43683.99861111111)</f>
        <v>43683.99861</v>
      </c>
      <c r="B1046" s="1">
        <f>IFERROR(__xludf.DUMMYFUNCTION("""COMPUTED_VALUE"""),11467.66)</f>
        <v>11467.66</v>
      </c>
      <c r="C1046" s="58">
        <f t="shared" si="1"/>
        <v>3867.998611</v>
      </c>
      <c r="D1046" s="1">
        <f t="shared" si="2"/>
        <v>3330.429273</v>
      </c>
      <c r="E1046" s="1">
        <f t="shared" si="3"/>
        <v>5994.772692</v>
      </c>
      <c r="F1046" s="1">
        <f t="shared" si="4"/>
        <v>11323.45953</v>
      </c>
      <c r="G1046" s="1">
        <f t="shared" si="5"/>
        <v>19982.57564</v>
      </c>
      <c r="H1046" s="1">
        <f t="shared" si="6"/>
        <v>36634.722</v>
      </c>
      <c r="I1046" s="1">
        <f t="shared" si="7"/>
        <v>59947.72692</v>
      </c>
    </row>
    <row r="1047" hidden="1">
      <c r="A1047" s="266">
        <f>IFERROR(__xludf.DUMMYFUNCTION("""COMPUTED_VALUE"""),43684.99861111111)</f>
        <v>43684.99861</v>
      </c>
      <c r="B1047" s="1">
        <f>IFERROR(__xludf.DUMMYFUNCTION("""COMPUTED_VALUE"""),11934.21)</f>
        <v>11934.21</v>
      </c>
      <c r="C1047" s="58">
        <f t="shared" si="1"/>
        <v>3868.998611</v>
      </c>
      <c r="D1047" s="1">
        <f t="shared" si="2"/>
        <v>3335.426296</v>
      </c>
      <c r="E1047" s="1">
        <f t="shared" si="3"/>
        <v>6003.767334</v>
      </c>
      <c r="F1047" s="1">
        <f t="shared" si="4"/>
        <v>11340.44941</v>
      </c>
      <c r="G1047" s="1">
        <f t="shared" si="5"/>
        <v>20012.55778</v>
      </c>
      <c r="H1047" s="1">
        <f t="shared" si="6"/>
        <v>36689.68926</v>
      </c>
      <c r="I1047" s="1">
        <f t="shared" si="7"/>
        <v>60037.67334</v>
      </c>
    </row>
    <row r="1048" hidden="1">
      <c r="A1048" s="266">
        <f>IFERROR(__xludf.DUMMYFUNCTION("""COMPUTED_VALUE"""),43685.99861111111)</f>
        <v>43685.99861</v>
      </c>
      <c r="B1048" s="1">
        <f>IFERROR(__xludf.DUMMYFUNCTION("""COMPUTED_VALUE"""),11986.59)</f>
        <v>11986.59</v>
      </c>
      <c r="C1048" s="58">
        <f t="shared" si="1"/>
        <v>3869.998611</v>
      </c>
      <c r="D1048" s="1">
        <f t="shared" si="2"/>
        <v>3340.429523</v>
      </c>
      <c r="E1048" s="1">
        <f t="shared" si="3"/>
        <v>6012.773141</v>
      </c>
      <c r="F1048" s="1">
        <f t="shared" si="4"/>
        <v>11357.46038</v>
      </c>
      <c r="G1048" s="1">
        <f t="shared" si="5"/>
        <v>20042.57714</v>
      </c>
      <c r="H1048" s="1">
        <f t="shared" si="6"/>
        <v>36744.72475</v>
      </c>
      <c r="I1048" s="1">
        <f t="shared" si="7"/>
        <v>60127.73141</v>
      </c>
    </row>
    <row r="1049" hidden="1">
      <c r="A1049" s="266">
        <f>IFERROR(__xludf.DUMMYFUNCTION("""COMPUTED_VALUE"""),43686.99861111111)</f>
        <v>43686.99861</v>
      </c>
      <c r="B1049" s="1">
        <f>IFERROR(__xludf.DUMMYFUNCTION("""COMPUTED_VALUE"""),11854.1)</f>
        <v>11854.1</v>
      </c>
      <c r="C1049" s="58">
        <f t="shared" si="1"/>
        <v>3870.998611</v>
      </c>
      <c r="D1049" s="1">
        <f t="shared" si="2"/>
        <v>3345.438959</v>
      </c>
      <c r="E1049" s="1">
        <f t="shared" si="3"/>
        <v>6021.790126</v>
      </c>
      <c r="F1049" s="1">
        <f t="shared" si="4"/>
        <v>11374.49246</v>
      </c>
      <c r="G1049" s="1">
        <f t="shared" si="5"/>
        <v>20072.63375</v>
      </c>
      <c r="H1049" s="1">
        <f t="shared" si="6"/>
        <v>36799.82855</v>
      </c>
      <c r="I1049" s="1">
        <f t="shared" si="7"/>
        <v>60217.90126</v>
      </c>
    </row>
    <row r="1050" hidden="1">
      <c r="A1050" s="266">
        <f>IFERROR(__xludf.DUMMYFUNCTION("""COMPUTED_VALUE"""),43687.99861111111)</f>
        <v>43687.99861</v>
      </c>
      <c r="B1050" s="1">
        <f>IFERROR(__xludf.DUMMYFUNCTION("""COMPUTED_VALUE"""),11288.67)</f>
        <v>11288.67</v>
      </c>
      <c r="C1050" s="58">
        <f t="shared" si="1"/>
        <v>3871.998611</v>
      </c>
      <c r="D1050" s="1">
        <f t="shared" si="2"/>
        <v>3350.45461</v>
      </c>
      <c r="E1050" s="1">
        <f t="shared" si="3"/>
        <v>6030.818299</v>
      </c>
      <c r="F1050" s="1">
        <f t="shared" si="4"/>
        <v>11391.54568</v>
      </c>
      <c r="G1050" s="1">
        <f t="shared" si="5"/>
        <v>20102.72766</v>
      </c>
      <c r="H1050" s="1">
        <f t="shared" si="6"/>
        <v>36855.00072</v>
      </c>
      <c r="I1050" s="1">
        <f t="shared" si="7"/>
        <v>60308.18299</v>
      </c>
    </row>
    <row r="1051" hidden="1">
      <c r="A1051" s="266">
        <f>IFERROR(__xludf.DUMMYFUNCTION("""COMPUTED_VALUE"""),43688.99861111111)</f>
        <v>43688.99861</v>
      </c>
      <c r="B1051" s="1">
        <f>IFERROR(__xludf.DUMMYFUNCTION("""COMPUTED_VALUE"""),11536.82)</f>
        <v>11536.82</v>
      </c>
      <c r="C1051" s="58">
        <f t="shared" si="1"/>
        <v>3872.998611</v>
      </c>
      <c r="D1051" s="1">
        <f t="shared" si="2"/>
        <v>3355.476484</v>
      </c>
      <c r="E1051" s="1">
        <f t="shared" si="3"/>
        <v>6039.85767</v>
      </c>
      <c r="F1051" s="1">
        <f t="shared" si="4"/>
        <v>11408.62004</v>
      </c>
      <c r="G1051" s="1">
        <f t="shared" si="5"/>
        <v>20132.8589</v>
      </c>
      <c r="H1051" s="1">
        <f t="shared" si="6"/>
        <v>36910.24132</v>
      </c>
      <c r="I1051" s="1">
        <f t="shared" si="7"/>
        <v>60398.5767</v>
      </c>
    </row>
    <row r="1052" hidden="1">
      <c r="A1052" s="266">
        <f>IFERROR(__xludf.DUMMYFUNCTION("""COMPUTED_VALUE"""),43689.99861111111)</f>
        <v>43689.99861</v>
      </c>
      <c r="B1052" s="1">
        <f>IFERROR(__xludf.DUMMYFUNCTION("""COMPUTED_VALUE"""),11388.57)</f>
        <v>11388.57</v>
      </c>
      <c r="C1052" s="58">
        <f t="shared" si="1"/>
        <v>3873.998611</v>
      </c>
      <c r="D1052" s="1">
        <f t="shared" si="2"/>
        <v>3360.504584</v>
      </c>
      <c r="E1052" s="1">
        <f t="shared" si="3"/>
        <v>6048.908252</v>
      </c>
      <c r="F1052" s="1">
        <f t="shared" si="4"/>
        <v>11425.71559</v>
      </c>
      <c r="G1052" s="1">
        <f t="shared" si="5"/>
        <v>20163.02751</v>
      </c>
      <c r="H1052" s="1">
        <f t="shared" si="6"/>
        <v>36965.55043</v>
      </c>
      <c r="I1052" s="1">
        <f t="shared" si="7"/>
        <v>60489.08252</v>
      </c>
    </row>
    <row r="1053" hidden="1">
      <c r="A1053" s="266">
        <f>IFERROR(__xludf.DUMMYFUNCTION("""COMPUTED_VALUE"""),43690.99861111111)</f>
        <v>43690.99861</v>
      </c>
      <c r="B1053" s="1">
        <f>IFERROR(__xludf.DUMMYFUNCTION("""COMPUTED_VALUE"""),10859.45)</f>
        <v>10859.45</v>
      </c>
      <c r="C1053" s="58">
        <f t="shared" si="1"/>
        <v>3874.998611</v>
      </c>
      <c r="D1053" s="1">
        <f t="shared" si="2"/>
        <v>3365.538919</v>
      </c>
      <c r="E1053" s="1">
        <f t="shared" si="3"/>
        <v>6057.970054</v>
      </c>
      <c r="F1053" s="1">
        <f t="shared" si="4"/>
        <v>11442.83232</v>
      </c>
      <c r="G1053" s="1">
        <f t="shared" si="5"/>
        <v>20193.23351</v>
      </c>
      <c r="H1053" s="1">
        <f t="shared" si="6"/>
        <v>37020.92811</v>
      </c>
      <c r="I1053" s="1">
        <f t="shared" si="7"/>
        <v>60579.70054</v>
      </c>
    </row>
    <row r="1054" hidden="1">
      <c r="A1054" s="266">
        <f>IFERROR(__xludf.DUMMYFUNCTION("""COMPUTED_VALUE"""),43691.99861111111)</f>
        <v>43691.99861</v>
      </c>
      <c r="B1054" s="1">
        <f>IFERROR(__xludf.DUMMYFUNCTION("""COMPUTED_VALUE"""),10045.26)</f>
        <v>10045.26</v>
      </c>
      <c r="C1054" s="58">
        <f t="shared" si="1"/>
        <v>3875.998611</v>
      </c>
      <c r="D1054" s="1">
        <f t="shared" si="2"/>
        <v>3370.579494</v>
      </c>
      <c r="E1054" s="1">
        <f t="shared" si="3"/>
        <v>6067.043089</v>
      </c>
      <c r="F1054" s="1">
        <f t="shared" si="4"/>
        <v>11459.97028</v>
      </c>
      <c r="G1054" s="1">
        <f t="shared" si="5"/>
        <v>20223.47696</v>
      </c>
      <c r="H1054" s="1">
        <f t="shared" si="6"/>
        <v>37076.37443</v>
      </c>
      <c r="I1054" s="1">
        <f t="shared" si="7"/>
        <v>60670.43089</v>
      </c>
    </row>
    <row r="1055" hidden="1">
      <c r="A1055" s="266">
        <f>IFERROR(__xludf.DUMMYFUNCTION("""COMPUTED_VALUE"""),43692.99861111111)</f>
        <v>43692.99861</v>
      </c>
      <c r="B1055" s="1">
        <f>IFERROR(__xludf.DUMMYFUNCTION("""COMPUTED_VALUE"""),10300.12)</f>
        <v>10300.12</v>
      </c>
      <c r="C1055" s="58">
        <f t="shared" si="1"/>
        <v>3876.998611</v>
      </c>
      <c r="D1055" s="1">
        <f t="shared" si="2"/>
        <v>3375.626314</v>
      </c>
      <c r="E1055" s="1">
        <f t="shared" si="3"/>
        <v>6076.127366</v>
      </c>
      <c r="F1055" s="1">
        <f t="shared" si="4"/>
        <v>11477.12947</v>
      </c>
      <c r="G1055" s="1">
        <f t="shared" si="5"/>
        <v>20253.75789</v>
      </c>
      <c r="H1055" s="1">
        <f t="shared" si="6"/>
        <v>37131.88946</v>
      </c>
      <c r="I1055" s="1">
        <f t="shared" si="7"/>
        <v>60761.27366</v>
      </c>
    </row>
    <row r="1056" hidden="1">
      <c r="A1056" s="266">
        <f>IFERROR(__xludf.DUMMYFUNCTION("""COMPUTED_VALUE"""),43693.99861111111)</f>
        <v>43693.99861</v>
      </c>
      <c r="B1056" s="1">
        <f>IFERROR(__xludf.DUMMYFUNCTION("""COMPUTED_VALUE"""),10351.36)</f>
        <v>10351.36</v>
      </c>
      <c r="C1056" s="58">
        <f t="shared" si="1"/>
        <v>3877.998611</v>
      </c>
      <c r="D1056" s="1">
        <f t="shared" si="2"/>
        <v>3380.679387</v>
      </c>
      <c r="E1056" s="1">
        <f t="shared" si="3"/>
        <v>6085.222897</v>
      </c>
      <c r="F1056" s="1">
        <f t="shared" si="4"/>
        <v>11494.30992</v>
      </c>
      <c r="G1056" s="1">
        <f t="shared" si="5"/>
        <v>20284.07632</v>
      </c>
      <c r="H1056" s="1">
        <f t="shared" si="6"/>
        <v>37187.47326</v>
      </c>
      <c r="I1056" s="1">
        <f t="shared" si="7"/>
        <v>60852.22897</v>
      </c>
    </row>
    <row r="1057" hidden="1">
      <c r="A1057" s="266">
        <f>IFERROR(__xludf.DUMMYFUNCTION("""COMPUTED_VALUE"""),43694.99861111111)</f>
        <v>43694.99861</v>
      </c>
      <c r="B1057" s="1">
        <f>IFERROR(__xludf.DUMMYFUNCTION("""COMPUTED_VALUE"""),10219.49)</f>
        <v>10219.49</v>
      </c>
      <c r="C1057" s="58">
        <f t="shared" si="1"/>
        <v>3878.998611</v>
      </c>
      <c r="D1057" s="1">
        <f t="shared" si="2"/>
        <v>3385.738718</v>
      </c>
      <c r="E1057" s="1">
        <f t="shared" si="3"/>
        <v>6094.329693</v>
      </c>
      <c r="F1057" s="1">
        <f t="shared" si="4"/>
        <v>11511.51164</v>
      </c>
      <c r="G1057" s="1">
        <f t="shared" si="5"/>
        <v>20314.43231</v>
      </c>
      <c r="H1057" s="1">
        <f t="shared" si="6"/>
        <v>37243.1259</v>
      </c>
      <c r="I1057" s="1">
        <f t="shared" si="7"/>
        <v>60943.29693</v>
      </c>
    </row>
    <row r="1058" hidden="1">
      <c r="A1058" s="266">
        <f>IFERROR(__xludf.DUMMYFUNCTION("""COMPUTED_VALUE"""),43695.99861111111)</f>
        <v>43695.99861</v>
      </c>
      <c r="B1058" s="1">
        <f>IFERROR(__xludf.DUMMYFUNCTION("""COMPUTED_VALUE"""),10330.88)</f>
        <v>10330.88</v>
      </c>
      <c r="C1058" s="58">
        <f t="shared" si="1"/>
        <v>3879.998611</v>
      </c>
      <c r="D1058" s="1">
        <f t="shared" si="2"/>
        <v>3390.804314</v>
      </c>
      <c r="E1058" s="1">
        <f t="shared" si="3"/>
        <v>6103.447765</v>
      </c>
      <c r="F1058" s="1">
        <f t="shared" si="4"/>
        <v>11528.73467</v>
      </c>
      <c r="G1058" s="1">
        <f t="shared" si="5"/>
        <v>20344.82588</v>
      </c>
      <c r="H1058" s="1">
        <f t="shared" si="6"/>
        <v>37298.84745</v>
      </c>
      <c r="I1058" s="1">
        <f t="shared" si="7"/>
        <v>61034.47765</v>
      </c>
    </row>
    <row r="1059" hidden="1">
      <c r="A1059" s="266">
        <f>IFERROR(__xludf.DUMMYFUNCTION("""COMPUTED_VALUE"""),43696.99861111111)</f>
        <v>43696.99861</v>
      </c>
      <c r="B1059" s="1">
        <f>IFERROR(__xludf.DUMMYFUNCTION("""COMPUTED_VALUE"""),10919.87)</f>
        <v>10919.87</v>
      </c>
      <c r="C1059" s="58">
        <f t="shared" si="1"/>
        <v>3880.998611</v>
      </c>
      <c r="D1059" s="1">
        <f t="shared" si="2"/>
        <v>3395.87618</v>
      </c>
      <c r="E1059" s="1">
        <f t="shared" si="3"/>
        <v>6112.577124</v>
      </c>
      <c r="F1059" s="1">
        <f t="shared" si="4"/>
        <v>11545.97901</v>
      </c>
      <c r="G1059" s="1">
        <f t="shared" si="5"/>
        <v>20375.25708</v>
      </c>
      <c r="H1059" s="1">
        <f t="shared" si="6"/>
        <v>37354.63798</v>
      </c>
      <c r="I1059" s="1">
        <f t="shared" si="7"/>
        <v>61125.77124</v>
      </c>
    </row>
    <row r="1060" hidden="1">
      <c r="A1060" s="266">
        <f>IFERROR(__xludf.DUMMYFUNCTION("""COMPUTED_VALUE"""),43697.99861111111)</f>
        <v>43697.99861</v>
      </c>
      <c r="B1060" s="1">
        <f>IFERROR(__xludf.DUMMYFUNCTION("""COMPUTED_VALUE"""),10763.62)</f>
        <v>10763.62</v>
      </c>
      <c r="C1060" s="58">
        <f t="shared" si="1"/>
        <v>3881.998611</v>
      </c>
      <c r="D1060" s="1">
        <f t="shared" si="2"/>
        <v>3400.954323</v>
      </c>
      <c r="E1060" s="1">
        <f t="shared" si="3"/>
        <v>6121.717782</v>
      </c>
      <c r="F1060" s="1">
        <f t="shared" si="4"/>
        <v>11563.2447</v>
      </c>
      <c r="G1060" s="1">
        <f t="shared" si="5"/>
        <v>20405.72594</v>
      </c>
      <c r="H1060" s="1">
        <f t="shared" si="6"/>
        <v>37410.49756</v>
      </c>
      <c r="I1060" s="1">
        <f t="shared" si="7"/>
        <v>61217.17782</v>
      </c>
    </row>
    <row r="1061" hidden="1">
      <c r="A1061" s="266">
        <f>IFERROR(__xludf.DUMMYFUNCTION("""COMPUTED_VALUE"""),43698.99861111111)</f>
        <v>43698.99861</v>
      </c>
      <c r="B1061" s="1">
        <f>IFERROR(__xludf.DUMMYFUNCTION("""COMPUTED_VALUE"""),10131.18)</f>
        <v>10131.18</v>
      </c>
      <c r="C1061" s="58">
        <f t="shared" si="1"/>
        <v>3882.998611</v>
      </c>
      <c r="D1061" s="1">
        <f t="shared" si="2"/>
        <v>3406.038749</v>
      </c>
      <c r="E1061" s="1">
        <f t="shared" si="3"/>
        <v>6130.869748</v>
      </c>
      <c r="F1061" s="1">
        <f t="shared" si="4"/>
        <v>11580.53175</v>
      </c>
      <c r="G1061" s="1">
        <f t="shared" si="5"/>
        <v>20436.23249</v>
      </c>
      <c r="H1061" s="1">
        <f t="shared" si="6"/>
        <v>37466.42624</v>
      </c>
      <c r="I1061" s="1">
        <f t="shared" si="7"/>
        <v>61308.69748</v>
      </c>
    </row>
    <row r="1062" hidden="1">
      <c r="A1062" s="266">
        <f>IFERROR(__xludf.DUMMYFUNCTION("""COMPUTED_VALUE"""),43699.99861111111)</f>
        <v>43699.99861</v>
      </c>
      <c r="B1062" s="1">
        <f>IFERROR(__xludf.DUMMYFUNCTION("""COMPUTED_VALUE"""),10113.63)</f>
        <v>10113.63</v>
      </c>
      <c r="C1062" s="58">
        <f t="shared" si="1"/>
        <v>3883.998611</v>
      </c>
      <c r="D1062" s="1">
        <f t="shared" si="2"/>
        <v>3411.129464</v>
      </c>
      <c r="E1062" s="1">
        <f t="shared" si="3"/>
        <v>6140.033035</v>
      </c>
      <c r="F1062" s="1">
        <f t="shared" si="4"/>
        <v>11597.84018</v>
      </c>
      <c r="G1062" s="1">
        <f t="shared" si="5"/>
        <v>20466.77678</v>
      </c>
      <c r="H1062" s="1">
        <f t="shared" si="6"/>
        <v>37522.4241</v>
      </c>
      <c r="I1062" s="1">
        <f t="shared" si="7"/>
        <v>61400.33035</v>
      </c>
    </row>
    <row r="1063" hidden="1">
      <c r="A1063" s="266">
        <f>IFERROR(__xludf.DUMMYFUNCTION("""COMPUTED_VALUE"""),43700.99861111111)</f>
        <v>43700.99861</v>
      </c>
      <c r="B1063" s="1">
        <f>IFERROR(__xludf.DUMMYFUNCTION("""COMPUTED_VALUE"""),10406.7)</f>
        <v>10406.7</v>
      </c>
      <c r="C1063" s="58">
        <f t="shared" si="1"/>
        <v>3884.998611</v>
      </c>
      <c r="D1063" s="1">
        <f t="shared" si="2"/>
        <v>3416.226474</v>
      </c>
      <c r="E1063" s="1">
        <f t="shared" si="3"/>
        <v>6149.207653</v>
      </c>
      <c r="F1063" s="1">
        <f t="shared" si="4"/>
        <v>11615.17001</v>
      </c>
      <c r="G1063" s="1">
        <f t="shared" si="5"/>
        <v>20497.35884</v>
      </c>
      <c r="H1063" s="1">
        <f t="shared" si="6"/>
        <v>37578.49122</v>
      </c>
      <c r="I1063" s="1">
        <f t="shared" si="7"/>
        <v>61492.07653</v>
      </c>
    </row>
    <row r="1064" hidden="1">
      <c r="A1064" s="266">
        <f>IFERROR(__xludf.DUMMYFUNCTION("""COMPUTED_VALUE"""),43701.99861111111)</f>
        <v>43701.99861</v>
      </c>
      <c r="B1064" s="1">
        <f>IFERROR(__xludf.DUMMYFUNCTION("""COMPUTED_VALUE"""),10129.1)</f>
        <v>10129.1</v>
      </c>
      <c r="C1064" s="58">
        <f t="shared" si="1"/>
        <v>3885.998611</v>
      </c>
      <c r="D1064" s="1">
        <f t="shared" si="2"/>
        <v>3421.329786</v>
      </c>
      <c r="E1064" s="1">
        <f t="shared" si="3"/>
        <v>6158.393614</v>
      </c>
      <c r="F1064" s="1">
        <f t="shared" si="4"/>
        <v>11632.52127</v>
      </c>
      <c r="G1064" s="1">
        <f t="shared" si="5"/>
        <v>20527.97871</v>
      </c>
      <c r="H1064" s="1">
        <f t="shared" si="6"/>
        <v>37634.62764</v>
      </c>
      <c r="I1064" s="1">
        <f t="shared" si="7"/>
        <v>61583.93614</v>
      </c>
    </row>
    <row r="1065" hidden="1">
      <c r="A1065" s="266">
        <f>IFERROR(__xludf.DUMMYFUNCTION("""COMPUTED_VALUE"""),43702.99861111111)</f>
        <v>43702.99861</v>
      </c>
      <c r="B1065" s="1">
        <f>IFERROR(__xludf.DUMMYFUNCTION("""COMPUTED_VALUE"""),10139.37)</f>
        <v>10139.37</v>
      </c>
      <c r="C1065" s="58">
        <f t="shared" si="1"/>
        <v>3886.998611</v>
      </c>
      <c r="D1065" s="1">
        <f t="shared" si="2"/>
        <v>3426.439405</v>
      </c>
      <c r="E1065" s="1">
        <f t="shared" si="3"/>
        <v>6167.590928</v>
      </c>
      <c r="F1065" s="1">
        <f t="shared" si="4"/>
        <v>11649.89398</v>
      </c>
      <c r="G1065" s="1">
        <f t="shared" si="5"/>
        <v>20558.63643</v>
      </c>
      <c r="H1065" s="1">
        <f t="shared" si="6"/>
        <v>37690.83345</v>
      </c>
      <c r="I1065" s="1">
        <f t="shared" si="7"/>
        <v>61675.90928</v>
      </c>
    </row>
    <row r="1066" hidden="1">
      <c r="A1066" s="266">
        <f>IFERROR(__xludf.DUMMYFUNCTION("""COMPUTED_VALUE"""),43703.99861111111)</f>
        <v>43703.99861</v>
      </c>
      <c r="B1066" s="1">
        <f>IFERROR(__xludf.DUMMYFUNCTION("""COMPUTED_VALUE"""),10341.79)</f>
        <v>10341.79</v>
      </c>
      <c r="C1066" s="58">
        <f t="shared" si="1"/>
        <v>3887.998611</v>
      </c>
      <c r="D1066" s="1">
        <f t="shared" si="2"/>
        <v>3431.555337</v>
      </c>
      <c r="E1066" s="1">
        <f t="shared" si="3"/>
        <v>6176.799607</v>
      </c>
      <c r="F1066" s="1">
        <f t="shared" si="4"/>
        <v>11667.28815</v>
      </c>
      <c r="G1066" s="1">
        <f t="shared" si="5"/>
        <v>20589.33202</v>
      </c>
      <c r="H1066" s="1">
        <f t="shared" si="6"/>
        <v>37747.10871</v>
      </c>
      <c r="I1066" s="1">
        <f t="shared" si="7"/>
        <v>61767.99607</v>
      </c>
    </row>
    <row r="1067" hidden="1">
      <c r="A1067" s="266">
        <f>IFERROR(__xludf.DUMMYFUNCTION("""COMPUTED_VALUE"""),43704.99861111111)</f>
        <v>43704.99861</v>
      </c>
      <c r="B1067" s="1">
        <f>IFERROR(__xludf.DUMMYFUNCTION("""COMPUTED_VALUE"""),10179.44)</f>
        <v>10179.44</v>
      </c>
      <c r="C1067" s="58">
        <f t="shared" si="1"/>
        <v>3888.998611</v>
      </c>
      <c r="D1067" s="1">
        <f t="shared" si="2"/>
        <v>3436.67759</v>
      </c>
      <c r="E1067" s="1">
        <f t="shared" si="3"/>
        <v>6186.019662</v>
      </c>
      <c r="F1067" s="1">
        <f t="shared" si="4"/>
        <v>11684.70381</v>
      </c>
      <c r="G1067" s="1">
        <f t="shared" si="5"/>
        <v>20620.06554</v>
      </c>
      <c r="H1067" s="1">
        <f t="shared" si="6"/>
        <v>37803.45349</v>
      </c>
      <c r="I1067" s="1">
        <f t="shared" si="7"/>
        <v>61860.19662</v>
      </c>
    </row>
    <row r="1068" hidden="1">
      <c r="A1068" s="266">
        <f>IFERROR(__xludf.DUMMYFUNCTION("""COMPUTED_VALUE"""),43705.99861111111)</f>
        <v>43705.99861</v>
      </c>
      <c r="B1068" s="1">
        <f>IFERROR(__xludf.DUMMYFUNCTION("""COMPUTED_VALUE"""),9724.275)</f>
        <v>9724.275</v>
      </c>
      <c r="C1068" s="58">
        <f t="shared" si="1"/>
        <v>3889.998611</v>
      </c>
      <c r="D1068" s="1">
        <f t="shared" si="2"/>
        <v>3441.806168</v>
      </c>
      <c r="E1068" s="1">
        <f t="shared" si="3"/>
        <v>6195.251103</v>
      </c>
      <c r="F1068" s="1">
        <f t="shared" si="4"/>
        <v>11702.14097</v>
      </c>
      <c r="G1068" s="1">
        <f t="shared" si="5"/>
        <v>20650.83701</v>
      </c>
      <c r="H1068" s="1">
        <f t="shared" si="6"/>
        <v>37859.86785</v>
      </c>
      <c r="I1068" s="1">
        <f t="shared" si="7"/>
        <v>61952.51103</v>
      </c>
    </row>
    <row r="1069" hidden="1">
      <c r="A1069" s="266">
        <f>IFERROR(__xludf.DUMMYFUNCTION("""COMPUTED_VALUE"""),43706.99861111111)</f>
        <v>43706.99861</v>
      </c>
      <c r="B1069" s="1">
        <f>IFERROR(__xludf.DUMMYFUNCTION("""COMPUTED_VALUE"""),9468.333)</f>
        <v>9468.333</v>
      </c>
      <c r="C1069" s="58">
        <f t="shared" si="1"/>
        <v>3890.998611</v>
      </c>
      <c r="D1069" s="1">
        <f t="shared" si="2"/>
        <v>3446.941079</v>
      </c>
      <c r="E1069" s="1">
        <f t="shared" si="3"/>
        <v>6204.493943</v>
      </c>
      <c r="F1069" s="1">
        <f t="shared" si="4"/>
        <v>11719.59967</v>
      </c>
      <c r="G1069" s="1">
        <f t="shared" si="5"/>
        <v>20681.64648</v>
      </c>
      <c r="H1069" s="1">
        <f t="shared" si="6"/>
        <v>37916.35187</v>
      </c>
      <c r="I1069" s="1">
        <f t="shared" si="7"/>
        <v>62044.93943</v>
      </c>
    </row>
    <row r="1070" hidden="1">
      <c r="A1070" s="266">
        <f>IFERROR(__xludf.DUMMYFUNCTION("""COMPUTED_VALUE"""),43707.99861111111)</f>
        <v>43707.99861</v>
      </c>
      <c r="B1070" s="1">
        <f>IFERROR(__xludf.DUMMYFUNCTION("""COMPUTED_VALUE"""),9585.251)</f>
        <v>9585.251</v>
      </c>
      <c r="C1070" s="58">
        <f t="shared" si="1"/>
        <v>3891.998611</v>
      </c>
      <c r="D1070" s="1">
        <f t="shared" si="2"/>
        <v>3452.082328</v>
      </c>
      <c r="E1070" s="1">
        <f t="shared" si="3"/>
        <v>6213.748191</v>
      </c>
      <c r="F1070" s="1">
        <f t="shared" si="4"/>
        <v>11737.07992</v>
      </c>
      <c r="G1070" s="1">
        <f t="shared" si="5"/>
        <v>20712.49397</v>
      </c>
      <c r="H1070" s="1">
        <f t="shared" si="6"/>
        <v>37972.90561</v>
      </c>
      <c r="I1070" s="1">
        <f t="shared" si="7"/>
        <v>62137.48191</v>
      </c>
    </row>
    <row r="1071" hidden="1">
      <c r="A1071" s="266">
        <f>IFERROR(__xludf.DUMMYFUNCTION("""COMPUTED_VALUE"""),43708.99861111111)</f>
        <v>43708.99861</v>
      </c>
      <c r="B1071" s="1">
        <f>IFERROR(__xludf.DUMMYFUNCTION("""COMPUTED_VALUE"""),9619.062)</f>
        <v>9619.062</v>
      </c>
      <c r="C1071" s="58">
        <f t="shared" si="1"/>
        <v>3892.998611</v>
      </c>
      <c r="D1071" s="1">
        <f t="shared" si="2"/>
        <v>3457.229922</v>
      </c>
      <c r="E1071" s="1">
        <f t="shared" si="3"/>
        <v>6223.01386</v>
      </c>
      <c r="F1071" s="1">
        <f t="shared" si="4"/>
        <v>11754.58174</v>
      </c>
      <c r="G1071" s="1">
        <f t="shared" si="5"/>
        <v>20743.37953</v>
      </c>
      <c r="H1071" s="1">
        <f t="shared" si="6"/>
        <v>38029.52914</v>
      </c>
      <c r="I1071" s="1">
        <f t="shared" si="7"/>
        <v>62230.1386</v>
      </c>
    </row>
    <row r="1072" hidden="1">
      <c r="A1072" s="266">
        <f>IFERROR(__xludf.DUMMYFUNCTION("""COMPUTED_VALUE"""),43709.99861111111)</f>
        <v>43709.99861</v>
      </c>
      <c r="B1072" s="1">
        <f>IFERROR(__xludf.DUMMYFUNCTION("""COMPUTED_VALUE"""),9776.468)</f>
        <v>9776.468</v>
      </c>
      <c r="C1072" s="58">
        <f t="shared" si="1"/>
        <v>3893.998611</v>
      </c>
      <c r="D1072" s="1">
        <f t="shared" si="2"/>
        <v>3462.383867</v>
      </c>
      <c r="E1072" s="1">
        <f t="shared" si="3"/>
        <v>6232.29096</v>
      </c>
      <c r="F1072" s="1">
        <f t="shared" si="4"/>
        <v>11772.10515</v>
      </c>
      <c r="G1072" s="1">
        <f t="shared" si="5"/>
        <v>20774.3032</v>
      </c>
      <c r="H1072" s="1">
        <f t="shared" si="6"/>
        <v>38086.22254</v>
      </c>
      <c r="I1072" s="1">
        <f t="shared" si="7"/>
        <v>62322.9096</v>
      </c>
    </row>
    <row r="1073" hidden="1">
      <c r="A1073" s="266">
        <f>IFERROR(__xludf.DUMMYFUNCTION("""COMPUTED_VALUE"""),43710.99861111111)</f>
        <v>43710.99861</v>
      </c>
      <c r="B1073" s="1">
        <f>IFERROR(__xludf.DUMMYFUNCTION("""COMPUTED_VALUE"""),10358.08)</f>
        <v>10358.08</v>
      </c>
      <c r="C1073" s="58">
        <f t="shared" si="1"/>
        <v>3894.998611</v>
      </c>
      <c r="D1073" s="1">
        <f t="shared" si="2"/>
        <v>3467.544169</v>
      </c>
      <c r="E1073" s="1">
        <f t="shared" si="3"/>
        <v>6241.579503</v>
      </c>
      <c r="F1073" s="1">
        <f t="shared" si="4"/>
        <v>11789.65017</v>
      </c>
      <c r="G1073" s="1">
        <f t="shared" si="5"/>
        <v>20805.26501</v>
      </c>
      <c r="H1073" s="1">
        <f t="shared" si="6"/>
        <v>38142.98585</v>
      </c>
      <c r="I1073" s="1">
        <f t="shared" si="7"/>
        <v>62415.79503</v>
      </c>
    </row>
    <row r="1074" hidden="1">
      <c r="A1074" s="266">
        <f>IFERROR(__xludf.DUMMYFUNCTION("""COMPUTED_VALUE"""),43711.99861111111)</f>
        <v>43711.99861</v>
      </c>
      <c r="B1074" s="1">
        <f>IFERROR(__xludf.DUMMYFUNCTION("""COMPUTED_VALUE"""),10615.84)</f>
        <v>10615.84</v>
      </c>
      <c r="C1074" s="58">
        <f t="shared" si="1"/>
        <v>3895.998611</v>
      </c>
      <c r="D1074" s="1">
        <f t="shared" si="2"/>
        <v>3472.710833</v>
      </c>
      <c r="E1074" s="1">
        <f t="shared" si="3"/>
        <v>6250.8795</v>
      </c>
      <c r="F1074" s="1">
        <f t="shared" si="4"/>
        <v>11807.21683</v>
      </c>
      <c r="G1074" s="1">
        <f t="shared" si="5"/>
        <v>20836.265</v>
      </c>
      <c r="H1074" s="1">
        <f t="shared" si="6"/>
        <v>38199.81917</v>
      </c>
      <c r="I1074" s="1">
        <f t="shared" si="7"/>
        <v>62508.795</v>
      </c>
    </row>
    <row r="1075" hidden="1">
      <c r="A1075" s="266">
        <f>IFERROR(__xludf.DUMMYFUNCTION("""COMPUTED_VALUE"""),43712.99861111111)</f>
        <v>43712.99861</v>
      </c>
      <c r="B1075" s="1">
        <f>IFERROR(__xludf.DUMMYFUNCTION("""COMPUTED_VALUE"""),10571.67)</f>
        <v>10571.67</v>
      </c>
      <c r="C1075" s="58">
        <f t="shared" si="1"/>
        <v>3896.998611</v>
      </c>
      <c r="D1075" s="1">
        <f t="shared" si="2"/>
        <v>3477.883868</v>
      </c>
      <c r="E1075" s="1">
        <f t="shared" si="3"/>
        <v>6260.190962</v>
      </c>
      <c r="F1075" s="1">
        <f t="shared" si="4"/>
        <v>11824.80515</v>
      </c>
      <c r="G1075" s="1">
        <f t="shared" si="5"/>
        <v>20867.30321</v>
      </c>
      <c r="H1075" s="1">
        <f t="shared" si="6"/>
        <v>38256.72255</v>
      </c>
      <c r="I1075" s="1">
        <f t="shared" si="7"/>
        <v>62601.90962</v>
      </c>
    </row>
    <row r="1076" hidden="1">
      <c r="A1076" s="266">
        <f>IFERROR(__xludf.DUMMYFUNCTION("""COMPUTED_VALUE"""),43713.99861111111)</f>
        <v>43713.99861</v>
      </c>
      <c r="B1076" s="1">
        <f>IFERROR(__xludf.DUMMYFUNCTION("""COMPUTED_VALUE"""),10583.4)</f>
        <v>10583.4</v>
      </c>
      <c r="C1076" s="58">
        <f t="shared" si="1"/>
        <v>3897.998611</v>
      </c>
      <c r="D1076" s="1">
        <f t="shared" si="2"/>
        <v>3483.063278</v>
      </c>
      <c r="E1076" s="1">
        <f t="shared" si="3"/>
        <v>6269.5139</v>
      </c>
      <c r="F1076" s="1">
        <f t="shared" si="4"/>
        <v>11842.41514</v>
      </c>
      <c r="G1076" s="1">
        <f t="shared" si="5"/>
        <v>20898.37967</v>
      </c>
      <c r="H1076" s="1">
        <f t="shared" si="6"/>
        <v>38313.69606</v>
      </c>
      <c r="I1076" s="1">
        <f t="shared" si="7"/>
        <v>62695.139</v>
      </c>
    </row>
    <row r="1077" hidden="1">
      <c r="A1077" s="266">
        <f>IFERROR(__xludf.DUMMYFUNCTION("""COMPUTED_VALUE"""),43714.99861111111)</f>
        <v>43714.99861</v>
      </c>
      <c r="B1077" s="1">
        <f>IFERROR(__xludf.DUMMYFUNCTION("""COMPUTED_VALUE"""),10310.99)</f>
        <v>10310.99</v>
      </c>
      <c r="C1077" s="58">
        <f t="shared" si="1"/>
        <v>3898.998611</v>
      </c>
      <c r="D1077" s="1">
        <f t="shared" si="2"/>
        <v>3488.24907</v>
      </c>
      <c r="E1077" s="1">
        <f t="shared" si="3"/>
        <v>6278.848325</v>
      </c>
      <c r="F1077" s="1">
        <f t="shared" si="4"/>
        <v>11860.04684</v>
      </c>
      <c r="G1077" s="1">
        <f t="shared" si="5"/>
        <v>20929.49442</v>
      </c>
      <c r="H1077" s="1">
        <f t="shared" si="6"/>
        <v>38370.73977</v>
      </c>
      <c r="I1077" s="1">
        <f t="shared" si="7"/>
        <v>62788.48325</v>
      </c>
    </row>
    <row r="1078" hidden="1">
      <c r="A1078" s="266">
        <f>IFERROR(__xludf.DUMMYFUNCTION("""COMPUTED_VALUE"""),43715.99861111111)</f>
        <v>43715.99861</v>
      </c>
      <c r="B1078" s="1">
        <f>IFERROR(__xludf.DUMMYFUNCTION("""COMPUTED_VALUE"""),10480.91)</f>
        <v>10480.91</v>
      </c>
      <c r="C1078" s="58">
        <f t="shared" si="1"/>
        <v>3899.998611</v>
      </c>
      <c r="D1078" s="1">
        <f t="shared" si="2"/>
        <v>3493.441249</v>
      </c>
      <c r="E1078" s="1">
        <f t="shared" si="3"/>
        <v>6288.194249</v>
      </c>
      <c r="F1078" s="1">
        <f t="shared" si="4"/>
        <v>11877.70025</v>
      </c>
      <c r="G1078" s="1">
        <f t="shared" si="5"/>
        <v>20960.6475</v>
      </c>
      <c r="H1078" s="1">
        <f t="shared" si="6"/>
        <v>38427.85374</v>
      </c>
      <c r="I1078" s="1">
        <f t="shared" si="7"/>
        <v>62881.94249</v>
      </c>
    </row>
    <row r="1079" hidden="1">
      <c r="A1079" s="266">
        <f>IFERROR(__xludf.DUMMYFUNCTION("""COMPUTED_VALUE"""),43716.99861111111)</f>
        <v>43716.99861</v>
      </c>
      <c r="B1079" s="1">
        <f>IFERROR(__xludf.DUMMYFUNCTION("""COMPUTED_VALUE"""),10422.59)</f>
        <v>10422.59</v>
      </c>
      <c r="C1079" s="58">
        <f t="shared" si="1"/>
        <v>3900.998611</v>
      </c>
      <c r="D1079" s="1">
        <f t="shared" si="2"/>
        <v>3498.639824</v>
      </c>
      <c r="E1079" s="1">
        <f t="shared" si="3"/>
        <v>6297.551683</v>
      </c>
      <c r="F1079" s="1">
        <f t="shared" si="4"/>
        <v>11895.3754</v>
      </c>
      <c r="G1079" s="1">
        <f t="shared" si="5"/>
        <v>20991.83894</v>
      </c>
      <c r="H1079" s="1">
        <f t="shared" si="6"/>
        <v>38485.03806</v>
      </c>
      <c r="I1079" s="1">
        <f t="shared" si="7"/>
        <v>62975.51683</v>
      </c>
    </row>
    <row r="1080" hidden="1">
      <c r="A1080" s="266">
        <f>IFERROR(__xludf.DUMMYFUNCTION("""COMPUTED_VALUE"""),43717.99861111111)</f>
        <v>43717.99861</v>
      </c>
      <c r="B1080" s="1">
        <f>IFERROR(__xludf.DUMMYFUNCTION("""COMPUTED_VALUE"""),10302.1)</f>
        <v>10302.1</v>
      </c>
      <c r="C1080" s="58">
        <f t="shared" si="1"/>
        <v>3901.998611</v>
      </c>
      <c r="D1080" s="1">
        <f t="shared" si="2"/>
        <v>3503.844798</v>
      </c>
      <c r="E1080" s="1">
        <f t="shared" si="3"/>
        <v>6306.920637</v>
      </c>
      <c r="F1080" s="1">
        <f t="shared" si="4"/>
        <v>11913.07231</v>
      </c>
      <c r="G1080" s="1">
        <f t="shared" si="5"/>
        <v>21023.06879</v>
      </c>
      <c r="H1080" s="1">
        <f t="shared" si="6"/>
        <v>38542.29278</v>
      </c>
      <c r="I1080" s="1">
        <f t="shared" si="7"/>
        <v>63069.20637</v>
      </c>
    </row>
    <row r="1081" hidden="1">
      <c r="A1081" s="266">
        <f>IFERROR(__xludf.DUMMYFUNCTION("""COMPUTED_VALUE"""),43718.99861111111)</f>
        <v>43718.99861</v>
      </c>
      <c r="B1081" s="1">
        <f>IFERROR(__xludf.DUMMYFUNCTION("""COMPUTED_VALUE"""),10092.41)</f>
        <v>10092.41</v>
      </c>
      <c r="C1081" s="58">
        <f t="shared" si="1"/>
        <v>3902.998611</v>
      </c>
      <c r="D1081" s="1">
        <f t="shared" si="2"/>
        <v>3509.05618</v>
      </c>
      <c r="E1081" s="1">
        <f t="shared" si="3"/>
        <v>6316.301124</v>
      </c>
      <c r="F1081" s="1">
        <f t="shared" si="4"/>
        <v>11930.79101</v>
      </c>
      <c r="G1081" s="1">
        <f t="shared" si="5"/>
        <v>21054.33708</v>
      </c>
      <c r="H1081" s="1">
        <f t="shared" si="6"/>
        <v>38599.61798</v>
      </c>
      <c r="I1081" s="1">
        <f t="shared" si="7"/>
        <v>63163.01124</v>
      </c>
    </row>
    <row r="1082" hidden="1">
      <c r="A1082" s="266">
        <f>IFERROR(__xludf.DUMMYFUNCTION("""COMPUTED_VALUE"""),43719.99861111111)</f>
        <v>43719.99861</v>
      </c>
      <c r="B1082" s="1">
        <f>IFERROR(__xludf.DUMMYFUNCTION("""COMPUTED_VALUE"""),10132.68)</f>
        <v>10132.68</v>
      </c>
      <c r="C1082" s="58">
        <f t="shared" si="1"/>
        <v>3903.998611</v>
      </c>
      <c r="D1082" s="1">
        <f t="shared" si="2"/>
        <v>3514.273975</v>
      </c>
      <c r="E1082" s="1">
        <f t="shared" si="3"/>
        <v>6325.693154</v>
      </c>
      <c r="F1082" s="1">
        <f t="shared" si="4"/>
        <v>11948.53151</v>
      </c>
      <c r="G1082" s="1">
        <f t="shared" si="5"/>
        <v>21085.64385</v>
      </c>
      <c r="H1082" s="1">
        <f t="shared" si="6"/>
        <v>38657.01372</v>
      </c>
      <c r="I1082" s="1">
        <f t="shared" si="7"/>
        <v>63256.93154</v>
      </c>
    </row>
    <row r="1083" hidden="1">
      <c r="A1083" s="266">
        <f>IFERROR(__xludf.DUMMYFUNCTION("""COMPUTED_VALUE"""),43720.99861111111)</f>
        <v>43720.99861</v>
      </c>
      <c r="B1083" s="1">
        <f>IFERROR(__xludf.DUMMYFUNCTION("""COMPUTED_VALUE"""),10414.72)</f>
        <v>10414.72</v>
      </c>
      <c r="C1083" s="58">
        <f t="shared" si="1"/>
        <v>3904.998611</v>
      </c>
      <c r="D1083" s="1">
        <f t="shared" si="2"/>
        <v>3519.498188</v>
      </c>
      <c r="E1083" s="1">
        <f t="shared" si="3"/>
        <v>6335.096739</v>
      </c>
      <c r="F1083" s="1">
        <f t="shared" si="4"/>
        <v>11966.29384</v>
      </c>
      <c r="G1083" s="1">
        <f t="shared" si="5"/>
        <v>21116.98913</v>
      </c>
      <c r="H1083" s="1">
        <f t="shared" si="6"/>
        <v>38714.48007</v>
      </c>
      <c r="I1083" s="1">
        <f t="shared" si="7"/>
        <v>63350.96739</v>
      </c>
    </row>
    <row r="1084" hidden="1">
      <c r="A1084" s="266">
        <f>IFERROR(__xludf.DUMMYFUNCTION("""COMPUTED_VALUE"""),43721.99861111111)</f>
        <v>43721.99861</v>
      </c>
      <c r="B1084" s="1">
        <f>IFERROR(__xludf.DUMMYFUNCTION("""COMPUTED_VALUE"""),10359.73)</f>
        <v>10359.73</v>
      </c>
      <c r="C1084" s="58">
        <f t="shared" si="1"/>
        <v>3905.998611</v>
      </c>
      <c r="D1084" s="1">
        <f t="shared" si="2"/>
        <v>3524.728828</v>
      </c>
      <c r="E1084" s="1">
        <f t="shared" si="3"/>
        <v>6344.51189</v>
      </c>
      <c r="F1084" s="1">
        <f t="shared" si="4"/>
        <v>11984.07801</v>
      </c>
      <c r="G1084" s="1">
        <f t="shared" si="5"/>
        <v>21148.37297</v>
      </c>
      <c r="H1084" s="1">
        <f t="shared" si="6"/>
        <v>38772.0171</v>
      </c>
      <c r="I1084" s="1">
        <f t="shared" si="7"/>
        <v>63445.1189</v>
      </c>
    </row>
    <row r="1085" hidden="1">
      <c r="A1085" s="266">
        <f>IFERROR(__xludf.DUMMYFUNCTION("""COMPUTED_VALUE"""),43722.99861111111)</f>
        <v>43722.99861</v>
      </c>
      <c r="B1085" s="1">
        <f>IFERROR(__xludf.DUMMYFUNCTION("""COMPUTED_VALUE"""),10357.74)</f>
        <v>10357.74</v>
      </c>
      <c r="C1085" s="58">
        <f t="shared" si="1"/>
        <v>3906.998611</v>
      </c>
      <c r="D1085" s="1">
        <f t="shared" si="2"/>
        <v>3529.965899</v>
      </c>
      <c r="E1085" s="1">
        <f t="shared" si="3"/>
        <v>6353.938618</v>
      </c>
      <c r="F1085" s="1">
        <f t="shared" si="4"/>
        <v>12001.88406</v>
      </c>
      <c r="G1085" s="1">
        <f t="shared" si="5"/>
        <v>21179.79539</v>
      </c>
      <c r="H1085" s="1">
        <f t="shared" si="6"/>
        <v>38829.62489</v>
      </c>
      <c r="I1085" s="1">
        <f t="shared" si="7"/>
        <v>63539.38618</v>
      </c>
    </row>
    <row r="1086" hidden="1">
      <c r="A1086" s="266">
        <f>IFERROR(__xludf.DUMMYFUNCTION("""COMPUTED_VALUE"""),43723.99861111111)</f>
        <v>43723.99861</v>
      </c>
      <c r="B1086" s="1">
        <f>IFERROR(__xludf.DUMMYFUNCTION("""COMPUTED_VALUE"""),10316.15)</f>
        <v>10316.15</v>
      </c>
      <c r="C1086" s="58">
        <f t="shared" si="1"/>
        <v>3907.998611</v>
      </c>
      <c r="D1086" s="1">
        <f t="shared" si="2"/>
        <v>3535.209408</v>
      </c>
      <c r="E1086" s="1">
        <f t="shared" si="3"/>
        <v>6363.376934</v>
      </c>
      <c r="F1086" s="1">
        <f t="shared" si="4"/>
        <v>12019.71199</v>
      </c>
      <c r="G1086" s="1">
        <f t="shared" si="5"/>
        <v>21211.25645</v>
      </c>
      <c r="H1086" s="1">
        <f t="shared" si="6"/>
        <v>38887.30349</v>
      </c>
      <c r="I1086" s="1">
        <f t="shared" si="7"/>
        <v>63633.76934</v>
      </c>
    </row>
    <row r="1087" hidden="1">
      <c r="A1087" s="266">
        <f>IFERROR(__xludf.DUMMYFUNCTION("""COMPUTED_VALUE"""),43724.99861111111)</f>
        <v>43724.99861</v>
      </c>
      <c r="B1087" s="1">
        <f>IFERROR(__xludf.DUMMYFUNCTION("""COMPUTED_VALUE"""),10260.93)</f>
        <v>10260.93</v>
      </c>
      <c r="C1087" s="58">
        <f t="shared" si="1"/>
        <v>3908.998611</v>
      </c>
      <c r="D1087" s="1">
        <f t="shared" si="2"/>
        <v>3540.459361</v>
      </c>
      <c r="E1087" s="1">
        <f t="shared" si="3"/>
        <v>6372.826851</v>
      </c>
      <c r="F1087" s="1">
        <f t="shared" si="4"/>
        <v>12037.56183</v>
      </c>
      <c r="G1087" s="1">
        <f t="shared" si="5"/>
        <v>21242.75617</v>
      </c>
      <c r="H1087" s="1">
        <f t="shared" si="6"/>
        <v>38945.05298</v>
      </c>
      <c r="I1087" s="1">
        <f t="shared" si="7"/>
        <v>63728.26851</v>
      </c>
    </row>
    <row r="1088" hidden="1">
      <c r="A1088" s="266">
        <f>IFERROR(__xludf.DUMMYFUNCTION("""COMPUTED_VALUE"""),43725.99861111111)</f>
        <v>43725.99861</v>
      </c>
      <c r="B1088" s="1">
        <f>IFERROR(__xludf.DUMMYFUNCTION("""COMPUTED_VALUE"""),10183.79)</f>
        <v>10183.79</v>
      </c>
      <c r="C1088" s="58">
        <f t="shared" si="1"/>
        <v>3909.998611</v>
      </c>
      <c r="D1088" s="1">
        <f t="shared" si="2"/>
        <v>3545.715765</v>
      </c>
      <c r="E1088" s="1">
        <f t="shared" si="3"/>
        <v>6382.288378</v>
      </c>
      <c r="F1088" s="1">
        <f t="shared" si="4"/>
        <v>12055.4336</v>
      </c>
      <c r="G1088" s="1">
        <f t="shared" si="5"/>
        <v>21274.29459</v>
      </c>
      <c r="H1088" s="1">
        <f t="shared" si="6"/>
        <v>39002.87342</v>
      </c>
      <c r="I1088" s="1">
        <f t="shared" si="7"/>
        <v>63822.88378</v>
      </c>
    </row>
    <row r="1089" hidden="1">
      <c r="A1089" s="266">
        <f>IFERROR(__xludf.DUMMYFUNCTION("""COMPUTED_VALUE"""),43726.99861111111)</f>
        <v>43726.99861</v>
      </c>
      <c r="B1089" s="1">
        <f>IFERROR(__xludf.DUMMYFUNCTION("""COMPUTED_VALUE"""),10148.07)</f>
        <v>10148.07</v>
      </c>
      <c r="C1089" s="58">
        <f t="shared" si="1"/>
        <v>3910.998611</v>
      </c>
      <c r="D1089" s="1">
        <f t="shared" si="2"/>
        <v>3550.978626</v>
      </c>
      <c r="E1089" s="1">
        <f t="shared" si="3"/>
        <v>6391.761527</v>
      </c>
      <c r="F1089" s="1">
        <f t="shared" si="4"/>
        <v>12073.32733</v>
      </c>
      <c r="G1089" s="1">
        <f t="shared" si="5"/>
        <v>21305.87176</v>
      </c>
      <c r="H1089" s="1">
        <f t="shared" si="6"/>
        <v>39060.76489</v>
      </c>
      <c r="I1089" s="1">
        <f t="shared" si="7"/>
        <v>63917.61527</v>
      </c>
    </row>
    <row r="1090" hidden="1">
      <c r="A1090" s="266">
        <f>IFERROR(__xludf.DUMMYFUNCTION("""COMPUTED_VALUE"""),43727.99861111111)</f>
        <v>43727.99861</v>
      </c>
      <c r="B1090" s="1">
        <f>IFERROR(__xludf.DUMMYFUNCTION("""COMPUTED_VALUE"""),10264.86)</f>
        <v>10264.86</v>
      </c>
      <c r="C1090" s="58">
        <f t="shared" si="1"/>
        <v>3911.998611</v>
      </c>
      <c r="D1090" s="1">
        <f t="shared" si="2"/>
        <v>3556.24795</v>
      </c>
      <c r="E1090" s="1">
        <f t="shared" si="3"/>
        <v>6401.246311</v>
      </c>
      <c r="F1090" s="1">
        <f t="shared" si="4"/>
        <v>12091.24303</v>
      </c>
      <c r="G1090" s="1">
        <f t="shared" si="5"/>
        <v>21337.4877</v>
      </c>
      <c r="H1090" s="1">
        <f t="shared" si="6"/>
        <v>39118.72745</v>
      </c>
      <c r="I1090" s="1">
        <f t="shared" si="7"/>
        <v>64012.46311</v>
      </c>
    </row>
    <row r="1091" hidden="1">
      <c r="A1091" s="266">
        <f>IFERROR(__xludf.DUMMYFUNCTION("""COMPUTED_VALUE"""),43728.99861111111)</f>
        <v>43728.99861</v>
      </c>
      <c r="B1091" s="1">
        <f>IFERROR(__xludf.DUMMYFUNCTION("""COMPUTED_VALUE"""),10167.48)</f>
        <v>10167.48</v>
      </c>
      <c r="C1091" s="58">
        <f t="shared" si="1"/>
        <v>3912.998611</v>
      </c>
      <c r="D1091" s="1">
        <f t="shared" si="2"/>
        <v>3561.523744</v>
      </c>
      <c r="E1091" s="1">
        <f t="shared" si="3"/>
        <v>6410.742739</v>
      </c>
      <c r="F1091" s="1">
        <f t="shared" si="4"/>
        <v>12109.18073</v>
      </c>
      <c r="G1091" s="1">
        <f t="shared" si="5"/>
        <v>21369.14246</v>
      </c>
      <c r="H1091" s="1">
        <f t="shared" si="6"/>
        <v>39176.76118</v>
      </c>
      <c r="I1091" s="1">
        <f t="shared" si="7"/>
        <v>64107.42739</v>
      </c>
    </row>
    <row r="1092" hidden="1">
      <c r="A1092" s="266">
        <f>IFERROR(__xludf.DUMMYFUNCTION("""COMPUTED_VALUE"""),43729.99861111111)</f>
        <v>43729.99861</v>
      </c>
      <c r="B1092" s="1">
        <f>IFERROR(__xludf.DUMMYFUNCTION("""COMPUTED_VALUE"""),9971.226)</f>
        <v>9971.226</v>
      </c>
      <c r="C1092" s="58">
        <f t="shared" si="1"/>
        <v>3913.998611</v>
      </c>
      <c r="D1092" s="1">
        <f t="shared" si="2"/>
        <v>3566.806013</v>
      </c>
      <c r="E1092" s="1">
        <f t="shared" si="3"/>
        <v>6420.250823</v>
      </c>
      <c r="F1092" s="1">
        <f t="shared" si="4"/>
        <v>12127.14044</v>
      </c>
      <c r="G1092" s="1">
        <f t="shared" si="5"/>
        <v>21400.83608</v>
      </c>
      <c r="H1092" s="1">
        <f t="shared" si="6"/>
        <v>39234.86614</v>
      </c>
      <c r="I1092" s="1">
        <f t="shared" si="7"/>
        <v>64202.50823</v>
      </c>
    </row>
    <row r="1093" hidden="1">
      <c r="A1093" s="266">
        <f>IFERROR(__xludf.DUMMYFUNCTION("""COMPUTED_VALUE"""),43730.99861111111)</f>
        <v>43730.99861</v>
      </c>
      <c r="B1093" s="1">
        <f>IFERROR(__xludf.DUMMYFUNCTION("""COMPUTED_VALUE"""),10021.93)</f>
        <v>10021.93</v>
      </c>
      <c r="C1093" s="58">
        <f t="shared" si="1"/>
        <v>3914.998611</v>
      </c>
      <c r="D1093" s="1">
        <f t="shared" si="2"/>
        <v>3572.094764</v>
      </c>
      <c r="E1093" s="1">
        <f t="shared" si="3"/>
        <v>6429.770575</v>
      </c>
      <c r="F1093" s="1">
        <f t="shared" si="4"/>
        <v>12145.1222</v>
      </c>
      <c r="G1093" s="1">
        <f t="shared" si="5"/>
        <v>21432.56858</v>
      </c>
      <c r="H1093" s="1">
        <f t="shared" si="6"/>
        <v>39293.0424</v>
      </c>
      <c r="I1093" s="1">
        <f t="shared" si="7"/>
        <v>64297.70575</v>
      </c>
    </row>
    <row r="1094" hidden="1">
      <c r="A1094" s="266">
        <f>IFERROR(__xludf.DUMMYFUNCTION("""COMPUTED_VALUE"""),43731.99861111111)</f>
        <v>43731.99861</v>
      </c>
      <c r="B1094" s="1">
        <f>IFERROR(__xludf.DUMMYFUNCTION("""COMPUTED_VALUE"""),9687.155)</f>
        <v>9687.155</v>
      </c>
      <c r="C1094" s="58">
        <f t="shared" si="1"/>
        <v>3915.998611</v>
      </c>
      <c r="D1094" s="1">
        <f t="shared" si="2"/>
        <v>3577.390003</v>
      </c>
      <c r="E1094" s="1">
        <f t="shared" si="3"/>
        <v>6439.302006</v>
      </c>
      <c r="F1094" s="1">
        <f t="shared" si="4"/>
        <v>12163.12601</v>
      </c>
      <c r="G1094" s="1">
        <f t="shared" si="5"/>
        <v>21464.34002</v>
      </c>
      <c r="H1094" s="1">
        <f t="shared" si="6"/>
        <v>39351.29003</v>
      </c>
      <c r="I1094" s="1">
        <f t="shared" si="7"/>
        <v>64393.02006</v>
      </c>
    </row>
    <row r="1095" hidden="1">
      <c r="A1095" s="266">
        <f>IFERROR(__xludf.DUMMYFUNCTION("""COMPUTED_VALUE"""),43732.99861111111)</f>
        <v>43732.99861</v>
      </c>
      <c r="B1095" s="1">
        <f>IFERROR(__xludf.DUMMYFUNCTION("""COMPUTED_VALUE"""),8534.465)</f>
        <v>8534.465</v>
      </c>
      <c r="C1095" s="58">
        <f t="shared" si="1"/>
        <v>3916.998611</v>
      </c>
      <c r="D1095" s="1">
        <f t="shared" si="2"/>
        <v>3582.691737</v>
      </c>
      <c r="E1095" s="1">
        <f t="shared" si="3"/>
        <v>6448.845126</v>
      </c>
      <c r="F1095" s="1">
        <f t="shared" si="4"/>
        <v>12181.15191</v>
      </c>
      <c r="G1095" s="1">
        <f t="shared" si="5"/>
        <v>21496.15042</v>
      </c>
      <c r="H1095" s="1">
        <f t="shared" si="6"/>
        <v>39409.60911</v>
      </c>
      <c r="I1095" s="1">
        <f t="shared" si="7"/>
        <v>64488.45126</v>
      </c>
    </row>
    <row r="1096" hidden="1">
      <c r="A1096" s="266">
        <f>IFERROR(__xludf.DUMMYFUNCTION("""COMPUTED_VALUE"""),43733.99861111111)</f>
        <v>43733.99861</v>
      </c>
      <c r="B1096" s="1">
        <f>IFERROR(__xludf.DUMMYFUNCTION("""COMPUTED_VALUE"""),8433.447)</f>
        <v>8433.447</v>
      </c>
      <c r="C1096" s="58">
        <f t="shared" si="1"/>
        <v>3917.998611</v>
      </c>
      <c r="D1096" s="1">
        <f t="shared" si="2"/>
        <v>3587.999972</v>
      </c>
      <c r="E1096" s="1">
        <f t="shared" si="3"/>
        <v>6458.399949</v>
      </c>
      <c r="F1096" s="1">
        <f t="shared" si="4"/>
        <v>12199.1999</v>
      </c>
      <c r="G1096" s="1">
        <f t="shared" si="5"/>
        <v>21527.99983</v>
      </c>
      <c r="H1096" s="1">
        <f t="shared" si="6"/>
        <v>39467.99969</v>
      </c>
      <c r="I1096" s="1">
        <f t="shared" si="7"/>
        <v>64583.99949</v>
      </c>
    </row>
    <row r="1097" hidden="1">
      <c r="A1097" s="266">
        <f>IFERROR(__xludf.DUMMYFUNCTION("""COMPUTED_VALUE"""),43734.99861111111)</f>
        <v>43734.99861</v>
      </c>
      <c r="B1097" s="1">
        <f>IFERROR(__xludf.DUMMYFUNCTION("""COMPUTED_VALUE"""),8057.581)</f>
        <v>8057.581</v>
      </c>
      <c r="C1097" s="58">
        <f t="shared" si="1"/>
        <v>3918.998611</v>
      </c>
      <c r="D1097" s="1">
        <f t="shared" si="2"/>
        <v>3593.314714</v>
      </c>
      <c r="E1097" s="1">
        <f t="shared" si="3"/>
        <v>6467.966485</v>
      </c>
      <c r="F1097" s="1">
        <f t="shared" si="4"/>
        <v>12217.27003</v>
      </c>
      <c r="G1097" s="1">
        <f t="shared" si="5"/>
        <v>21559.88828</v>
      </c>
      <c r="H1097" s="1">
        <f t="shared" si="6"/>
        <v>39526.46185</v>
      </c>
      <c r="I1097" s="1">
        <f t="shared" si="7"/>
        <v>64679.66485</v>
      </c>
    </row>
    <row r="1098" hidden="1">
      <c r="A1098" s="266">
        <f>IFERROR(__xludf.DUMMYFUNCTION("""COMPUTED_VALUE"""),43735.99861111111)</f>
        <v>43735.99861</v>
      </c>
      <c r="B1098" s="1">
        <f>IFERROR(__xludf.DUMMYFUNCTION("""COMPUTED_VALUE"""),8204.702)</f>
        <v>8204.702</v>
      </c>
      <c r="C1098" s="58">
        <f t="shared" si="1"/>
        <v>3919.998611</v>
      </c>
      <c r="D1098" s="1">
        <f t="shared" si="2"/>
        <v>3598.635969</v>
      </c>
      <c r="E1098" s="1">
        <f t="shared" si="3"/>
        <v>6477.544744</v>
      </c>
      <c r="F1098" s="1">
        <f t="shared" si="4"/>
        <v>12235.36229</v>
      </c>
      <c r="G1098" s="1">
        <f t="shared" si="5"/>
        <v>21591.81581</v>
      </c>
      <c r="H1098" s="1">
        <f t="shared" si="6"/>
        <v>39584.99566</v>
      </c>
      <c r="I1098" s="1">
        <f t="shared" si="7"/>
        <v>64775.44744</v>
      </c>
    </row>
    <row r="1099" hidden="1">
      <c r="A1099" s="266">
        <f>IFERROR(__xludf.DUMMYFUNCTION("""COMPUTED_VALUE"""),43736.99861111111)</f>
        <v>43736.99861</v>
      </c>
      <c r="B1099" s="1">
        <f>IFERROR(__xludf.DUMMYFUNCTION("""COMPUTED_VALUE"""),8197.79)</f>
        <v>8197.79</v>
      </c>
      <c r="C1099" s="58">
        <f t="shared" si="1"/>
        <v>3920.998611</v>
      </c>
      <c r="D1099" s="1">
        <f t="shared" si="2"/>
        <v>3603.963744</v>
      </c>
      <c r="E1099" s="1">
        <f t="shared" si="3"/>
        <v>6487.13474</v>
      </c>
      <c r="F1099" s="1">
        <f t="shared" si="4"/>
        <v>12253.47673</v>
      </c>
      <c r="G1099" s="1">
        <f t="shared" si="5"/>
        <v>21623.78247</v>
      </c>
      <c r="H1099" s="1">
        <f t="shared" si="6"/>
        <v>39643.60119</v>
      </c>
      <c r="I1099" s="1">
        <f t="shared" si="7"/>
        <v>64871.3474</v>
      </c>
    </row>
    <row r="1100" hidden="1">
      <c r="A1100" s="266">
        <f>IFERROR(__xludf.DUMMYFUNCTION("""COMPUTED_VALUE"""),43737.99861111111)</f>
        <v>43737.99861</v>
      </c>
      <c r="B1100" s="1">
        <f>IFERROR(__xludf.DUMMYFUNCTION("""COMPUTED_VALUE"""),8056.601)</f>
        <v>8056.601</v>
      </c>
      <c r="C1100" s="58">
        <f t="shared" si="1"/>
        <v>3921.998611</v>
      </c>
      <c r="D1100" s="1">
        <f t="shared" si="2"/>
        <v>3609.298046</v>
      </c>
      <c r="E1100" s="1">
        <f t="shared" si="3"/>
        <v>6496.736482</v>
      </c>
      <c r="F1100" s="1">
        <f t="shared" si="4"/>
        <v>12271.61336</v>
      </c>
      <c r="G1100" s="1">
        <f t="shared" si="5"/>
        <v>21655.78827</v>
      </c>
      <c r="H1100" s="1">
        <f t="shared" si="6"/>
        <v>39702.2785</v>
      </c>
      <c r="I1100" s="1">
        <f t="shared" si="7"/>
        <v>64967.36482</v>
      </c>
    </row>
    <row r="1101" hidden="1">
      <c r="A1101" s="266">
        <f>IFERROR(__xludf.DUMMYFUNCTION("""COMPUTED_VALUE"""),43738.99861111111)</f>
        <v>43738.99861</v>
      </c>
      <c r="B1101" s="1">
        <f>IFERROR(__xludf.DUMMYFUNCTION("""COMPUTED_VALUE"""),8296.118)</f>
        <v>8296.118</v>
      </c>
      <c r="C1101" s="58">
        <f t="shared" si="1"/>
        <v>3922.998611</v>
      </c>
      <c r="D1101" s="1">
        <f t="shared" si="2"/>
        <v>3614.63888</v>
      </c>
      <c r="E1101" s="1">
        <f t="shared" si="3"/>
        <v>6506.349983</v>
      </c>
      <c r="F1101" s="1">
        <f t="shared" si="4"/>
        <v>12289.77219</v>
      </c>
      <c r="G1101" s="1">
        <f t="shared" si="5"/>
        <v>21687.83328</v>
      </c>
      <c r="H1101" s="1">
        <f t="shared" si="6"/>
        <v>39761.02768</v>
      </c>
      <c r="I1101" s="1">
        <f t="shared" si="7"/>
        <v>65063.49983</v>
      </c>
    </row>
    <row r="1102" hidden="1">
      <c r="A1102" s="266">
        <f>IFERROR(__xludf.DUMMYFUNCTION("""COMPUTED_VALUE"""),43739.99861111111)</f>
        <v>43739.99861</v>
      </c>
      <c r="B1102" s="1">
        <f>IFERROR(__xludf.DUMMYFUNCTION("""COMPUTED_VALUE"""),8324.089)</f>
        <v>8324.089</v>
      </c>
      <c r="C1102" s="58">
        <f t="shared" si="1"/>
        <v>3923.998611</v>
      </c>
      <c r="D1102" s="1">
        <f t="shared" si="2"/>
        <v>3619.986252</v>
      </c>
      <c r="E1102" s="1">
        <f t="shared" si="3"/>
        <v>6515.975254</v>
      </c>
      <c r="F1102" s="1">
        <f t="shared" si="4"/>
        <v>12307.95326</v>
      </c>
      <c r="G1102" s="1">
        <f t="shared" si="5"/>
        <v>21719.91751</v>
      </c>
      <c r="H1102" s="1">
        <f t="shared" si="6"/>
        <v>39819.84877</v>
      </c>
      <c r="I1102" s="1">
        <f t="shared" si="7"/>
        <v>65159.75254</v>
      </c>
    </row>
    <row r="1103" hidden="1">
      <c r="A1103" s="266">
        <f>IFERROR(__xludf.DUMMYFUNCTION("""COMPUTED_VALUE"""),43740.99861111111)</f>
        <v>43740.99861</v>
      </c>
      <c r="B1103" s="1">
        <f>IFERROR(__xludf.DUMMYFUNCTION("""COMPUTED_VALUE"""),8372.641)</f>
        <v>8372.641</v>
      </c>
      <c r="C1103" s="58">
        <f t="shared" si="1"/>
        <v>3924.998611</v>
      </c>
      <c r="D1103" s="1">
        <f t="shared" si="2"/>
        <v>3625.34017</v>
      </c>
      <c r="E1103" s="1">
        <f t="shared" si="3"/>
        <v>6525.612306</v>
      </c>
      <c r="F1103" s="1">
        <f t="shared" si="4"/>
        <v>12326.15658</v>
      </c>
      <c r="G1103" s="1">
        <f t="shared" si="5"/>
        <v>21752.04102</v>
      </c>
      <c r="H1103" s="1">
        <f t="shared" si="6"/>
        <v>39878.74187</v>
      </c>
      <c r="I1103" s="1">
        <f t="shared" si="7"/>
        <v>65256.12306</v>
      </c>
    </row>
    <row r="1104" hidden="1">
      <c r="A1104" s="266">
        <f>IFERROR(__xludf.DUMMYFUNCTION("""COMPUTED_VALUE"""),43741.99861111111)</f>
        <v>43741.99861</v>
      </c>
      <c r="B1104" s="1">
        <f>IFERROR(__xludf.DUMMYFUNCTION("""COMPUTED_VALUE"""),8241.702)</f>
        <v>8241.702</v>
      </c>
      <c r="C1104" s="58">
        <f t="shared" si="1"/>
        <v>3925.998611</v>
      </c>
      <c r="D1104" s="1">
        <f t="shared" si="2"/>
        <v>3630.700639</v>
      </c>
      <c r="E1104" s="1">
        <f t="shared" si="3"/>
        <v>6535.261151</v>
      </c>
      <c r="F1104" s="1">
        <f t="shared" si="4"/>
        <v>12344.38217</v>
      </c>
      <c r="G1104" s="1">
        <f t="shared" si="5"/>
        <v>21784.20384</v>
      </c>
      <c r="H1104" s="1">
        <f t="shared" si="6"/>
        <v>39937.70703</v>
      </c>
      <c r="I1104" s="1">
        <f t="shared" si="7"/>
        <v>65352.61151</v>
      </c>
    </row>
    <row r="1105" hidden="1">
      <c r="A1105" s="266">
        <f>IFERROR(__xludf.DUMMYFUNCTION("""COMPUTED_VALUE"""),43742.99861111111)</f>
        <v>43742.99861</v>
      </c>
      <c r="B1105" s="1">
        <f>IFERROR(__xludf.DUMMYFUNCTION("""COMPUTED_VALUE"""),8157.721)</f>
        <v>8157.721</v>
      </c>
      <c r="C1105" s="58">
        <f t="shared" si="1"/>
        <v>3926.998611</v>
      </c>
      <c r="D1105" s="1">
        <f t="shared" si="2"/>
        <v>3636.067666</v>
      </c>
      <c r="E1105" s="1">
        <f t="shared" si="3"/>
        <v>6544.921799</v>
      </c>
      <c r="F1105" s="1">
        <f t="shared" si="4"/>
        <v>12362.63007</v>
      </c>
      <c r="G1105" s="1">
        <f t="shared" si="5"/>
        <v>21816.406</v>
      </c>
      <c r="H1105" s="1">
        <f t="shared" si="6"/>
        <v>39996.74433</v>
      </c>
      <c r="I1105" s="1">
        <f t="shared" si="7"/>
        <v>65449.21799</v>
      </c>
    </row>
    <row r="1106" hidden="1">
      <c r="A1106" s="266">
        <f>IFERROR(__xludf.DUMMYFUNCTION("""COMPUTED_VALUE"""),43743.99861111111)</f>
        <v>43743.99861</v>
      </c>
      <c r="B1106" s="1">
        <f>IFERROR(__xludf.DUMMYFUNCTION("""COMPUTED_VALUE"""),8156.943)</f>
        <v>8156.943</v>
      </c>
      <c r="C1106" s="58">
        <f t="shared" si="1"/>
        <v>3927.998611</v>
      </c>
      <c r="D1106" s="1">
        <f t="shared" si="2"/>
        <v>3641.441258</v>
      </c>
      <c r="E1106" s="1">
        <f t="shared" si="3"/>
        <v>6554.594264</v>
      </c>
      <c r="F1106" s="1">
        <f t="shared" si="4"/>
        <v>12380.90028</v>
      </c>
      <c r="G1106" s="1">
        <f t="shared" si="5"/>
        <v>21848.64755</v>
      </c>
      <c r="H1106" s="1">
        <f t="shared" si="6"/>
        <v>40055.85383</v>
      </c>
      <c r="I1106" s="1">
        <f t="shared" si="7"/>
        <v>65545.94264</v>
      </c>
    </row>
    <row r="1107" hidden="1">
      <c r="A1107" s="266">
        <f>IFERROR(__xludf.DUMMYFUNCTION("""COMPUTED_VALUE"""),43744.99861111111)</f>
        <v>43744.99861</v>
      </c>
      <c r="B1107" s="1">
        <f>IFERROR(__xludf.DUMMYFUNCTION("""COMPUTED_VALUE"""),7874.383)</f>
        <v>7874.383</v>
      </c>
      <c r="C1107" s="58">
        <f t="shared" si="1"/>
        <v>3928.998611</v>
      </c>
      <c r="D1107" s="1">
        <f t="shared" si="2"/>
        <v>3646.821419</v>
      </c>
      <c r="E1107" s="1">
        <f t="shared" si="3"/>
        <v>6564.278555</v>
      </c>
      <c r="F1107" s="1">
        <f t="shared" si="4"/>
        <v>12399.19283</v>
      </c>
      <c r="G1107" s="1">
        <f t="shared" si="5"/>
        <v>21880.92852</v>
      </c>
      <c r="H1107" s="1">
        <f t="shared" si="6"/>
        <v>40115.03561</v>
      </c>
      <c r="I1107" s="1">
        <f t="shared" si="7"/>
        <v>65642.78555</v>
      </c>
    </row>
    <row r="1108" hidden="1">
      <c r="A1108" s="266">
        <f>IFERROR(__xludf.DUMMYFUNCTION("""COMPUTED_VALUE"""),43745.99861111111)</f>
        <v>43745.99861</v>
      </c>
      <c r="B1108" s="1">
        <f>IFERROR(__xludf.DUMMYFUNCTION("""COMPUTED_VALUE"""),8222.817)</f>
        <v>8222.817</v>
      </c>
      <c r="C1108" s="58">
        <f t="shared" si="1"/>
        <v>3929.998611</v>
      </c>
      <c r="D1108" s="1">
        <f t="shared" si="2"/>
        <v>3652.208158</v>
      </c>
      <c r="E1108" s="1">
        <f t="shared" si="3"/>
        <v>6573.974684</v>
      </c>
      <c r="F1108" s="1">
        <f t="shared" si="4"/>
        <v>12417.50774</v>
      </c>
      <c r="G1108" s="1">
        <f t="shared" si="5"/>
        <v>21913.24895</v>
      </c>
      <c r="H1108" s="1">
        <f t="shared" si="6"/>
        <v>40174.28974</v>
      </c>
      <c r="I1108" s="1">
        <f t="shared" si="7"/>
        <v>65739.74684</v>
      </c>
    </row>
    <row r="1109" hidden="1">
      <c r="A1109" s="266">
        <f>IFERROR(__xludf.DUMMYFUNCTION("""COMPUTED_VALUE"""),43746.99861111111)</f>
        <v>43746.99861</v>
      </c>
      <c r="B1109" s="1">
        <f>IFERROR(__xludf.DUMMYFUNCTION("""COMPUTED_VALUE"""),8197.812)</f>
        <v>8197.812</v>
      </c>
      <c r="C1109" s="58">
        <f t="shared" si="1"/>
        <v>3930.998611</v>
      </c>
      <c r="D1109" s="1">
        <f t="shared" si="2"/>
        <v>3657.60148</v>
      </c>
      <c r="E1109" s="1">
        <f t="shared" si="3"/>
        <v>6583.682664</v>
      </c>
      <c r="F1109" s="1">
        <f t="shared" si="4"/>
        <v>12435.84503</v>
      </c>
      <c r="G1109" s="1">
        <f t="shared" si="5"/>
        <v>21945.60888</v>
      </c>
      <c r="H1109" s="1">
        <f t="shared" si="6"/>
        <v>40233.61628</v>
      </c>
      <c r="I1109" s="1">
        <f t="shared" si="7"/>
        <v>65836.82664</v>
      </c>
    </row>
    <row r="1110" hidden="1">
      <c r="A1110" s="266">
        <f>IFERROR(__xludf.DUMMYFUNCTION("""COMPUTED_VALUE"""),43747.99861111111)</f>
        <v>43747.99861</v>
      </c>
      <c r="B1110" s="1">
        <f>IFERROR(__xludf.DUMMYFUNCTION("""COMPUTED_VALUE"""),8596.109)</f>
        <v>8596.109</v>
      </c>
      <c r="C1110" s="58">
        <f t="shared" si="1"/>
        <v>3931.998611</v>
      </c>
      <c r="D1110" s="1">
        <f t="shared" si="2"/>
        <v>3663.001391</v>
      </c>
      <c r="E1110" s="1">
        <f t="shared" si="3"/>
        <v>6593.402505</v>
      </c>
      <c r="F1110" s="1">
        <f t="shared" si="4"/>
        <v>12454.20473</v>
      </c>
      <c r="G1110" s="1">
        <f t="shared" si="5"/>
        <v>21978.00835</v>
      </c>
      <c r="H1110" s="1">
        <f t="shared" si="6"/>
        <v>40293.01531</v>
      </c>
      <c r="I1110" s="1">
        <f t="shared" si="7"/>
        <v>65934.02505</v>
      </c>
    </row>
    <row r="1111" hidden="1">
      <c r="A1111" s="266">
        <f>IFERROR(__xludf.DUMMYFUNCTION("""COMPUTED_VALUE"""),43748.99861111111)</f>
        <v>43748.99861</v>
      </c>
      <c r="B1111" s="1">
        <f>IFERROR(__xludf.DUMMYFUNCTION("""COMPUTED_VALUE"""),8589.857)</f>
        <v>8589.857</v>
      </c>
      <c r="C1111" s="58">
        <f t="shared" si="1"/>
        <v>3932.998611</v>
      </c>
      <c r="D1111" s="1">
        <f t="shared" si="2"/>
        <v>3668.407899</v>
      </c>
      <c r="E1111" s="1">
        <f t="shared" si="3"/>
        <v>6603.134218</v>
      </c>
      <c r="F1111" s="1">
        <f t="shared" si="4"/>
        <v>12472.58686</v>
      </c>
      <c r="G1111" s="1">
        <f t="shared" si="5"/>
        <v>22010.44739</v>
      </c>
      <c r="H1111" s="1">
        <f t="shared" si="6"/>
        <v>40352.48689</v>
      </c>
      <c r="I1111" s="1">
        <f t="shared" si="7"/>
        <v>66031.34218</v>
      </c>
    </row>
    <row r="1112" hidden="1">
      <c r="A1112" s="266">
        <f>IFERROR(__xludf.DUMMYFUNCTION("""COMPUTED_VALUE"""),43749.99861111111)</f>
        <v>43749.99861</v>
      </c>
      <c r="B1112" s="1">
        <f>IFERROR(__xludf.DUMMYFUNCTION("""COMPUTED_VALUE"""),8270.426)</f>
        <v>8270.426</v>
      </c>
      <c r="C1112" s="58">
        <f t="shared" si="1"/>
        <v>3933.998611</v>
      </c>
      <c r="D1112" s="1">
        <f t="shared" si="2"/>
        <v>3673.821009</v>
      </c>
      <c r="E1112" s="1">
        <f t="shared" si="3"/>
        <v>6612.877816</v>
      </c>
      <c r="F1112" s="1">
        <f t="shared" si="4"/>
        <v>12490.99143</v>
      </c>
      <c r="G1112" s="1">
        <f t="shared" si="5"/>
        <v>22042.92605</v>
      </c>
      <c r="H1112" s="1">
        <f t="shared" si="6"/>
        <v>40412.0311</v>
      </c>
      <c r="I1112" s="1">
        <f t="shared" si="7"/>
        <v>66128.77816</v>
      </c>
    </row>
    <row r="1113" hidden="1">
      <c r="A1113" s="266">
        <f>IFERROR(__xludf.DUMMYFUNCTION("""COMPUTED_VALUE"""),43750.99861111111)</f>
        <v>43750.99861</v>
      </c>
      <c r="B1113" s="1">
        <f>IFERROR(__xludf.DUMMYFUNCTION("""COMPUTED_VALUE"""),8320.54)</f>
        <v>8320.54</v>
      </c>
      <c r="C1113" s="58">
        <f t="shared" si="1"/>
        <v>3934.998611</v>
      </c>
      <c r="D1113" s="1">
        <f t="shared" si="2"/>
        <v>3679.240727</v>
      </c>
      <c r="E1113" s="1">
        <f t="shared" si="3"/>
        <v>6622.633309</v>
      </c>
      <c r="F1113" s="1">
        <f t="shared" si="4"/>
        <v>12509.41847</v>
      </c>
      <c r="G1113" s="1">
        <f t="shared" si="5"/>
        <v>22075.44436</v>
      </c>
      <c r="H1113" s="1">
        <f t="shared" si="6"/>
        <v>40471.648</v>
      </c>
      <c r="I1113" s="1">
        <f t="shared" si="7"/>
        <v>66226.33309</v>
      </c>
    </row>
    <row r="1114" hidden="1">
      <c r="A1114" s="266">
        <f>IFERROR(__xludf.DUMMYFUNCTION("""COMPUTED_VALUE"""),43751.99861111111)</f>
        <v>43751.99861</v>
      </c>
      <c r="B1114" s="1">
        <f>IFERROR(__xludf.DUMMYFUNCTION("""COMPUTED_VALUE"""),8297.67)</f>
        <v>8297.67</v>
      </c>
      <c r="C1114" s="58">
        <f t="shared" si="1"/>
        <v>3935.998611</v>
      </c>
      <c r="D1114" s="1">
        <f t="shared" si="2"/>
        <v>3684.667061</v>
      </c>
      <c r="E1114" s="1">
        <f t="shared" si="3"/>
        <v>6632.40071</v>
      </c>
      <c r="F1114" s="1">
        <f t="shared" si="4"/>
        <v>12527.86801</v>
      </c>
      <c r="G1114" s="1">
        <f t="shared" si="5"/>
        <v>22108.00237</v>
      </c>
      <c r="H1114" s="1">
        <f t="shared" si="6"/>
        <v>40531.33767</v>
      </c>
      <c r="I1114" s="1">
        <f t="shared" si="7"/>
        <v>66324.0071</v>
      </c>
    </row>
    <row r="1115" hidden="1">
      <c r="A1115" s="266">
        <f>IFERROR(__xludf.DUMMYFUNCTION("""COMPUTED_VALUE"""),43752.99861111111)</f>
        <v>43752.99861</v>
      </c>
      <c r="B1115" s="1">
        <f>IFERROR(__xludf.DUMMYFUNCTION("""COMPUTED_VALUE"""),8369.895)</f>
        <v>8369.895</v>
      </c>
      <c r="C1115" s="58">
        <f t="shared" si="1"/>
        <v>3936.998611</v>
      </c>
      <c r="D1115" s="1">
        <f t="shared" si="2"/>
        <v>3690.100016</v>
      </c>
      <c r="E1115" s="1">
        <f t="shared" si="3"/>
        <v>6642.180029</v>
      </c>
      <c r="F1115" s="1">
        <f t="shared" si="4"/>
        <v>12546.34006</v>
      </c>
      <c r="G1115" s="1">
        <f t="shared" si="5"/>
        <v>22140.6001</v>
      </c>
      <c r="H1115" s="1">
        <f t="shared" si="6"/>
        <v>40591.10018</v>
      </c>
      <c r="I1115" s="1">
        <f t="shared" si="7"/>
        <v>66421.80029</v>
      </c>
    </row>
    <row r="1116" hidden="1">
      <c r="A1116" s="266">
        <f>IFERROR(__xludf.DUMMYFUNCTION("""COMPUTED_VALUE"""),43753.99861111111)</f>
        <v>43753.99861</v>
      </c>
      <c r="B1116" s="1">
        <f>IFERROR(__xludf.DUMMYFUNCTION("""COMPUTED_VALUE"""),8170.248)</f>
        <v>8170.248</v>
      </c>
      <c r="C1116" s="58">
        <f t="shared" si="1"/>
        <v>3937.998611</v>
      </c>
      <c r="D1116" s="1">
        <f t="shared" si="2"/>
        <v>3695.539599</v>
      </c>
      <c r="E1116" s="1">
        <f t="shared" si="3"/>
        <v>6651.971279</v>
      </c>
      <c r="F1116" s="1">
        <f t="shared" si="4"/>
        <v>12564.83464</v>
      </c>
      <c r="G1116" s="1">
        <f t="shared" si="5"/>
        <v>22173.2376</v>
      </c>
      <c r="H1116" s="1">
        <f t="shared" si="6"/>
        <v>40650.93559</v>
      </c>
      <c r="I1116" s="1">
        <f t="shared" si="7"/>
        <v>66519.71279</v>
      </c>
    </row>
    <row r="1117" hidden="1">
      <c r="A1117" s="266">
        <f>IFERROR(__xludf.DUMMYFUNCTION("""COMPUTED_VALUE"""),43754.99861111111)</f>
        <v>43754.99861</v>
      </c>
      <c r="B1117" s="1">
        <f>IFERROR(__xludf.DUMMYFUNCTION("""COMPUTED_VALUE"""),8004.409)</f>
        <v>8004.409</v>
      </c>
      <c r="C1117" s="58">
        <f t="shared" si="1"/>
        <v>3938.998611</v>
      </c>
      <c r="D1117" s="1">
        <f t="shared" si="2"/>
        <v>3700.985817</v>
      </c>
      <c r="E1117" s="1">
        <f t="shared" si="3"/>
        <v>6661.77447</v>
      </c>
      <c r="F1117" s="1">
        <f t="shared" si="4"/>
        <v>12583.35178</v>
      </c>
      <c r="G1117" s="1">
        <f t="shared" si="5"/>
        <v>22205.9149</v>
      </c>
      <c r="H1117" s="1">
        <f t="shared" si="6"/>
        <v>40710.84399</v>
      </c>
      <c r="I1117" s="1">
        <f t="shared" si="7"/>
        <v>66617.7447</v>
      </c>
    </row>
    <row r="1118" hidden="1">
      <c r="A1118" s="266">
        <f>IFERROR(__xludf.DUMMYFUNCTION("""COMPUTED_VALUE"""),43755.99861111111)</f>
        <v>43755.99861</v>
      </c>
      <c r="B1118" s="1">
        <f>IFERROR(__xludf.DUMMYFUNCTION("""COMPUTED_VALUE"""),8086.304)</f>
        <v>8086.304</v>
      </c>
      <c r="C1118" s="58">
        <f t="shared" si="1"/>
        <v>3939.998611</v>
      </c>
      <c r="D1118" s="1">
        <f t="shared" si="2"/>
        <v>3706.438675</v>
      </c>
      <c r="E1118" s="1">
        <f t="shared" si="3"/>
        <v>6671.589615</v>
      </c>
      <c r="F1118" s="1">
        <f t="shared" si="4"/>
        <v>12601.8915</v>
      </c>
      <c r="G1118" s="1">
        <f t="shared" si="5"/>
        <v>22238.63205</v>
      </c>
      <c r="H1118" s="1">
        <f t="shared" si="6"/>
        <v>40770.82543</v>
      </c>
      <c r="I1118" s="1">
        <f t="shared" si="7"/>
        <v>66715.89615</v>
      </c>
    </row>
    <row r="1119" hidden="1">
      <c r="A1119" s="266">
        <f>IFERROR(__xludf.DUMMYFUNCTION("""COMPUTED_VALUE"""),43756.99861111111)</f>
        <v>43756.99861</v>
      </c>
      <c r="B1119" s="1">
        <f>IFERROR(__xludf.DUMMYFUNCTION("""COMPUTED_VALUE"""),7965.795)</f>
        <v>7965.795</v>
      </c>
      <c r="C1119" s="58">
        <f t="shared" si="1"/>
        <v>3940.998611</v>
      </c>
      <c r="D1119" s="1">
        <f t="shared" si="2"/>
        <v>3711.89818</v>
      </c>
      <c r="E1119" s="1">
        <f t="shared" si="3"/>
        <v>6681.416725</v>
      </c>
      <c r="F1119" s="1">
        <f t="shared" si="4"/>
        <v>12620.45381</v>
      </c>
      <c r="G1119" s="1">
        <f t="shared" si="5"/>
        <v>22271.38908</v>
      </c>
      <c r="H1119" s="1">
        <f t="shared" si="6"/>
        <v>40830.87998</v>
      </c>
      <c r="I1119" s="1">
        <f t="shared" si="7"/>
        <v>66814.16725</v>
      </c>
    </row>
    <row r="1120" hidden="1">
      <c r="A1120" s="266">
        <f>IFERROR(__xludf.DUMMYFUNCTION("""COMPUTED_VALUE"""),43757.99861111111)</f>
        <v>43757.99861</v>
      </c>
      <c r="B1120" s="1">
        <f>IFERROR(__xludf.DUMMYFUNCTION("""COMPUTED_VALUE"""),7972.998)</f>
        <v>7972.998</v>
      </c>
      <c r="C1120" s="58">
        <f t="shared" si="1"/>
        <v>3941.998611</v>
      </c>
      <c r="D1120" s="1">
        <f t="shared" si="2"/>
        <v>3717.364339</v>
      </c>
      <c r="E1120" s="1">
        <f t="shared" si="3"/>
        <v>6691.255811</v>
      </c>
      <c r="F1120" s="1">
        <f t="shared" si="4"/>
        <v>12639.03875</v>
      </c>
      <c r="G1120" s="1">
        <f t="shared" si="5"/>
        <v>22304.18604</v>
      </c>
      <c r="H1120" s="1">
        <f t="shared" si="6"/>
        <v>40891.00773</v>
      </c>
      <c r="I1120" s="1">
        <f t="shared" si="7"/>
        <v>66912.55811</v>
      </c>
    </row>
    <row r="1121" hidden="1">
      <c r="A1121" s="266">
        <f>IFERROR(__xludf.DUMMYFUNCTION("""COMPUTED_VALUE"""),43758.99861111111)</f>
        <v>43758.99861</v>
      </c>
      <c r="B1121" s="1">
        <f>IFERROR(__xludf.DUMMYFUNCTION("""COMPUTED_VALUE"""),8239.474)</f>
        <v>8239.474</v>
      </c>
      <c r="C1121" s="58">
        <f t="shared" si="1"/>
        <v>3942.998611</v>
      </c>
      <c r="D1121" s="1">
        <f t="shared" si="2"/>
        <v>3722.837158</v>
      </c>
      <c r="E1121" s="1">
        <f t="shared" si="3"/>
        <v>6701.106885</v>
      </c>
      <c r="F1121" s="1">
        <f t="shared" si="4"/>
        <v>12657.64634</v>
      </c>
      <c r="G1121" s="1">
        <f t="shared" si="5"/>
        <v>22337.02295</v>
      </c>
      <c r="H1121" s="1">
        <f t="shared" si="6"/>
        <v>40951.20874</v>
      </c>
      <c r="I1121" s="1">
        <f t="shared" si="7"/>
        <v>67011.06885</v>
      </c>
    </row>
    <row r="1122" hidden="1">
      <c r="A1122" s="266">
        <f>IFERROR(__xludf.DUMMYFUNCTION("""COMPUTED_VALUE"""),43759.99861111111)</f>
        <v>43759.99861</v>
      </c>
      <c r="B1122" s="1">
        <f>IFERROR(__xludf.DUMMYFUNCTION("""COMPUTED_VALUE"""),8220.194)</f>
        <v>8220.194</v>
      </c>
      <c r="C1122" s="58">
        <f t="shared" si="1"/>
        <v>3943.998611</v>
      </c>
      <c r="D1122" s="1">
        <f t="shared" si="2"/>
        <v>3728.316643</v>
      </c>
      <c r="E1122" s="1">
        <f t="shared" si="3"/>
        <v>6710.969958</v>
      </c>
      <c r="F1122" s="1">
        <f t="shared" si="4"/>
        <v>12676.27659</v>
      </c>
      <c r="G1122" s="1">
        <f t="shared" si="5"/>
        <v>22369.89986</v>
      </c>
      <c r="H1122" s="1">
        <f t="shared" si="6"/>
        <v>41011.48308</v>
      </c>
      <c r="I1122" s="1">
        <f t="shared" si="7"/>
        <v>67109.69958</v>
      </c>
    </row>
    <row r="1123" hidden="1">
      <c r="A1123" s="266">
        <f>IFERROR(__xludf.DUMMYFUNCTION("""COMPUTED_VALUE"""),43760.99861111111)</f>
        <v>43760.99861</v>
      </c>
      <c r="B1123" s="1">
        <f>IFERROR(__xludf.DUMMYFUNCTION("""COMPUTED_VALUE"""),8033.617)</f>
        <v>8033.617</v>
      </c>
      <c r="C1123" s="58">
        <f t="shared" si="1"/>
        <v>3944.998611</v>
      </c>
      <c r="D1123" s="1">
        <f t="shared" si="2"/>
        <v>3733.802801</v>
      </c>
      <c r="E1123" s="1">
        <f t="shared" si="3"/>
        <v>6720.845042</v>
      </c>
      <c r="F1123" s="1">
        <f t="shared" si="4"/>
        <v>12694.92952</v>
      </c>
      <c r="G1123" s="1">
        <f t="shared" si="5"/>
        <v>22402.81681</v>
      </c>
      <c r="H1123" s="1">
        <f t="shared" si="6"/>
        <v>41071.83081</v>
      </c>
      <c r="I1123" s="1">
        <f t="shared" si="7"/>
        <v>67208.45042</v>
      </c>
    </row>
    <row r="1124" hidden="1">
      <c r="A1124" s="266">
        <f>IFERROR(__xludf.DUMMYFUNCTION("""COMPUTED_VALUE"""),43761.99861111111)</f>
        <v>43761.99861</v>
      </c>
      <c r="B1124" s="1">
        <f>IFERROR(__xludf.DUMMYFUNCTION("""COMPUTED_VALUE"""),7463.521)</f>
        <v>7463.521</v>
      </c>
      <c r="C1124" s="58">
        <f t="shared" si="1"/>
        <v>3945.998611</v>
      </c>
      <c r="D1124" s="1">
        <f t="shared" si="2"/>
        <v>3739.295639</v>
      </c>
      <c r="E1124" s="1">
        <f t="shared" si="3"/>
        <v>6730.732149</v>
      </c>
      <c r="F1124" s="1">
        <f t="shared" si="4"/>
        <v>12713.60517</v>
      </c>
      <c r="G1124" s="1">
        <f t="shared" si="5"/>
        <v>22435.77383</v>
      </c>
      <c r="H1124" s="1">
        <f t="shared" si="6"/>
        <v>41132.25202</v>
      </c>
      <c r="I1124" s="1">
        <f t="shared" si="7"/>
        <v>67307.32149</v>
      </c>
    </row>
    <row r="1125" hidden="1">
      <c r="A1125" s="266">
        <f>IFERROR(__xludf.DUMMYFUNCTION("""COMPUTED_VALUE"""),43762.99861111111)</f>
        <v>43762.99861</v>
      </c>
      <c r="B1125" s="1">
        <f>IFERROR(__xludf.DUMMYFUNCTION("""COMPUTED_VALUE"""),7439.174)</f>
        <v>7439.174</v>
      </c>
      <c r="C1125" s="58">
        <f t="shared" si="1"/>
        <v>3946.998611</v>
      </c>
      <c r="D1125" s="1">
        <f t="shared" si="2"/>
        <v>3744.795161</v>
      </c>
      <c r="E1125" s="1">
        <f t="shared" si="3"/>
        <v>6740.631291</v>
      </c>
      <c r="F1125" s="1">
        <f t="shared" si="4"/>
        <v>12732.30355</v>
      </c>
      <c r="G1125" s="1">
        <f t="shared" si="5"/>
        <v>22468.77097</v>
      </c>
      <c r="H1125" s="1">
        <f t="shared" si="6"/>
        <v>41192.74678</v>
      </c>
      <c r="I1125" s="1">
        <f t="shared" si="7"/>
        <v>67406.31291</v>
      </c>
    </row>
    <row r="1126" hidden="1">
      <c r="A1126" s="266">
        <f>IFERROR(__xludf.DUMMYFUNCTION("""COMPUTED_VALUE"""),43763.99861111111)</f>
        <v>43763.99861</v>
      </c>
      <c r="B1126" s="1">
        <f>IFERROR(__xludf.DUMMYFUNCTION("""COMPUTED_VALUE"""),8669.673)</f>
        <v>8669.673</v>
      </c>
      <c r="C1126" s="58">
        <f t="shared" si="1"/>
        <v>3947.998611</v>
      </c>
      <c r="D1126" s="1">
        <f t="shared" si="2"/>
        <v>3750.301376</v>
      </c>
      <c r="E1126" s="1">
        <f t="shared" si="3"/>
        <v>6750.542478</v>
      </c>
      <c r="F1126" s="1">
        <f t="shared" si="4"/>
        <v>12751.02468</v>
      </c>
      <c r="G1126" s="1">
        <f t="shared" si="5"/>
        <v>22501.80826</v>
      </c>
      <c r="H1126" s="1">
        <f t="shared" si="6"/>
        <v>41253.31514</v>
      </c>
      <c r="I1126" s="1">
        <f t="shared" si="7"/>
        <v>67505.42478</v>
      </c>
    </row>
    <row r="1127" hidden="1">
      <c r="A1127" s="266">
        <f>IFERROR(__xludf.DUMMYFUNCTION("""COMPUTED_VALUE"""),43764.99861111111)</f>
        <v>43764.99861</v>
      </c>
      <c r="B1127" s="1">
        <f>IFERROR(__xludf.DUMMYFUNCTION("""COMPUTED_VALUE"""),9257.699)</f>
        <v>9257.699</v>
      </c>
      <c r="C1127" s="58">
        <f t="shared" si="1"/>
        <v>3948.998611</v>
      </c>
      <c r="D1127" s="1">
        <f t="shared" si="2"/>
        <v>3755.81429</v>
      </c>
      <c r="E1127" s="1">
        <f t="shared" si="3"/>
        <v>6760.465722</v>
      </c>
      <c r="F1127" s="1">
        <f t="shared" si="4"/>
        <v>12769.76859</v>
      </c>
      <c r="G1127" s="1">
        <f t="shared" si="5"/>
        <v>22534.88574</v>
      </c>
      <c r="H1127" s="1">
        <f t="shared" si="6"/>
        <v>41313.95719</v>
      </c>
      <c r="I1127" s="1">
        <f t="shared" si="7"/>
        <v>67604.65722</v>
      </c>
    </row>
    <row r="1128" hidden="1">
      <c r="A1128" s="266">
        <f>IFERROR(__xludf.DUMMYFUNCTION("""COMPUTED_VALUE"""),43765.99861111111)</f>
        <v>43765.99861</v>
      </c>
      <c r="B1128" s="1">
        <f>IFERROR(__xludf.DUMMYFUNCTION("""COMPUTED_VALUE"""),9550.732)</f>
        <v>9550.732</v>
      </c>
      <c r="C1128" s="58">
        <f t="shared" si="1"/>
        <v>3949.998611</v>
      </c>
      <c r="D1128" s="1">
        <f t="shared" si="2"/>
        <v>3761.333909</v>
      </c>
      <c r="E1128" s="1">
        <f t="shared" si="3"/>
        <v>6770.401036</v>
      </c>
      <c r="F1128" s="1">
        <f t="shared" si="4"/>
        <v>12788.53529</v>
      </c>
      <c r="G1128" s="1">
        <f t="shared" si="5"/>
        <v>22568.00345</v>
      </c>
      <c r="H1128" s="1">
        <f t="shared" si="6"/>
        <v>41374.673</v>
      </c>
      <c r="I1128" s="1">
        <f t="shared" si="7"/>
        <v>67704.01036</v>
      </c>
    </row>
    <row r="1129" hidden="1">
      <c r="A1129" s="266">
        <f>IFERROR(__xludf.DUMMYFUNCTION("""COMPUTED_VALUE"""),43766.99861111111)</f>
        <v>43766.99861</v>
      </c>
      <c r="B1129" s="1">
        <f>IFERROR(__xludf.DUMMYFUNCTION("""COMPUTED_VALUE"""),9221.572)</f>
        <v>9221.572</v>
      </c>
      <c r="C1129" s="58">
        <f t="shared" si="1"/>
        <v>3950.998611</v>
      </c>
      <c r="D1129" s="1">
        <f t="shared" si="2"/>
        <v>3766.860239</v>
      </c>
      <c r="E1129" s="1">
        <f t="shared" si="3"/>
        <v>6780.34843</v>
      </c>
      <c r="F1129" s="1">
        <f t="shared" si="4"/>
        <v>12807.32481</v>
      </c>
      <c r="G1129" s="1">
        <f t="shared" si="5"/>
        <v>22601.16143</v>
      </c>
      <c r="H1129" s="1">
        <f t="shared" si="6"/>
        <v>41435.46263</v>
      </c>
      <c r="I1129" s="1">
        <f t="shared" si="7"/>
        <v>67803.4843</v>
      </c>
    </row>
    <row r="1130" hidden="1">
      <c r="A1130" s="266">
        <f>IFERROR(__xludf.DUMMYFUNCTION("""COMPUTED_VALUE"""),43767.99861111111)</f>
        <v>43767.99861</v>
      </c>
      <c r="B1130" s="1">
        <f>IFERROR(__xludf.DUMMYFUNCTION("""COMPUTED_VALUE"""),9433.596)</f>
        <v>9433.596</v>
      </c>
      <c r="C1130" s="58">
        <f t="shared" si="1"/>
        <v>3951.998611</v>
      </c>
      <c r="D1130" s="1">
        <f t="shared" si="2"/>
        <v>3772.393287</v>
      </c>
      <c r="E1130" s="1">
        <f t="shared" si="3"/>
        <v>6790.307916</v>
      </c>
      <c r="F1130" s="1">
        <f t="shared" si="4"/>
        <v>12826.13717</v>
      </c>
      <c r="G1130" s="1">
        <f t="shared" si="5"/>
        <v>22634.35972</v>
      </c>
      <c r="H1130" s="1">
        <f t="shared" si="6"/>
        <v>41496.32615</v>
      </c>
      <c r="I1130" s="1">
        <f t="shared" si="7"/>
        <v>67903.07916</v>
      </c>
    </row>
    <row r="1131" hidden="1">
      <c r="A1131" s="266">
        <f>IFERROR(__xludf.DUMMYFUNCTION("""COMPUTED_VALUE"""),43768.99861111111)</f>
        <v>43768.99861</v>
      </c>
      <c r="B1131" s="1">
        <f>IFERROR(__xludf.DUMMYFUNCTION("""COMPUTED_VALUE"""),9168.93)</f>
        <v>9168.93</v>
      </c>
      <c r="C1131" s="58">
        <f t="shared" si="1"/>
        <v>3952.998611</v>
      </c>
      <c r="D1131" s="1">
        <f t="shared" si="2"/>
        <v>3777.933059</v>
      </c>
      <c r="E1131" s="1">
        <f t="shared" si="3"/>
        <v>6800.279506</v>
      </c>
      <c r="F1131" s="1">
        <f t="shared" si="4"/>
        <v>12844.9724</v>
      </c>
      <c r="G1131" s="1">
        <f t="shared" si="5"/>
        <v>22667.59835</v>
      </c>
      <c r="H1131" s="1">
        <f t="shared" si="6"/>
        <v>41557.26365</v>
      </c>
      <c r="I1131" s="1">
        <f t="shared" si="7"/>
        <v>68002.79506</v>
      </c>
    </row>
    <row r="1132" hidden="1">
      <c r="A1132" s="266">
        <f>IFERROR(__xludf.DUMMYFUNCTION("""COMPUTED_VALUE"""),43769.99861111111)</f>
        <v>43769.99861</v>
      </c>
      <c r="B1132" s="1">
        <f>IFERROR(__xludf.DUMMYFUNCTION("""COMPUTED_VALUE"""),9159.36)</f>
        <v>9159.36</v>
      </c>
      <c r="C1132" s="58">
        <f t="shared" si="1"/>
        <v>3953.998611</v>
      </c>
      <c r="D1132" s="1">
        <f t="shared" si="2"/>
        <v>3783.479562</v>
      </c>
      <c r="E1132" s="1">
        <f t="shared" si="3"/>
        <v>6810.263212</v>
      </c>
      <c r="F1132" s="1">
        <f t="shared" si="4"/>
        <v>12863.83051</v>
      </c>
      <c r="G1132" s="1">
        <f t="shared" si="5"/>
        <v>22700.87737</v>
      </c>
      <c r="H1132" s="1">
        <f t="shared" si="6"/>
        <v>41618.27519</v>
      </c>
      <c r="I1132" s="1">
        <f t="shared" si="7"/>
        <v>68102.63212</v>
      </c>
    </row>
    <row r="1133" hidden="1">
      <c r="A1133" s="266">
        <f>IFERROR(__xludf.DUMMYFUNCTION("""COMPUTED_VALUE"""),43770.99861111111)</f>
        <v>43770.99861</v>
      </c>
      <c r="B1133" s="1">
        <f>IFERROR(__xludf.DUMMYFUNCTION("""COMPUTED_VALUE"""),9257.186)</f>
        <v>9257.186</v>
      </c>
      <c r="C1133" s="58">
        <f t="shared" si="1"/>
        <v>3954.998611</v>
      </c>
      <c r="D1133" s="1">
        <f t="shared" si="2"/>
        <v>3789.032803</v>
      </c>
      <c r="E1133" s="1">
        <f t="shared" si="3"/>
        <v>6820.259045</v>
      </c>
      <c r="F1133" s="1">
        <f t="shared" si="4"/>
        <v>12882.71153</v>
      </c>
      <c r="G1133" s="1">
        <f t="shared" si="5"/>
        <v>22734.19682</v>
      </c>
      <c r="H1133" s="1">
        <f t="shared" si="6"/>
        <v>41679.36083</v>
      </c>
      <c r="I1133" s="1">
        <f t="shared" si="7"/>
        <v>68202.59045</v>
      </c>
    </row>
    <row r="1134" hidden="1">
      <c r="A1134" s="266">
        <f>IFERROR(__xludf.DUMMYFUNCTION("""COMPUTED_VALUE"""),43771.99861111111)</f>
        <v>43771.99861</v>
      </c>
      <c r="B1134" s="1">
        <f>IFERROR(__xludf.DUMMYFUNCTION("""COMPUTED_VALUE"""),9313.13)</f>
        <v>9313.13</v>
      </c>
      <c r="C1134" s="58">
        <f t="shared" si="1"/>
        <v>3955.998611</v>
      </c>
      <c r="D1134" s="1">
        <f t="shared" si="2"/>
        <v>3794.592787</v>
      </c>
      <c r="E1134" s="1">
        <f t="shared" si="3"/>
        <v>6830.267017</v>
      </c>
      <c r="F1134" s="1">
        <f t="shared" si="4"/>
        <v>12901.61548</v>
      </c>
      <c r="G1134" s="1">
        <f t="shared" si="5"/>
        <v>22767.55672</v>
      </c>
      <c r="H1134" s="1">
        <f t="shared" si="6"/>
        <v>41740.52066</v>
      </c>
      <c r="I1134" s="1">
        <f t="shared" si="7"/>
        <v>68302.67017</v>
      </c>
    </row>
    <row r="1135" hidden="1">
      <c r="A1135" s="266">
        <f>IFERROR(__xludf.DUMMYFUNCTION("""COMPUTED_VALUE"""),43772.99861111111)</f>
        <v>43772.99861</v>
      </c>
      <c r="B1135" s="1">
        <f>IFERROR(__xludf.DUMMYFUNCTION("""COMPUTED_VALUE"""),9213.252)</f>
        <v>9213.252</v>
      </c>
      <c r="C1135" s="58">
        <f t="shared" si="1"/>
        <v>3956.998611</v>
      </c>
      <c r="D1135" s="1">
        <f t="shared" si="2"/>
        <v>3800.159522</v>
      </c>
      <c r="E1135" s="1">
        <f t="shared" si="3"/>
        <v>6840.287139</v>
      </c>
      <c r="F1135" s="1">
        <f t="shared" si="4"/>
        <v>12920.54237</v>
      </c>
      <c r="G1135" s="1">
        <f t="shared" si="5"/>
        <v>22800.95713</v>
      </c>
      <c r="H1135" s="1">
        <f t="shared" si="6"/>
        <v>41801.75474</v>
      </c>
      <c r="I1135" s="1">
        <f t="shared" si="7"/>
        <v>68402.87139</v>
      </c>
    </row>
    <row r="1136" hidden="1">
      <c r="A1136" s="266">
        <f>IFERROR(__xludf.DUMMYFUNCTION("""COMPUTED_VALUE"""),43773.99861111111)</f>
        <v>43773.99861</v>
      </c>
      <c r="B1136" s="1">
        <f>IFERROR(__xludf.DUMMYFUNCTION("""COMPUTED_VALUE"""),9423.793)</f>
        <v>9423.793</v>
      </c>
      <c r="C1136" s="58">
        <f t="shared" si="1"/>
        <v>3957.998611</v>
      </c>
      <c r="D1136" s="1">
        <f t="shared" si="2"/>
        <v>3805.733013</v>
      </c>
      <c r="E1136" s="1">
        <f t="shared" si="3"/>
        <v>6850.319424</v>
      </c>
      <c r="F1136" s="1">
        <f t="shared" si="4"/>
        <v>12939.49225</v>
      </c>
      <c r="G1136" s="1">
        <f t="shared" si="5"/>
        <v>22834.39808</v>
      </c>
      <c r="H1136" s="1">
        <f t="shared" si="6"/>
        <v>41863.06315</v>
      </c>
      <c r="I1136" s="1">
        <f t="shared" si="7"/>
        <v>68503.19424</v>
      </c>
    </row>
    <row r="1137" hidden="1">
      <c r="A1137" s="266">
        <f>IFERROR(__xludf.DUMMYFUNCTION("""COMPUTED_VALUE"""),43774.99861111111)</f>
        <v>43774.99861</v>
      </c>
      <c r="B1137" s="1">
        <f>IFERROR(__xludf.DUMMYFUNCTION("""COMPUTED_VALUE"""),9320.99)</f>
        <v>9320.99</v>
      </c>
      <c r="C1137" s="58">
        <f t="shared" si="1"/>
        <v>3958.998611</v>
      </c>
      <c r="D1137" s="1">
        <f t="shared" si="2"/>
        <v>3811.313268</v>
      </c>
      <c r="E1137" s="1">
        <f t="shared" si="3"/>
        <v>6860.363882</v>
      </c>
      <c r="F1137" s="1">
        <f t="shared" si="4"/>
        <v>12958.46511</v>
      </c>
      <c r="G1137" s="1">
        <f t="shared" si="5"/>
        <v>22867.87961</v>
      </c>
      <c r="H1137" s="1">
        <f t="shared" si="6"/>
        <v>41924.44595</v>
      </c>
      <c r="I1137" s="1">
        <f t="shared" si="7"/>
        <v>68603.63882</v>
      </c>
    </row>
    <row r="1138" hidden="1">
      <c r="A1138" s="266">
        <f>IFERROR(__xludf.DUMMYFUNCTION("""COMPUTED_VALUE"""),43775.99861111111)</f>
        <v>43775.99861</v>
      </c>
      <c r="B1138" s="1">
        <f>IFERROR(__xludf.DUMMYFUNCTION("""COMPUTED_VALUE"""),9349.671)</f>
        <v>9349.671</v>
      </c>
      <c r="C1138" s="58">
        <f t="shared" si="1"/>
        <v>3959.998611</v>
      </c>
      <c r="D1138" s="1">
        <f t="shared" si="2"/>
        <v>3816.900292</v>
      </c>
      <c r="E1138" s="1">
        <f t="shared" si="3"/>
        <v>6870.420526</v>
      </c>
      <c r="F1138" s="1">
        <f t="shared" si="4"/>
        <v>12977.46099</v>
      </c>
      <c r="G1138" s="1">
        <f t="shared" si="5"/>
        <v>22901.40175</v>
      </c>
      <c r="H1138" s="1">
        <f t="shared" si="6"/>
        <v>41985.90322</v>
      </c>
      <c r="I1138" s="1">
        <f t="shared" si="7"/>
        <v>68704.20526</v>
      </c>
    </row>
    <row r="1139" hidden="1">
      <c r="A1139" s="266">
        <f>IFERROR(__xludf.DUMMYFUNCTION("""COMPUTED_VALUE"""),43776.99861111111)</f>
        <v>43776.99861</v>
      </c>
      <c r="B1139" s="1">
        <f>IFERROR(__xludf.DUMMYFUNCTION("""COMPUTED_VALUE"""),9204.581)</f>
        <v>9204.581</v>
      </c>
      <c r="C1139" s="58">
        <f t="shared" si="1"/>
        <v>3960.998611</v>
      </c>
      <c r="D1139" s="1">
        <f t="shared" si="2"/>
        <v>3822.494093</v>
      </c>
      <c r="E1139" s="1">
        <f t="shared" si="3"/>
        <v>6880.489367</v>
      </c>
      <c r="F1139" s="1">
        <f t="shared" si="4"/>
        <v>12996.47992</v>
      </c>
      <c r="G1139" s="1">
        <f t="shared" si="5"/>
        <v>22934.96456</v>
      </c>
      <c r="H1139" s="1">
        <f t="shared" si="6"/>
        <v>42047.43502</v>
      </c>
      <c r="I1139" s="1">
        <f t="shared" si="7"/>
        <v>68804.89367</v>
      </c>
    </row>
    <row r="1140" hidden="1">
      <c r="A1140" s="266">
        <f>IFERROR(__xludf.DUMMYFUNCTION("""COMPUTED_VALUE"""),43777.99861111111)</f>
        <v>43777.99861</v>
      </c>
      <c r="B1140" s="1">
        <f>IFERROR(__xludf.DUMMYFUNCTION("""COMPUTED_VALUE"""),8769.167)</f>
        <v>8769.167</v>
      </c>
      <c r="C1140" s="58">
        <f t="shared" si="1"/>
        <v>3961.998611</v>
      </c>
      <c r="D1140" s="1">
        <f t="shared" si="2"/>
        <v>3828.094676</v>
      </c>
      <c r="E1140" s="1">
        <f t="shared" si="3"/>
        <v>6890.570418</v>
      </c>
      <c r="F1140" s="1">
        <f t="shared" si="4"/>
        <v>13015.5219</v>
      </c>
      <c r="G1140" s="1">
        <f t="shared" si="5"/>
        <v>22968.56806</v>
      </c>
      <c r="H1140" s="1">
        <f t="shared" si="6"/>
        <v>42109.04144</v>
      </c>
      <c r="I1140" s="1">
        <f t="shared" si="7"/>
        <v>68905.70418</v>
      </c>
    </row>
    <row r="1141" hidden="1">
      <c r="A1141" s="266">
        <f>IFERROR(__xludf.DUMMYFUNCTION("""COMPUTED_VALUE"""),43778.99861111111)</f>
        <v>43778.99861</v>
      </c>
      <c r="B1141" s="1">
        <f>IFERROR(__xludf.DUMMYFUNCTION("""COMPUTED_VALUE"""),8813.683)</f>
        <v>8813.683</v>
      </c>
      <c r="C1141" s="58">
        <f t="shared" si="1"/>
        <v>3962.998611</v>
      </c>
      <c r="D1141" s="1">
        <f t="shared" si="2"/>
        <v>3833.702049</v>
      </c>
      <c r="E1141" s="1">
        <f t="shared" si="3"/>
        <v>6900.663689</v>
      </c>
      <c r="F1141" s="1">
        <f t="shared" si="4"/>
        <v>13034.58697</v>
      </c>
      <c r="G1141" s="1">
        <f t="shared" si="5"/>
        <v>23002.2123</v>
      </c>
      <c r="H1141" s="1">
        <f t="shared" si="6"/>
        <v>42170.72254</v>
      </c>
      <c r="I1141" s="1">
        <f t="shared" si="7"/>
        <v>69006.63689</v>
      </c>
    </row>
    <row r="1142" hidden="1">
      <c r="A1142" s="266">
        <f>IFERROR(__xludf.DUMMYFUNCTION("""COMPUTED_VALUE"""),43779.99861111111)</f>
        <v>43779.99861</v>
      </c>
      <c r="B1142" s="1">
        <f>IFERROR(__xludf.DUMMYFUNCTION("""COMPUTED_VALUE"""),9046.242)</f>
        <v>9046.242</v>
      </c>
      <c r="C1142" s="58">
        <f t="shared" si="1"/>
        <v>3963.998611</v>
      </c>
      <c r="D1142" s="1">
        <f t="shared" si="2"/>
        <v>3839.316218</v>
      </c>
      <c r="E1142" s="1">
        <f t="shared" si="3"/>
        <v>6910.769192</v>
      </c>
      <c r="F1142" s="1">
        <f t="shared" si="4"/>
        <v>13053.67514</v>
      </c>
      <c r="G1142" s="1">
        <f t="shared" si="5"/>
        <v>23035.89731</v>
      </c>
      <c r="H1142" s="1">
        <f t="shared" si="6"/>
        <v>42232.4784</v>
      </c>
      <c r="I1142" s="1">
        <f t="shared" si="7"/>
        <v>69107.69192</v>
      </c>
    </row>
    <row r="1143" hidden="1">
      <c r="A1143" s="266">
        <f>IFERROR(__xludf.DUMMYFUNCTION("""COMPUTED_VALUE"""),43780.99861111111)</f>
        <v>43780.99861</v>
      </c>
      <c r="B1143" s="1">
        <f>IFERROR(__xludf.DUMMYFUNCTION("""COMPUTED_VALUE"""),8725.195)</f>
        <v>8725.195</v>
      </c>
      <c r="C1143" s="58">
        <f t="shared" si="1"/>
        <v>3964.998611</v>
      </c>
      <c r="D1143" s="1">
        <f t="shared" si="2"/>
        <v>3844.937189</v>
      </c>
      <c r="E1143" s="1">
        <f t="shared" si="3"/>
        <v>6920.886939</v>
      </c>
      <c r="F1143" s="1">
        <f t="shared" si="4"/>
        <v>13072.78644</v>
      </c>
      <c r="G1143" s="1">
        <f t="shared" si="5"/>
        <v>23069.62313</v>
      </c>
      <c r="H1143" s="1">
        <f t="shared" si="6"/>
        <v>42294.30907</v>
      </c>
      <c r="I1143" s="1">
        <f t="shared" si="7"/>
        <v>69208.86939</v>
      </c>
    </row>
    <row r="1144" hidden="1">
      <c r="A1144" s="266">
        <f>IFERROR(__xludf.DUMMYFUNCTION("""COMPUTED_VALUE"""),43781.99861111111)</f>
        <v>43781.99861</v>
      </c>
      <c r="B1144" s="1">
        <f>IFERROR(__xludf.DUMMYFUNCTION("""COMPUTED_VALUE"""),8813.387)</f>
        <v>8813.387</v>
      </c>
      <c r="C1144" s="58">
        <f t="shared" si="1"/>
        <v>3965.998611</v>
      </c>
      <c r="D1144" s="1">
        <f t="shared" si="2"/>
        <v>3850.564968</v>
      </c>
      <c r="E1144" s="1">
        <f t="shared" si="3"/>
        <v>6931.016943</v>
      </c>
      <c r="F1144" s="1">
        <f t="shared" si="4"/>
        <v>13091.92089</v>
      </c>
      <c r="G1144" s="1">
        <f t="shared" si="5"/>
        <v>23103.38981</v>
      </c>
      <c r="H1144" s="1">
        <f t="shared" si="6"/>
        <v>42356.21465</v>
      </c>
      <c r="I1144" s="1">
        <f t="shared" si="7"/>
        <v>69310.16943</v>
      </c>
    </row>
    <row r="1145" hidden="1">
      <c r="A1145" s="266">
        <f>IFERROR(__xludf.DUMMYFUNCTION("""COMPUTED_VALUE"""),43782.99861111111)</f>
        <v>43782.99861</v>
      </c>
      <c r="B1145" s="1">
        <f>IFERROR(__xludf.DUMMYFUNCTION("""COMPUTED_VALUE"""),8775.16)</f>
        <v>8775.16</v>
      </c>
      <c r="C1145" s="58">
        <f t="shared" si="1"/>
        <v>3966.998611</v>
      </c>
      <c r="D1145" s="1">
        <f t="shared" si="2"/>
        <v>3856.199563</v>
      </c>
      <c r="E1145" s="1">
        <f t="shared" si="3"/>
        <v>6941.159214</v>
      </c>
      <c r="F1145" s="1">
        <f t="shared" si="4"/>
        <v>13111.07851</v>
      </c>
      <c r="G1145" s="1">
        <f t="shared" si="5"/>
        <v>23137.19738</v>
      </c>
      <c r="H1145" s="1">
        <f t="shared" si="6"/>
        <v>42418.1952</v>
      </c>
      <c r="I1145" s="1">
        <f t="shared" si="7"/>
        <v>69411.59214</v>
      </c>
    </row>
    <row r="1146" hidden="1">
      <c r="A1146" s="266">
        <f>IFERROR(__xludf.DUMMYFUNCTION("""COMPUTED_VALUE"""),43783.99861111111)</f>
        <v>43783.99861</v>
      </c>
      <c r="B1146" s="1">
        <f>IFERROR(__xludf.DUMMYFUNCTION("""COMPUTED_VALUE"""),8639.802)</f>
        <v>8639.802</v>
      </c>
      <c r="C1146" s="58">
        <f t="shared" si="1"/>
        <v>3967.998611</v>
      </c>
      <c r="D1146" s="1">
        <f t="shared" si="2"/>
        <v>3861.84098</v>
      </c>
      <c r="E1146" s="1">
        <f t="shared" si="3"/>
        <v>6951.313764</v>
      </c>
      <c r="F1146" s="1">
        <f t="shared" si="4"/>
        <v>13130.25933</v>
      </c>
      <c r="G1146" s="1">
        <f t="shared" si="5"/>
        <v>23171.04588</v>
      </c>
      <c r="H1146" s="1">
        <f t="shared" si="6"/>
        <v>42480.25078</v>
      </c>
      <c r="I1146" s="1">
        <f t="shared" si="7"/>
        <v>69513.13764</v>
      </c>
    </row>
    <row r="1147" hidden="1">
      <c r="A1147" s="266">
        <f>IFERROR(__xludf.DUMMYFUNCTION("""COMPUTED_VALUE"""),43784.99861111111)</f>
        <v>43784.99861</v>
      </c>
      <c r="B1147" s="1">
        <f>IFERROR(__xludf.DUMMYFUNCTION("""COMPUTED_VALUE"""),8466.479)</f>
        <v>8466.479</v>
      </c>
      <c r="C1147" s="58">
        <f t="shared" si="1"/>
        <v>3968.998611</v>
      </c>
      <c r="D1147" s="1">
        <f t="shared" si="2"/>
        <v>3867.489225</v>
      </c>
      <c r="E1147" s="1">
        <f t="shared" si="3"/>
        <v>6961.480606</v>
      </c>
      <c r="F1147" s="1">
        <f t="shared" si="4"/>
        <v>13149.46337</v>
      </c>
      <c r="G1147" s="1">
        <f t="shared" si="5"/>
        <v>23204.93535</v>
      </c>
      <c r="H1147" s="1">
        <f t="shared" si="6"/>
        <v>42542.38148</v>
      </c>
      <c r="I1147" s="1">
        <f t="shared" si="7"/>
        <v>69614.80606</v>
      </c>
    </row>
    <row r="1148" hidden="1">
      <c r="A1148" s="266">
        <f>IFERROR(__xludf.DUMMYFUNCTION("""COMPUTED_VALUE"""),43785.99861111111)</f>
        <v>43785.99861</v>
      </c>
      <c r="B1148" s="1">
        <f>IFERROR(__xludf.DUMMYFUNCTION("""COMPUTED_VALUE"""),8496.651)</f>
        <v>8496.651</v>
      </c>
      <c r="C1148" s="58">
        <f t="shared" si="1"/>
        <v>3969.998611</v>
      </c>
      <c r="D1148" s="1">
        <f t="shared" si="2"/>
        <v>3873.144306</v>
      </c>
      <c r="E1148" s="1">
        <f t="shared" si="3"/>
        <v>6971.65975</v>
      </c>
      <c r="F1148" s="1">
        <f t="shared" si="4"/>
        <v>13168.69064</v>
      </c>
      <c r="G1148" s="1">
        <f t="shared" si="5"/>
        <v>23238.86583</v>
      </c>
      <c r="H1148" s="1">
        <f t="shared" si="6"/>
        <v>42604.58736</v>
      </c>
      <c r="I1148" s="1">
        <f t="shared" si="7"/>
        <v>69716.5975</v>
      </c>
    </row>
    <row r="1149" hidden="1">
      <c r="A1149" s="266">
        <f>IFERROR(__xludf.DUMMYFUNCTION("""COMPUTED_VALUE"""),43786.99861111111)</f>
        <v>43786.99861</v>
      </c>
      <c r="B1149" s="1">
        <f>IFERROR(__xludf.DUMMYFUNCTION("""COMPUTED_VALUE"""),8515.489)</f>
        <v>8515.489</v>
      </c>
      <c r="C1149" s="58">
        <f t="shared" si="1"/>
        <v>3970.998611</v>
      </c>
      <c r="D1149" s="1">
        <f t="shared" si="2"/>
        <v>3878.806228</v>
      </c>
      <c r="E1149" s="1">
        <f t="shared" si="3"/>
        <v>6981.85121</v>
      </c>
      <c r="F1149" s="1">
        <f t="shared" si="4"/>
        <v>13187.94117</v>
      </c>
      <c r="G1149" s="1">
        <f t="shared" si="5"/>
        <v>23272.83737</v>
      </c>
      <c r="H1149" s="1">
        <f t="shared" si="6"/>
        <v>42666.8685</v>
      </c>
      <c r="I1149" s="1">
        <f t="shared" si="7"/>
        <v>69818.5121</v>
      </c>
    </row>
    <row r="1150" hidden="1">
      <c r="A1150" s="266">
        <f>IFERROR(__xludf.DUMMYFUNCTION("""COMPUTED_VALUE"""),43787.99861111111)</f>
        <v>43787.99861</v>
      </c>
      <c r="B1150" s="1">
        <f>IFERROR(__xludf.DUMMYFUNCTION("""COMPUTED_VALUE"""),8185.337)</f>
        <v>8185.337</v>
      </c>
      <c r="C1150" s="58">
        <f t="shared" si="1"/>
        <v>3971.998611</v>
      </c>
      <c r="D1150" s="1">
        <f t="shared" si="2"/>
        <v>3884.474997</v>
      </c>
      <c r="E1150" s="1">
        <f t="shared" si="3"/>
        <v>6992.054995</v>
      </c>
      <c r="F1150" s="1">
        <f t="shared" si="4"/>
        <v>13207.21499</v>
      </c>
      <c r="G1150" s="1">
        <f t="shared" si="5"/>
        <v>23306.84998</v>
      </c>
      <c r="H1150" s="1">
        <f t="shared" si="6"/>
        <v>42729.22497</v>
      </c>
      <c r="I1150" s="1">
        <f t="shared" si="7"/>
        <v>69920.54995</v>
      </c>
    </row>
    <row r="1151" hidden="1">
      <c r="A1151" s="266">
        <f>IFERROR(__xludf.DUMMYFUNCTION("""COMPUTED_VALUE"""),43788.99861111111)</f>
        <v>43788.99861</v>
      </c>
      <c r="B1151" s="1">
        <f>IFERROR(__xludf.DUMMYFUNCTION("""COMPUTED_VALUE"""),8129.933)</f>
        <v>8129.933</v>
      </c>
      <c r="C1151" s="58">
        <f t="shared" si="1"/>
        <v>3972.998611</v>
      </c>
      <c r="D1151" s="1">
        <f t="shared" si="2"/>
        <v>3890.150622</v>
      </c>
      <c r="E1151" s="1">
        <f t="shared" si="3"/>
        <v>7002.271119</v>
      </c>
      <c r="F1151" s="1">
        <f t="shared" si="4"/>
        <v>13226.51211</v>
      </c>
      <c r="G1151" s="1">
        <f t="shared" si="5"/>
        <v>23340.90373</v>
      </c>
      <c r="H1151" s="1">
        <f t="shared" si="6"/>
        <v>42791.65684</v>
      </c>
      <c r="I1151" s="1">
        <f t="shared" si="7"/>
        <v>70022.71119</v>
      </c>
    </row>
    <row r="1152" hidden="1">
      <c r="A1152" s="266">
        <f>IFERROR(__xludf.DUMMYFUNCTION("""COMPUTED_VALUE"""),43789.99861111111)</f>
        <v>43789.99861</v>
      </c>
      <c r="B1152" s="1">
        <f>IFERROR(__xludf.DUMMYFUNCTION("""COMPUTED_VALUE"""),8094.492)</f>
        <v>8094.492</v>
      </c>
      <c r="C1152" s="58">
        <f t="shared" si="1"/>
        <v>3973.998611</v>
      </c>
      <c r="D1152" s="1">
        <f t="shared" si="2"/>
        <v>3895.833108</v>
      </c>
      <c r="E1152" s="1">
        <f t="shared" si="3"/>
        <v>7012.499594</v>
      </c>
      <c r="F1152" s="1">
        <f t="shared" si="4"/>
        <v>13245.83257</v>
      </c>
      <c r="G1152" s="1">
        <f t="shared" si="5"/>
        <v>23374.99865</v>
      </c>
      <c r="H1152" s="1">
        <f t="shared" si="6"/>
        <v>42854.16418</v>
      </c>
      <c r="I1152" s="1">
        <f t="shared" si="7"/>
        <v>70124.99594</v>
      </c>
    </row>
    <row r="1153" hidden="1">
      <c r="A1153" s="266">
        <f>IFERROR(__xludf.DUMMYFUNCTION("""COMPUTED_VALUE"""),43790.99861111111)</f>
        <v>43790.99861</v>
      </c>
      <c r="B1153" s="1">
        <f>IFERROR(__xludf.DUMMYFUNCTION("""COMPUTED_VALUE"""),7624.576)</f>
        <v>7624.576</v>
      </c>
      <c r="C1153" s="58">
        <f t="shared" si="1"/>
        <v>3974.998611</v>
      </c>
      <c r="D1153" s="1">
        <f t="shared" si="2"/>
        <v>3901.522461</v>
      </c>
      <c r="E1153" s="1">
        <f t="shared" si="3"/>
        <v>7022.74043</v>
      </c>
      <c r="F1153" s="1">
        <f t="shared" si="4"/>
        <v>13265.17637</v>
      </c>
      <c r="G1153" s="1">
        <f t="shared" si="5"/>
        <v>23409.13477</v>
      </c>
      <c r="H1153" s="1">
        <f t="shared" si="6"/>
        <v>42916.74707</v>
      </c>
      <c r="I1153" s="1">
        <f t="shared" si="7"/>
        <v>70227.4043</v>
      </c>
    </row>
    <row r="1154" hidden="1">
      <c r="A1154" s="266">
        <f>IFERROR(__xludf.DUMMYFUNCTION("""COMPUTED_VALUE"""),43791.99861111111)</f>
        <v>43791.99861</v>
      </c>
      <c r="B1154" s="1">
        <f>IFERROR(__xludf.DUMMYFUNCTION("""COMPUTED_VALUE"""),7290.634)</f>
        <v>7290.634</v>
      </c>
      <c r="C1154" s="58">
        <f t="shared" si="1"/>
        <v>3975.998611</v>
      </c>
      <c r="D1154" s="1">
        <f t="shared" si="2"/>
        <v>3907.218689</v>
      </c>
      <c r="E1154" s="1">
        <f t="shared" si="3"/>
        <v>7032.99364</v>
      </c>
      <c r="F1154" s="1">
        <f t="shared" si="4"/>
        <v>13284.54354</v>
      </c>
      <c r="G1154" s="1">
        <f t="shared" si="5"/>
        <v>23443.31213</v>
      </c>
      <c r="H1154" s="1">
        <f t="shared" si="6"/>
        <v>42979.40558</v>
      </c>
      <c r="I1154" s="1">
        <f t="shared" si="7"/>
        <v>70329.9364</v>
      </c>
    </row>
    <row r="1155" hidden="1">
      <c r="A1155" s="266">
        <f>IFERROR(__xludf.DUMMYFUNCTION("""COMPUTED_VALUE"""),43792.99861111111)</f>
        <v>43792.99861</v>
      </c>
      <c r="B1155" s="1">
        <f>IFERROR(__xludf.DUMMYFUNCTION("""COMPUTED_VALUE"""),7333.467)</f>
        <v>7333.467</v>
      </c>
      <c r="C1155" s="58">
        <f t="shared" si="1"/>
        <v>3976.998611</v>
      </c>
      <c r="D1155" s="1">
        <f t="shared" si="2"/>
        <v>3912.921797</v>
      </c>
      <c r="E1155" s="1">
        <f t="shared" si="3"/>
        <v>7043.259235</v>
      </c>
      <c r="F1155" s="1">
        <f t="shared" si="4"/>
        <v>13303.93411</v>
      </c>
      <c r="G1155" s="1">
        <f t="shared" si="5"/>
        <v>23477.53078</v>
      </c>
      <c r="H1155" s="1">
        <f t="shared" si="6"/>
        <v>43042.13977</v>
      </c>
      <c r="I1155" s="1">
        <f t="shared" si="7"/>
        <v>70432.59235</v>
      </c>
    </row>
    <row r="1156" hidden="1">
      <c r="A1156" s="266">
        <f>IFERROR(__xludf.DUMMYFUNCTION("""COMPUTED_VALUE"""),43793.99861111111)</f>
        <v>43793.99861</v>
      </c>
      <c r="B1156" s="1">
        <f>IFERROR(__xludf.DUMMYFUNCTION("""COMPUTED_VALUE"""),6919.361)</f>
        <v>6919.361</v>
      </c>
      <c r="C1156" s="58">
        <f t="shared" si="1"/>
        <v>3977.998611</v>
      </c>
      <c r="D1156" s="1">
        <f t="shared" si="2"/>
        <v>3918.631793</v>
      </c>
      <c r="E1156" s="1">
        <f t="shared" si="3"/>
        <v>7053.537228</v>
      </c>
      <c r="F1156" s="1">
        <f t="shared" si="4"/>
        <v>13323.3481</v>
      </c>
      <c r="G1156" s="1">
        <f t="shared" si="5"/>
        <v>23511.79076</v>
      </c>
      <c r="H1156" s="1">
        <f t="shared" si="6"/>
        <v>43104.94973</v>
      </c>
      <c r="I1156" s="1">
        <f t="shared" si="7"/>
        <v>70535.37228</v>
      </c>
    </row>
    <row r="1157" hidden="1">
      <c r="A1157" s="266">
        <f>IFERROR(__xludf.DUMMYFUNCTION("""COMPUTED_VALUE"""),43794.99861111111)</f>
        <v>43794.99861</v>
      </c>
      <c r="B1157" s="1">
        <f>IFERROR(__xludf.DUMMYFUNCTION("""COMPUTED_VALUE"""),7135.478)</f>
        <v>7135.478</v>
      </c>
      <c r="C1157" s="58">
        <f t="shared" si="1"/>
        <v>3978.998611</v>
      </c>
      <c r="D1157" s="1">
        <f t="shared" si="2"/>
        <v>3924.348684</v>
      </c>
      <c r="E1157" s="1">
        <f t="shared" si="3"/>
        <v>7063.82763</v>
      </c>
      <c r="F1157" s="1">
        <f t="shared" si="4"/>
        <v>13342.78552</v>
      </c>
      <c r="G1157" s="1">
        <f t="shared" si="5"/>
        <v>23546.0921</v>
      </c>
      <c r="H1157" s="1">
        <f t="shared" si="6"/>
        <v>43167.83552</v>
      </c>
      <c r="I1157" s="1">
        <f t="shared" si="7"/>
        <v>70638.2763</v>
      </c>
    </row>
    <row r="1158" hidden="1">
      <c r="A1158" s="266">
        <f>IFERROR(__xludf.DUMMYFUNCTION("""COMPUTED_VALUE"""),43795.99861111111)</f>
        <v>43795.99861</v>
      </c>
      <c r="B1158" s="1">
        <f>IFERROR(__xludf.DUMMYFUNCTION("""COMPUTED_VALUE"""),7170.994)</f>
        <v>7170.994</v>
      </c>
      <c r="C1158" s="58">
        <f t="shared" si="1"/>
        <v>3979.998611</v>
      </c>
      <c r="D1158" s="1">
        <f t="shared" si="2"/>
        <v>3930.072474</v>
      </c>
      <c r="E1158" s="1">
        <f t="shared" si="3"/>
        <v>7074.130454</v>
      </c>
      <c r="F1158" s="1">
        <f t="shared" si="4"/>
        <v>13362.24641</v>
      </c>
      <c r="G1158" s="1">
        <f t="shared" si="5"/>
        <v>23580.43485</v>
      </c>
      <c r="H1158" s="1">
        <f t="shared" si="6"/>
        <v>43230.79722</v>
      </c>
      <c r="I1158" s="1">
        <f t="shared" si="7"/>
        <v>70741.30454</v>
      </c>
    </row>
    <row r="1159" hidden="1">
      <c r="A1159" s="266">
        <f>IFERROR(__xludf.DUMMYFUNCTION("""COMPUTED_VALUE"""),43796.99861111111)</f>
        <v>43796.99861</v>
      </c>
      <c r="B1159" s="1">
        <f>IFERROR(__xludf.DUMMYFUNCTION("""COMPUTED_VALUE"""),7530.074)</f>
        <v>7530.074</v>
      </c>
      <c r="C1159" s="58">
        <f t="shared" si="1"/>
        <v>3980.998611</v>
      </c>
      <c r="D1159" s="1">
        <f t="shared" si="2"/>
        <v>3935.803172</v>
      </c>
      <c r="E1159" s="1">
        <f t="shared" si="3"/>
        <v>7084.44571</v>
      </c>
      <c r="F1159" s="1">
        <f t="shared" si="4"/>
        <v>13381.73079</v>
      </c>
      <c r="G1159" s="1">
        <f t="shared" si="5"/>
        <v>23614.81903</v>
      </c>
      <c r="H1159" s="1">
        <f t="shared" si="6"/>
        <v>43293.8349</v>
      </c>
      <c r="I1159" s="1">
        <f t="shared" si="7"/>
        <v>70844.4571</v>
      </c>
    </row>
    <row r="1160" hidden="1">
      <c r="A1160" s="266">
        <f>IFERROR(__xludf.DUMMYFUNCTION("""COMPUTED_VALUE"""),43797.99861111111)</f>
        <v>43797.99861</v>
      </c>
      <c r="B1160" s="1">
        <f>IFERROR(__xludf.DUMMYFUNCTION("""COMPUTED_VALUE"""),7439.147)</f>
        <v>7439.147</v>
      </c>
      <c r="C1160" s="58">
        <f t="shared" si="1"/>
        <v>3981.998611</v>
      </c>
      <c r="D1160" s="1">
        <f t="shared" si="2"/>
        <v>3941.540784</v>
      </c>
      <c r="E1160" s="1">
        <f t="shared" si="3"/>
        <v>7094.773412</v>
      </c>
      <c r="F1160" s="1">
        <f t="shared" si="4"/>
        <v>13401.23867</v>
      </c>
      <c r="G1160" s="1">
        <f t="shared" si="5"/>
        <v>23649.24471</v>
      </c>
      <c r="H1160" s="1">
        <f t="shared" si="6"/>
        <v>43356.94863</v>
      </c>
      <c r="I1160" s="1">
        <f t="shared" si="7"/>
        <v>70947.73412</v>
      </c>
    </row>
    <row r="1161" hidden="1">
      <c r="A1161" s="266">
        <f>IFERROR(__xludf.DUMMYFUNCTION("""COMPUTED_VALUE"""),43798.99861111111)</f>
        <v>43798.99861</v>
      </c>
      <c r="B1161" s="1">
        <f>IFERROR(__xludf.DUMMYFUNCTION("""COMPUTED_VALUE"""),7771.982)</f>
        <v>7771.982</v>
      </c>
      <c r="C1161" s="58">
        <f t="shared" si="1"/>
        <v>3982.998611</v>
      </c>
      <c r="D1161" s="1">
        <f t="shared" si="2"/>
        <v>3947.285316</v>
      </c>
      <c r="E1161" s="1">
        <f t="shared" si="3"/>
        <v>7105.11357</v>
      </c>
      <c r="F1161" s="1">
        <f t="shared" si="4"/>
        <v>13420.77008</v>
      </c>
      <c r="G1161" s="1">
        <f t="shared" si="5"/>
        <v>23683.7119</v>
      </c>
      <c r="H1161" s="1">
        <f t="shared" si="6"/>
        <v>43420.13848</v>
      </c>
      <c r="I1161" s="1">
        <f t="shared" si="7"/>
        <v>71051.1357</v>
      </c>
    </row>
    <row r="1162" hidden="1">
      <c r="A1162" s="266">
        <f>IFERROR(__xludf.DUMMYFUNCTION("""COMPUTED_VALUE"""),43799.99861111111)</f>
        <v>43799.99861</v>
      </c>
      <c r="B1162" s="1">
        <f>IFERROR(__xludf.DUMMYFUNCTION("""COMPUTED_VALUE"""),7573.91)</f>
        <v>7573.91</v>
      </c>
      <c r="C1162" s="58">
        <f t="shared" si="1"/>
        <v>3983.998611</v>
      </c>
      <c r="D1162" s="1">
        <f t="shared" si="2"/>
        <v>3953.036776</v>
      </c>
      <c r="E1162" s="1">
        <f t="shared" si="3"/>
        <v>7115.466196</v>
      </c>
      <c r="F1162" s="1">
        <f t="shared" si="4"/>
        <v>13440.32504</v>
      </c>
      <c r="G1162" s="1">
        <f t="shared" si="5"/>
        <v>23718.22065</v>
      </c>
      <c r="H1162" s="1">
        <f t="shared" si="6"/>
        <v>43483.40453</v>
      </c>
      <c r="I1162" s="1">
        <f t="shared" si="7"/>
        <v>71154.66196</v>
      </c>
    </row>
    <row r="1163" hidden="1">
      <c r="A1163" s="266">
        <f>IFERROR(__xludf.DUMMYFUNCTION("""COMPUTED_VALUE"""),43800.99861111111)</f>
        <v>43800.99861</v>
      </c>
      <c r="B1163" s="1">
        <f>IFERROR(__xludf.DUMMYFUNCTION("""COMPUTED_VALUE"""),7417.492)</f>
        <v>7417.492</v>
      </c>
      <c r="C1163" s="58">
        <f t="shared" si="1"/>
        <v>3984.998611</v>
      </c>
      <c r="D1163" s="1">
        <f t="shared" si="2"/>
        <v>3958.795169</v>
      </c>
      <c r="E1163" s="1">
        <f t="shared" si="3"/>
        <v>7125.831304</v>
      </c>
      <c r="F1163" s="1">
        <f t="shared" si="4"/>
        <v>13459.90357</v>
      </c>
      <c r="G1163" s="1">
        <f t="shared" si="5"/>
        <v>23752.77101</v>
      </c>
      <c r="H1163" s="1">
        <f t="shared" si="6"/>
        <v>43546.74686</v>
      </c>
      <c r="I1163" s="1">
        <f t="shared" si="7"/>
        <v>71258.31304</v>
      </c>
    </row>
    <row r="1164" hidden="1">
      <c r="A1164" s="266">
        <f>IFERROR(__xludf.DUMMYFUNCTION("""COMPUTED_VALUE"""),43801.99861111111)</f>
        <v>43801.99861</v>
      </c>
      <c r="B1164" s="1">
        <f>IFERROR(__xludf.DUMMYFUNCTION("""COMPUTED_VALUE"""),7320.275)</f>
        <v>7320.275</v>
      </c>
      <c r="C1164" s="58">
        <f t="shared" si="1"/>
        <v>3985.998611</v>
      </c>
      <c r="D1164" s="1">
        <f t="shared" si="2"/>
        <v>3964.560502</v>
      </c>
      <c r="E1164" s="1">
        <f t="shared" si="3"/>
        <v>7136.208903</v>
      </c>
      <c r="F1164" s="1">
        <f t="shared" si="4"/>
        <v>13479.50571</v>
      </c>
      <c r="G1164" s="1">
        <f t="shared" si="5"/>
        <v>23787.36301</v>
      </c>
      <c r="H1164" s="1">
        <f t="shared" si="6"/>
        <v>43610.16552</v>
      </c>
      <c r="I1164" s="1">
        <f t="shared" si="7"/>
        <v>71362.08903</v>
      </c>
    </row>
    <row r="1165" hidden="1">
      <c r="A1165" s="266">
        <f>IFERROR(__xludf.DUMMYFUNCTION("""COMPUTED_VALUE"""),43802.99861111111)</f>
        <v>43802.99861</v>
      </c>
      <c r="B1165" s="1">
        <f>IFERROR(__xludf.DUMMYFUNCTION("""COMPUTED_VALUE"""),7309.502)</f>
        <v>7309.502</v>
      </c>
      <c r="C1165" s="58">
        <f t="shared" si="1"/>
        <v>3986.998611</v>
      </c>
      <c r="D1165" s="1">
        <f t="shared" si="2"/>
        <v>3970.332782</v>
      </c>
      <c r="E1165" s="1">
        <f t="shared" si="3"/>
        <v>7146.599008</v>
      </c>
      <c r="F1165" s="1">
        <f t="shared" si="4"/>
        <v>13499.13146</v>
      </c>
      <c r="G1165" s="1">
        <f t="shared" si="5"/>
        <v>23821.99669</v>
      </c>
      <c r="H1165" s="1">
        <f t="shared" si="6"/>
        <v>43673.6606</v>
      </c>
      <c r="I1165" s="1">
        <f t="shared" si="7"/>
        <v>71465.99008</v>
      </c>
    </row>
    <row r="1166" hidden="1">
      <c r="A1166" s="266">
        <f>IFERROR(__xludf.DUMMYFUNCTION("""COMPUTED_VALUE"""),43803.99861111111)</f>
        <v>43803.99861</v>
      </c>
      <c r="B1166" s="1">
        <f>IFERROR(__xludf.DUMMYFUNCTION("""COMPUTED_VALUE"""),7206.325)</f>
        <v>7206.325</v>
      </c>
      <c r="C1166" s="58">
        <f t="shared" si="1"/>
        <v>3987.998611</v>
      </c>
      <c r="D1166" s="1">
        <f t="shared" si="2"/>
        <v>3976.112016</v>
      </c>
      <c r="E1166" s="1">
        <f t="shared" si="3"/>
        <v>7157.001628</v>
      </c>
      <c r="F1166" s="1">
        <f t="shared" si="4"/>
        <v>13518.78085</v>
      </c>
      <c r="G1166" s="1">
        <f t="shared" si="5"/>
        <v>23856.67209</v>
      </c>
      <c r="H1166" s="1">
        <f t="shared" si="6"/>
        <v>43737.23217</v>
      </c>
      <c r="I1166" s="1">
        <f t="shared" si="7"/>
        <v>71570.01628</v>
      </c>
    </row>
    <row r="1167" hidden="1">
      <c r="A1167" s="266">
        <f>IFERROR(__xludf.DUMMYFUNCTION("""COMPUTED_VALUE"""),43804.99861111111)</f>
        <v>43804.99861</v>
      </c>
      <c r="B1167" s="1">
        <f>IFERROR(__xludf.DUMMYFUNCTION("""COMPUTED_VALUE"""),7404.594)</f>
        <v>7404.594</v>
      </c>
      <c r="C1167" s="58">
        <f t="shared" si="1"/>
        <v>3988.998611</v>
      </c>
      <c r="D1167" s="1">
        <f t="shared" si="2"/>
        <v>3981.898209</v>
      </c>
      <c r="E1167" s="1">
        <f t="shared" si="3"/>
        <v>7167.416777</v>
      </c>
      <c r="F1167" s="1">
        <f t="shared" si="4"/>
        <v>13538.45391</v>
      </c>
      <c r="G1167" s="1">
        <f t="shared" si="5"/>
        <v>23891.38926</v>
      </c>
      <c r="H1167" s="1">
        <f t="shared" si="6"/>
        <v>43800.8803</v>
      </c>
      <c r="I1167" s="1">
        <f t="shared" si="7"/>
        <v>71674.16777</v>
      </c>
    </row>
    <row r="1168" hidden="1">
      <c r="A1168" s="266">
        <f>IFERROR(__xludf.DUMMYFUNCTION("""COMPUTED_VALUE"""),43805.99861111111)</f>
        <v>43805.99861</v>
      </c>
      <c r="B1168" s="1">
        <f>IFERROR(__xludf.DUMMYFUNCTION("""COMPUTED_VALUE"""),7556.27)</f>
        <v>7556.27</v>
      </c>
      <c r="C1168" s="58">
        <f t="shared" si="1"/>
        <v>3989.998611</v>
      </c>
      <c r="D1168" s="1">
        <f t="shared" si="2"/>
        <v>3987.69137</v>
      </c>
      <c r="E1168" s="1">
        <f t="shared" si="3"/>
        <v>7177.844466</v>
      </c>
      <c r="F1168" s="1">
        <f t="shared" si="4"/>
        <v>13558.15066</v>
      </c>
      <c r="G1168" s="1">
        <f t="shared" si="5"/>
        <v>23926.14822</v>
      </c>
      <c r="H1168" s="1">
        <f t="shared" si="6"/>
        <v>43864.60507</v>
      </c>
      <c r="I1168" s="1">
        <f t="shared" si="7"/>
        <v>71778.44466</v>
      </c>
    </row>
    <row r="1169" hidden="1">
      <c r="A1169" s="266">
        <f>IFERROR(__xludf.DUMMYFUNCTION("""COMPUTED_VALUE"""),43806.99861111111)</f>
        <v>43806.99861</v>
      </c>
      <c r="B1169" s="1">
        <f>IFERROR(__xludf.DUMMYFUNCTION("""COMPUTED_VALUE"""),7521.311)</f>
        <v>7521.311</v>
      </c>
      <c r="C1169" s="58">
        <f t="shared" si="1"/>
        <v>3990.998611</v>
      </c>
      <c r="D1169" s="1">
        <f t="shared" si="2"/>
        <v>3993.491504</v>
      </c>
      <c r="E1169" s="1">
        <f t="shared" si="3"/>
        <v>7188.284707</v>
      </c>
      <c r="F1169" s="1">
        <f t="shared" si="4"/>
        <v>13577.87111</v>
      </c>
      <c r="G1169" s="1">
        <f t="shared" si="5"/>
        <v>23960.94902</v>
      </c>
      <c r="H1169" s="1">
        <f t="shared" si="6"/>
        <v>43928.40654</v>
      </c>
      <c r="I1169" s="1">
        <f t="shared" si="7"/>
        <v>71882.84707</v>
      </c>
    </row>
    <row r="1170" hidden="1">
      <c r="A1170" s="266">
        <f>IFERROR(__xludf.DUMMYFUNCTION("""COMPUTED_VALUE"""),43807.99861111111)</f>
        <v>43807.99861</v>
      </c>
      <c r="B1170" s="1">
        <f>IFERROR(__xludf.DUMMYFUNCTION("""COMPUTED_VALUE"""),7542.409)</f>
        <v>7542.409</v>
      </c>
      <c r="C1170" s="58">
        <f t="shared" si="1"/>
        <v>3991.998611</v>
      </c>
      <c r="D1170" s="1">
        <f t="shared" si="2"/>
        <v>3999.298618</v>
      </c>
      <c r="E1170" s="1">
        <f t="shared" si="3"/>
        <v>7198.737512</v>
      </c>
      <c r="F1170" s="1">
        <f t="shared" si="4"/>
        <v>13597.6153</v>
      </c>
      <c r="G1170" s="1">
        <f t="shared" si="5"/>
        <v>23995.79171</v>
      </c>
      <c r="H1170" s="1">
        <f t="shared" si="6"/>
        <v>43992.2848</v>
      </c>
      <c r="I1170" s="1">
        <f t="shared" si="7"/>
        <v>71987.37512</v>
      </c>
    </row>
    <row r="1171" hidden="1">
      <c r="A1171" s="266">
        <f>IFERROR(__xludf.DUMMYFUNCTION("""COMPUTED_VALUE"""),43808.99861111111)</f>
        <v>43808.99861</v>
      </c>
      <c r="B1171" s="1">
        <f>IFERROR(__xludf.DUMMYFUNCTION("""COMPUTED_VALUE"""),7350.122)</f>
        <v>7350.122</v>
      </c>
      <c r="C1171" s="58">
        <f t="shared" si="1"/>
        <v>3992.998611</v>
      </c>
      <c r="D1171" s="1">
        <f t="shared" si="2"/>
        <v>4005.112718</v>
      </c>
      <c r="E1171" s="1">
        <f t="shared" si="3"/>
        <v>7209.202893</v>
      </c>
      <c r="F1171" s="1">
        <f t="shared" si="4"/>
        <v>13617.38324</v>
      </c>
      <c r="G1171" s="1">
        <f t="shared" si="5"/>
        <v>24030.67631</v>
      </c>
      <c r="H1171" s="1">
        <f t="shared" si="6"/>
        <v>44056.2399</v>
      </c>
      <c r="I1171" s="1">
        <f t="shared" si="7"/>
        <v>72092.02893</v>
      </c>
    </row>
    <row r="1172" hidden="1">
      <c r="A1172" s="266">
        <f>IFERROR(__xludf.DUMMYFUNCTION("""COMPUTED_VALUE"""),43809.99861111111)</f>
        <v>43809.99861</v>
      </c>
      <c r="B1172" s="1">
        <f>IFERROR(__xludf.DUMMYFUNCTION("""COMPUTED_VALUE"""),7228.046)</f>
        <v>7228.046</v>
      </c>
      <c r="C1172" s="58">
        <f t="shared" si="1"/>
        <v>3993.998611</v>
      </c>
      <c r="D1172" s="1">
        <f t="shared" si="2"/>
        <v>4010.933813</v>
      </c>
      <c r="E1172" s="1">
        <f t="shared" si="3"/>
        <v>7219.680863</v>
      </c>
      <c r="F1172" s="1">
        <f t="shared" si="4"/>
        <v>13637.17496</v>
      </c>
      <c r="G1172" s="1">
        <f t="shared" si="5"/>
        <v>24065.60288</v>
      </c>
      <c r="H1172" s="1">
        <f t="shared" si="6"/>
        <v>44120.27194</v>
      </c>
      <c r="I1172" s="1">
        <f t="shared" si="7"/>
        <v>72196.80863</v>
      </c>
    </row>
    <row r="1173" hidden="1">
      <c r="A1173" s="266">
        <f>IFERROR(__xludf.DUMMYFUNCTION("""COMPUTED_VALUE"""),43810.99861111111)</f>
        <v>43810.99861</v>
      </c>
      <c r="B1173" s="1">
        <f>IFERROR(__xludf.DUMMYFUNCTION("""COMPUTED_VALUE"""),7211.062)</f>
        <v>7211.062</v>
      </c>
      <c r="C1173" s="58">
        <f t="shared" si="1"/>
        <v>3994.998611</v>
      </c>
      <c r="D1173" s="1">
        <f t="shared" si="2"/>
        <v>4016.761907</v>
      </c>
      <c r="E1173" s="1">
        <f t="shared" si="3"/>
        <v>7230.171432</v>
      </c>
      <c r="F1173" s="1">
        <f t="shared" si="4"/>
        <v>13656.99048</v>
      </c>
      <c r="G1173" s="1">
        <f t="shared" si="5"/>
        <v>24100.57144</v>
      </c>
      <c r="H1173" s="1">
        <f t="shared" si="6"/>
        <v>44184.38097</v>
      </c>
      <c r="I1173" s="1">
        <f t="shared" si="7"/>
        <v>72301.71432</v>
      </c>
    </row>
    <row r="1174" hidden="1">
      <c r="A1174" s="266">
        <f>IFERROR(__xludf.DUMMYFUNCTION("""COMPUTED_VALUE"""),43811.99861111111)</f>
        <v>43811.99861</v>
      </c>
      <c r="B1174" s="1">
        <f>IFERROR(__xludf.DUMMYFUNCTION("""COMPUTED_VALUE"""),7198.699)</f>
        <v>7198.699</v>
      </c>
      <c r="C1174" s="58">
        <f t="shared" si="1"/>
        <v>3995.998611</v>
      </c>
      <c r="D1174" s="1">
        <f t="shared" si="2"/>
        <v>4022.597007</v>
      </c>
      <c r="E1174" s="1">
        <f t="shared" si="3"/>
        <v>7240.674613</v>
      </c>
      <c r="F1174" s="1">
        <f t="shared" si="4"/>
        <v>13676.82982</v>
      </c>
      <c r="G1174" s="1">
        <f t="shared" si="5"/>
        <v>24135.58204</v>
      </c>
      <c r="H1174" s="1">
        <f t="shared" si="6"/>
        <v>44248.56708</v>
      </c>
      <c r="I1174" s="1">
        <f t="shared" si="7"/>
        <v>72406.74613</v>
      </c>
    </row>
    <row r="1175" hidden="1">
      <c r="A1175" s="266">
        <f>IFERROR(__xludf.DUMMYFUNCTION("""COMPUTED_VALUE"""),43812.99861111111)</f>
        <v>43812.99861</v>
      </c>
      <c r="B1175" s="1">
        <f>IFERROR(__xludf.DUMMYFUNCTION("""COMPUTED_VALUE"""),7259.227)</f>
        <v>7259.227</v>
      </c>
      <c r="C1175" s="58">
        <f t="shared" si="1"/>
        <v>3996.998611</v>
      </c>
      <c r="D1175" s="1">
        <f t="shared" si="2"/>
        <v>4028.439121</v>
      </c>
      <c r="E1175" s="1">
        <f t="shared" si="3"/>
        <v>7251.190419</v>
      </c>
      <c r="F1175" s="1">
        <f t="shared" si="4"/>
        <v>13696.69301</v>
      </c>
      <c r="G1175" s="1">
        <f t="shared" si="5"/>
        <v>24170.63473</v>
      </c>
      <c r="H1175" s="1">
        <f t="shared" si="6"/>
        <v>44312.83034</v>
      </c>
      <c r="I1175" s="1">
        <f t="shared" si="7"/>
        <v>72511.90419</v>
      </c>
    </row>
    <row r="1176" hidden="1">
      <c r="A1176" s="266">
        <f>IFERROR(__xludf.DUMMYFUNCTION("""COMPUTED_VALUE"""),43813.99861111111)</f>
        <v>43813.99861</v>
      </c>
      <c r="B1176" s="1">
        <f>IFERROR(__xludf.DUMMYFUNCTION("""COMPUTED_VALUE"""),7079.757)</f>
        <v>7079.757</v>
      </c>
      <c r="C1176" s="58">
        <f t="shared" si="1"/>
        <v>3997.998611</v>
      </c>
      <c r="D1176" s="1">
        <f t="shared" si="2"/>
        <v>4034.288255</v>
      </c>
      <c r="E1176" s="1">
        <f t="shared" si="3"/>
        <v>7261.71886</v>
      </c>
      <c r="F1176" s="1">
        <f t="shared" si="4"/>
        <v>13716.58007</v>
      </c>
      <c r="G1176" s="1">
        <f t="shared" si="5"/>
        <v>24205.72953</v>
      </c>
      <c r="H1176" s="1">
        <f t="shared" si="6"/>
        <v>44377.17081</v>
      </c>
      <c r="I1176" s="1">
        <f t="shared" si="7"/>
        <v>72617.1886</v>
      </c>
    </row>
    <row r="1177" hidden="1">
      <c r="A1177" s="266">
        <f>IFERROR(__xludf.DUMMYFUNCTION("""COMPUTED_VALUE"""),43814.99861111111)</f>
        <v>43814.99861</v>
      </c>
      <c r="B1177" s="1">
        <f>IFERROR(__xludf.DUMMYFUNCTION("""COMPUTED_VALUE"""),7127.171)</f>
        <v>7127.171</v>
      </c>
      <c r="C1177" s="58">
        <f t="shared" si="1"/>
        <v>3998.998611</v>
      </c>
      <c r="D1177" s="1">
        <f t="shared" si="2"/>
        <v>4040.144416</v>
      </c>
      <c r="E1177" s="1">
        <f t="shared" si="3"/>
        <v>7272.259949</v>
      </c>
      <c r="F1177" s="1">
        <f t="shared" si="4"/>
        <v>13736.49102</v>
      </c>
      <c r="G1177" s="1">
        <f t="shared" si="5"/>
        <v>24240.8665</v>
      </c>
      <c r="H1177" s="1">
        <f t="shared" si="6"/>
        <v>44441.58858</v>
      </c>
      <c r="I1177" s="1">
        <f t="shared" si="7"/>
        <v>72722.59949</v>
      </c>
    </row>
    <row r="1178" hidden="1">
      <c r="A1178" s="266">
        <f>IFERROR(__xludf.DUMMYFUNCTION("""COMPUTED_VALUE"""),43815.99861111111)</f>
        <v>43815.99861</v>
      </c>
      <c r="B1178" s="1">
        <f>IFERROR(__xludf.DUMMYFUNCTION("""COMPUTED_VALUE"""),6896.028)</f>
        <v>6896.028</v>
      </c>
      <c r="C1178" s="58">
        <f t="shared" si="1"/>
        <v>3999.998611</v>
      </c>
      <c r="D1178" s="1">
        <f t="shared" si="2"/>
        <v>4046.00761</v>
      </c>
      <c r="E1178" s="1">
        <f t="shared" si="3"/>
        <v>7282.813699</v>
      </c>
      <c r="F1178" s="1">
        <f t="shared" si="4"/>
        <v>13756.42588</v>
      </c>
      <c r="G1178" s="1">
        <f t="shared" si="5"/>
        <v>24276.04566</v>
      </c>
      <c r="H1178" s="1">
        <f t="shared" si="6"/>
        <v>44506.08371</v>
      </c>
      <c r="I1178" s="1">
        <f t="shared" si="7"/>
        <v>72828.13699</v>
      </c>
    </row>
    <row r="1179" hidden="1">
      <c r="A1179" s="266">
        <f>IFERROR(__xludf.DUMMYFUNCTION("""COMPUTED_VALUE"""),43816.99861111111)</f>
        <v>43816.99861</v>
      </c>
      <c r="B1179" s="1">
        <f>IFERROR(__xludf.DUMMYFUNCTION("""COMPUTED_VALUE"""),6625.686)</f>
        <v>6625.686</v>
      </c>
      <c r="C1179" s="58">
        <f t="shared" si="1"/>
        <v>4000.998611</v>
      </c>
      <c r="D1179" s="1">
        <f t="shared" si="2"/>
        <v>4051.877845</v>
      </c>
      <c r="E1179" s="1">
        <f t="shared" si="3"/>
        <v>7293.38012</v>
      </c>
      <c r="F1179" s="1">
        <f t="shared" si="4"/>
        <v>13776.38467</v>
      </c>
      <c r="G1179" s="1">
        <f t="shared" si="5"/>
        <v>24311.26707</v>
      </c>
      <c r="H1179" s="1">
        <f t="shared" si="6"/>
        <v>44570.65629</v>
      </c>
      <c r="I1179" s="1">
        <f t="shared" si="7"/>
        <v>72933.8012</v>
      </c>
    </row>
    <row r="1180" hidden="1">
      <c r="A1180" s="266">
        <f>IFERROR(__xludf.DUMMYFUNCTION("""COMPUTED_VALUE"""),43817.99861111111)</f>
        <v>43817.99861</v>
      </c>
      <c r="B1180" s="1">
        <f>IFERROR(__xludf.DUMMYFUNCTION("""COMPUTED_VALUE"""),7293.888)</f>
        <v>7293.888</v>
      </c>
      <c r="C1180" s="58">
        <f t="shared" si="1"/>
        <v>4001.998611</v>
      </c>
      <c r="D1180" s="1">
        <f t="shared" si="2"/>
        <v>4057.755126</v>
      </c>
      <c r="E1180" s="1">
        <f t="shared" si="3"/>
        <v>7303.959226</v>
      </c>
      <c r="F1180" s="1">
        <f t="shared" si="4"/>
        <v>13796.36743</v>
      </c>
      <c r="G1180" s="1">
        <f t="shared" si="5"/>
        <v>24346.53075</v>
      </c>
      <c r="H1180" s="1">
        <f t="shared" si="6"/>
        <v>44635.30638</v>
      </c>
      <c r="I1180" s="1">
        <f t="shared" si="7"/>
        <v>73039.59226</v>
      </c>
    </row>
    <row r="1181" hidden="1">
      <c r="A1181" s="266">
        <f>IFERROR(__xludf.DUMMYFUNCTION("""COMPUTED_VALUE"""),43818.99861111111)</f>
        <v>43818.99861</v>
      </c>
      <c r="B1181" s="1">
        <f>IFERROR(__xludf.DUMMYFUNCTION("""COMPUTED_VALUE"""),7158.255)</f>
        <v>7158.255</v>
      </c>
      <c r="C1181" s="58">
        <f t="shared" si="1"/>
        <v>4002.998611</v>
      </c>
      <c r="D1181" s="1">
        <f t="shared" si="2"/>
        <v>4063.63946</v>
      </c>
      <c r="E1181" s="1">
        <f t="shared" si="3"/>
        <v>7314.551028</v>
      </c>
      <c r="F1181" s="1">
        <f t="shared" si="4"/>
        <v>13816.37416</v>
      </c>
      <c r="G1181" s="1">
        <f t="shared" si="5"/>
        <v>24381.83676</v>
      </c>
      <c r="H1181" s="1">
        <f t="shared" si="6"/>
        <v>44700.03406</v>
      </c>
      <c r="I1181" s="1">
        <f t="shared" si="7"/>
        <v>73145.51028</v>
      </c>
    </row>
    <row r="1182" hidden="1">
      <c r="A1182" s="266">
        <f>IFERROR(__xludf.DUMMYFUNCTION("""COMPUTED_VALUE"""),43819.99861111111)</f>
        <v>43819.99861</v>
      </c>
      <c r="B1182" s="1">
        <f>IFERROR(__xludf.DUMMYFUNCTION("""COMPUTED_VALUE"""),7204.101)</f>
        <v>7204.101</v>
      </c>
      <c r="C1182" s="58">
        <f t="shared" si="1"/>
        <v>4003.998611</v>
      </c>
      <c r="D1182" s="1">
        <f t="shared" si="2"/>
        <v>4069.530855</v>
      </c>
      <c r="E1182" s="1">
        <f t="shared" si="3"/>
        <v>7325.155538</v>
      </c>
      <c r="F1182" s="1">
        <f t="shared" si="4"/>
        <v>13836.40491</v>
      </c>
      <c r="G1182" s="1">
        <f t="shared" si="5"/>
        <v>24417.18513</v>
      </c>
      <c r="H1182" s="1">
        <f t="shared" si="6"/>
        <v>44764.8394</v>
      </c>
      <c r="I1182" s="1">
        <f t="shared" si="7"/>
        <v>73251.55538</v>
      </c>
    </row>
    <row r="1183" hidden="1">
      <c r="A1183" s="266">
        <f>IFERROR(__xludf.DUMMYFUNCTION("""COMPUTED_VALUE"""),43820.99861111111)</f>
        <v>43820.99861</v>
      </c>
      <c r="B1183" s="1">
        <f>IFERROR(__xludf.DUMMYFUNCTION("""COMPUTED_VALUE"""),7154.57)</f>
        <v>7154.57</v>
      </c>
      <c r="C1183" s="58">
        <f t="shared" si="1"/>
        <v>4004.998611</v>
      </c>
      <c r="D1183" s="1">
        <f t="shared" si="2"/>
        <v>4075.429316</v>
      </c>
      <c r="E1183" s="1">
        <f t="shared" si="3"/>
        <v>7335.772769</v>
      </c>
      <c r="F1183" s="1">
        <f t="shared" si="4"/>
        <v>13856.45967</v>
      </c>
      <c r="G1183" s="1">
        <f t="shared" si="5"/>
        <v>24452.5759</v>
      </c>
      <c r="H1183" s="1">
        <f t="shared" si="6"/>
        <v>44829.72248</v>
      </c>
      <c r="I1183" s="1">
        <f t="shared" si="7"/>
        <v>73357.72769</v>
      </c>
    </row>
    <row r="1184" hidden="1">
      <c r="A1184" s="266">
        <f>IFERROR(__xludf.DUMMYFUNCTION("""COMPUTED_VALUE"""),43821.99861111111)</f>
        <v>43821.99861</v>
      </c>
      <c r="B1184" s="1">
        <f>IFERROR(__xludf.DUMMYFUNCTION("""COMPUTED_VALUE"""),7519.568)</f>
        <v>7519.568</v>
      </c>
      <c r="C1184" s="58">
        <f t="shared" si="1"/>
        <v>4005.998611</v>
      </c>
      <c r="D1184" s="1">
        <f t="shared" si="2"/>
        <v>4081.334851</v>
      </c>
      <c r="E1184" s="1">
        <f t="shared" si="3"/>
        <v>7346.402732</v>
      </c>
      <c r="F1184" s="1">
        <f t="shared" si="4"/>
        <v>13876.53849</v>
      </c>
      <c r="G1184" s="1">
        <f t="shared" si="5"/>
        <v>24488.00911</v>
      </c>
      <c r="H1184" s="1">
        <f t="shared" si="6"/>
        <v>44894.68336</v>
      </c>
      <c r="I1184" s="1">
        <f t="shared" si="7"/>
        <v>73464.02732</v>
      </c>
    </row>
    <row r="1185" hidden="1">
      <c r="A1185" s="266">
        <f>IFERROR(__xludf.DUMMYFUNCTION("""COMPUTED_VALUE"""),43822.99861111111)</f>
        <v>43822.99861</v>
      </c>
      <c r="B1185" s="1">
        <f>IFERROR(__xludf.DUMMYFUNCTION("""COMPUTED_VALUE"""),7322.984)</f>
        <v>7322.984</v>
      </c>
      <c r="C1185" s="58">
        <f t="shared" si="1"/>
        <v>4006.998611</v>
      </c>
      <c r="D1185" s="1">
        <f t="shared" si="2"/>
        <v>4087.247466</v>
      </c>
      <c r="E1185" s="1">
        <f t="shared" si="3"/>
        <v>7357.045439</v>
      </c>
      <c r="F1185" s="1">
        <f t="shared" si="4"/>
        <v>13896.64138</v>
      </c>
      <c r="G1185" s="1">
        <f t="shared" si="5"/>
        <v>24523.4848</v>
      </c>
      <c r="H1185" s="1">
        <f t="shared" si="6"/>
        <v>44959.72213</v>
      </c>
      <c r="I1185" s="1">
        <f t="shared" si="7"/>
        <v>73570.45439</v>
      </c>
    </row>
    <row r="1186" hidden="1">
      <c r="A1186" s="266">
        <f>IFERROR(__xludf.DUMMYFUNCTION("""COMPUTED_VALUE"""),43823.99861111111)</f>
        <v>43823.99861</v>
      </c>
      <c r="B1186" s="1">
        <f>IFERROR(__xludf.DUMMYFUNCTION("""COMPUTED_VALUE"""),7260.82)</f>
        <v>7260.82</v>
      </c>
      <c r="C1186" s="58">
        <f t="shared" si="1"/>
        <v>4007.998611</v>
      </c>
      <c r="D1186" s="1">
        <f t="shared" si="2"/>
        <v>4093.167168</v>
      </c>
      <c r="E1186" s="1">
        <f t="shared" si="3"/>
        <v>7367.700903</v>
      </c>
      <c r="F1186" s="1">
        <f t="shared" si="4"/>
        <v>13916.76837</v>
      </c>
      <c r="G1186" s="1">
        <f t="shared" si="5"/>
        <v>24559.00301</v>
      </c>
      <c r="H1186" s="1">
        <f t="shared" si="6"/>
        <v>45024.83885</v>
      </c>
      <c r="I1186" s="1">
        <f t="shared" si="7"/>
        <v>73677.00903</v>
      </c>
    </row>
    <row r="1187" hidden="1">
      <c r="A1187" s="266">
        <f>IFERROR(__xludf.DUMMYFUNCTION("""COMPUTED_VALUE"""),43824.99861111111)</f>
        <v>43824.99861</v>
      </c>
      <c r="B1187" s="1">
        <f>IFERROR(__xludf.DUMMYFUNCTION("""COMPUTED_VALUE"""),7204.073)</f>
        <v>7204.073</v>
      </c>
      <c r="C1187" s="58">
        <f t="shared" si="1"/>
        <v>4008.998611</v>
      </c>
      <c r="D1187" s="1">
        <f t="shared" si="2"/>
        <v>4099.093964</v>
      </c>
      <c r="E1187" s="1">
        <f t="shared" si="3"/>
        <v>7378.369136</v>
      </c>
      <c r="F1187" s="1">
        <f t="shared" si="4"/>
        <v>13936.91948</v>
      </c>
      <c r="G1187" s="1">
        <f t="shared" si="5"/>
        <v>24594.56379</v>
      </c>
      <c r="H1187" s="1">
        <f t="shared" si="6"/>
        <v>45090.03361</v>
      </c>
      <c r="I1187" s="1">
        <f t="shared" si="7"/>
        <v>73783.69136</v>
      </c>
    </row>
    <row r="1188" hidden="1">
      <c r="A1188" s="266">
        <f>IFERROR(__xludf.DUMMYFUNCTION("""COMPUTED_VALUE"""),43825.99861111111)</f>
        <v>43825.99861</v>
      </c>
      <c r="B1188" s="1">
        <f>IFERROR(__xludf.DUMMYFUNCTION("""COMPUTED_VALUE"""),7204.342)</f>
        <v>7204.342</v>
      </c>
      <c r="C1188" s="58">
        <f t="shared" si="1"/>
        <v>4009.998611</v>
      </c>
      <c r="D1188" s="1">
        <f t="shared" si="2"/>
        <v>4105.027861</v>
      </c>
      <c r="E1188" s="1">
        <f t="shared" si="3"/>
        <v>7389.050149</v>
      </c>
      <c r="F1188" s="1">
        <f t="shared" si="4"/>
        <v>13957.09473</v>
      </c>
      <c r="G1188" s="1">
        <f t="shared" si="5"/>
        <v>24630.16716</v>
      </c>
      <c r="H1188" s="1">
        <f t="shared" si="6"/>
        <v>45155.30647</v>
      </c>
      <c r="I1188" s="1">
        <f t="shared" si="7"/>
        <v>73890.50149</v>
      </c>
    </row>
    <row r="1189" hidden="1">
      <c r="A1189" s="266">
        <f>IFERROR(__xludf.DUMMYFUNCTION("""COMPUTED_VALUE"""),43826.99861111111)</f>
        <v>43826.99861</v>
      </c>
      <c r="B1189" s="1">
        <f>IFERROR(__xludf.DUMMYFUNCTION("""COMPUTED_VALUE"""),7255.551)</f>
        <v>7255.551</v>
      </c>
      <c r="C1189" s="58">
        <f t="shared" si="1"/>
        <v>4010.998611</v>
      </c>
      <c r="D1189" s="1">
        <f t="shared" si="2"/>
        <v>4110.968864</v>
      </c>
      <c r="E1189" s="1">
        <f t="shared" si="3"/>
        <v>7399.743956</v>
      </c>
      <c r="F1189" s="1">
        <f t="shared" si="4"/>
        <v>13977.29414</v>
      </c>
      <c r="G1189" s="1">
        <f t="shared" si="5"/>
        <v>24665.81319</v>
      </c>
      <c r="H1189" s="1">
        <f t="shared" si="6"/>
        <v>45220.65751</v>
      </c>
      <c r="I1189" s="1">
        <f t="shared" si="7"/>
        <v>73997.43956</v>
      </c>
    </row>
    <row r="1190" hidden="1">
      <c r="A1190" s="266">
        <f>IFERROR(__xludf.DUMMYFUNCTION("""COMPUTED_VALUE"""),43827.99861111111)</f>
        <v>43827.99861</v>
      </c>
      <c r="B1190" s="1">
        <f>IFERROR(__xludf.DUMMYFUNCTION("""COMPUTED_VALUE"""),7312.049)</f>
        <v>7312.049</v>
      </c>
      <c r="C1190" s="58">
        <f t="shared" si="1"/>
        <v>4011.998611</v>
      </c>
      <c r="D1190" s="1">
        <f t="shared" si="2"/>
        <v>4116.916982</v>
      </c>
      <c r="E1190" s="1">
        <f t="shared" si="3"/>
        <v>7410.450567</v>
      </c>
      <c r="F1190" s="1">
        <f t="shared" si="4"/>
        <v>13997.51774</v>
      </c>
      <c r="G1190" s="1">
        <f t="shared" si="5"/>
        <v>24701.50189</v>
      </c>
      <c r="H1190" s="1">
        <f t="shared" si="6"/>
        <v>45286.0868</v>
      </c>
      <c r="I1190" s="1">
        <f t="shared" si="7"/>
        <v>74104.50567</v>
      </c>
    </row>
    <row r="1191" hidden="1">
      <c r="A1191" s="266">
        <f>IFERROR(__xludf.DUMMYFUNCTION("""COMPUTED_VALUE"""),43828.99861111111)</f>
        <v>43828.99861</v>
      </c>
      <c r="B1191" s="1">
        <f>IFERROR(__xludf.DUMMYFUNCTION("""COMPUTED_VALUE"""),7388.7)</f>
        <v>7388.7</v>
      </c>
      <c r="C1191" s="58">
        <f t="shared" si="1"/>
        <v>4012.998611</v>
      </c>
      <c r="D1191" s="1">
        <f t="shared" si="2"/>
        <v>4122.87222</v>
      </c>
      <c r="E1191" s="1">
        <f t="shared" si="3"/>
        <v>7421.169996</v>
      </c>
      <c r="F1191" s="1">
        <f t="shared" si="4"/>
        <v>14017.76555</v>
      </c>
      <c r="G1191" s="1">
        <f t="shared" si="5"/>
        <v>24737.23332</v>
      </c>
      <c r="H1191" s="1">
        <f t="shared" si="6"/>
        <v>45351.59442</v>
      </c>
      <c r="I1191" s="1">
        <f t="shared" si="7"/>
        <v>74211.69996</v>
      </c>
    </row>
    <row r="1192" hidden="1">
      <c r="A1192" s="266">
        <f>IFERROR(__xludf.DUMMYFUNCTION("""COMPUTED_VALUE"""),43829.99861111111)</f>
        <v>43829.99861</v>
      </c>
      <c r="B1192" s="1">
        <f>IFERROR(__xludf.DUMMYFUNCTION("""COMPUTED_VALUE"""),7229.292)</f>
        <v>7229.292</v>
      </c>
      <c r="C1192" s="58">
        <f t="shared" si="1"/>
        <v>4013.998611</v>
      </c>
      <c r="D1192" s="1">
        <f t="shared" si="2"/>
        <v>4128.834585</v>
      </c>
      <c r="E1192" s="1">
        <f t="shared" si="3"/>
        <v>7431.902254</v>
      </c>
      <c r="F1192" s="1">
        <f t="shared" si="4"/>
        <v>14038.03759</v>
      </c>
      <c r="G1192" s="1">
        <f t="shared" si="5"/>
        <v>24773.00751</v>
      </c>
      <c r="H1192" s="1">
        <f t="shared" si="6"/>
        <v>45417.18044</v>
      </c>
      <c r="I1192" s="1">
        <f t="shared" si="7"/>
        <v>74319.02254</v>
      </c>
    </row>
    <row r="1193" hidden="1">
      <c r="A1193" s="266">
        <f>IFERROR(__xludf.DUMMYFUNCTION("""COMPUTED_VALUE"""),43830.99861111111)</f>
        <v>43830.99861</v>
      </c>
      <c r="B1193" s="1">
        <f>IFERROR(__xludf.DUMMYFUNCTION("""COMPUTED_VALUE"""),7174.535)</f>
        <v>7174.535</v>
      </c>
      <c r="C1193" s="58">
        <f t="shared" si="1"/>
        <v>4014.998611</v>
      </c>
      <c r="D1193" s="1">
        <f t="shared" si="2"/>
        <v>4134.804085</v>
      </c>
      <c r="E1193" s="1">
        <f t="shared" si="3"/>
        <v>7442.647353</v>
      </c>
      <c r="F1193" s="1">
        <f t="shared" si="4"/>
        <v>14058.33389</v>
      </c>
      <c r="G1193" s="1">
        <f t="shared" si="5"/>
        <v>24808.82451</v>
      </c>
      <c r="H1193" s="1">
        <f t="shared" si="6"/>
        <v>45482.84493</v>
      </c>
      <c r="I1193" s="1">
        <f t="shared" si="7"/>
        <v>74426.47353</v>
      </c>
    </row>
    <row r="1194" hidden="1">
      <c r="A1194" s="266">
        <f>IFERROR(__xludf.DUMMYFUNCTION("""COMPUTED_VALUE"""),43831.99861111111)</f>
        <v>43831.99861</v>
      </c>
      <c r="B1194" s="1">
        <f>IFERROR(__xludf.DUMMYFUNCTION("""COMPUTED_VALUE"""),7185.444)</f>
        <v>7185.444</v>
      </c>
      <c r="C1194" s="58">
        <f t="shared" si="1"/>
        <v>4015.998611</v>
      </c>
      <c r="D1194" s="1">
        <f t="shared" si="2"/>
        <v>4140.780726</v>
      </c>
      <c r="E1194" s="1">
        <f t="shared" si="3"/>
        <v>7453.405306</v>
      </c>
      <c r="F1194" s="1">
        <f t="shared" si="4"/>
        <v>14078.65447</v>
      </c>
      <c r="G1194" s="1">
        <f t="shared" si="5"/>
        <v>24844.68435</v>
      </c>
      <c r="H1194" s="1">
        <f t="shared" si="6"/>
        <v>45548.58798</v>
      </c>
      <c r="I1194" s="1">
        <f t="shared" si="7"/>
        <v>74534.05306</v>
      </c>
    </row>
    <row r="1195" hidden="1">
      <c r="A1195" s="266">
        <f>IFERROR(__xludf.DUMMYFUNCTION("""COMPUTED_VALUE"""),43832.99861111111)</f>
        <v>43832.99861</v>
      </c>
      <c r="B1195" s="1">
        <f>IFERROR(__xludf.DUMMYFUNCTION("""COMPUTED_VALUE"""),6957.167)</f>
        <v>6957.167</v>
      </c>
      <c r="C1195" s="58">
        <f t="shared" si="1"/>
        <v>4016.998611</v>
      </c>
      <c r="D1195" s="1">
        <f t="shared" si="2"/>
        <v>4146.764514</v>
      </c>
      <c r="E1195" s="1">
        <f t="shared" si="3"/>
        <v>7464.176125</v>
      </c>
      <c r="F1195" s="1">
        <f t="shared" si="4"/>
        <v>14098.99935</v>
      </c>
      <c r="G1195" s="1">
        <f t="shared" si="5"/>
        <v>24880.58708</v>
      </c>
      <c r="H1195" s="1">
        <f t="shared" si="6"/>
        <v>45614.40965</v>
      </c>
      <c r="I1195" s="1">
        <f t="shared" si="7"/>
        <v>74641.76125</v>
      </c>
    </row>
    <row r="1196" hidden="1">
      <c r="A1196" s="266">
        <f>IFERROR(__xludf.DUMMYFUNCTION("""COMPUTED_VALUE"""),43833.99861111111)</f>
        <v>43833.99861</v>
      </c>
      <c r="B1196" s="1">
        <f>IFERROR(__xludf.DUMMYFUNCTION("""COMPUTED_VALUE"""),7335.04)</f>
        <v>7335.04</v>
      </c>
      <c r="C1196" s="58">
        <f t="shared" si="1"/>
        <v>4017.998611</v>
      </c>
      <c r="D1196" s="1">
        <f t="shared" si="2"/>
        <v>4152.755456</v>
      </c>
      <c r="E1196" s="1">
        <f t="shared" si="3"/>
        <v>7474.959822</v>
      </c>
      <c r="F1196" s="1">
        <f t="shared" si="4"/>
        <v>14119.36855</v>
      </c>
      <c r="G1196" s="1">
        <f t="shared" si="5"/>
        <v>24916.53274</v>
      </c>
      <c r="H1196" s="1">
        <f t="shared" si="6"/>
        <v>45680.31002</v>
      </c>
      <c r="I1196" s="1">
        <f t="shared" si="7"/>
        <v>74749.59822</v>
      </c>
    </row>
    <row r="1197" hidden="1">
      <c r="A1197" s="266">
        <f>IFERROR(__xludf.DUMMYFUNCTION("""COMPUTED_VALUE"""),43834.99861111111)</f>
        <v>43834.99861</v>
      </c>
      <c r="B1197" s="1">
        <f>IFERROR(__xludf.DUMMYFUNCTION("""COMPUTED_VALUE"""),7355.388)</f>
        <v>7355.388</v>
      </c>
      <c r="C1197" s="58">
        <f t="shared" si="1"/>
        <v>4018.998611</v>
      </c>
      <c r="D1197" s="1">
        <f t="shared" si="2"/>
        <v>4158.75356</v>
      </c>
      <c r="E1197" s="1">
        <f t="shared" si="3"/>
        <v>7485.756409</v>
      </c>
      <c r="F1197" s="1">
        <f t="shared" si="4"/>
        <v>14139.76211</v>
      </c>
      <c r="G1197" s="1">
        <f t="shared" si="5"/>
        <v>24952.52136</v>
      </c>
      <c r="H1197" s="1">
        <f t="shared" si="6"/>
        <v>45746.28916</v>
      </c>
      <c r="I1197" s="1">
        <f t="shared" si="7"/>
        <v>74857.56409</v>
      </c>
    </row>
    <row r="1198" hidden="1">
      <c r="A1198" s="266">
        <f>IFERROR(__xludf.DUMMYFUNCTION("""COMPUTED_VALUE"""),43835.99861111111)</f>
        <v>43835.99861</v>
      </c>
      <c r="B1198" s="1">
        <f>IFERROR(__xludf.DUMMYFUNCTION("""COMPUTED_VALUE"""),7353.388)</f>
        <v>7353.388</v>
      </c>
      <c r="C1198" s="58">
        <f t="shared" si="1"/>
        <v>4019.998611</v>
      </c>
      <c r="D1198" s="1">
        <f t="shared" si="2"/>
        <v>4164.758832</v>
      </c>
      <c r="E1198" s="1">
        <f t="shared" si="3"/>
        <v>7496.565898</v>
      </c>
      <c r="F1198" s="1">
        <f t="shared" si="4"/>
        <v>14160.18003</v>
      </c>
      <c r="G1198" s="1">
        <f t="shared" si="5"/>
        <v>24988.55299</v>
      </c>
      <c r="H1198" s="1">
        <f t="shared" si="6"/>
        <v>45812.34715</v>
      </c>
      <c r="I1198" s="1">
        <f t="shared" si="7"/>
        <v>74965.65898</v>
      </c>
    </row>
    <row r="1199" hidden="1">
      <c r="A1199" s="266">
        <f>IFERROR(__xludf.DUMMYFUNCTION("""COMPUTED_VALUE"""),43836.99861111111)</f>
        <v>43836.99861</v>
      </c>
      <c r="B1199" s="1">
        <f>IFERROR(__xludf.DUMMYFUNCTION("""COMPUTED_VALUE"""),7760.68)</f>
        <v>7760.68</v>
      </c>
      <c r="C1199" s="58">
        <f t="shared" si="1"/>
        <v>4020.998611</v>
      </c>
      <c r="D1199" s="1">
        <f t="shared" si="2"/>
        <v>4170.771279</v>
      </c>
      <c r="E1199" s="1">
        <f t="shared" si="3"/>
        <v>7507.388302</v>
      </c>
      <c r="F1199" s="1">
        <f t="shared" si="4"/>
        <v>14180.62235</v>
      </c>
      <c r="G1199" s="1">
        <f t="shared" si="5"/>
        <v>25024.62767</v>
      </c>
      <c r="H1199" s="1">
        <f t="shared" si="6"/>
        <v>45878.48407</v>
      </c>
      <c r="I1199" s="1">
        <f t="shared" si="7"/>
        <v>75073.88302</v>
      </c>
    </row>
    <row r="1200" hidden="1">
      <c r="A1200" s="266">
        <f>IFERROR(__xludf.DUMMYFUNCTION("""COMPUTED_VALUE"""),43837.99861111111)</f>
        <v>43837.99861</v>
      </c>
      <c r="B1200" s="1">
        <f>IFERROR(__xludf.DUMMYFUNCTION("""COMPUTED_VALUE"""),8158.987)</f>
        <v>8158.987</v>
      </c>
      <c r="C1200" s="58">
        <f t="shared" si="1"/>
        <v>4021.998611</v>
      </c>
      <c r="D1200" s="1">
        <f t="shared" si="2"/>
        <v>4176.790907</v>
      </c>
      <c r="E1200" s="1">
        <f t="shared" si="3"/>
        <v>7518.223633</v>
      </c>
      <c r="F1200" s="1">
        <f t="shared" si="4"/>
        <v>14201.08908</v>
      </c>
      <c r="G1200" s="1">
        <f t="shared" si="5"/>
        <v>25060.74544</v>
      </c>
      <c r="H1200" s="1">
        <f t="shared" si="6"/>
        <v>45944.69998</v>
      </c>
      <c r="I1200" s="1">
        <f t="shared" si="7"/>
        <v>75182.23633</v>
      </c>
    </row>
    <row r="1201" hidden="1">
      <c r="A1201" s="266">
        <f>IFERROR(__xludf.DUMMYFUNCTION("""COMPUTED_VALUE"""),43838.99861111111)</f>
        <v>43838.99861</v>
      </c>
      <c r="B1201" s="1">
        <f>IFERROR(__xludf.DUMMYFUNCTION("""COMPUTED_VALUE"""),8043.438)</f>
        <v>8043.438</v>
      </c>
      <c r="C1201" s="58">
        <f t="shared" si="1"/>
        <v>4022.998611</v>
      </c>
      <c r="D1201" s="1">
        <f t="shared" si="2"/>
        <v>4182.817723</v>
      </c>
      <c r="E1201" s="1">
        <f t="shared" si="3"/>
        <v>7529.071902</v>
      </c>
      <c r="F1201" s="1">
        <f t="shared" si="4"/>
        <v>14221.58026</v>
      </c>
      <c r="G1201" s="1">
        <f t="shared" si="5"/>
        <v>25096.90634</v>
      </c>
      <c r="H1201" s="1">
        <f t="shared" si="6"/>
        <v>46010.99496</v>
      </c>
      <c r="I1201" s="1">
        <f t="shared" si="7"/>
        <v>75290.71902</v>
      </c>
    </row>
    <row r="1202" hidden="1">
      <c r="A1202" s="266">
        <f>IFERROR(__xludf.DUMMYFUNCTION("""COMPUTED_VALUE"""),43839.99861111111)</f>
        <v>43839.99861</v>
      </c>
      <c r="B1202" s="1">
        <f>IFERROR(__xludf.DUMMYFUNCTION("""COMPUTED_VALUE"""),7815.659)</f>
        <v>7815.659</v>
      </c>
      <c r="C1202" s="58">
        <f t="shared" si="1"/>
        <v>4023.998611</v>
      </c>
      <c r="D1202" s="1">
        <f t="shared" si="2"/>
        <v>4188.851735</v>
      </c>
      <c r="E1202" s="1">
        <f t="shared" si="3"/>
        <v>7539.933123</v>
      </c>
      <c r="F1202" s="1">
        <f t="shared" si="4"/>
        <v>14242.0959</v>
      </c>
      <c r="G1202" s="1">
        <f t="shared" si="5"/>
        <v>25133.11041</v>
      </c>
      <c r="H1202" s="1">
        <f t="shared" si="6"/>
        <v>46077.36909</v>
      </c>
      <c r="I1202" s="1">
        <f t="shared" si="7"/>
        <v>75399.33123</v>
      </c>
    </row>
    <row r="1203" hidden="1">
      <c r="A1203" s="266">
        <f>IFERROR(__xludf.DUMMYFUNCTION("""COMPUTED_VALUE"""),43840.99861111111)</f>
        <v>43840.99861</v>
      </c>
      <c r="B1203" s="1">
        <f>IFERROR(__xludf.DUMMYFUNCTION("""COMPUTED_VALUE"""),8189.217)</f>
        <v>8189.217</v>
      </c>
      <c r="C1203" s="58">
        <f t="shared" si="1"/>
        <v>4024.998611</v>
      </c>
      <c r="D1203" s="1">
        <f t="shared" si="2"/>
        <v>4194.892949</v>
      </c>
      <c r="E1203" s="1">
        <f t="shared" si="3"/>
        <v>7550.807307</v>
      </c>
      <c r="F1203" s="1">
        <f t="shared" si="4"/>
        <v>14262.63603</v>
      </c>
      <c r="G1203" s="1">
        <f t="shared" si="5"/>
        <v>25169.35769</v>
      </c>
      <c r="H1203" s="1">
        <f t="shared" si="6"/>
        <v>46143.82243</v>
      </c>
      <c r="I1203" s="1">
        <f t="shared" si="7"/>
        <v>75508.07307</v>
      </c>
    </row>
    <row r="1204" hidden="1">
      <c r="A1204" s="266">
        <f>IFERROR(__xludf.DUMMYFUNCTION("""COMPUTED_VALUE"""),43841.99861111111)</f>
        <v>43841.99861</v>
      </c>
      <c r="B1204" s="1">
        <f>IFERROR(__xludf.DUMMYFUNCTION("""COMPUTED_VALUE"""),8020.982)</f>
        <v>8020.982</v>
      </c>
      <c r="C1204" s="58">
        <f t="shared" si="1"/>
        <v>4025.998611</v>
      </c>
      <c r="D1204" s="1">
        <f t="shared" si="2"/>
        <v>4200.941371</v>
      </c>
      <c r="E1204" s="1">
        <f t="shared" si="3"/>
        <v>7561.694468</v>
      </c>
      <c r="F1204" s="1">
        <f t="shared" si="4"/>
        <v>14283.20066</v>
      </c>
      <c r="G1204" s="1">
        <f t="shared" si="5"/>
        <v>25205.64823</v>
      </c>
      <c r="H1204" s="1">
        <f t="shared" si="6"/>
        <v>46210.35508</v>
      </c>
      <c r="I1204" s="1">
        <f t="shared" si="7"/>
        <v>75616.94468</v>
      </c>
    </row>
    <row r="1205" hidden="1">
      <c r="A1205" s="266">
        <f>IFERROR(__xludf.DUMMYFUNCTION("""COMPUTED_VALUE"""),43842.99861111111)</f>
        <v>43842.99861</v>
      </c>
      <c r="B1205" s="1">
        <f>IFERROR(__xludf.DUMMYFUNCTION("""COMPUTED_VALUE"""),8179.694)</f>
        <v>8179.694</v>
      </c>
      <c r="C1205" s="58">
        <f t="shared" si="1"/>
        <v>4026.998611</v>
      </c>
      <c r="D1205" s="1">
        <f t="shared" si="2"/>
        <v>4206.997009</v>
      </c>
      <c r="E1205" s="1">
        <f t="shared" si="3"/>
        <v>7572.594616</v>
      </c>
      <c r="F1205" s="1">
        <f t="shared" si="4"/>
        <v>14303.78983</v>
      </c>
      <c r="G1205" s="1">
        <f t="shared" si="5"/>
        <v>25241.98205</v>
      </c>
      <c r="H1205" s="1">
        <f t="shared" si="6"/>
        <v>46276.9671</v>
      </c>
      <c r="I1205" s="1">
        <f t="shared" si="7"/>
        <v>75725.94616</v>
      </c>
    </row>
    <row r="1206" hidden="1">
      <c r="A1206" s="266">
        <f>IFERROR(__xludf.DUMMYFUNCTION("""COMPUTED_VALUE"""),43843.99861111111)</f>
        <v>43843.99861</v>
      </c>
      <c r="B1206" s="1">
        <f>IFERROR(__xludf.DUMMYFUNCTION("""COMPUTED_VALUE"""),8105.678)</f>
        <v>8105.678</v>
      </c>
      <c r="C1206" s="58">
        <f t="shared" si="1"/>
        <v>4027.998611</v>
      </c>
      <c r="D1206" s="1">
        <f t="shared" si="2"/>
        <v>4213.059869</v>
      </c>
      <c r="E1206" s="1">
        <f t="shared" si="3"/>
        <v>7583.507764</v>
      </c>
      <c r="F1206" s="1">
        <f t="shared" si="4"/>
        <v>14324.40355</v>
      </c>
      <c r="G1206" s="1">
        <f t="shared" si="5"/>
        <v>25278.35921</v>
      </c>
      <c r="H1206" s="1">
        <f t="shared" si="6"/>
        <v>46343.65856</v>
      </c>
      <c r="I1206" s="1">
        <f t="shared" si="7"/>
        <v>75835.07764</v>
      </c>
    </row>
    <row r="1207" hidden="1">
      <c r="A1207" s="266">
        <f>IFERROR(__xludf.DUMMYFUNCTION("""COMPUTED_VALUE"""),43844.99861111111)</f>
        <v>43844.99861</v>
      </c>
      <c r="B1207" s="1">
        <f>IFERROR(__xludf.DUMMYFUNCTION("""COMPUTED_VALUE"""),8814.651)</f>
        <v>8814.651</v>
      </c>
      <c r="C1207" s="58">
        <f t="shared" si="1"/>
        <v>4028.998611</v>
      </c>
      <c r="D1207" s="1">
        <f t="shared" si="2"/>
        <v>4219.129958</v>
      </c>
      <c r="E1207" s="1">
        <f t="shared" si="3"/>
        <v>7594.433925</v>
      </c>
      <c r="F1207" s="1">
        <f t="shared" si="4"/>
        <v>14345.04186</v>
      </c>
      <c r="G1207" s="1">
        <f t="shared" si="5"/>
        <v>25314.77975</v>
      </c>
      <c r="H1207" s="1">
        <f t="shared" si="6"/>
        <v>46410.42954</v>
      </c>
      <c r="I1207" s="1">
        <f t="shared" si="7"/>
        <v>75944.33925</v>
      </c>
    </row>
    <row r="1208" hidden="1">
      <c r="A1208" s="266">
        <f>IFERROR(__xludf.DUMMYFUNCTION("""COMPUTED_VALUE"""),43845.99861111111)</f>
        <v>43845.99861</v>
      </c>
      <c r="B1208" s="1">
        <f>IFERROR(__xludf.DUMMYFUNCTION("""COMPUTED_VALUE"""),8809.514)</f>
        <v>8809.514</v>
      </c>
      <c r="C1208" s="58">
        <f t="shared" si="1"/>
        <v>4029.998611</v>
      </c>
      <c r="D1208" s="1">
        <f t="shared" si="2"/>
        <v>4225.207283</v>
      </c>
      <c r="E1208" s="1">
        <f t="shared" si="3"/>
        <v>7605.37311</v>
      </c>
      <c r="F1208" s="1">
        <f t="shared" si="4"/>
        <v>14365.70476</v>
      </c>
      <c r="G1208" s="1">
        <f t="shared" si="5"/>
        <v>25351.2437</v>
      </c>
      <c r="H1208" s="1">
        <f t="shared" si="6"/>
        <v>46477.28012</v>
      </c>
      <c r="I1208" s="1">
        <f t="shared" si="7"/>
        <v>76053.7311</v>
      </c>
    </row>
    <row r="1209" hidden="1">
      <c r="A1209" s="266">
        <f>IFERROR(__xludf.DUMMYFUNCTION("""COMPUTED_VALUE"""),43846.99861111111)</f>
        <v>43846.99861</v>
      </c>
      <c r="B1209" s="1">
        <f>IFERROR(__xludf.DUMMYFUNCTION("""COMPUTED_VALUE"""),8716.882)</f>
        <v>8716.882</v>
      </c>
      <c r="C1209" s="58">
        <f t="shared" si="1"/>
        <v>4030.998611</v>
      </c>
      <c r="D1209" s="1">
        <f t="shared" si="2"/>
        <v>4231.291852</v>
      </c>
      <c r="E1209" s="1">
        <f t="shared" si="3"/>
        <v>7616.325333</v>
      </c>
      <c r="F1209" s="1">
        <f t="shared" si="4"/>
        <v>14386.3923</v>
      </c>
      <c r="G1209" s="1">
        <f t="shared" si="5"/>
        <v>25387.75111</v>
      </c>
      <c r="H1209" s="1">
        <f t="shared" si="6"/>
        <v>46544.21037</v>
      </c>
      <c r="I1209" s="1">
        <f t="shared" si="7"/>
        <v>76163.25333</v>
      </c>
    </row>
    <row r="1210" hidden="1">
      <c r="A1210" s="266">
        <f>IFERROR(__xludf.DUMMYFUNCTION("""COMPUTED_VALUE"""),43847.99861111111)</f>
        <v>43847.99861</v>
      </c>
      <c r="B1210" s="1">
        <f>IFERROR(__xludf.DUMMYFUNCTION("""COMPUTED_VALUE"""),8893.163)</f>
        <v>8893.163</v>
      </c>
      <c r="C1210" s="58">
        <f t="shared" si="1"/>
        <v>4031.998611</v>
      </c>
      <c r="D1210" s="1">
        <f t="shared" si="2"/>
        <v>4237.383669</v>
      </c>
      <c r="E1210" s="1">
        <f t="shared" si="3"/>
        <v>7627.290605</v>
      </c>
      <c r="F1210" s="1">
        <f t="shared" si="4"/>
        <v>14407.10448</v>
      </c>
      <c r="G1210" s="1">
        <f t="shared" si="5"/>
        <v>25424.30202</v>
      </c>
      <c r="H1210" s="1">
        <f t="shared" si="6"/>
        <v>46611.22036</v>
      </c>
      <c r="I1210" s="1">
        <f t="shared" si="7"/>
        <v>76272.90605</v>
      </c>
    </row>
    <row r="1211" hidden="1">
      <c r="A1211" s="266">
        <f>IFERROR(__xludf.DUMMYFUNCTION("""COMPUTED_VALUE"""),43848.99861111111)</f>
        <v>43848.99861</v>
      </c>
      <c r="B1211" s="1">
        <f>IFERROR(__xludf.DUMMYFUNCTION("""COMPUTED_VALUE"""),8910.659)</f>
        <v>8910.659</v>
      </c>
      <c r="C1211" s="58">
        <f t="shared" si="1"/>
        <v>4032.998611</v>
      </c>
      <c r="D1211" s="1">
        <f t="shared" si="2"/>
        <v>4243.482744</v>
      </c>
      <c r="E1211" s="1">
        <f t="shared" si="3"/>
        <v>7638.268938</v>
      </c>
      <c r="F1211" s="1">
        <f t="shared" si="4"/>
        <v>14427.84133</v>
      </c>
      <c r="G1211" s="1">
        <f t="shared" si="5"/>
        <v>25460.89646</v>
      </c>
      <c r="H1211" s="1">
        <f t="shared" si="6"/>
        <v>46678.31018</v>
      </c>
      <c r="I1211" s="1">
        <f t="shared" si="7"/>
        <v>76382.68938</v>
      </c>
    </row>
    <row r="1212" hidden="1">
      <c r="A1212" s="266">
        <f>IFERROR(__xludf.DUMMYFUNCTION("""COMPUTED_VALUE"""),43849.99861111111)</f>
        <v>43849.99861</v>
      </c>
      <c r="B1212" s="1">
        <f>IFERROR(__xludf.DUMMYFUNCTION("""COMPUTED_VALUE"""),8695.518)</f>
        <v>8695.518</v>
      </c>
      <c r="C1212" s="58">
        <f t="shared" si="1"/>
        <v>4033.998611</v>
      </c>
      <c r="D1212" s="1">
        <f t="shared" si="2"/>
        <v>4249.589081</v>
      </c>
      <c r="E1212" s="1">
        <f t="shared" si="3"/>
        <v>7649.260346</v>
      </c>
      <c r="F1212" s="1">
        <f t="shared" si="4"/>
        <v>14448.60288</v>
      </c>
      <c r="G1212" s="1">
        <f t="shared" si="5"/>
        <v>25497.53449</v>
      </c>
      <c r="H1212" s="1">
        <f t="shared" si="6"/>
        <v>46745.47989</v>
      </c>
      <c r="I1212" s="1">
        <f t="shared" si="7"/>
        <v>76492.60346</v>
      </c>
    </row>
    <row r="1213" hidden="1">
      <c r="A1213" s="266">
        <f>IFERROR(__xludf.DUMMYFUNCTION("""COMPUTED_VALUE"""),43850.99861111111)</f>
        <v>43850.99861</v>
      </c>
      <c r="B1213" s="1">
        <f>IFERROR(__xludf.DUMMYFUNCTION("""COMPUTED_VALUE"""),8632.108)</f>
        <v>8632.108</v>
      </c>
      <c r="C1213" s="58">
        <f t="shared" si="1"/>
        <v>4034.998611</v>
      </c>
      <c r="D1213" s="1">
        <f t="shared" si="2"/>
        <v>4255.702689</v>
      </c>
      <c r="E1213" s="1">
        <f t="shared" si="3"/>
        <v>7660.26484</v>
      </c>
      <c r="F1213" s="1">
        <f t="shared" si="4"/>
        <v>14469.38914</v>
      </c>
      <c r="G1213" s="1">
        <f t="shared" si="5"/>
        <v>25534.21613</v>
      </c>
      <c r="H1213" s="1">
        <f t="shared" si="6"/>
        <v>46812.72958</v>
      </c>
      <c r="I1213" s="1">
        <f t="shared" si="7"/>
        <v>76602.6484</v>
      </c>
    </row>
    <row r="1214" hidden="1">
      <c r="A1214" s="266">
        <f>IFERROR(__xludf.DUMMYFUNCTION("""COMPUTED_VALUE"""),43851.99861111111)</f>
        <v>43851.99861</v>
      </c>
      <c r="B1214" s="1">
        <f>IFERROR(__xludf.DUMMYFUNCTION("""COMPUTED_VALUE"""),8726.09)</f>
        <v>8726.09</v>
      </c>
      <c r="C1214" s="58">
        <f t="shared" si="1"/>
        <v>4035.998611</v>
      </c>
      <c r="D1214" s="1">
        <f t="shared" si="2"/>
        <v>4261.823574</v>
      </c>
      <c r="E1214" s="1">
        <f t="shared" si="3"/>
        <v>7671.282433</v>
      </c>
      <c r="F1214" s="1">
        <f t="shared" si="4"/>
        <v>14490.20015</v>
      </c>
      <c r="G1214" s="1">
        <f t="shared" si="5"/>
        <v>25570.94144</v>
      </c>
      <c r="H1214" s="1">
        <f t="shared" si="6"/>
        <v>46880.05931</v>
      </c>
      <c r="I1214" s="1">
        <f t="shared" si="7"/>
        <v>76712.82433</v>
      </c>
    </row>
    <row r="1215" hidden="1">
      <c r="A1215" s="266">
        <f>IFERROR(__xludf.DUMMYFUNCTION("""COMPUTED_VALUE"""),43852.99861111111)</f>
        <v>43852.99861</v>
      </c>
      <c r="B1215" s="1">
        <f>IFERROR(__xludf.DUMMYFUNCTION("""COMPUTED_VALUE"""),8658.842)</f>
        <v>8658.842</v>
      </c>
      <c r="C1215" s="58">
        <f t="shared" si="1"/>
        <v>4036.998611</v>
      </c>
      <c r="D1215" s="1">
        <f t="shared" si="2"/>
        <v>4267.951742</v>
      </c>
      <c r="E1215" s="1">
        <f t="shared" si="3"/>
        <v>7682.313136</v>
      </c>
      <c r="F1215" s="1">
        <f t="shared" si="4"/>
        <v>14511.03592</v>
      </c>
      <c r="G1215" s="1">
        <f t="shared" si="5"/>
        <v>25607.71045</v>
      </c>
      <c r="H1215" s="1">
        <f t="shared" si="6"/>
        <v>46947.46917</v>
      </c>
      <c r="I1215" s="1">
        <f t="shared" si="7"/>
        <v>76823.13136</v>
      </c>
    </row>
    <row r="1216" hidden="1">
      <c r="A1216" s="266">
        <f>IFERROR(__xludf.DUMMYFUNCTION("""COMPUTED_VALUE"""),43853.99861111111)</f>
        <v>43853.99861</v>
      </c>
      <c r="B1216" s="1">
        <f>IFERROR(__xludf.DUMMYFUNCTION("""COMPUTED_VALUE"""),8382.628)</f>
        <v>8382.628</v>
      </c>
      <c r="C1216" s="58">
        <f t="shared" si="1"/>
        <v>4037.998611</v>
      </c>
      <c r="D1216" s="1">
        <f t="shared" si="2"/>
        <v>4274.087202</v>
      </c>
      <c r="E1216" s="1">
        <f t="shared" si="3"/>
        <v>7693.356963</v>
      </c>
      <c r="F1216" s="1">
        <f t="shared" si="4"/>
        <v>14531.89649</v>
      </c>
      <c r="G1216" s="1">
        <f t="shared" si="5"/>
        <v>25644.52321</v>
      </c>
      <c r="H1216" s="1">
        <f t="shared" si="6"/>
        <v>47014.95922</v>
      </c>
      <c r="I1216" s="1">
        <f t="shared" si="7"/>
        <v>76933.56963</v>
      </c>
    </row>
    <row r="1217" hidden="1">
      <c r="A1217" s="266">
        <f>IFERROR(__xludf.DUMMYFUNCTION("""COMPUTED_VALUE"""),43854.99861111111)</f>
        <v>43854.99861</v>
      </c>
      <c r="B1217" s="1">
        <f>IFERROR(__xludf.DUMMYFUNCTION("""COMPUTED_VALUE"""),8429.902)</f>
        <v>8429.902</v>
      </c>
      <c r="C1217" s="58">
        <f t="shared" si="1"/>
        <v>4038.998611</v>
      </c>
      <c r="D1217" s="1">
        <f t="shared" si="2"/>
        <v>4280.229959</v>
      </c>
      <c r="E1217" s="1">
        <f t="shared" si="3"/>
        <v>7704.413926</v>
      </c>
      <c r="F1217" s="1">
        <f t="shared" si="4"/>
        <v>14552.78186</v>
      </c>
      <c r="G1217" s="1">
        <f t="shared" si="5"/>
        <v>25681.37975</v>
      </c>
      <c r="H1217" s="1">
        <f t="shared" si="6"/>
        <v>47082.52955</v>
      </c>
      <c r="I1217" s="1">
        <f t="shared" si="7"/>
        <v>77044.13926</v>
      </c>
    </row>
    <row r="1218" hidden="1">
      <c r="A1218" s="266">
        <f>IFERROR(__xludf.DUMMYFUNCTION("""COMPUTED_VALUE"""),43855.99861111111)</f>
        <v>43855.99861</v>
      </c>
      <c r="B1218" s="1">
        <f>IFERROR(__xludf.DUMMYFUNCTION("""COMPUTED_VALUE"""),8337.552)</f>
        <v>8337.552</v>
      </c>
      <c r="C1218" s="58">
        <f t="shared" si="1"/>
        <v>4039.998611</v>
      </c>
      <c r="D1218" s="1">
        <f t="shared" si="2"/>
        <v>4286.38002</v>
      </c>
      <c r="E1218" s="1">
        <f t="shared" si="3"/>
        <v>7715.484037</v>
      </c>
      <c r="F1218" s="1">
        <f t="shared" si="4"/>
        <v>14573.69207</v>
      </c>
      <c r="G1218" s="1">
        <f t="shared" si="5"/>
        <v>25718.28012</v>
      </c>
      <c r="H1218" s="1">
        <f t="shared" si="6"/>
        <v>47150.18022</v>
      </c>
      <c r="I1218" s="1">
        <f t="shared" si="7"/>
        <v>77154.84037</v>
      </c>
    </row>
    <row r="1219" hidden="1">
      <c r="A1219" s="266">
        <f>IFERROR(__xludf.DUMMYFUNCTION("""COMPUTED_VALUE"""),43856.99861111111)</f>
        <v>43856.99861</v>
      </c>
      <c r="B1219" s="1">
        <f>IFERROR(__xludf.DUMMYFUNCTION("""COMPUTED_VALUE"""),8596.776)</f>
        <v>8596.776</v>
      </c>
      <c r="C1219" s="58">
        <f t="shared" si="1"/>
        <v>4040.998611</v>
      </c>
      <c r="D1219" s="1">
        <f t="shared" si="2"/>
        <v>4292.537393</v>
      </c>
      <c r="E1219" s="1">
        <f t="shared" si="3"/>
        <v>7726.567308</v>
      </c>
      <c r="F1219" s="1">
        <f t="shared" si="4"/>
        <v>14594.62714</v>
      </c>
      <c r="G1219" s="1">
        <f t="shared" si="5"/>
        <v>25755.22436</v>
      </c>
      <c r="H1219" s="1">
        <f t="shared" si="6"/>
        <v>47217.91132</v>
      </c>
      <c r="I1219" s="1">
        <f t="shared" si="7"/>
        <v>77265.67308</v>
      </c>
    </row>
    <row r="1220" hidden="1">
      <c r="A1220" s="266">
        <f>IFERROR(__xludf.DUMMYFUNCTION("""COMPUTED_VALUE"""),43857.99861111111)</f>
        <v>43857.99861</v>
      </c>
      <c r="B1220" s="1">
        <f>IFERROR(__xludf.DUMMYFUNCTION("""COMPUTED_VALUE"""),8897.197)</f>
        <v>8897.197</v>
      </c>
      <c r="C1220" s="58">
        <f t="shared" si="1"/>
        <v>4041.998611</v>
      </c>
      <c r="D1220" s="1">
        <f t="shared" si="2"/>
        <v>4298.702084</v>
      </c>
      <c r="E1220" s="1">
        <f t="shared" si="3"/>
        <v>7737.663751</v>
      </c>
      <c r="F1220" s="1">
        <f t="shared" si="4"/>
        <v>14615.58709</v>
      </c>
      <c r="G1220" s="1">
        <f t="shared" si="5"/>
        <v>25792.2125</v>
      </c>
      <c r="H1220" s="1">
        <f t="shared" si="6"/>
        <v>47285.72293</v>
      </c>
      <c r="I1220" s="1">
        <f t="shared" si="7"/>
        <v>77376.63751</v>
      </c>
    </row>
    <row r="1221" hidden="1">
      <c r="A1221" s="266">
        <f>IFERROR(__xludf.DUMMYFUNCTION("""COMPUTED_VALUE"""),43858.99861111111)</f>
        <v>43858.99861</v>
      </c>
      <c r="B1221" s="1">
        <f>IFERROR(__xludf.DUMMYFUNCTION("""COMPUTED_VALUE"""),9386.535)</f>
        <v>9386.535</v>
      </c>
      <c r="C1221" s="58">
        <f t="shared" si="1"/>
        <v>4042.998611</v>
      </c>
      <c r="D1221" s="1">
        <f t="shared" si="2"/>
        <v>4304.8741</v>
      </c>
      <c r="E1221" s="1">
        <f t="shared" si="3"/>
        <v>7748.773381</v>
      </c>
      <c r="F1221" s="1">
        <f t="shared" si="4"/>
        <v>14636.57194</v>
      </c>
      <c r="G1221" s="1">
        <f t="shared" si="5"/>
        <v>25829.2446</v>
      </c>
      <c r="H1221" s="1">
        <f t="shared" si="6"/>
        <v>47353.6151</v>
      </c>
      <c r="I1221" s="1">
        <f t="shared" si="7"/>
        <v>77487.73381</v>
      </c>
    </row>
    <row r="1222" hidden="1">
      <c r="A1222" s="266">
        <f>IFERROR(__xludf.DUMMYFUNCTION("""COMPUTED_VALUE"""),43859.99861111111)</f>
        <v>43859.99861</v>
      </c>
      <c r="B1222" s="1">
        <f>IFERROR(__xludf.DUMMYFUNCTION("""COMPUTED_VALUE"""),9287.392)</f>
        <v>9287.392</v>
      </c>
      <c r="C1222" s="58">
        <f t="shared" si="1"/>
        <v>4043.998611</v>
      </c>
      <c r="D1222" s="1">
        <f t="shared" si="2"/>
        <v>4311.053448</v>
      </c>
      <c r="E1222" s="1">
        <f t="shared" si="3"/>
        <v>7759.896207</v>
      </c>
      <c r="F1222" s="1">
        <f t="shared" si="4"/>
        <v>14657.58172</v>
      </c>
      <c r="G1222" s="1">
        <f t="shared" si="5"/>
        <v>25866.32069</v>
      </c>
      <c r="H1222" s="1">
        <f t="shared" si="6"/>
        <v>47421.58793</v>
      </c>
      <c r="I1222" s="1">
        <f t="shared" si="7"/>
        <v>77598.96207</v>
      </c>
    </row>
    <row r="1223" hidden="1">
      <c r="A1223" s="266">
        <f>IFERROR(__xludf.DUMMYFUNCTION("""COMPUTED_VALUE"""),43860.99861111111)</f>
        <v>43860.99861</v>
      </c>
      <c r="B1223" s="1">
        <f>IFERROR(__xludf.DUMMYFUNCTION("""COMPUTED_VALUE"""),9502.2)</f>
        <v>9502.2</v>
      </c>
      <c r="C1223" s="58">
        <f t="shared" si="1"/>
        <v>4044.998611</v>
      </c>
      <c r="D1223" s="1">
        <f t="shared" si="2"/>
        <v>4317.240136</v>
      </c>
      <c r="E1223" s="1">
        <f t="shared" si="3"/>
        <v>7771.032244</v>
      </c>
      <c r="F1223" s="1">
        <f t="shared" si="4"/>
        <v>14678.61646</v>
      </c>
      <c r="G1223" s="1">
        <f t="shared" si="5"/>
        <v>25903.44081</v>
      </c>
      <c r="H1223" s="1">
        <f t="shared" si="6"/>
        <v>47489.64149</v>
      </c>
      <c r="I1223" s="1">
        <f t="shared" si="7"/>
        <v>77710.32244</v>
      </c>
    </row>
    <row r="1224" hidden="1">
      <c r="A1224" s="266">
        <f>IFERROR(__xludf.DUMMYFUNCTION("""COMPUTED_VALUE"""),43861.99861111111)</f>
        <v>43861.99861</v>
      </c>
      <c r="B1224" s="1">
        <f>IFERROR(__xludf.DUMMYFUNCTION("""COMPUTED_VALUE"""),9338.332)</f>
        <v>9338.332</v>
      </c>
      <c r="C1224" s="58">
        <f t="shared" si="1"/>
        <v>4045.998611</v>
      </c>
      <c r="D1224" s="1">
        <f t="shared" si="2"/>
        <v>4323.434168</v>
      </c>
      <c r="E1224" s="1">
        <f t="shared" si="3"/>
        <v>7782.181503</v>
      </c>
      <c r="F1224" s="1">
        <f t="shared" si="4"/>
        <v>14699.67617</v>
      </c>
      <c r="G1224" s="1">
        <f t="shared" si="5"/>
        <v>25940.60501</v>
      </c>
      <c r="H1224" s="1">
        <f t="shared" si="6"/>
        <v>47557.77585</v>
      </c>
      <c r="I1224" s="1">
        <f t="shared" si="7"/>
        <v>77821.81503</v>
      </c>
    </row>
    <row r="1225" hidden="1">
      <c r="A1225" s="266">
        <f>IFERROR(__xludf.DUMMYFUNCTION("""COMPUTED_VALUE"""),43862.99861111111)</f>
        <v>43862.99861</v>
      </c>
      <c r="B1225" s="1">
        <f>IFERROR(__xludf.DUMMYFUNCTION("""COMPUTED_VALUE"""),9383.33)</f>
        <v>9383.33</v>
      </c>
      <c r="C1225" s="58">
        <f t="shared" si="1"/>
        <v>4046.998611</v>
      </c>
      <c r="D1225" s="1">
        <f t="shared" si="2"/>
        <v>4329.635554</v>
      </c>
      <c r="E1225" s="1">
        <f t="shared" si="3"/>
        <v>7793.343997</v>
      </c>
      <c r="F1225" s="1">
        <f t="shared" si="4"/>
        <v>14720.76088</v>
      </c>
      <c r="G1225" s="1">
        <f t="shared" si="5"/>
        <v>25977.81332</v>
      </c>
      <c r="H1225" s="1">
        <f t="shared" si="6"/>
        <v>47625.99109</v>
      </c>
      <c r="I1225" s="1">
        <f t="shared" si="7"/>
        <v>77933.43997</v>
      </c>
    </row>
    <row r="1226" hidden="1">
      <c r="A1226" s="266">
        <f>IFERROR(__xludf.DUMMYFUNCTION("""COMPUTED_VALUE"""),43863.99861111111)</f>
        <v>43863.99861</v>
      </c>
      <c r="B1226" s="1">
        <f>IFERROR(__xludf.DUMMYFUNCTION("""COMPUTED_VALUE"""),9333.018)</f>
        <v>9333.018</v>
      </c>
      <c r="C1226" s="58">
        <f t="shared" si="1"/>
        <v>4047.998611</v>
      </c>
      <c r="D1226" s="1">
        <f t="shared" si="2"/>
        <v>4335.844299</v>
      </c>
      <c r="E1226" s="1">
        <f t="shared" si="3"/>
        <v>7804.519738</v>
      </c>
      <c r="F1226" s="1">
        <f t="shared" si="4"/>
        <v>14741.87062</v>
      </c>
      <c r="G1226" s="1">
        <f t="shared" si="5"/>
        <v>26015.06579</v>
      </c>
      <c r="H1226" s="1">
        <f t="shared" si="6"/>
        <v>47694.28729</v>
      </c>
      <c r="I1226" s="1">
        <f t="shared" si="7"/>
        <v>78045.19738</v>
      </c>
    </row>
    <row r="1227" hidden="1">
      <c r="A1227" s="266">
        <f>IFERROR(__xludf.DUMMYFUNCTION("""COMPUTED_VALUE"""),43864.99861111111)</f>
        <v>43864.99861</v>
      </c>
      <c r="B1227" s="1">
        <f>IFERROR(__xludf.DUMMYFUNCTION("""COMPUTED_VALUE"""),9289.201)</f>
        <v>9289.201</v>
      </c>
      <c r="C1227" s="58">
        <f t="shared" si="1"/>
        <v>4048.998611</v>
      </c>
      <c r="D1227" s="1">
        <f t="shared" si="2"/>
        <v>4342.060411</v>
      </c>
      <c r="E1227" s="1">
        <f t="shared" si="3"/>
        <v>7815.708739</v>
      </c>
      <c r="F1227" s="1">
        <f t="shared" si="4"/>
        <v>14763.0054</v>
      </c>
      <c r="G1227" s="1">
        <f t="shared" si="5"/>
        <v>26052.36246</v>
      </c>
      <c r="H1227" s="1">
        <f t="shared" si="6"/>
        <v>47762.66452</v>
      </c>
      <c r="I1227" s="1">
        <f t="shared" si="7"/>
        <v>78157.08739</v>
      </c>
    </row>
    <row r="1228" hidden="1">
      <c r="A1228" s="266">
        <f>IFERROR(__xludf.DUMMYFUNCTION("""COMPUTED_VALUE"""),43865.99861111111)</f>
        <v>43865.99861</v>
      </c>
      <c r="B1228" s="1">
        <f>IFERROR(__xludf.DUMMYFUNCTION("""COMPUTED_VALUE"""),9172.433)</f>
        <v>9172.433</v>
      </c>
      <c r="C1228" s="58">
        <f t="shared" si="1"/>
        <v>4049.998611</v>
      </c>
      <c r="D1228" s="1">
        <f t="shared" si="2"/>
        <v>4348.283896</v>
      </c>
      <c r="E1228" s="1">
        <f t="shared" si="3"/>
        <v>7826.911013</v>
      </c>
      <c r="F1228" s="1">
        <f t="shared" si="4"/>
        <v>14784.16525</v>
      </c>
      <c r="G1228" s="1">
        <f t="shared" si="5"/>
        <v>26089.70338</v>
      </c>
      <c r="H1228" s="1">
        <f t="shared" si="6"/>
        <v>47831.12286</v>
      </c>
      <c r="I1228" s="1">
        <f t="shared" si="7"/>
        <v>78269.11013</v>
      </c>
    </row>
    <row r="1229" hidden="1">
      <c r="A1229" s="266">
        <f>IFERROR(__xludf.DUMMYFUNCTION("""COMPUTED_VALUE"""),43866.99861111111)</f>
        <v>43866.99861</v>
      </c>
      <c r="B1229" s="1">
        <f>IFERROR(__xludf.DUMMYFUNCTION("""COMPUTED_VALUE"""),9610.705)</f>
        <v>9610.705</v>
      </c>
      <c r="C1229" s="58">
        <f t="shared" si="1"/>
        <v>4050.998611</v>
      </c>
      <c r="D1229" s="1">
        <f t="shared" si="2"/>
        <v>4354.514761</v>
      </c>
      <c r="E1229" s="1">
        <f t="shared" si="3"/>
        <v>7838.12657</v>
      </c>
      <c r="F1229" s="1">
        <f t="shared" si="4"/>
        <v>14805.35019</v>
      </c>
      <c r="G1229" s="1">
        <f t="shared" si="5"/>
        <v>26127.08857</v>
      </c>
      <c r="H1229" s="1">
        <f t="shared" si="6"/>
        <v>47899.66238</v>
      </c>
      <c r="I1229" s="1">
        <f t="shared" si="7"/>
        <v>78381.2657</v>
      </c>
    </row>
    <row r="1230" hidden="1">
      <c r="A1230" s="266">
        <f>IFERROR(__xludf.DUMMYFUNCTION("""COMPUTED_VALUE"""),43867.99861111111)</f>
        <v>43867.99861</v>
      </c>
      <c r="B1230" s="1">
        <f>IFERROR(__xludf.DUMMYFUNCTION("""COMPUTED_VALUE"""),9756.318)</f>
        <v>9756.318</v>
      </c>
      <c r="C1230" s="58">
        <f t="shared" si="1"/>
        <v>4051.998611</v>
      </c>
      <c r="D1230" s="1">
        <f t="shared" si="2"/>
        <v>4360.753014</v>
      </c>
      <c r="E1230" s="1">
        <f t="shared" si="3"/>
        <v>7849.355425</v>
      </c>
      <c r="F1230" s="1">
        <f t="shared" si="4"/>
        <v>14826.56025</v>
      </c>
      <c r="G1230" s="1">
        <f t="shared" si="5"/>
        <v>26164.51808</v>
      </c>
      <c r="H1230" s="1">
        <f t="shared" si="6"/>
        <v>47968.28316</v>
      </c>
      <c r="I1230" s="1">
        <f t="shared" si="7"/>
        <v>78493.55425</v>
      </c>
    </row>
    <row r="1231" hidden="1">
      <c r="A1231" s="266">
        <f>IFERROR(__xludf.DUMMYFUNCTION("""COMPUTED_VALUE"""),43868.99861111111)</f>
        <v>43868.99861</v>
      </c>
      <c r="B1231" s="1">
        <f>IFERROR(__xludf.DUMMYFUNCTION("""COMPUTED_VALUE"""),9801.729)</f>
        <v>9801.729</v>
      </c>
      <c r="C1231" s="58">
        <f t="shared" si="1"/>
        <v>4052.998611</v>
      </c>
      <c r="D1231" s="1">
        <f t="shared" si="2"/>
        <v>4366.998661</v>
      </c>
      <c r="E1231" s="1">
        <f t="shared" si="3"/>
        <v>7860.59759</v>
      </c>
      <c r="F1231" s="1">
        <f t="shared" si="4"/>
        <v>14847.79545</v>
      </c>
      <c r="G1231" s="1">
        <f t="shared" si="5"/>
        <v>26201.99197</v>
      </c>
      <c r="H1231" s="1">
        <f t="shared" si="6"/>
        <v>48036.98527</v>
      </c>
      <c r="I1231" s="1">
        <f t="shared" si="7"/>
        <v>78605.9759</v>
      </c>
    </row>
    <row r="1232" hidden="1">
      <c r="A1232" s="266">
        <f>IFERROR(__xludf.DUMMYFUNCTION("""COMPUTED_VALUE"""),43869.99861111111)</f>
        <v>43869.99861</v>
      </c>
      <c r="B1232" s="1">
        <f>IFERROR(__xludf.DUMMYFUNCTION("""COMPUTED_VALUE"""),9895.129)</f>
        <v>9895.129</v>
      </c>
      <c r="C1232" s="58">
        <f t="shared" si="1"/>
        <v>4053.998611</v>
      </c>
      <c r="D1232" s="1">
        <f t="shared" si="2"/>
        <v>4373.251709</v>
      </c>
      <c r="E1232" s="1">
        <f t="shared" si="3"/>
        <v>7871.853077</v>
      </c>
      <c r="F1232" s="1">
        <f t="shared" si="4"/>
        <v>14869.05581</v>
      </c>
      <c r="G1232" s="1">
        <f t="shared" si="5"/>
        <v>26239.51026</v>
      </c>
      <c r="H1232" s="1">
        <f t="shared" si="6"/>
        <v>48105.7688</v>
      </c>
      <c r="I1232" s="1">
        <f t="shared" si="7"/>
        <v>78718.53077</v>
      </c>
    </row>
    <row r="1233" hidden="1">
      <c r="A1233" s="266">
        <f>IFERROR(__xludf.DUMMYFUNCTION("""COMPUTED_VALUE"""),43870.99861111111)</f>
        <v>43870.99861</v>
      </c>
      <c r="B1233" s="1">
        <f>IFERROR(__xludf.DUMMYFUNCTION("""COMPUTED_VALUE"""),10156.21)</f>
        <v>10156.21</v>
      </c>
      <c r="C1233" s="58">
        <f t="shared" si="1"/>
        <v>4054.998611</v>
      </c>
      <c r="D1233" s="1">
        <f t="shared" si="2"/>
        <v>4379.512165</v>
      </c>
      <c r="E1233" s="1">
        <f t="shared" si="3"/>
        <v>7883.121898</v>
      </c>
      <c r="F1233" s="1">
        <f t="shared" si="4"/>
        <v>14890.34136</v>
      </c>
      <c r="G1233" s="1">
        <f t="shared" si="5"/>
        <v>26277.07299</v>
      </c>
      <c r="H1233" s="1">
        <f t="shared" si="6"/>
        <v>48174.63382</v>
      </c>
      <c r="I1233" s="1">
        <f t="shared" si="7"/>
        <v>78831.21898</v>
      </c>
    </row>
    <row r="1234" hidden="1">
      <c r="A1234" s="266">
        <f>IFERROR(__xludf.DUMMYFUNCTION("""COMPUTED_VALUE"""),43871.99861111111)</f>
        <v>43871.99861</v>
      </c>
      <c r="B1234" s="1">
        <f>IFERROR(__xludf.DUMMYFUNCTION("""COMPUTED_VALUE"""),9852.876)</f>
        <v>9852.876</v>
      </c>
      <c r="C1234" s="58">
        <f t="shared" si="1"/>
        <v>4055.998611</v>
      </c>
      <c r="D1234" s="1">
        <f t="shared" si="2"/>
        <v>4385.780037</v>
      </c>
      <c r="E1234" s="1">
        <f t="shared" si="3"/>
        <v>7894.404066</v>
      </c>
      <c r="F1234" s="1">
        <f t="shared" si="4"/>
        <v>14911.65212</v>
      </c>
      <c r="G1234" s="1">
        <f t="shared" si="5"/>
        <v>26314.68022</v>
      </c>
      <c r="H1234" s="1">
        <f t="shared" si="6"/>
        <v>48243.5804</v>
      </c>
      <c r="I1234" s="1">
        <f t="shared" si="7"/>
        <v>78944.04066</v>
      </c>
    </row>
    <row r="1235" hidden="1">
      <c r="A1235" s="266">
        <f>IFERROR(__xludf.DUMMYFUNCTION("""COMPUTED_VALUE"""),43872.99861111111)</f>
        <v>43872.99861</v>
      </c>
      <c r="B1235" s="1">
        <f>IFERROR(__xludf.DUMMYFUNCTION("""COMPUTED_VALUE"""),10263.26)</f>
        <v>10263.26</v>
      </c>
      <c r="C1235" s="58">
        <f t="shared" si="1"/>
        <v>4056.998611</v>
      </c>
      <c r="D1235" s="1">
        <f t="shared" si="2"/>
        <v>4392.05533</v>
      </c>
      <c r="E1235" s="1">
        <f t="shared" si="3"/>
        <v>7905.699594</v>
      </c>
      <c r="F1235" s="1">
        <f t="shared" si="4"/>
        <v>14932.98812</v>
      </c>
      <c r="G1235" s="1">
        <f t="shared" si="5"/>
        <v>26352.33198</v>
      </c>
      <c r="H1235" s="1">
        <f t="shared" si="6"/>
        <v>48312.60863</v>
      </c>
      <c r="I1235" s="1">
        <f t="shared" si="7"/>
        <v>79056.99594</v>
      </c>
    </row>
    <row r="1236" hidden="1">
      <c r="A1236" s="266">
        <f>IFERROR(__xludf.DUMMYFUNCTION("""COMPUTED_VALUE"""),43873.99861111111)</f>
        <v>43873.99861</v>
      </c>
      <c r="B1236" s="1">
        <f>IFERROR(__xludf.DUMMYFUNCTION("""COMPUTED_VALUE"""),10345.06)</f>
        <v>10345.06</v>
      </c>
      <c r="C1236" s="58">
        <f t="shared" si="1"/>
        <v>4057.998611</v>
      </c>
      <c r="D1236" s="1">
        <f t="shared" si="2"/>
        <v>4398.338052</v>
      </c>
      <c r="E1236" s="1">
        <f t="shared" si="3"/>
        <v>7917.008494</v>
      </c>
      <c r="F1236" s="1">
        <f t="shared" si="4"/>
        <v>14954.34938</v>
      </c>
      <c r="G1236" s="1">
        <f t="shared" si="5"/>
        <v>26390.02831</v>
      </c>
      <c r="H1236" s="1">
        <f t="shared" si="6"/>
        <v>48381.71857</v>
      </c>
      <c r="I1236" s="1">
        <f t="shared" si="7"/>
        <v>79170.08494</v>
      </c>
    </row>
    <row r="1237" hidden="1">
      <c r="A1237" s="266">
        <f>IFERROR(__xludf.DUMMYFUNCTION("""COMPUTED_VALUE"""),43874.99861111111)</f>
        <v>43874.99861</v>
      </c>
      <c r="B1237" s="1">
        <f>IFERROR(__xludf.DUMMYFUNCTION("""COMPUTED_VALUE"""),10234.47)</f>
        <v>10234.47</v>
      </c>
      <c r="C1237" s="58">
        <f t="shared" si="1"/>
        <v>4058.998611</v>
      </c>
      <c r="D1237" s="1">
        <f t="shared" si="2"/>
        <v>4404.62821</v>
      </c>
      <c r="E1237" s="1">
        <f t="shared" si="3"/>
        <v>7928.330778</v>
      </c>
      <c r="F1237" s="1">
        <f t="shared" si="4"/>
        <v>14975.73591</v>
      </c>
      <c r="G1237" s="1">
        <f t="shared" si="5"/>
        <v>26427.76926</v>
      </c>
      <c r="H1237" s="1">
        <f t="shared" si="6"/>
        <v>48450.91031</v>
      </c>
      <c r="I1237" s="1">
        <f t="shared" si="7"/>
        <v>79283.30778</v>
      </c>
    </row>
    <row r="1238" hidden="1">
      <c r="A1238" s="266">
        <f>IFERROR(__xludf.DUMMYFUNCTION("""COMPUTED_VALUE"""),43875.99861111111)</f>
        <v>43875.99861</v>
      </c>
      <c r="B1238" s="1">
        <f>IFERROR(__xludf.DUMMYFUNCTION("""COMPUTED_VALUE"""),10356.59)</f>
        <v>10356.59</v>
      </c>
      <c r="C1238" s="58">
        <f t="shared" si="1"/>
        <v>4059.998611</v>
      </c>
      <c r="D1238" s="1">
        <f t="shared" si="2"/>
        <v>4410.925811</v>
      </c>
      <c r="E1238" s="1">
        <f t="shared" si="3"/>
        <v>7939.66646</v>
      </c>
      <c r="F1238" s="1">
        <f t="shared" si="4"/>
        <v>14997.14776</v>
      </c>
      <c r="G1238" s="1">
        <f t="shared" si="5"/>
        <v>26465.55487</v>
      </c>
      <c r="H1238" s="1">
        <f t="shared" si="6"/>
        <v>48520.18392</v>
      </c>
      <c r="I1238" s="1">
        <f t="shared" si="7"/>
        <v>79396.6646</v>
      </c>
    </row>
    <row r="1239" hidden="1">
      <c r="A1239" s="266">
        <f>IFERROR(__xludf.DUMMYFUNCTION("""COMPUTED_VALUE"""),43876.99861111111)</f>
        <v>43876.99861</v>
      </c>
      <c r="B1239" s="1">
        <f>IFERROR(__xludf.DUMMYFUNCTION("""COMPUTED_VALUE"""),9903.895)</f>
        <v>9903.895</v>
      </c>
      <c r="C1239" s="58">
        <f t="shared" si="1"/>
        <v>4060.998611</v>
      </c>
      <c r="D1239" s="1">
        <f t="shared" si="2"/>
        <v>4417.230862</v>
      </c>
      <c r="E1239" s="1">
        <f t="shared" si="3"/>
        <v>7951.015552</v>
      </c>
      <c r="F1239" s="1">
        <f t="shared" si="4"/>
        <v>15018.58493</v>
      </c>
      <c r="G1239" s="1">
        <f t="shared" si="5"/>
        <v>26503.38517</v>
      </c>
      <c r="H1239" s="1">
        <f t="shared" si="6"/>
        <v>48589.53948</v>
      </c>
      <c r="I1239" s="1">
        <f t="shared" si="7"/>
        <v>79510.15552</v>
      </c>
    </row>
    <row r="1240" hidden="1">
      <c r="A1240" s="266">
        <f>IFERROR(__xludf.DUMMYFUNCTION("""COMPUTED_VALUE"""),43877.99861111111)</f>
        <v>43877.99861</v>
      </c>
      <c r="B1240" s="1">
        <f>IFERROR(__xludf.DUMMYFUNCTION("""COMPUTED_VALUE"""),9927.334)</f>
        <v>9927.334</v>
      </c>
      <c r="C1240" s="58">
        <f t="shared" si="1"/>
        <v>4061.998611</v>
      </c>
      <c r="D1240" s="1">
        <f t="shared" si="2"/>
        <v>4423.54337</v>
      </c>
      <c r="E1240" s="1">
        <f t="shared" si="3"/>
        <v>7962.378065</v>
      </c>
      <c r="F1240" s="1">
        <f t="shared" si="4"/>
        <v>15040.04746</v>
      </c>
      <c r="G1240" s="1">
        <f t="shared" si="5"/>
        <v>26541.26022</v>
      </c>
      <c r="H1240" s="1">
        <f t="shared" si="6"/>
        <v>48658.97707</v>
      </c>
      <c r="I1240" s="1">
        <f t="shared" si="7"/>
        <v>79623.78065</v>
      </c>
    </row>
    <row r="1241" hidden="1">
      <c r="A1241" s="266">
        <f>IFERROR(__xludf.DUMMYFUNCTION("""COMPUTED_VALUE"""),43878.99861111111)</f>
        <v>43878.99861</v>
      </c>
      <c r="B1241" s="1">
        <f>IFERROR(__xludf.DUMMYFUNCTION("""COMPUTED_VALUE"""),9701.267)</f>
        <v>9701.267</v>
      </c>
      <c r="C1241" s="58">
        <f t="shared" si="1"/>
        <v>4062.998611</v>
      </c>
      <c r="D1241" s="1">
        <f t="shared" si="2"/>
        <v>4429.863341</v>
      </c>
      <c r="E1241" s="1">
        <f t="shared" si="3"/>
        <v>7973.754014</v>
      </c>
      <c r="F1241" s="1">
        <f t="shared" si="4"/>
        <v>15061.53536</v>
      </c>
      <c r="G1241" s="1">
        <f t="shared" si="5"/>
        <v>26579.18005</v>
      </c>
      <c r="H1241" s="1">
        <f t="shared" si="6"/>
        <v>48728.49675</v>
      </c>
      <c r="I1241" s="1">
        <f t="shared" si="7"/>
        <v>79737.54014</v>
      </c>
    </row>
    <row r="1242" hidden="1">
      <c r="A1242" s="266">
        <f>IFERROR(__xludf.DUMMYFUNCTION("""COMPUTED_VALUE"""),43879.99861111111)</f>
        <v>43879.99861</v>
      </c>
      <c r="B1242" s="1">
        <f>IFERROR(__xludf.DUMMYFUNCTION("""COMPUTED_VALUE"""),10169.47)</f>
        <v>10169.47</v>
      </c>
      <c r="C1242" s="58">
        <f t="shared" si="1"/>
        <v>4063.998611</v>
      </c>
      <c r="D1242" s="1">
        <f t="shared" si="2"/>
        <v>4436.190783</v>
      </c>
      <c r="E1242" s="1">
        <f t="shared" si="3"/>
        <v>7985.14341</v>
      </c>
      <c r="F1242" s="1">
        <f t="shared" si="4"/>
        <v>15083.04866</v>
      </c>
      <c r="G1242" s="1">
        <f t="shared" si="5"/>
        <v>26617.1447</v>
      </c>
      <c r="H1242" s="1">
        <f t="shared" si="6"/>
        <v>48798.09862</v>
      </c>
      <c r="I1242" s="1">
        <f t="shared" si="7"/>
        <v>79851.4341</v>
      </c>
    </row>
    <row r="1243" hidden="1">
      <c r="A1243" s="266">
        <f>IFERROR(__xludf.DUMMYFUNCTION("""COMPUTED_VALUE"""),43880.99861111111)</f>
        <v>43880.99861</v>
      </c>
      <c r="B1243" s="1">
        <f>IFERROR(__xludf.DUMMYFUNCTION("""COMPUTED_VALUE"""),9602.206)</f>
        <v>9602.206</v>
      </c>
      <c r="C1243" s="58">
        <f t="shared" si="1"/>
        <v>4064.998611</v>
      </c>
      <c r="D1243" s="1">
        <f t="shared" si="2"/>
        <v>4442.525703</v>
      </c>
      <c r="E1243" s="1">
        <f t="shared" si="3"/>
        <v>7996.546266</v>
      </c>
      <c r="F1243" s="1">
        <f t="shared" si="4"/>
        <v>15104.58739</v>
      </c>
      <c r="G1243" s="1">
        <f t="shared" si="5"/>
        <v>26655.15422</v>
      </c>
      <c r="H1243" s="1">
        <f t="shared" si="6"/>
        <v>48867.78274</v>
      </c>
      <c r="I1243" s="1">
        <f t="shared" si="7"/>
        <v>79965.46266</v>
      </c>
    </row>
    <row r="1244" hidden="1">
      <c r="A1244" s="266">
        <f>IFERROR(__xludf.DUMMYFUNCTION("""COMPUTED_VALUE"""),43881.99861111111)</f>
        <v>43881.99861</v>
      </c>
      <c r="B1244" s="1">
        <f>IFERROR(__xludf.DUMMYFUNCTION("""COMPUTED_VALUE"""),9609.387)</f>
        <v>9609.387</v>
      </c>
      <c r="C1244" s="58">
        <f t="shared" si="1"/>
        <v>4065.998611</v>
      </c>
      <c r="D1244" s="1">
        <f t="shared" si="2"/>
        <v>4448.868108</v>
      </c>
      <c r="E1244" s="1">
        <f t="shared" si="3"/>
        <v>8007.962595</v>
      </c>
      <c r="F1244" s="1">
        <f t="shared" si="4"/>
        <v>15126.15157</v>
      </c>
      <c r="G1244" s="1">
        <f t="shared" si="5"/>
        <v>26693.20865</v>
      </c>
      <c r="H1244" s="1">
        <f t="shared" si="6"/>
        <v>48937.54919</v>
      </c>
      <c r="I1244" s="1">
        <f t="shared" si="7"/>
        <v>80079.62595</v>
      </c>
    </row>
    <row r="1245" hidden="1">
      <c r="A1245" s="266">
        <f>IFERROR(__xludf.DUMMYFUNCTION("""COMPUTED_VALUE"""),43882.99861111111)</f>
        <v>43882.99861</v>
      </c>
      <c r="B1245" s="1">
        <f>IFERROR(__xludf.DUMMYFUNCTION("""COMPUTED_VALUE"""),9691.18)</f>
        <v>9691.18</v>
      </c>
      <c r="C1245" s="58">
        <f t="shared" si="1"/>
        <v>4066.998611</v>
      </c>
      <c r="D1245" s="1">
        <f t="shared" si="2"/>
        <v>4455.218005</v>
      </c>
      <c r="E1245" s="1">
        <f t="shared" si="3"/>
        <v>8019.392408</v>
      </c>
      <c r="F1245" s="1">
        <f t="shared" si="4"/>
        <v>15147.74122</v>
      </c>
      <c r="G1245" s="1">
        <f t="shared" si="5"/>
        <v>26731.30803</v>
      </c>
      <c r="H1245" s="1">
        <f t="shared" si="6"/>
        <v>49007.39805</v>
      </c>
      <c r="I1245" s="1">
        <f t="shared" si="7"/>
        <v>80193.92408</v>
      </c>
    </row>
    <row r="1246" hidden="1">
      <c r="A1246" s="266">
        <f>IFERROR(__xludf.DUMMYFUNCTION("""COMPUTED_VALUE"""),43883.99861111111)</f>
        <v>43883.99861</v>
      </c>
      <c r="B1246" s="1">
        <f>IFERROR(__xludf.DUMMYFUNCTION("""COMPUTED_VALUE"""),9667.061)</f>
        <v>9667.061</v>
      </c>
      <c r="C1246" s="58">
        <f t="shared" si="1"/>
        <v>4067.998611</v>
      </c>
      <c r="D1246" s="1">
        <f t="shared" si="2"/>
        <v>4461.5754</v>
      </c>
      <c r="E1246" s="1">
        <f t="shared" si="3"/>
        <v>8030.83572</v>
      </c>
      <c r="F1246" s="1">
        <f t="shared" si="4"/>
        <v>15169.35636</v>
      </c>
      <c r="G1246" s="1">
        <f t="shared" si="5"/>
        <v>26769.4524</v>
      </c>
      <c r="H1246" s="1">
        <f t="shared" si="6"/>
        <v>49077.3294</v>
      </c>
      <c r="I1246" s="1">
        <f t="shared" si="7"/>
        <v>80308.3572</v>
      </c>
    </row>
    <row r="1247" hidden="1">
      <c r="A1247" s="266">
        <f>IFERROR(__xludf.DUMMYFUNCTION("""COMPUTED_VALUE"""),43884.99861111111)</f>
        <v>43884.99861</v>
      </c>
      <c r="B1247" s="1">
        <f>IFERROR(__xludf.DUMMYFUNCTION("""COMPUTED_VALUE"""),9976.343)</f>
        <v>9976.343</v>
      </c>
      <c r="C1247" s="58">
        <f t="shared" si="1"/>
        <v>4068.998611</v>
      </c>
      <c r="D1247" s="1">
        <f t="shared" si="2"/>
        <v>4467.940301</v>
      </c>
      <c r="E1247" s="1">
        <f t="shared" si="3"/>
        <v>8042.292542</v>
      </c>
      <c r="F1247" s="1">
        <f t="shared" si="4"/>
        <v>15190.99702</v>
      </c>
      <c r="G1247" s="1">
        <f t="shared" si="5"/>
        <v>26807.64181</v>
      </c>
      <c r="H1247" s="1">
        <f t="shared" si="6"/>
        <v>49147.34331</v>
      </c>
      <c r="I1247" s="1">
        <f t="shared" si="7"/>
        <v>80422.92542</v>
      </c>
    </row>
    <row r="1248" hidden="1">
      <c r="A1248" s="266">
        <f>IFERROR(__xludf.DUMMYFUNCTION("""COMPUTED_VALUE"""),43885.99861111111)</f>
        <v>43885.99861</v>
      </c>
      <c r="B1248" s="1">
        <f>IFERROR(__xludf.DUMMYFUNCTION("""COMPUTED_VALUE"""),9664.999)</f>
        <v>9664.999</v>
      </c>
      <c r="C1248" s="58">
        <f t="shared" si="1"/>
        <v>4069.998611</v>
      </c>
      <c r="D1248" s="1">
        <f t="shared" si="2"/>
        <v>4474.312715</v>
      </c>
      <c r="E1248" s="1">
        <f t="shared" si="3"/>
        <v>8053.762887</v>
      </c>
      <c r="F1248" s="1">
        <f t="shared" si="4"/>
        <v>15212.66323</v>
      </c>
      <c r="G1248" s="1">
        <f t="shared" si="5"/>
        <v>26845.87629</v>
      </c>
      <c r="H1248" s="1">
        <f t="shared" si="6"/>
        <v>49217.43987</v>
      </c>
      <c r="I1248" s="1">
        <f t="shared" si="7"/>
        <v>80537.62887</v>
      </c>
    </row>
    <row r="1249" hidden="1">
      <c r="A1249" s="266">
        <f>IFERROR(__xludf.DUMMYFUNCTION("""COMPUTED_VALUE"""),43886.99861111111)</f>
        <v>43886.99861</v>
      </c>
      <c r="B1249" s="1">
        <f>IFERROR(__xludf.DUMMYFUNCTION("""COMPUTED_VALUE"""),9314.375)</f>
        <v>9314.375</v>
      </c>
      <c r="C1249" s="58">
        <f t="shared" si="1"/>
        <v>4070.998611</v>
      </c>
      <c r="D1249" s="1">
        <f t="shared" si="2"/>
        <v>4480.692649</v>
      </c>
      <c r="E1249" s="1">
        <f t="shared" si="3"/>
        <v>8065.246768</v>
      </c>
      <c r="F1249" s="1">
        <f t="shared" si="4"/>
        <v>15234.35501</v>
      </c>
      <c r="G1249" s="1">
        <f t="shared" si="5"/>
        <v>26884.15589</v>
      </c>
      <c r="H1249" s="1">
        <f t="shared" si="6"/>
        <v>49287.61914</v>
      </c>
      <c r="I1249" s="1">
        <f t="shared" si="7"/>
        <v>80652.46768</v>
      </c>
    </row>
    <row r="1250" hidden="1">
      <c r="A1250" s="266">
        <f>IFERROR(__xludf.DUMMYFUNCTION("""COMPUTED_VALUE"""),43887.99861111111)</f>
        <v>43887.99861</v>
      </c>
      <c r="B1250" s="1">
        <f>IFERROR(__xludf.DUMMYFUNCTION("""COMPUTED_VALUE"""),8788.837)</f>
        <v>8788.837</v>
      </c>
      <c r="C1250" s="58">
        <f t="shared" si="1"/>
        <v>4071.998611</v>
      </c>
      <c r="D1250" s="1">
        <f t="shared" si="2"/>
        <v>4487.080109</v>
      </c>
      <c r="E1250" s="1">
        <f t="shared" si="3"/>
        <v>8076.744197</v>
      </c>
      <c r="F1250" s="1">
        <f t="shared" si="4"/>
        <v>15256.07237</v>
      </c>
      <c r="G1250" s="1">
        <f t="shared" si="5"/>
        <v>26922.48066</v>
      </c>
      <c r="H1250" s="1">
        <f t="shared" si="6"/>
        <v>49357.8812</v>
      </c>
      <c r="I1250" s="1">
        <f t="shared" si="7"/>
        <v>80767.44197</v>
      </c>
    </row>
    <row r="1251" hidden="1">
      <c r="A1251" s="266">
        <f>IFERROR(__xludf.DUMMYFUNCTION("""COMPUTED_VALUE"""),43888.99861111111)</f>
        <v>43888.99861</v>
      </c>
      <c r="B1251" s="1">
        <f>IFERROR(__xludf.DUMMYFUNCTION("""COMPUTED_VALUE"""),8803.93)</f>
        <v>8803.93</v>
      </c>
      <c r="C1251" s="58">
        <f t="shared" si="1"/>
        <v>4072.998611</v>
      </c>
      <c r="D1251" s="1">
        <f t="shared" si="2"/>
        <v>4493.475104</v>
      </c>
      <c r="E1251" s="1">
        <f t="shared" si="3"/>
        <v>8088.255187</v>
      </c>
      <c r="F1251" s="1">
        <f t="shared" si="4"/>
        <v>15277.81535</v>
      </c>
      <c r="G1251" s="1">
        <f t="shared" si="5"/>
        <v>26960.85062</v>
      </c>
      <c r="H1251" s="1">
        <f t="shared" si="6"/>
        <v>49428.22614</v>
      </c>
      <c r="I1251" s="1">
        <f t="shared" si="7"/>
        <v>80882.55187</v>
      </c>
    </row>
    <row r="1252" hidden="1">
      <c r="A1252" s="266">
        <f>IFERROR(__xludf.DUMMYFUNCTION("""COMPUTED_VALUE"""),43889.99861111111)</f>
        <v>43889.99861</v>
      </c>
      <c r="B1252" s="1">
        <f>IFERROR(__xludf.DUMMYFUNCTION("""COMPUTED_VALUE"""),8712.536)</f>
        <v>8712.536</v>
      </c>
      <c r="C1252" s="58">
        <f t="shared" si="1"/>
        <v>4073.998611</v>
      </c>
      <c r="D1252" s="1">
        <f t="shared" si="2"/>
        <v>4499.877639</v>
      </c>
      <c r="E1252" s="1">
        <f t="shared" si="3"/>
        <v>8099.77975</v>
      </c>
      <c r="F1252" s="1">
        <f t="shared" si="4"/>
        <v>15299.58397</v>
      </c>
      <c r="G1252" s="1">
        <f t="shared" si="5"/>
        <v>26999.26583</v>
      </c>
      <c r="H1252" s="1">
        <f t="shared" si="6"/>
        <v>49498.65403</v>
      </c>
      <c r="I1252" s="1">
        <f t="shared" si="7"/>
        <v>80997.7975</v>
      </c>
    </row>
    <row r="1253" hidden="1">
      <c r="A1253" s="266">
        <f>IFERROR(__xludf.DUMMYFUNCTION("""COMPUTED_VALUE"""),43890.99861111111)</f>
        <v>43890.99861</v>
      </c>
      <c r="B1253" s="1">
        <f>IFERROR(__xludf.DUMMYFUNCTION("""COMPUTED_VALUE"""),8531.393)</f>
        <v>8531.393</v>
      </c>
      <c r="C1253" s="58">
        <f t="shared" si="1"/>
        <v>4074.998611</v>
      </c>
      <c r="D1253" s="1">
        <f t="shared" si="2"/>
        <v>4506.287722</v>
      </c>
      <c r="E1253" s="1">
        <f t="shared" si="3"/>
        <v>8111.3179</v>
      </c>
      <c r="F1253" s="1">
        <f t="shared" si="4"/>
        <v>15321.37826</v>
      </c>
      <c r="G1253" s="1">
        <f t="shared" si="5"/>
        <v>27037.72633</v>
      </c>
      <c r="H1253" s="1">
        <f t="shared" si="6"/>
        <v>49569.16494</v>
      </c>
      <c r="I1253" s="1">
        <f t="shared" si="7"/>
        <v>81113.179</v>
      </c>
    </row>
    <row r="1254" hidden="1">
      <c r="A1254" s="266">
        <f>IFERROR(__xludf.DUMMYFUNCTION("""COMPUTED_VALUE"""),43891.99861111111)</f>
        <v>43891.99861</v>
      </c>
      <c r="B1254" s="1">
        <f>IFERROR(__xludf.DUMMYFUNCTION("""COMPUTED_VALUE"""),8537.956)</f>
        <v>8537.956</v>
      </c>
      <c r="C1254" s="58">
        <f t="shared" si="1"/>
        <v>4075.998611</v>
      </c>
      <c r="D1254" s="1">
        <f t="shared" si="2"/>
        <v>4512.70536</v>
      </c>
      <c r="E1254" s="1">
        <f t="shared" si="3"/>
        <v>8122.869649</v>
      </c>
      <c r="F1254" s="1">
        <f t="shared" si="4"/>
        <v>15343.19823</v>
      </c>
      <c r="G1254" s="1">
        <f t="shared" si="5"/>
        <v>27076.23216</v>
      </c>
      <c r="H1254" s="1">
        <f t="shared" si="6"/>
        <v>49639.75897</v>
      </c>
      <c r="I1254" s="1">
        <f t="shared" si="7"/>
        <v>81228.69649</v>
      </c>
    </row>
    <row r="1255" hidden="1">
      <c r="A1255" s="266">
        <f>IFERROR(__xludf.DUMMYFUNCTION("""COMPUTED_VALUE"""),43892.99861111111)</f>
        <v>43892.99861</v>
      </c>
      <c r="B1255" s="1">
        <f>IFERROR(__xludf.DUMMYFUNCTION("""COMPUTED_VALUE"""),8920.73)</f>
        <v>8920.73</v>
      </c>
      <c r="C1255" s="58">
        <f t="shared" si="1"/>
        <v>4076.998611</v>
      </c>
      <c r="D1255" s="1">
        <f t="shared" si="2"/>
        <v>4519.130561</v>
      </c>
      <c r="E1255" s="1">
        <f t="shared" si="3"/>
        <v>8134.435009</v>
      </c>
      <c r="F1255" s="1">
        <f t="shared" si="4"/>
        <v>15365.04391</v>
      </c>
      <c r="G1255" s="1">
        <f t="shared" si="5"/>
        <v>27114.78336</v>
      </c>
      <c r="H1255" s="1">
        <f t="shared" si="6"/>
        <v>49710.43617</v>
      </c>
      <c r="I1255" s="1">
        <f t="shared" si="7"/>
        <v>81344.35009</v>
      </c>
    </row>
    <row r="1256" hidden="1">
      <c r="A1256" s="266">
        <f>IFERROR(__xludf.DUMMYFUNCTION("""COMPUTED_VALUE"""),43893.99861111111)</f>
        <v>43893.99861</v>
      </c>
      <c r="B1256" s="1">
        <f>IFERROR(__xludf.DUMMYFUNCTION("""COMPUTED_VALUE"""),8765.653)</f>
        <v>8765.653</v>
      </c>
      <c r="C1256" s="58">
        <f t="shared" si="1"/>
        <v>4077.998611</v>
      </c>
      <c r="D1256" s="1">
        <f t="shared" si="2"/>
        <v>4525.56333</v>
      </c>
      <c r="E1256" s="1">
        <f t="shared" si="3"/>
        <v>8146.013994</v>
      </c>
      <c r="F1256" s="1">
        <f t="shared" si="4"/>
        <v>15386.91532</v>
      </c>
      <c r="G1256" s="1">
        <f t="shared" si="5"/>
        <v>27153.37998</v>
      </c>
      <c r="H1256" s="1">
        <f t="shared" si="6"/>
        <v>49781.19663</v>
      </c>
      <c r="I1256" s="1">
        <f t="shared" si="7"/>
        <v>81460.13994</v>
      </c>
    </row>
    <row r="1257" hidden="1">
      <c r="A1257" s="266">
        <f>IFERROR(__xludf.DUMMYFUNCTION("""COMPUTED_VALUE"""),43894.99861111111)</f>
        <v>43894.99861</v>
      </c>
      <c r="B1257" s="1">
        <f>IFERROR(__xludf.DUMMYFUNCTION("""COMPUTED_VALUE"""),8768.155)</f>
        <v>8768.155</v>
      </c>
      <c r="C1257" s="58">
        <f t="shared" si="1"/>
        <v>4078.998611</v>
      </c>
      <c r="D1257" s="1">
        <f t="shared" si="2"/>
        <v>4532.003675</v>
      </c>
      <c r="E1257" s="1">
        <f t="shared" si="3"/>
        <v>8157.606616</v>
      </c>
      <c r="F1257" s="1">
        <f t="shared" si="4"/>
        <v>15408.8125</v>
      </c>
      <c r="G1257" s="1">
        <f t="shared" si="5"/>
        <v>27192.02205</v>
      </c>
      <c r="H1257" s="1">
        <f t="shared" si="6"/>
        <v>49852.04043</v>
      </c>
      <c r="I1257" s="1">
        <f t="shared" si="7"/>
        <v>81576.06616</v>
      </c>
    </row>
    <row r="1258" hidden="1">
      <c r="A1258" s="266">
        <f>IFERROR(__xludf.DUMMYFUNCTION("""COMPUTED_VALUE"""),43895.99861111111)</f>
        <v>43895.99861</v>
      </c>
      <c r="B1258" s="1">
        <f>IFERROR(__xludf.DUMMYFUNCTION("""COMPUTED_VALUE"""),9071.605)</f>
        <v>9071.605</v>
      </c>
      <c r="C1258" s="58">
        <f t="shared" si="1"/>
        <v>4079.998611</v>
      </c>
      <c r="D1258" s="1">
        <f t="shared" si="2"/>
        <v>4538.451604</v>
      </c>
      <c r="E1258" s="1">
        <f t="shared" si="3"/>
        <v>8169.212887</v>
      </c>
      <c r="F1258" s="1">
        <f t="shared" si="4"/>
        <v>15430.73545</v>
      </c>
      <c r="G1258" s="1">
        <f t="shared" si="5"/>
        <v>27230.70962</v>
      </c>
      <c r="H1258" s="1">
        <f t="shared" si="6"/>
        <v>49922.96765</v>
      </c>
      <c r="I1258" s="1">
        <f t="shared" si="7"/>
        <v>81692.12887</v>
      </c>
    </row>
    <row r="1259" hidden="1">
      <c r="A1259" s="266">
        <f>IFERROR(__xludf.DUMMYFUNCTION("""COMPUTED_VALUE"""),43896.99861111111)</f>
        <v>43896.99861</v>
      </c>
      <c r="B1259" s="1">
        <f>IFERROR(__xludf.DUMMYFUNCTION("""COMPUTED_VALUE"""),9163.027)</f>
        <v>9163.027</v>
      </c>
      <c r="C1259" s="58">
        <f t="shared" si="1"/>
        <v>4080.998611</v>
      </c>
      <c r="D1259" s="1">
        <f t="shared" si="2"/>
        <v>4544.907123</v>
      </c>
      <c r="E1259" s="1">
        <f t="shared" si="3"/>
        <v>8180.832822</v>
      </c>
      <c r="F1259" s="1">
        <f t="shared" si="4"/>
        <v>15452.68422</v>
      </c>
      <c r="G1259" s="1">
        <f t="shared" si="5"/>
        <v>27269.44274</v>
      </c>
      <c r="H1259" s="1">
        <f t="shared" si="6"/>
        <v>49993.97835</v>
      </c>
      <c r="I1259" s="1">
        <f t="shared" si="7"/>
        <v>81808.32822</v>
      </c>
    </row>
    <row r="1260" hidden="1">
      <c r="A1260" s="266">
        <f>IFERROR(__xludf.DUMMYFUNCTION("""COMPUTED_VALUE"""),43897.99861111111)</f>
        <v>43897.99861</v>
      </c>
      <c r="B1260" s="1">
        <f>IFERROR(__xludf.DUMMYFUNCTION("""COMPUTED_VALUE"""),8902.841)</f>
        <v>8902.841</v>
      </c>
      <c r="C1260" s="58">
        <f t="shared" si="1"/>
        <v>4081.998611</v>
      </c>
      <c r="D1260" s="1">
        <f t="shared" si="2"/>
        <v>4551.370239</v>
      </c>
      <c r="E1260" s="1">
        <f t="shared" si="3"/>
        <v>8192.466431</v>
      </c>
      <c r="F1260" s="1">
        <f t="shared" si="4"/>
        <v>15474.65881</v>
      </c>
      <c r="G1260" s="1">
        <f t="shared" si="5"/>
        <v>27308.22144</v>
      </c>
      <c r="H1260" s="1">
        <f t="shared" si="6"/>
        <v>50065.07263</v>
      </c>
      <c r="I1260" s="1">
        <f t="shared" si="7"/>
        <v>81924.66431</v>
      </c>
    </row>
    <row r="1261" hidden="1">
      <c r="A1261" s="266">
        <f>IFERROR(__xludf.DUMMYFUNCTION("""COMPUTED_VALUE"""),43898.99861111111)</f>
        <v>43898.99861</v>
      </c>
      <c r="B1261" s="1">
        <f>IFERROR(__xludf.DUMMYFUNCTION("""COMPUTED_VALUE"""),8051.938)</f>
        <v>8051.938</v>
      </c>
      <c r="C1261" s="58">
        <f t="shared" si="1"/>
        <v>4082.998611</v>
      </c>
      <c r="D1261" s="1">
        <f t="shared" si="2"/>
        <v>4557.84096</v>
      </c>
      <c r="E1261" s="1">
        <f t="shared" si="3"/>
        <v>8204.113728</v>
      </c>
      <c r="F1261" s="1">
        <f t="shared" si="4"/>
        <v>15496.65926</v>
      </c>
      <c r="G1261" s="1">
        <f t="shared" si="5"/>
        <v>27347.04576</v>
      </c>
      <c r="H1261" s="1">
        <f t="shared" si="6"/>
        <v>50136.25056</v>
      </c>
      <c r="I1261" s="1">
        <f t="shared" si="7"/>
        <v>82041.13728</v>
      </c>
    </row>
    <row r="1262" hidden="1">
      <c r="A1262" s="266">
        <f>IFERROR(__xludf.DUMMYFUNCTION("""COMPUTED_VALUE"""),43899.99861111111)</f>
        <v>43899.99861</v>
      </c>
      <c r="B1262" s="1">
        <f>IFERROR(__xludf.DUMMYFUNCTION("""COMPUTED_VALUE"""),7936.865)</f>
        <v>7936.865</v>
      </c>
      <c r="C1262" s="58">
        <f t="shared" si="1"/>
        <v>4083.998611</v>
      </c>
      <c r="D1262" s="1">
        <f t="shared" si="2"/>
        <v>4564.319292</v>
      </c>
      <c r="E1262" s="1">
        <f t="shared" si="3"/>
        <v>8215.774726</v>
      </c>
      <c r="F1262" s="1">
        <f t="shared" si="4"/>
        <v>15518.68559</v>
      </c>
      <c r="G1262" s="1">
        <f t="shared" si="5"/>
        <v>27385.91575</v>
      </c>
      <c r="H1262" s="1">
        <f t="shared" si="6"/>
        <v>50207.51221</v>
      </c>
      <c r="I1262" s="1">
        <f t="shared" si="7"/>
        <v>82157.74726</v>
      </c>
    </row>
    <row r="1263" hidden="1">
      <c r="A1263" s="266">
        <f>IFERROR(__xludf.DUMMYFUNCTION("""COMPUTED_VALUE"""),43900.99861111111)</f>
        <v>43900.99861</v>
      </c>
      <c r="B1263" s="1">
        <f>IFERROR(__xludf.DUMMYFUNCTION("""COMPUTED_VALUE"""),7895.216)</f>
        <v>7895.216</v>
      </c>
      <c r="C1263" s="58">
        <f t="shared" si="1"/>
        <v>4084.998611</v>
      </c>
      <c r="D1263" s="1">
        <f t="shared" si="2"/>
        <v>4570.805243</v>
      </c>
      <c r="E1263" s="1">
        <f t="shared" si="3"/>
        <v>8227.449437</v>
      </c>
      <c r="F1263" s="1">
        <f t="shared" si="4"/>
        <v>15540.73783</v>
      </c>
      <c r="G1263" s="1">
        <f t="shared" si="5"/>
        <v>27424.83146</v>
      </c>
      <c r="H1263" s="1">
        <f t="shared" si="6"/>
        <v>50278.85767</v>
      </c>
      <c r="I1263" s="1">
        <f t="shared" si="7"/>
        <v>82274.49437</v>
      </c>
    </row>
    <row r="1264" hidden="1">
      <c r="A1264" s="266">
        <f>IFERROR(__xludf.DUMMYFUNCTION("""COMPUTED_VALUE"""),43901.99861111111)</f>
        <v>43901.99861</v>
      </c>
      <c r="B1264" s="1">
        <f>IFERROR(__xludf.DUMMYFUNCTION("""COMPUTED_VALUE"""),7942.892)</f>
        <v>7942.892</v>
      </c>
      <c r="C1264" s="58">
        <f t="shared" si="1"/>
        <v>4085.998611</v>
      </c>
      <c r="D1264" s="1">
        <f t="shared" si="2"/>
        <v>4577.298819</v>
      </c>
      <c r="E1264" s="1">
        <f t="shared" si="3"/>
        <v>8239.137875</v>
      </c>
      <c r="F1264" s="1">
        <f t="shared" si="4"/>
        <v>15562.81599</v>
      </c>
      <c r="G1264" s="1">
        <f t="shared" si="5"/>
        <v>27463.79292</v>
      </c>
      <c r="H1264" s="1">
        <f t="shared" si="6"/>
        <v>50350.28701</v>
      </c>
      <c r="I1264" s="1">
        <f t="shared" si="7"/>
        <v>82391.37875</v>
      </c>
    </row>
    <row r="1265" hidden="1">
      <c r="A1265" s="266">
        <f>IFERROR(__xludf.DUMMYFUNCTION("""COMPUTED_VALUE"""),43902.99861111111)</f>
        <v>43902.99861</v>
      </c>
      <c r="B1265" s="1">
        <f>IFERROR(__xludf.DUMMYFUNCTION("""COMPUTED_VALUE"""),4854.343)</f>
        <v>4854.343</v>
      </c>
      <c r="C1265" s="58">
        <f t="shared" si="1"/>
        <v>4086.998611</v>
      </c>
      <c r="D1265" s="1">
        <f t="shared" si="2"/>
        <v>4583.800029</v>
      </c>
      <c r="E1265" s="1">
        <f t="shared" si="3"/>
        <v>8250.840051</v>
      </c>
      <c r="F1265" s="1">
        <f t="shared" si="4"/>
        <v>15584.9201</v>
      </c>
      <c r="G1265" s="1">
        <f t="shared" si="5"/>
        <v>27502.80017</v>
      </c>
      <c r="H1265" s="1">
        <f t="shared" si="6"/>
        <v>50421.80031</v>
      </c>
      <c r="I1265" s="1">
        <f t="shared" si="7"/>
        <v>82508.40051</v>
      </c>
    </row>
    <row r="1266" hidden="1">
      <c r="A1266" s="266">
        <f>IFERROR(__xludf.DUMMYFUNCTION("""COMPUTED_VALUE"""),43903.99861111111)</f>
        <v>43903.99861</v>
      </c>
      <c r="B1266" s="1">
        <f>IFERROR(__xludf.DUMMYFUNCTION("""COMPUTED_VALUE"""),5603.106)</f>
        <v>5603.106</v>
      </c>
      <c r="C1266" s="58">
        <f t="shared" si="1"/>
        <v>4087.998611</v>
      </c>
      <c r="D1266" s="1">
        <f t="shared" si="2"/>
        <v>4590.308878</v>
      </c>
      <c r="E1266" s="1">
        <f t="shared" si="3"/>
        <v>8262.55598</v>
      </c>
      <c r="F1266" s="1">
        <f t="shared" si="4"/>
        <v>15607.05018</v>
      </c>
      <c r="G1266" s="1">
        <f t="shared" si="5"/>
        <v>27541.85327</v>
      </c>
      <c r="H1266" s="1">
        <f t="shared" si="6"/>
        <v>50493.39765</v>
      </c>
      <c r="I1266" s="1">
        <f t="shared" si="7"/>
        <v>82625.5598</v>
      </c>
    </row>
    <row r="1267" hidden="1">
      <c r="A1267" s="266">
        <f>IFERROR(__xludf.DUMMYFUNCTION("""COMPUTED_VALUE"""),43904.99861111111)</f>
        <v>43904.99861</v>
      </c>
      <c r="B1267" s="1">
        <f>IFERROR(__xludf.DUMMYFUNCTION("""COMPUTED_VALUE"""),5178.858)</f>
        <v>5178.858</v>
      </c>
      <c r="C1267" s="58">
        <f t="shared" si="1"/>
        <v>4088.998611</v>
      </c>
      <c r="D1267" s="1">
        <f t="shared" si="2"/>
        <v>4596.825374</v>
      </c>
      <c r="E1267" s="1">
        <f t="shared" si="3"/>
        <v>8274.285673</v>
      </c>
      <c r="F1267" s="1">
        <f t="shared" si="4"/>
        <v>15629.20627</v>
      </c>
      <c r="G1267" s="1">
        <f t="shared" si="5"/>
        <v>27580.95224</v>
      </c>
      <c r="H1267" s="1">
        <f t="shared" si="6"/>
        <v>50565.07911</v>
      </c>
      <c r="I1267" s="1">
        <f t="shared" si="7"/>
        <v>82742.85673</v>
      </c>
    </row>
    <row r="1268" hidden="1">
      <c r="A1268" s="266">
        <f>IFERROR(__xludf.DUMMYFUNCTION("""COMPUTED_VALUE"""),43905.99861111111)</f>
        <v>43905.99861</v>
      </c>
      <c r="B1268" s="1">
        <f>IFERROR(__xludf.DUMMYFUNCTION("""COMPUTED_VALUE"""),5356.116)</f>
        <v>5356.116</v>
      </c>
      <c r="C1268" s="58">
        <f t="shared" si="1"/>
        <v>4089.998611</v>
      </c>
      <c r="D1268" s="1">
        <f t="shared" si="2"/>
        <v>4603.349524</v>
      </c>
      <c r="E1268" s="1">
        <f t="shared" si="3"/>
        <v>8286.029143</v>
      </c>
      <c r="F1268" s="1">
        <f t="shared" si="4"/>
        <v>15651.38838</v>
      </c>
      <c r="G1268" s="1">
        <f t="shared" si="5"/>
        <v>27620.09714</v>
      </c>
      <c r="H1268" s="1">
        <f t="shared" si="6"/>
        <v>50636.84476</v>
      </c>
      <c r="I1268" s="1">
        <f t="shared" si="7"/>
        <v>82860.29143</v>
      </c>
    </row>
    <row r="1269" hidden="1">
      <c r="A1269" s="266">
        <f>IFERROR(__xludf.DUMMYFUNCTION("""COMPUTED_VALUE"""),43906.99861111111)</f>
        <v>43906.99861</v>
      </c>
      <c r="B1269" s="1">
        <f>IFERROR(__xludf.DUMMYFUNCTION("""COMPUTED_VALUE"""),5032.406)</f>
        <v>5032.406</v>
      </c>
      <c r="C1269" s="58">
        <f t="shared" si="1"/>
        <v>4090.998611</v>
      </c>
      <c r="D1269" s="1">
        <f t="shared" si="2"/>
        <v>4609.881335</v>
      </c>
      <c r="E1269" s="1">
        <f t="shared" si="3"/>
        <v>8297.786403</v>
      </c>
      <c r="F1269" s="1">
        <f t="shared" si="4"/>
        <v>15673.59654</v>
      </c>
      <c r="G1269" s="1">
        <f t="shared" si="5"/>
        <v>27659.28801</v>
      </c>
      <c r="H1269" s="1">
        <f t="shared" si="6"/>
        <v>50708.69469</v>
      </c>
      <c r="I1269" s="1">
        <f t="shared" si="7"/>
        <v>82977.86403</v>
      </c>
    </row>
    <row r="1270" hidden="1">
      <c r="A1270" s="266">
        <f>IFERROR(__xludf.DUMMYFUNCTION("""COMPUTED_VALUE"""),43907.99861111111)</f>
        <v>43907.99861</v>
      </c>
      <c r="B1270" s="1">
        <f>IFERROR(__xludf.DUMMYFUNCTION("""COMPUTED_VALUE"""),5340.572)</f>
        <v>5340.572</v>
      </c>
      <c r="C1270" s="58">
        <f t="shared" si="1"/>
        <v>4091.998611</v>
      </c>
      <c r="D1270" s="1">
        <f t="shared" si="2"/>
        <v>4616.420815</v>
      </c>
      <c r="E1270" s="1">
        <f t="shared" si="3"/>
        <v>8309.557467</v>
      </c>
      <c r="F1270" s="1">
        <f t="shared" si="4"/>
        <v>15695.83077</v>
      </c>
      <c r="G1270" s="1">
        <f t="shared" si="5"/>
        <v>27698.52489</v>
      </c>
      <c r="H1270" s="1">
        <f t="shared" si="6"/>
        <v>50780.62896</v>
      </c>
      <c r="I1270" s="1">
        <f t="shared" si="7"/>
        <v>83095.57467</v>
      </c>
    </row>
    <row r="1271" hidden="1">
      <c r="A1271" s="266">
        <f>IFERROR(__xludf.DUMMYFUNCTION("""COMPUTED_VALUE"""),43908.99861111111)</f>
        <v>43908.99861</v>
      </c>
      <c r="B1271" s="1">
        <f>IFERROR(__xludf.DUMMYFUNCTION("""COMPUTED_VALUE"""),5405.399)</f>
        <v>5405.399</v>
      </c>
      <c r="C1271" s="58">
        <f t="shared" si="1"/>
        <v>4092.998611</v>
      </c>
      <c r="D1271" s="1">
        <f t="shared" si="2"/>
        <v>4622.96797</v>
      </c>
      <c r="E1271" s="1">
        <f t="shared" si="3"/>
        <v>8321.342346</v>
      </c>
      <c r="F1271" s="1">
        <f t="shared" si="4"/>
        <v>15718.0911</v>
      </c>
      <c r="G1271" s="1">
        <f t="shared" si="5"/>
        <v>27737.80782</v>
      </c>
      <c r="H1271" s="1">
        <f t="shared" si="6"/>
        <v>50852.64767</v>
      </c>
      <c r="I1271" s="1">
        <f t="shared" si="7"/>
        <v>83213.42346</v>
      </c>
    </row>
    <row r="1272" hidden="1">
      <c r="A1272" s="266">
        <f>IFERROR(__xludf.DUMMYFUNCTION("""COMPUTED_VALUE"""),43909.99861111111)</f>
        <v>43909.99861</v>
      </c>
      <c r="B1272" s="1">
        <f>IFERROR(__xludf.DUMMYFUNCTION("""COMPUTED_VALUE"""),6182.357)</f>
        <v>6182.357</v>
      </c>
      <c r="C1272" s="58">
        <f t="shared" si="1"/>
        <v>4093.998611</v>
      </c>
      <c r="D1272" s="1">
        <f t="shared" si="2"/>
        <v>4629.522807</v>
      </c>
      <c r="E1272" s="1">
        <f t="shared" si="3"/>
        <v>8333.141053</v>
      </c>
      <c r="F1272" s="1">
        <f t="shared" si="4"/>
        <v>15740.37755</v>
      </c>
      <c r="G1272" s="1">
        <f t="shared" si="5"/>
        <v>27777.13684</v>
      </c>
      <c r="H1272" s="1">
        <f t="shared" si="6"/>
        <v>50924.75088</v>
      </c>
      <c r="I1272" s="1">
        <f t="shared" si="7"/>
        <v>83331.41053</v>
      </c>
    </row>
    <row r="1273" hidden="1">
      <c r="A1273" s="266">
        <f>IFERROR(__xludf.DUMMYFUNCTION("""COMPUTED_VALUE"""),43910.99861111111)</f>
        <v>43910.99861</v>
      </c>
      <c r="B1273" s="1">
        <f>IFERROR(__xludf.DUMMYFUNCTION("""COMPUTED_VALUE"""),6200.971)</f>
        <v>6200.971</v>
      </c>
      <c r="C1273" s="58">
        <f t="shared" si="1"/>
        <v>4094.998611</v>
      </c>
      <c r="D1273" s="1">
        <f t="shared" si="2"/>
        <v>4636.085335</v>
      </c>
      <c r="E1273" s="1">
        <f t="shared" si="3"/>
        <v>8344.953603</v>
      </c>
      <c r="F1273" s="1">
        <f t="shared" si="4"/>
        <v>15762.69014</v>
      </c>
      <c r="G1273" s="1">
        <f t="shared" si="5"/>
        <v>27816.51201</v>
      </c>
      <c r="H1273" s="1">
        <f t="shared" si="6"/>
        <v>50996.93868</v>
      </c>
      <c r="I1273" s="1">
        <f t="shared" si="7"/>
        <v>83449.53603</v>
      </c>
    </row>
    <row r="1274" hidden="1">
      <c r="A1274" s="266">
        <f>IFERROR(__xludf.DUMMYFUNCTION("""COMPUTED_VALUE"""),43911.99861111111)</f>
        <v>43911.99861</v>
      </c>
      <c r="B1274" s="1">
        <f>IFERROR(__xludf.DUMMYFUNCTION("""COMPUTED_VALUE"""),6195.611)</f>
        <v>6195.611</v>
      </c>
      <c r="C1274" s="58">
        <f t="shared" si="1"/>
        <v>4095.998611</v>
      </c>
      <c r="D1274" s="1">
        <f t="shared" si="2"/>
        <v>4642.655559</v>
      </c>
      <c r="E1274" s="1">
        <f t="shared" si="3"/>
        <v>8356.780006</v>
      </c>
      <c r="F1274" s="1">
        <f t="shared" si="4"/>
        <v>15785.0289</v>
      </c>
      <c r="G1274" s="1">
        <f t="shared" si="5"/>
        <v>27855.93335</v>
      </c>
      <c r="H1274" s="1">
        <f t="shared" si="6"/>
        <v>51069.21115</v>
      </c>
      <c r="I1274" s="1">
        <f t="shared" si="7"/>
        <v>83567.80006</v>
      </c>
    </row>
    <row r="1275" hidden="1">
      <c r="A1275" s="266">
        <f>IFERROR(__xludf.DUMMYFUNCTION("""COMPUTED_VALUE"""),43912.99861111111)</f>
        <v>43912.99861</v>
      </c>
      <c r="B1275" s="1">
        <f>IFERROR(__xludf.DUMMYFUNCTION("""COMPUTED_VALUE"""),5818.745)</f>
        <v>5818.745</v>
      </c>
      <c r="C1275" s="58">
        <f t="shared" si="1"/>
        <v>4096.998611</v>
      </c>
      <c r="D1275" s="1">
        <f t="shared" si="2"/>
        <v>4649.233487</v>
      </c>
      <c r="E1275" s="1">
        <f t="shared" si="3"/>
        <v>8368.620277</v>
      </c>
      <c r="F1275" s="1">
        <f t="shared" si="4"/>
        <v>15807.39386</v>
      </c>
      <c r="G1275" s="1">
        <f t="shared" si="5"/>
        <v>27895.40092</v>
      </c>
      <c r="H1275" s="1">
        <f t="shared" si="6"/>
        <v>51141.56836</v>
      </c>
      <c r="I1275" s="1">
        <f t="shared" si="7"/>
        <v>83686.20277</v>
      </c>
    </row>
    <row r="1276" hidden="1">
      <c r="A1276" s="266">
        <f>IFERROR(__xludf.DUMMYFUNCTION("""COMPUTED_VALUE"""),43913.99861111111)</f>
        <v>43913.99861</v>
      </c>
      <c r="B1276" s="1">
        <f>IFERROR(__xludf.DUMMYFUNCTION("""COMPUTED_VALUE"""),6496.644)</f>
        <v>6496.644</v>
      </c>
      <c r="C1276" s="58">
        <f t="shared" si="1"/>
        <v>4097.998611</v>
      </c>
      <c r="D1276" s="1">
        <f t="shared" si="2"/>
        <v>4655.819127</v>
      </c>
      <c r="E1276" s="1">
        <f t="shared" si="3"/>
        <v>8380.474428</v>
      </c>
      <c r="F1276" s="1">
        <f t="shared" si="4"/>
        <v>15829.78503</v>
      </c>
      <c r="G1276" s="1">
        <f t="shared" si="5"/>
        <v>27934.91476</v>
      </c>
      <c r="H1276" s="1">
        <f t="shared" si="6"/>
        <v>51214.01039</v>
      </c>
      <c r="I1276" s="1">
        <f t="shared" si="7"/>
        <v>83804.74428</v>
      </c>
    </row>
    <row r="1277" hidden="1">
      <c r="A1277" s="266">
        <f>IFERROR(__xludf.DUMMYFUNCTION("""COMPUTED_VALUE"""),43914.99861111111)</f>
        <v>43914.99861</v>
      </c>
      <c r="B1277" s="1">
        <f>IFERROR(__xludf.DUMMYFUNCTION("""COMPUTED_VALUE"""),6765.711)</f>
        <v>6765.711</v>
      </c>
      <c r="C1277" s="58">
        <f t="shared" si="1"/>
        <v>4098.998611</v>
      </c>
      <c r="D1277" s="1">
        <f t="shared" si="2"/>
        <v>4662.412484</v>
      </c>
      <c r="E1277" s="1">
        <f t="shared" si="3"/>
        <v>8392.342472</v>
      </c>
      <c r="F1277" s="1">
        <f t="shared" si="4"/>
        <v>15852.20245</v>
      </c>
      <c r="G1277" s="1">
        <f t="shared" si="5"/>
        <v>27974.47491</v>
      </c>
      <c r="H1277" s="1">
        <f t="shared" si="6"/>
        <v>51286.53733</v>
      </c>
      <c r="I1277" s="1">
        <f t="shared" si="7"/>
        <v>83923.42472</v>
      </c>
    </row>
    <row r="1278" hidden="1">
      <c r="A1278" s="266">
        <f>IFERROR(__xludf.DUMMYFUNCTION("""COMPUTED_VALUE"""),43915.99861111111)</f>
        <v>43915.99861</v>
      </c>
      <c r="B1278" s="1">
        <f>IFERROR(__xludf.DUMMYFUNCTION("""COMPUTED_VALUE"""),6689.439)</f>
        <v>6689.439</v>
      </c>
      <c r="C1278" s="58">
        <f t="shared" si="1"/>
        <v>4099.998611</v>
      </c>
      <c r="D1278" s="1">
        <f t="shared" si="2"/>
        <v>4669.013568</v>
      </c>
      <c r="E1278" s="1">
        <f t="shared" si="3"/>
        <v>8404.224422</v>
      </c>
      <c r="F1278" s="1">
        <f t="shared" si="4"/>
        <v>15874.64613</v>
      </c>
      <c r="G1278" s="1">
        <f t="shared" si="5"/>
        <v>28014.08141</v>
      </c>
      <c r="H1278" s="1">
        <f t="shared" si="6"/>
        <v>51359.14924</v>
      </c>
      <c r="I1278" s="1">
        <f t="shared" si="7"/>
        <v>84042.24422</v>
      </c>
    </row>
    <row r="1279" hidden="1">
      <c r="A1279" s="266">
        <f>IFERROR(__xludf.DUMMYFUNCTION("""COMPUTED_VALUE"""),43916.99861111111)</f>
        <v>43916.99861</v>
      </c>
      <c r="B1279" s="1">
        <f>IFERROR(__xludf.DUMMYFUNCTION("""COMPUTED_VALUE"""),6756.918)</f>
        <v>6756.918</v>
      </c>
      <c r="C1279" s="58">
        <f t="shared" si="1"/>
        <v>4100.998611</v>
      </c>
      <c r="D1279" s="1">
        <f t="shared" si="2"/>
        <v>4675.622383</v>
      </c>
      <c r="E1279" s="1">
        <f t="shared" si="3"/>
        <v>8416.12029</v>
      </c>
      <c r="F1279" s="1">
        <f t="shared" si="4"/>
        <v>15897.1161</v>
      </c>
      <c r="G1279" s="1">
        <f t="shared" si="5"/>
        <v>28053.7343</v>
      </c>
      <c r="H1279" s="1">
        <f t="shared" si="6"/>
        <v>51431.84622</v>
      </c>
      <c r="I1279" s="1">
        <f t="shared" si="7"/>
        <v>84161.2029</v>
      </c>
    </row>
    <row r="1280" hidden="1">
      <c r="A1280" s="266">
        <f>IFERROR(__xludf.DUMMYFUNCTION("""COMPUTED_VALUE"""),43917.99861111111)</f>
        <v>43917.99861</v>
      </c>
      <c r="B1280" s="1">
        <f>IFERROR(__xludf.DUMMYFUNCTION("""COMPUTED_VALUE"""),6367.725)</f>
        <v>6367.725</v>
      </c>
      <c r="C1280" s="58">
        <f t="shared" si="1"/>
        <v>4101.998611</v>
      </c>
      <c r="D1280" s="1">
        <f t="shared" si="2"/>
        <v>4682.238939</v>
      </c>
      <c r="E1280" s="1">
        <f t="shared" si="3"/>
        <v>8428.03009</v>
      </c>
      <c r="F1280" s="1">
        <f t="shared" si="4"/>
        <v>15919.61239</v>
      </c>
      <c r="G1280" s="1">
        <f t="shared" si="5"/>
        <v>28093.43363</v>
      </c>
      <c r="H1280" s="1">
        <f t="shared" si="6"/>
        <v>51504.62833</v>
      </c>
      <c r="I1280" s="1">
        <f t="shared" si="7"/>
        <v>84280.3009</v>
      </c>
    </row>
    <row r="1281" hidden="1">
      <c r="A1281" s="266">
        <f>IFERROR(__xludf.DUMMYFUNCTION("""COMPUTED_VALUE"""),43918.99861111111)</f>
        <v>43918.99861</v>
      </c>
      <c r="B1281" s="1">
        <f>IFERROR(__xludf.DUMMYFUNCTION("""COMPUTED_VALUE"""),6252.42)</f>
        <v>6252.42</v>
      </c>
      <c r="C1281" s="58">
        <f t="shared" si="1"/>
        <v>4102.998611</v>
      </c>
      <c r="D1281" s="1">
        <f t="shared" si="2"/>
        <v>4688.863241</v>
      </c>
      <c r="E1281" s="1">
        <f t="shared" si="3"/>
        <v>8439.953835</v>
      </c>
      <c r="F1281" s="1">
        <f t="shared" si="4"/>
        <v>15942.13502</v>
      </c>
      <c r="G1281" s="1">
        <f t="shared" si="5"/>
        <v>28133.17945</v>
      </c>
      <c r="H1281" s="1">
        <f t="shared" si="6"/>
        <v>51577.49566</v>
      </c>
      <c r="I1281" s="1">
        <f t="shared" si="7"/>
        <v>84399.53835</v>
      </c>
    </row>
    <row r="1282" hidden="1">
      <c r="A1282" s="266">
        <f>IFERROR(__xludf.DUMMYFUNCTION("""COMPUTED_VALUE"""),43919.99861111111)</f>
        <v>43919.99861</v>
      </c>
      <c r="B1282" s="1">
        <f>IFERROR(__xludf.DUMMYFUNCTION("""COMPUTED_VALUE"""),5884.482)</f>
        <v>5884.482</v>
      </c>
      <c r="C1282" s="58">
        <f t="shared" si="1"/>
        <v>4103.998611</v>
      </c>
      <c r="D1282" s="1">
        <f t="shared" si="2"/>
        <v>4695.495298</v>
      </c>
      <c r="E1282" s="1">
        <f t="shared" si="3"/>
        <v>8451.891537</v>
      </c>
      <c r="F1282" s="1">
        <f t="shared" si="4"/>
        <v>15964.68401</v>
      </c>
      <c r="G1282" s="1">
        <f t="shared" si="5"/>
        <v>28172.97179</v>
      </c>
      <c r="H1282" s="1">
        <f t="shared" si="6"/>
        <v>51650.44828</v>
      </c>
      <c r="I1282" s="1">
        <f t="shared" si="7"/>
        <v>84518.91537</v>
      </c>
    </row>
    <row r="1283" hidden="1">
      <c r="A1283" s="266">
        <f>IFERROR(__xludf.DUMMYFUNCTION("""COMPUTED_VALUE"""),43920.99861111111)</f>
        <v>43920.99861</v>
      </c>
      <c r="B1283" s="1">
        <f>IFERROR(__xludf.DUMMYFUNCTION("""COMPUTED_VALUE"""),6404.268)</f>
        <v>6404.268</v>
      </c>
      <c r="C1283" s="58">
        <f t="shared" si="1"/>
        <v>4104.998611</v>
      </c>
      <c r="D1283" s="1">
        <f t="shared" si="2"/>
        <v>4702.135116</v>
      </c>
      <c r="E1283" s="1">
        <f t="shared" si="3"/>
        <v>8463.843209</v>
      </c>
      <c r="F1283" s="1">
        <f t="shared" si="4"/>
        <v>15987.25939</v>
      </c>
      <c r="G1283" s="1">
        <f t="shared" si="5"/>
        <v>28212.8107</v>
      </c>
      <c r="H1283" s="1">
        <f t="shared" si="6"/>
        <v>51723.48628</v>
      </c>
      <c r="I1283" s="1">
        <f t="shared" si="7"/>
        <v>84638.43209</v>
      </c>
    </row>
    <row r="1284" hidden="1">
      <c r="A1284" s="266">
        <f>IFERROR(__xludf.DUMMYFUNCTION("""COMPUTED_VALUE"""),43921.99861111111)</f>
        <v>43921.99861</v>
      </c>
      <c r="B1284" s="1">
        <f>IFERROR(__xludf.DUMMYFUNCTION("""COMPUTED_VALUE"""),6422.229)</f>
        <v>6422.229</v>
      </c>
      <c r="C1284" s="58">
        <f t="shared" si="1"/>
        <v>4105.998611</v>
      </c>
      <c r="D1284" s="1">
        <f t="shared" si="2"/>
        <v>4708.782703</v>
      </c>
      <c r="E1284" s="1">
        <f t="shared" si="3"/>
        <v>8475.808865</v>
      </c>
      <c r="F1284" s="1">
        <f t="shared" si="4"/>
        <v>16009.86119</v>
      </c>
      <c r="G1284" s="1">
        <f t="shared" si="5"/>
        <v>28252.69622</v>
      </c>
      <c r="H1284" s="1">
        <f t="shared" si="6"/>
        <v>51796.60973</v>
      </c>
      <c r="I1284" s="1">
        <f t="shared" si="7"/>
        <v>84758.08865</v>
      </c>
    </row>
    <row r="1285" hidden="1">
      <c r="A1285" s="266">
        <f>IFERROR(__xludf.DUMMYFUNCTION("""COMPUTED_VALUE"""),43922.99861111111)</f>
        <v>43922.99861</v>
      </c>
      <c r="B1285" s="1">
        <f>IFERROR(__xludf.DUMMYFUNCTION("""COMPUTED_VALUE"""),6662.319)</f>
        <v>6662.319</v>
      </c>
      <c r="C1285" s="58">
        <f t="shared" si="1"/>
        <v>4106.998611</v>
      </c>
      <c r="D1285" s="1">
        <f t="shared" si="2"/>
        <v>4715.438065</v>
      </c>
      <c r="E1285" s="1">
        <f t="shared" si="3"/>
        <v>8487.788517</v>
      </c>
      <c r="F1285" s="1">
        <f t="shared" si="4"/>
        <v>16032.48942</v>
      </c>
      <c r="G1285" s="1">
        <f t="shared" si="5"/>
        <v>28292.62839</v>
      </c>
      <c r="H1285" s="1">
        <f t="shared" si="6"/>
        <v>51869.81871</v>
      </c>
      <c r="I1285" s="1">
        <f t="shared" si="7"/>
        <v>84877.88517</v>
      </c>
    </row>
    <row r="1286" hidden="1">
      <c r="A1286" s="266">
        <f>IFERROR(__xludf.DUMMYFUNCTION("""COMPUTED_VALUE"""),43923.99861111111)</f>
        <v>43923.99861</v>
      </c>
      <c r="B1286" s="1">
        <f>IFERROR(__xludf.DUMMYFUNCTION("""COMPUTED_VALUE"""),6806.137)</f>
        <v>6806.137</v>
      </c>
      <c r="C1286" s="58">
        <f t="shared" si="1"/>
        <v>4107.998611</v>
      </c>
      <c r="D1286" s="1">
        <f t="shared" si="2"/>
        <v>4722.10121</v>
      </c>
      <c r="E1286" s="1">
        <f t="shared" si="3"/>
        <v>8499.782178</v>
      </c>
      <c r="F1286" s="1">
        <f t="shared" si="4"/>
        <v>16055.14411</v>
      </c>
      <c r="G1286" s="1">
        <f t="shared" si="5"/>
        <v>28332.60726</v>
      </c>
      <c r="H1286" s="1">
        <f t="shared" si="6"/>
        <v>51943.11331</v>
      </c>
      <c r="I1286" s="1">
        <f t="shared" si="7"/>
        <v>84997.82178</v>
      </c>
    </row>
    <row r="1287" hidden="1">
      <c r="A1287" s="266">
        <f>IFERROR(__xludf.DUMMYFUNCTION("""COMPUTED_VALUE"""),43924.99861111111)</f>
        <v>43924.99861</v>
      </c>
      <c r="B1287" s="1">
        <f>IFERROR(__xludf.DUMMYFUNCTION("""COMPUTED_VALUE"""),6739.432)</f>
        <v>6739.432</v>
      </c>
      <c r="C1287" s="58">
        <f t="shared" si="1"/>
        <v>4108.998611</v>
      </c>
      <c r="D1287" s="1">
        <f t="shared" si="2"/>
        <v>4728.772145</v>
      </c>
      <c r="E1287" s="1">
        <f t="shared" si="3"/>
        <v>8511.789862</v>
      </c>
      <c r="F1287" s="1">
        <f t="shared" si="4"/>
        <v>16077.82529</v>
      </c>
      <c r="G1287" s="1">
        <f t="shared" si="5"/>
        <v>28372.63287</v>
      </c>
      <c r="H1287" s="1">
        <f t="shared" si="6"/>
        <v>52016.4936</v>
      </c>
      <c r="I1287" s="1">
        <f t="shared" si="7"/>
        <v>85117.89862</v>
      </c>
    </row>
    <row r="1288" hidden="1">
      <c r="A1288" s="266">
        <f>IFERROR(__xludf.DUMMYFUNCTION("""COMPUTED_VALUE"""),43925.99861111111)</f>
        <v>43925.99861</v>
      </c>
      <c r="B1288" s="1">
        <f>IFERROR(__xludf.DUMMYFUNCTION("""COMPUTED_VALUE"""),6872.069)</f>
        <v>6872.069</v>
      </c>
      <c r="C1288" s="58">
        <f t="shared" si="1"/>
        <v>4109.998611</v>
      </c>
      <c r="D1288" s="1">
        <f t="shared" si="2"/>
        <v>4735.450878</v>
      </c>
      <c r="E1288" s="1">
        <f t="shared" si="3"/>
        <v>8523.81158</v>
      </c>
      <c r="F1288" s="1">
        <f t="shared" si="4"/>
        <v>16100.53298</v>
      </c>
      <c r="G1288" s="1">
        <f t="shared" si="5"/>
        <v>28412.70527</v>
      </c>
      <c r="H1288" s="1">
        <f t="shared" si="6"/>
        <v>52089.95966</v>
      </c>
      <c r="I1288" s="1">
        <f t="shared" si="7"/>
        <v>85238.1158</v>
      </c>
    </row>
    <row r="1289" hidden="1">
      <c r="A1289" s="266">
        <f>IFERROR(__xludf.DUMMYFUNCTION("""COMPUTED_VALUE"""),43926.99861111111)</f>
        <v>43926.99861</v>
      </c>
      <c r="B1289" s="1">
        <f>IFERROR(__xludf.DUMMYFUNCTION("""COMPUTED_VALUE"""),6777.694)</f>
        <v>6777.694</v>
      </c>
      <c r="C1289" s="58">
        <f t="shared" si="1"/>
        <v>4110.998611</v>
      </c>
      <c r="D1289" s="1">
        <f t="shared" si="2"/>
        <v>4742.137415</v>
      </c>
      <c r="E1289" s="1">
        <f t="shared" si="3"/>
        <v>8535.847347</v>
      </c>
      <c r="F1289" s="1">
        <f t="shared" si="4"/>
        <v>16123.26721</v>
      </c>
      <c r="G1289" s="1">
        <f t="shared" si="5"/>
        <v>28452.82449</v>
      </c>
      <c r="H1289" s="1">
        <f t="shared" si="6"/>
        <v>52163.51157</v>
      </c>
      <c r="I1289" s="1">
        <f t="shared" si="7"/>
        <v>85358.47347</v>
      </c>
    </row>
    <row r="1290" hidden="1">
      <c r="A1290" s="266">
        <f>IFERROR(__xludf.DUMMYFUNCTION("""COMPUTED_VALUE"""),43927.99861111111)</f>
        <v>43927.99861</v>
      </c>
      <c r="B1290" s="1">
        <f>IFERROR(__xludf.DUMMYFUNCTION("""COMPUTED_VALUE"""),7341.988)</f>
        <v>7341.988</v>
      </c>
      <c r="C1290" s="58">
        <f t="shared" si="1"/>
        <v>4111.998611</v>
      </c>
      <c r="D1290" s="1">
        <f t="shared" si="2"/>
        <v>4748.831764</v>
      </c>
      <c r="E1290" s="1">
        <f t="shared" si="3"/>
        <v>8547.897175</v>
      </c>
      <c r="F1290" s="1">
        <f t="shared" si="4"/>
        <v>16146.028</v>
      </c>
      <c r="G1290" s="1">
        <f t="shared" si="5"/>
        <v>28492.99058</v>
      </c>
      <c r="H1290" s="1">
        <f t="shared" si="6"/>
        <v>52237.1494</v>
      </c>
      <c r="I1290" s="1">
        <f t="shared" si="7"/>
        <v>85478.97175</v>
      </c>
    </row>
    <row r="1291" hidden="1">
      <c r="A1291" s="266">
        <f>IFERROR(__xludf.DUMMYFUNCTION("""COMPUTED_VALUE"""),43928.99861111111)</f>
        <v>43928.99861</v>
      </c>
      <c r="B1291" s="1">
        <f>IFERROR(__xludf.DUMMYFUNCTION("""COMPUTED_VALUE"""),7200.045)</f>
        <v>7200.045</v>
      </c>
      <c r="C1291" s="58">
        <f t="shared" si="1"/>
        <v>4112.998611</v>
      </c>
      <c r="D1291" s="1">
        <f t="shared" si="2"/>
        <v>4755.533932</v>
      </c>
      <c r="E1291" s="1">
        <f t="shared" si="3"/>
        <v>8559.961077</v>
      </c>
      <c r="F1291" s="1">
        <f t="shared" si="4"/>
        <v>16168.81537</v>
      </c>
      <c r="G1291" s="1">
        <f t="shared" si="5"/>
        <v>28533.20359</v>
      </c>
      <c r="H1291" s="1">
        <f t="shared" si="6"/>
        <v>52310.87325</v>
      </c>
      <c r="I1291" s="1">
        <f t="shared" si="7"/>
        <v>85599.61077</v>
      </c>
    </row>
    <row r="1292" hidden="1">
      <c r="A1292" s="266">
        <f>IFERROR(__xludf.DUMMYFUNCTION("""COMPUTED_VALUE"""),43929.99861111111)</f>
        <v>43929.99861</v>
      </c>
      <c r="B1292" s="1">
        <f>IFERROR(__xludf.DUMMYFUNCTION("""COMPUTED_VALUE"""),7366.839)</f>
        <v>7366.839</v>
      </c>
      <c r="C1292" s="58">
        <f t="shared" si="1"/>
        <v>4113.998611</v>
      </c>
      <c r="D1292" s="1">
        <f t="shared" si="2"/>
        <v>4762.243926</v>
      </c>
      <c r="E1292" s="1">
        <f t="shared" si="3"/>
        <v>8572.039067</v>
      </c>
      <c r="F1292" s="1">
        <f t="shared" si="4"/>
        <v>16191.62935</v>
      </c>
      <c r="G1292" s="1">
        <f t="shared" si="5"/>
        <v>28573.46356</v>
      </c>
      <c r="H1292" s="1">
        <f t="shared" si="6"/>
        <v>52384.68318</v>
      </c>
      <c r="I1292" s="1">
        <f t="shared" si="7"/>
        <v>85720.39067</v>
      </c>
    </row>
    <row r="1293" hidden="1">
      <c r="A1293" s="266">
        <f>IFERROR(__xludf.DUMMYFUNCTION("""COMPUTED_VALUE"""),43930.99861111111)</f>
        <v>43930.99861</v>
      </c>
      <c r="B1293" s="1">
        <f>IFERROR(__xludf.DUMMYFUNCTION("""COMPUTED_VALUE"""),7293.389)</f>
        <v>7293.389</v>
      </c>
      <c r="C1293" s="58">
        <f t="shared" si="1"/>
        <v>4114.998611</v>
      </c>
      <c r="D1293" s="1">
        <f t="shared" si="2"/>
        <v>4768.961753</v>
      </c>
      <c r="E1293" s="1">
        <f t="shared" si="3"/>
        <v>8584.131156</v>
      </c>
      <c r="F1293" s="1">
        <f t="shared" si="4"/>
        <v>16214.46996</v>
      </c>
      <c r="G1293" s="1">
        <f t="shared" si="5"/>
        <v>28613.77052</v>
      </c>
      <c r="H1293" s="1">
        <f t="shared" si="6"/>
        <v>52458.57929</v>
      </c>
      <c r="I1293" s="1">
        <f t="shared" si="7"/>
        <v>85841.31156</v>
      </c>
    </row>
    <row r="1294" hidden="1">
      <c r="A1294" s="266">
        <f>IFERROR(__xludf.DUMMYFUNCTION("""COMPUTED_VALUE"""),43931.99861111111)</f>
        <v>43931.99861</v>
      </c>
      <c r="B1294" s="1">
        <f>IFERROR(__xludf.DUMMYFUNCTION("""COMPUTED_VALUE"""),6872.39)</f>
        <v>6872.39</v>
      </c>
      <c r="C1294" s="58">
        <f t="shared" si="1"/>
        <v>4115.998611</v>
      </c>
      <c r="D1294" s="1">
        <f t="shared" si="2"/>
        <v>4775.687422</v>
      </c>
      <c r="E1294" s="1">
        <f t="shared" si="3"/>
        <v>8596.237359</v>
      </c>
      <c r="F1294" s="1">
        <f t="shared" si="4"/>
        <v>16237.33723</v>
      </c>
      <c r="G1294" s="1">
        <f t="shared" si="5"/>
        <v>28654.12453</v>
      </c>
      <c r="H1294" s="1">
        <f t="shared" si="6"/>
        <v>52532.56164</v>
      </c>
      <c r="I1294" s="1">
        <f t="shared" si="7"/>
        <v>85962.37359</v>
      </c>
    </row>
    <row r="1295" hidden="1">
      <c r="A1295" s="266">
        <f>IFERROR(__xludf.DUMMYFUNCTION("""COMPUTED_VALUE"""),43932.99861111111)</f>
        <v>43932.99861</v>
      </c>
      <c r="B1295" s="1">
        <f>IFERROR(__xludf.DUMMYFUNCTION("""COMPUTED_VALUE"""),6886.603)</f>
        <v>6886.603</v>
      </c>
      <c r="C1295" s="58">
        <f t="shared" si="1"/>
        <v>4116.998611</v>
      </c>
      <c r="D1295" s="1">
        <f t="shared" si="2"/>
        <v>4782.420938</v>
      </c>
      <c r="E1295" s="1">
        <f t="shared" si="3"/>
        <v>8608.357688</v>
      </c>
      <c r="F1295" s="1">
        <f t="shared" si="4"/>
        <v>16260.23119</v>
      </c>
      <c r="G1295" s="1">
        <f t="shared" si="5"/>
        <v>28694.52563</v>
      </c>
      <c r="H1295" s="1">
        <f t="shared" si="6"/>
        <v>52606.63032</v>
      </c>
      <c r="I1295" s="1">
        <f t="shared" si="7"/>
        <v>86083.57688</v>
      </c>
    </row>
    <row r="1296" hidden="1">
      <c r="A1296" s="266">
        <f>IFERROR(__xludf.DUMMYFUNCTION("""COMPUTED_VALUE"""),43933.99861111111)</f>
        <v>43933.99861</v>
      </c>
      <c r="B1296" s="1">
        <f>IFERROR(__xludf.DUMMYFUNCTION("""COMPUTED_VALUE"""),6905.015)</f>
        <v>6905.015</v>
      </c>
      <c r="C1296" s="58">
        <f t="shared" si="1"/>
        <v>4117.998611</v>
      </c>
      <c r="D1296" s="1">
        <f t="shared" si="2"/>
        <v>4789.162309</v>
      </c>
      <c r="E1296" s="1">
        <f t="shared" si="3"/>
        <v>8620.492156</v>
      </c>
      <c r="F1296" s="1">
        <f t="shared" si="4"/>
        <v>16283.15185</v>
      </c>
      <c r="G1296" s="1">
        <f t="shared" si="5"/>
        <v>28734.97385</v>
      </c>
      <c r="H1296" s="1">
        <f t="shared" si="6"/>
        <v>52680.7854</v>
      </c>
      <c r="I1296" s="1">
        <f t="shared" si="7"/>
        <v>86204.92156</v>
      </c>
    </row>
    <row r="1297" hidden="1">
      <c r="A1297" s="266">
        <f>IFERROR(__xludf.DUMMYFUNCTION("""COMPUTED_VALUE"""),43934.99861111111)</f>
        <v>43934.99861</v>
      </c>
      <c r="B1297" s="1">
        <f>IFERROR(__xludf.DUMMYFUNCTION("""COMPUTED_VALUE"""),6857.129)</f>
        <v>6857.129</v>
      </c>
      <c r="C1297" s="58">
        <f t="shared" si="1"/>
        <v>4118.998611</v>
      </c>
      <c r="D1297" s="1">
        <f t="shared" si="2"/>
        <v>4795.911543</v>
      </c>
      <c r="E1297" s="1">
        <f t="shared" si="3"/>
        <v>8632.640777</v>
      </c>
      <c r="F1297" s="1">
        <f t="shared" si="4"/>
        <v>16306.09925</v>
      </c>
      <c r="G1297" s="1">
        <f t="shared" si="5"/>
        <v>28775.46926</v>
      </c>
      <c r="H1297" s="1">
        <f t="shared" si="6"/>
        <v>52755.02697</v>
      </c>
      <c r="I1297" s="1">
        <f t="shared" si="7"/>
        <v>86326.40777</v>
      </c>
    </row>
    <row r="1298" hidden="1">
      <c r="A1298" s="266">
        <f>IFERROR(__xludf.DUMMYFUNCTION("""COMPUTED_VALUE"""),43935.99861111111)</f>
        <v>43935.99861</v>
      </c>
      <c r="B1298" s="1">
        <f>IFERROR(__xludf.DUMMYFUNCTION("""COMPUTED_VALUE"""),6873.632)</f>
        <v>6873.632</v>
      </c>
      <c r="C1298" s="58">
        <f t="shared" si="1"/>
        <v>4119.998611</v>
      </c>
      <c r="D1298" s="1">
        <f t="shared" si="2"/>
        <v>4802.668646</v>
      </c>
      <c r="E1298" s="1">
        <f t="shared" si="3"/>
        <v>8644.803563</v>
      </c>
      <c r="F1298" s="1">
        <f t="shared" si="4"/>
        <v>16329.0734</v>
      </c>
      <c r="G1298" s="1">
        <f t="shared" si="5"/>
        <v>28816.01188</v>
      </c>
      <c r="H1298" s="1">
        <f t="shared" si="6"/>
        <v>52829.35511</v>
      </c>
      <c r="I1298" s="1">
        <f t="shared" si="7"/>
        <v>86448.03563</v>
      </c>
    </row>
    <row r="1299" hidden="1">
      <c r="A1299" s="266">
        <f>IFERROR(__xludf.DUMMYFUNCTION("""COMPUTED_VALUE"""),43936.99861111111)</f>
        <v>43936.99861</v>
      </c>
      <c r="B1299" s="1">
        <f>IFERROR(__xludf.DUMMYFUNCTION("""COMPUTED_VALUE"""),6623.9)</f>
        <v>6623.9</v>
      </c>
      <c r="C1299" s="58">
        <f t="shared" si="1"/>
        <v>4120.998611</v>
      </c>
      <c r="D1299" s="1">
        <f t="shared" si="2"/>
        <v>4809.433627</v>
      </c>
      <c r="E1299" s="1">
        <f t="shared" si="3"/>
        <v>8656.980528</v>
      </c>
      <c r="F1299" s="1">
        <f t="shared" si="4"/>
        <v>16352.07433</v>
      </c>
      <c r="G1299" s="1">
        <f t="shared" si="5"/>
        <v>28856.60176</v>
      </c>
      <c r="H1299" s="1">
        <f t="shared" si="6"/>
        <v>52903.76989</v>
      </c>
      <c r="I1299" s="1">
        <f t="shared" si="7"/>
        <v>86569.80528</v>
      </c>
    </row>
    <row r="1300" hidden="1">
      <c r="A1300" s="266">
        <f>IFERROR(__xludf.DUMMYFUNCTION("""COMPUTED_VALUE"""),43937.99861111111)</f>
        <v>43937.99861</v>
      </c>
      <c r="B1300" s="1">
        <f>IFERROR(__xludf.DUMMYFUNCTION("""COMPUTED_VALUE"""),7112.757)</f>
        <v>7112.757</v>
      </c>
      <c r="C1300" s="58">
        <f t="shared" si="1"/>
        <v>4121.998611</v>
      </c>
      <c r="D1300" s="1">
        <f t="shared" si="2"/>
        <v>4816.206491</v>
      </c>
      <c r="E1300" s="1">
        <f t="shared" si="3"/>
        <v>8669.171684</v>
      </c>
      <c r="F1300" s="1">
        <f t="shared" si="4"/>
        <v>16375.10207</v>
      </c>
      <c r="G1300" s="1">
        <f t="shared" si="5"/>
        <v>28897.23895</v>
      </c>
      <c r="H1300" s="1">
        <f t="shared" si="6"/>
        <v>52978.2714</v>
      </c>
      <c r="I1300" s="1">
        <f t="shared" si="7"/>
        <v>86691.71684</v>
      </c>
    </row>
    <row r="1301" hidden="1">
      <c r="A1301" s="266">
        <f>IFERROR(__xludf.DUMMYFUNCTION("""COMPUTED_VALUE"""),43938.99861111111)</f>
        <v>43938.99861</v>
      </c>
      <c r="B1301" s="1">
        <f>IFERROR(__xludf.DUMMYFUNCTION("""COMPUTED_VALUE"""),7033.685)</f>
        <v>7033.685</v>
      </c>
      <c r="C1301" s="58">
        <f t="shared" si="1"/>
        <v>4122.998611</v>
      </c>
      <c r="D1301" s="1">
        <f t="shared" si="2"/>
        <v>4822.987247</v>
      </c>
      <c r="E1301" s="1">
        <f t="shared" si="3"/>
        <v>8681.377045</v>
      </c>
      <c r="F1301" s="1">
        <f t="shared" si="4"/>
        <v>16398.15664</v>
      </c>
      <c r="G1301" s="1">
        <f t="shared" si="5"/>
        <v>28937.92348</v>
      </c>
      <c r="H1301" s="1">
        <f t="shared" si="6"/>
        <v>53052.85972</v>
      </c>
      <c r="I1301" s="1">
        <f t="shared" si="7"/>
        <v>86813.77045</v>
      </c>
    </row>
    <row r="1302" hidden="1">
      <c r="A1302" s="266">
        <f>IFERROR(__xludf.DUMMYFUNCTION("""COMPUTED_VALUE"""),43939.99861111111)</f>
        <v>43939.99861</v>
      </c>
      <c r="B1302" s="1">
        <f>IFERROR(__xludf.DUMMYFUNCTION("""COMPUTED_VALUE"""),7259.644)</f>
        <v>7259.644</v>
      </c>
      <c r="C1302" s="58">
        <f t="shared" si="1"/>
        <v>4123.998611</v>
      </c>
      <c r="D1302" s="1">
        <f t="shared" si="2"/>
        <v>4829.775902</v>
      </c>
      <c r="E1302" s="1">
        <f t="shared" si="3"/>
        <v>8693.596624</v>
      </c>
      <c r="F1302" s="1">
        <f t="shared" si="4"/>
        <v>16421.23807</v>
      </c>
      <c r="G1302" s="1">
        <f t="shared" si="5"/>
        <v>28978.65541</v>
      </c>
      <c r="H1302" s="1">
        <f t="shared" si="6"/>
        <v>53127.53492</v>
      </c>
      <c r="I1302" s="1">
        <f t="shared" si="7"/>
        <v>86935.96624</v>
      </c>
    </row>
    <row r="1303" hidden="1">
      <c r="A1303" s="266">
        <f>IFERROR(__xludf.DUMMYFUNCTION("""COMPUTED_VALUE"""),43940.99861111111)</f>
        <v>43940.99861</v>
      </c>
      <c r="B1303" s="1">
        <f>IFERROR(__xludf.DUMMYFUNCTION("""COMPUTED_VALUE"""),7128.538)</f>
        <v>7128.538</v>
      </c>
      <c r="C1303" s="58">
        <f t="shared" si="1"/>
        <v>4124.998611</v>
      </c>
      <c r="D1303" s="1">
        <f t="shared" si="2"/>
        <v>4836.572463</v>
      </c>
      <c r="E1303" s="1">
        <f t="shared" si="3"/>
        <v>8705.830433</v>
      </c>
      <c r="F1303" s="1">
        <f t="shared" si="4"/>
        <v>16444.34637</v>
      </c>
      <c r="G1303" s="1">
        <f t="shared" si="5"/>
        <v>29019.43478</v>
      </c>
      <c r="H1303" s="1">
        <f t="shared" si="6"/>
        <v>53202.29709</v>
      </c>
      <c r="I1303" s="1">
        <f t="shared" si="7"/>
        <v>87058.30433</v>
      </c>
    </row>
    <row r="1304" hidden="1">
      <c r="A1304" s="266">
        <f>IFERROR(__xludf.DUMMYFUNCTION("""COMPUTED_VALUE"""),43941.99861111111)</f>
        <v>43941.99861</v>
      </c>
      <c r="B1304" s="1">
        <f>IFERROR(__xludf.DUMMYFUNCTION("""COMPUTED_VALUE"""),6841.038)</f>
        <v>6841.038</v>
      </c>
      <c r="C1304" s="58">
        <f t="shared" si="1"/>
        <v>4125.998611</v>
      </c>
      <c r="D1304" s="1">
        <f t="shared" si="2"/>
        <v>4843.376937</v>
      </c>
      <c r="E1304" s="1">
        <f t="shared" si="3"/>
        <v>8718.078487</v>
      </c>
      <c r="F1304" s="1">
        <f t="shared" si="4"/>
        <v>16467.48159</v>
      </c>
      <c r="G1304" s="1">
        <f t="shared" si="5"/>
        <v>29060.26162</v>
      </c>
      <c r="H1304" s="1">
        <f t="shared" si="6"/>
        <v>53277.14631</v>
      </c>
      <c r="I1304" s="1">
        <f t="shared" si="7"/>
        <v>87180.78487</v>
      </c>
    </row>
    <row r="1305" hidden="1">
      <c r="A1305" s="266">
        <f>IFERROR(__xludf.DUMMYFUNCTION("""COMPUTED_VALUE"""),43942.99861111111)</f>
        <v>43942.99861</v>
      </c>
      <c r="B1305" s="1">
        <f>IFERROR(__xludf.DUMMYFUNCTION("""COMPUTED_VALUE"""),6851.744)</f>
        <v>6851.744</v>
      </c>
      <c r="C1305" s="58">
        <f t="shared" si="1"/>
        <v>4126.998611</v>
      </c>
      <c r="D1305" s="1">
        <f t="shared" si="2"/>
        <v>4850.189332</v>
      </c>
      <c r="E1305" s="1">
        <f t="shared" si="3"/>
        <v>8730.340797</v>
      </c>
      <c r="F1305" s="1">
        <f t="shared" si="4"/>
        <v>16490.64373</v>
      </c>
      <c r="G1305" s="1">
        <f t="shared" si="5"/>
        <v>29101.13599</v>
      </c>
      <c r="H1305" s="1">
        <f t="shared" si="6"/>
        <v>53352.08265</v>
      </c>
      <c r="I1305" s="1">
        <f t="shared" si="7"/>
        <v>87303.40797</v>
      </c>
    </row>
    <row r="1306" hidden="1">
      <c r="A1306" s="266">
        <f>IFERROR(__xludf.DUMMYFUNCTION("""COMPUTED_VALUE"""),43943.99861111111)</f>
        <v>43943.99861</v>
      </c>
      <c r="B1306" s="1">
        <f>IFERROR(__xludf.DUMMYFUNCTION("""COMPUTED_VALUE"""),7132.332)</f>
        <v>7132.332</v>
      </c>
      <c r="C1306" s="58">
        <f t="shared" si="1"/>
        <v>4127.998611</v>
      </c>
      <c r="D1306" s="1">
        <f t="shared" si="2"/>
        <v>4857.009654</v>
      </c>
      <c r="E1306" s="1">
        <f t="shared" si="3"/>
        <v>8742.617378</v>
      </c>
      <c r="F1306" s="1">
        <f t="shared" si="4"/>
        <v>16513.83283</v>
      </c>
      <c r="G1306" s="1">
        <f t="shared" si="5"/>
        <v>29142.05793</v>
      </c>
      <c r="H1306" s="1">
        <f t="shared" si="6"/>
        <v>53427.1062</v>
      </c>
      <c r="I1306" s="1">
        <f t="shared" si="7"/>
        <v>87426.17378</v>
      </c>
    </row>
    <row r="1307" hidden="1">
      <c r="A1307" s="266">
        <f>IFERROR(__xludf.DUMMYFUNCTION("""COMPUTED_VALUE"""),43944.99861111111)</f>
        <v>43944.99861</v>
      </c>
      <c r="B1307" s="1">
        <f>IFERROR(__xludf.DUMMYFUNCTION("""COMPUTED_VALUE"""),7488.927)</f>
        <v>7488.927</v>
      </c>
      <c r="C1307" s="58">
        <f t="shared" si="1"/>
        <v>4128.998611</v>
      </c>
      <c r="D1307" s="1">
        <f t="shared" si="2"/>
        <v>4863.837912</v>
      </c>
      <c r="E1307" s="1">
        <f t="shared" si="3"/>
        <v>8754.908242</v>
      </c>
      <c r="F1307" s="1">
        <f t="shared" si="4"/>
        <v>16537.0489</v>
      </c>
      <c r="G1307" s="1">
        <f t="shared" si="5"/>
        <v>29183.02747</v>
      </c>
      <c r="H1307" s="1">
        <f t="shared" si="6"/>
        <v>53502.21704</v>
      </c>
      <c r="I1307" s="1">
        <f t="shared" si="7"/>
        <v>87549.08242</v>
      </c>
    </row>
    <row r="1308" hidden="1">
      <c r="A1308" s="266">
        <f>IFERROR(__xludf.DUMMYFUNCTION("""COMPUTED_VALUE"""),43945.99861111111)</f>
        <v>43945.99861</v>
      </c>
      <c r="B1308" s="1">
        <f>IFERROR(__xludf.DUMMYFUNCTION("""COMPUTED_VALUE"""),7509.033)</f>
        <v>7509.033</v>
      </c>
      <c r="C1308" s="58">
        <f t="shared" si="1"/>
        <v>4129.998611</v>
      </c>
      <c r="D1308" s="1">
        <f t="shared" si="2"/>
        <v>4870.674113</v>
      </c>
      <c r="E1308" s="1">
        <f t="shared" si="3"/>
        <v>8767.213403</v>
      </c>
      <c r="F1308" s="1">
        <f t="shared" si="4"/>
        <v>16560.29198</v>
      </c>
      <c r="G1308" s="1">
        <f t="shared" si="5"/>
        <v>29224.04468</v>
      </c>
      <c r="H1308" s="1">
        <f t="shared" si="6"/>
        <v>53577.41524</v>
      </c>
      <c r="I1308" s="1">
        <f t="shared" si="7"/>
        <v>87672.13403</v>
      </c>
    </row>
    <row r="1309" hidden="1">
      <c r="A1309" s="266">
        <f>IFERROR(__xludf.DUMMYFUNCTION("""COMPUTED_VALUE"""),43946.99861111111)</f>
        <v>43946.99861</v>
      </c>
      <c r="B1309" s="1">
        <f>IFERROR(__xludf.DUMMYFUNCTION("""COMPUTED_VALUE"""),7545.21)</f>
        <v>7545.21</v>
      </c>
      <c r="C1309" s="58">
        <f t="shared" si="1"/>
        <v>4130.998611</v>
      </c>
      <c r="D1309" s="1">
        <f t="shared" si="2"/>
        <v>4877.518263</v>
      </c>
      <c r="E1309" s="1">
        <f t="shared" si="3"/>
        <v>8779.532874</v>
      </c>
      <c r="F1309" s="1">
        <f t="shared" si="4"/>
        <v>16583.5621</v>
      </c>
      <c r="G1309" s="1">
        <f t="shared" si="5"/>
        <v>29265.10958</v>
      </c>
      <c r="H1309" s="1">
        <f t="shared" si="6"/>
        <v>53652.7009</v>
      </c>
      <c r="I1309" s="1">
        <f t="shared" si="7"/>
        <v>87795.32874</v>
      </c>
    </row>
    <row r="1310" hidden="1">
      <c r="A1310" s="266">
        <f>IFERROR(__xludf.DUMMYFUNCTION("""COMPUTED_VALUE"""),43947.99861111111)</f>
        <v>43947.99861</v>
      </c>
      <c r="B1310" s="1">
        <f>IFERROR(__xludf.DUMMYFUNCTION("""COMPUTED_VALUE"""),7701.9)</f>
        <v>7701.9</v>
      </c>
      <c r="C1310" s="58">
        <f t="shared" si="1"/>
        <v>4131.998611</v>
      </c>
      <c r="D1310" s="1">
        <f t="shared" si="2"/>
        <v>4884.370371</v>
      </c>
      <c r="E1310" s="1">
        <f t="shared" si="3"/>
        <v>8791.866667</v>
      </c>
      <c r="F1310" s="1">
        <f t="shared" si="4"/>
        <v>16606.85926</v>
      </c>
      <c r="G1310" s="1">
        <f t="shared" si="5"/>
        <v>29306.22222</v>
      </c>
      <c r="H1310" s="1">
        <f t="shared" si="6"/>
        <v>53728.07408</v>
      </c>
      <c r="I1310" s="1">
        <f t="shared" si="7"/>
        <v>87918.66667</v>
      </c>
    </row>
    <row r="1311" hidden="1">
      <c r="A1311" s="266">
        <f>IFERROR(__xludf.DUMMYFUNCTION("""COMPUTED_VALUE"""),43948.99861111111)</f>
        <v>43948.99861</v>
      </c>
      <c r="B1311" s="1">
        <f>IFERROR(__xludf.DUMMYFUNCTION("""COMPUTED_VALUE"""),7786.932)</f>
        <v>7786.932</v>
      </c>
      <c r="C1311" s="58">
        <f t="shared" si="1"/>
        <v>4132.998611</v>
      </c>
      <c r="D1311" s="1">
        <f t="shared" si="2"/>
        <v>4891.230443</v>
      </c>
      <c r="E1311" s="1">
        <f t="shared" si="3"/>
        <v>8804.214797</v>
      </c>
      <c r="F1311" s="1">
        <f t="shared" si="4"/>
        <v>16630.18351</v>
      </c>
      <c r="G1311" s="1">
        <f t="shared" si="5"/>
        <v>29347.38266</v>
      </c>
      <c r="H1311" s="1">
        <f t="shared" si="6"/>
        <v>53803.53487</v>
      </c>
      <c r="I1311" s="1">
        <f t="shared" si="7"/>
        <v>88042.14797</v>
      </c>
    </row>
    <row r="1312" hidden="1">
      <c r="A1312" s="266">
        <f>IFERROR(__xludf.DUMMYFUNCTION("""COMPUTED_VALUE"""),43949.99861111111)</f>
        <v>43949.99861</v>
      </c>
      <c r="B1312" s="1">
        <f>IFERROR(__xludf.DUMMYFUNCTION("""COMPUTED_VALUE"""),7759.237)</f>
        <v>7759.237</v>
      </c>
      <c r="C1312" s="58">
        <f t="shared" si="1"/>
        <v>4133.998611</v>
      </c>
      <c r="D1312" s="1">
        <f t="shared" si="2"/>
        <v>4898.098486</v>
      </c>
      <c r="E1312" s="1">
        <f t="shared" si="3"/>
        <v>8816.577276</v>
      </c>
      <c r="F1312" s="1">
        <f t="shared" si="4"/>
        <v>16653.53485</v>
      </c>
      <c r="G1312" s="1">
        <f t="shared" si="5"/>
        <v>29388.59092</v>
      </c>
      <c r="H1312" s="1">
        <f t="shared" si="6"/>
        <v>53879.08335</v>
      </c>
      <c r="I1312" s="1">
        <f t="shared" si="7"/>
        <v>88165.77276</v>
      </c>
    </row>
    <row r="1313" hidden="1">
      <c r="A1313" s="266">
        <f>IFERROR(__xludf.DUMMYFUNCTION("""COMPUTED_VALUE"""),43950.99861111111)</f>
        <v>43950.99861</v>
      </c>
      <c r="B1313" s="1">
        <f>IFERROR(__xludf.DUMMYFUNCTION("""COMPUTED_VALUE"""),8778.735)</f>
        <v>8778.735</v>
      </c>
      <c r="C1313" s="58">
        <f t="shared" si="1"/>
        <v>4134.998611</v>
      </c>
      <c r="D1313" s="1">
        <f t="shared" si="2"/>
        <v>4904.974509</v>
      </c>
      <c r="E1313" s="1">
        <f t="shared" si="3"/>
        <v>8828.954117</v>
      </c>
      <c r="F1313" s="1">
        <f t="shared" si="4"/>
        <v>16676.91333</v>
      </c>
      <c r="G1313" s="1">
        <f t="shared" si="5"/>
        <v>29429.84706</v>
      </c>
      <c r="H1313" s="1">
        <f t="shared" si="6"/>
        <v>53954.7196</v>
      </c>
      <c r="I1313" s="1">
        <f t="shared" si="7"/>
        <v>88289.54117</v>
      </c>
    </row>
    <row r="1314" hidden="1">
      <c r="A1314" s="266">
        <f>IFERROR(__xludf.DUMMYFUNCTION("""COMPUTED_VALUE"""),43951.99861111111)</f>
        <v>43951.99861</v>
      </c>
      <c r="B1314" s="1">
        <f>IFERROR(__xludf.DUMMYFUNCTION("""COMPUTED_VALUE"""),8631.604)</f>
        <v>8631.604</v>
      </c>
      <c r="C1314" s="58">
        <f t="shared" si="1"/>
        <v>4135.998611</v>
      </c>
      <c r="D1314" s="1">
        <f t="shared" si="2"/>
        <v>4911.858519</v>
      </c>
      <c r="E1314" s="1">
        <f t="shared" si="3"/>
        <v>8841.345334</v>
      </c>
      <c r="F1314" s="1">
        <f t="shared" si="4"/>
        <v>16700.31896</v>
      </c>
      <c r="G1314" s="1">
        <f t="shared" si="5"/>
        <v>29471.15111</v>
      </c>
      <c r="H1314" s="1">
        <f t="shared" si="6"/>
        <v>54030.44371</v>
      </c>
      <c r="I1314" s="1">
        <f t="shared" si="7"/>
        <v>88413.45334</v>
      </c>
    </row>
    <row r="1315" hidden="1">
      <c r="A1315" s="266">
        <f>IFERROR(__xludf.DUMMYFUNCTION("""COMPUTED_VALUE"""),43952.99861111111)</f>
        <v>43952.99861</v>
      </c>
      <c r="B1315" s="1">
        <f>IFERROR(__xludf.DUMMYFUNCTION("""COMPUTED_VALUE"""),8826.523)</f>
        <v>8826.523</v>
      </c>
      <c r="C1315" s="58">
        <f t="shared" si="1"/>
        <v>4136.998611</v>
      </c>
      <c r="D1315" s="1">
        <f t="shared" si="2"/>
        <v>4918.750522</v>
      </c>
      <c r="E1315" s="1">
        <f t="shared" si="3"/>
        <v>8853.750939</v>
      </c>
      <c r="F1315" s="1">
        <f t="shared" si="4"/>
        <v>16723.75177</v>
      </c>
      <c r="G1315" s="1">
        <f t="shared" si="5"/>
        <v>29512.50313</v>
      </c>
      <c r="H1315" s="1">
        <f t="shared" si="6"/>
        <v>54106.25574</v>
      </c>
      <c r="I1315" s="1">
        <f t="shared" si="7"/>
        <v>88537.50939</v>
      </c>
    </row>
    <row r="1316" hidden="1">
      <c r="A1316" s="266">
        <f>IFERROR(__xludf.DUMMYFUNCTION("""COMPUTED_VALUE"""),43953.99861111111)</f>
        <v>43953.99861</v>
      </c>
      <c r="B1316" s="1">
        <f>IFERROR(__xludf.DUMMYFUNCTION("""COMPUTED_VALUE"""),8978.361)</f>
        <v>8978.361</v>
      </c>
      <c r="C1316" s="58">
        <f t="shared" si="1"/>
        <v>4137.998611</v>
      </c>
      <c r="D1316" s="1">
        <f t="shared" si="2"/>
        <v>4925.650526</v>
      </c>
      <c r="E1316" s="1">
        <f t="shared" si="3"/>
        <v>8866.170947</v>
      </c>
      <c r="F1316" s="1">
        <f t="shared" si="4"/>
        <v>16747.21179</v>
      </c>
      <c r="G1316" s="1">
        <f t="shared" si="5"/>
        <v>29553.90316</v>
      </c>
      <c r="H1316" s="1">
        <f t="shared" si="6"/>
        <v>54182.15579</v>
      </c>
      <c r="I1316" s="1">
        <f t="shared" si="7"/>
        <v>88661.70947</v>
      </c>
    </row>
    <row r="1317" hidden="1">
      <c r="A1317" s="266">
        <f>IFERROR(__xludf.DUMMYFUNCTION("""COMPUTED_VALUE"""),43954.99861111111)</f>
        <v>43954.99861</v>
      </c>
      <c r="B1317" s="1">
        <f>IFERROR(__xludf.DUMMYFUNCTION("""COMPUTED_VALUE"""),8905.148)</f>
        <v>8905.148</v>
      </c>
      <c r="C1317" s="58">
        <f t="shared" si="1"/>
        <v>4138.998611</v>
      </c>
      <c r="D1317" s="1">
        <f t="shared" si="2"/>
        <v>4932.558539</v>
      </c>
      <c r="E1317" s="1">
        <f t="shared" si="3"/>
        <v>8878.605371</v>
      </c>
      <c r="F1317" s="1">
        <f t="shared" si="4"/>
        <v>16770.69903</v>
      </c>
      <c r="G1317" s="1">
        <f t="shared" si="5"/>
        <v>29595.35124</v>
      </c>
      <c r="H1317" s="1">
        <f t="shared" si="6"/>
        <v>54258.14393</v>
      </c>
      <c r="I1317" s="1">
        <f t="shared" si="7"/>
        <v>88786.05371</v>
      </c>
    </row>
    <row r="1318" hidden="1">
      <c r="A1318" s="266">
        <f>IFERROR(__xludf.DUMMYFUNCTION("""COMPUTED_VALUE"""),43955.99861111111)</f>
        <v>43955.99861</v>
      </c>
      <c r="B1318" s="1">
        <f>IFERROR(__xludf.DUMMYFUNCTION("""COMPUTED_VALUE"""),8882.118)</f>
        <v>8882.118</v>
      </c>
      <c r="C1318" s="58">
        <f t="shared" si="1"/>
        <v>4139.998611</v>
      </c>
      <c r="D1318" s="1">
        <f t="shared" si="2"/>
        <v>4939.474568</v>
      </c>
      <c r="E1318" s="1">
        <f t="shared" si="3"/>
        <v>8891.054222</v>
      </c>
      <c r="F1318" s="1">
        <f t="shared" si="4"/>
        <v>16794.21353</v>
      </c>
      <c r="G1318" s="1">
        <f t="shared" si="5"/>
        <v>29636.84741</v>
      </c>
      <c r="H1318" s="1">
        <f t="shared" si="6"/>
        <v>54334.22025</v>
      </c>
      <c r="I1318" s="1">
        <f t="shared" si="7"/>
        <v>88910.54222</v>
      </c>
    </row>
    <row r="1319" hidden="1">
      <c r="A1319" s="266">
        <f>IFERROR(__xludf.DUMMYFUNCTION("""COMPUTED_VALUE"""),43956.99861111111)</f>
        <v>43956.99861</v>
      </c>
      <c r="B1319" s="1">
        <f>IFERROR(__xludf.DUMMYFUNCTION("""COMPUTED_VALUE"""),9024.511)</f>
        <v>9024.511</v>
      </c>
      <c r="C1319" s="58">
        <f t="shared" si="1"/>
        <v>4140.998611</v>
      </c>
      <c r="D1319" s="1">
        <f t="shared" si="2"/>
        <v>4946.39862</v>
      </c>
      <c r="E1319" s="1">
        <f t="shared" si="3"/>
        <v>8903.517516</v>
      </c>
      <c r="F1319" s="1">
        <f t="shared" si="4"/>
        <v>16817.75531</v>
      </c>
      <c r="G1319" s="1">
        <f t="shared" si="5"/>
        <v>29678.39172</v>
      </c>
      <c r="H1319" s="1">
        <f t="shared" si="6"/>
        <v>54410.38482</v>
      </c>
      <c r="I1319" s="1">
        <f t="shared" si="7"/>
        <v>89035.17516</v>
      </c>
    </row>
    <row r="1320" hidden="1">
      <c r="A1320" s="266">
        <f>IFERROR(__xludf.DUMMYFUNCTION("""COMPUTED_VALUE"""),43957.99861111111)</f>
        <v>43957.99861</v>
      </c>
      <c r="B1320" s="1">
        <f>IFERROR(__xludf.DUMMYFUNCTION("""COMPUTED_VALUE"""),9153.317)</f>
        <v>9153.317</v>
      </c>
      <c r="C1320" s="58">
        <f t="shared" si="1"/>
        <v>4141.998611</v>
      </c>
      <c r="D1320" s="1">
        <f t="shared" si="2"/>
        <v>4953.330703</v>
      </c>
      <c r="E1320" s="1">
        <f t="shared" si="3"/>
        <v>8915.995265</v>
      </c>
      <c r="F1320" s="1">
        <f t="shared" si="4"/>
        <v>16841.32439</v>
      </c>
      <c r="G1320" s="1">
        <f t="shared" si="5"/>
        <v>29719.98422</v>
      </c>
      <c r="H1320" s="1">
        <f t="shared" si="6"/>
        <v>54486.63773</v>
      </c>
      <c r="I1320" s="1">
        <f t="shared" si="7"/>
        <v>89159.95265</v>
      </c>
    </row>
    <row r="1321" hidden="1">
      <c r="A1321" s="266">
        <f>IFERROR(__xludf.DUMMYFUNCTION("""COMPUTED_VALUE"""),43958.99861111111)</f>
        <v>43958.99861</v>
      </c>
      <c r="B1321" s="1">
        <f>IFERROR(__xludf.DUMMYFUNCTION("""COMPUTED_VALUE"""),9986.479)</f>
        <v>9986.479</v>
      </c>
      <c r="C1321" s="58">
        <f t="shared" si="1"/>
        <v>4142.998611</v>
      </c>
      <c r="D1321" s="1">
        <f t="shared" si="2"/>
        <v>4960.270823</v>
      </c>
      <c r="E1321" s="1">
        <f t="shared" si="3"/>
        <v>8928.487482</v>
      </c>
      <c r="F1321" s="1">
        <f t="shared" si="4"/>
        <v>16864.9208</v>
      </c>
      <c r="G1321" s="1">
        <f t="shared" si="5"/>
        <v>29761.62494</v>
      </c>
      <c r="H1321" s="1">
        <f t="shared" si="6"/>
        <v>54562.97905</v>
      </c>
      <c r="I1321" s="1">
        <f t="shared" si="7"/>
        <v>89284.87482</v>
      </c>
    </row>
    <row r="1322" hidden="1">
      <c r="A1322" s="266">
        <f>IFERROR(__xludf.DUMMYFUNCTION("""COMPUTED_VALUE"""),43959.99861111111)</f>
        <v>43959.99861</v>
      </c>
      <c r="B1322" s="1">
        <f>IFERROR(__xludf.DUMMYFUNCTION("""COMPUTED_VALUE"""),9807.23)</f>
        <v>9807.23</v>
      </c>
      <c r="C1322" s="58">
        <f t="shared" si="1"/>
        <v>4143.998611</v>
      </c>
      <c r="D1322" s="1">
        <f t="shared" si="2"/>
        <v>4967.218989</v>
      </c>
      <c r="E1322" s="1">
        <f t="shared" si="3"/>
        <v>8940.99418</v>
      </c>
      <c r="F1322" s="1">
        <f t="shared" si="4"/>
        <v>16888.54456</v>
      </c>
      <c r="G1322" s="1">
        <f t="shared" si="5"/>
        <v>29803.31393</v>
      </c>
      <c r="H1322" s="1">
        <f t="shared" si="6"/>
        <v>54639.40888</v>
      </c>
      <c r="I1322" s="1">
        <f t="shared" si="7"/>
        <v>89409.9418</v>
      </c>
    </row>
    <row r="1323" hidden="1">
      <c r="A1323" s="266">
        <f>IFERROR(__xludf.DUMMYFUNCTION("""COMPUTED_VALUE"""),43960.99861111111)</f>
        <v>43960.99861</v>
      </c>
      <c r="B1323" s="1">
        <f>IFERROR(__xludf.DUMMYFUNCTION("""COMPUTED_VALUE"""),9537.408)</f>
        <v>9537.408</v>
      </c>
      <c r="C1323" s="58">
        <f t="shared" si="1"/>
        <v>4144.998611</v>
      </c>
      <c r="D1323" s="1">
        <f t="shared" si="2"/>
        <v>4974.175208</v>
      </c>
      <c r="E1323" s="1">
        <f t="shared" si="3"/>
        <v>8953.515374</v>
      </c>
      <c r="F1323" s="1">
        <f t="shared" si="4"/>
        <v>16912.19571</v>
      </c>
      <c r="G1323" s="1">
        <f t="shared" si="5"/>
        <v>29845.05125</v>
      </c>
      <c r="H1323" s="1">
        <f t="shared" si="6"/>
        <v>54715.92729</v>
      </c>
      <c r="I1323" s="1">
        <f t="shared" si="7"/>
        <v>89535.15374</v>
      </c>
    </row>
    <row r="1324" hidden="1">
      <c r="A1324" s="266">
        <f>IFERROR(__xludf.DUMMYFUNCTION("""COMPUTED_VALUE"""),43961.99861111111)</f>
        <v>43961.99861</v>
      </c>
      <c r="B1324" s="1">
        <f>IFERROR(__xludf.DUMMYFUNCTION("""COMPUTED_VALUE"""),8737.619)</f>
        <v>8737.619</v>
      </c>
      <c r="C1324" s="58">
        <f t="shared" si="1"/>
        <v>4145.998611</v>
      </c>
      <c r="D1324" s="1">
        <f t="shared" si="2"/>
        <v>4981.139487</v>
      </c>
      <c r="E1324" s="1">
        <f t="shared" si="3"/>
        <v>8966.051076</v>
      </c>
      <c r="F1324" s="1">
        <f t="shared" si="4"/>
        <v>16935.87425</v>
      </c>
      <c r="G1324" s="1">
        <f t="shared" si="5"/>
        <v>29886.83692</v>
      </c>
      <c r="H1324" s="1">
        <f t="shared" si="6"/>
        <v>54792.53435</v>
      </c>
      <c r="I1324" s="1">
        <f t="shared" si="7"/>
        <v>89660.51076</v>
      </c>
    </row>
    <row r="1325" hidden="1">
      <c r="A1325" s="266">
        <f>IFERROR(__xludf.DUMMYFUNCTION("""COMPUTED_VALUE"""),43962.99861111111)</f>
        <v>43962.99861</v>
      </c>
      <c r="B1325" s="1">
        <f>IFERROR(__xludf.DUMMYFUNCTION("""COMPUTED_VALUE"""),8572.2)</f>
        <v>8572.2</v>
      </c>
      <c r="C1325" s="58">
        <f t="shared" si="1"/>
        <v>4146.998611</v>
      </c>
      <c r="D1325" s="1">
        <f t="shared" si="2"/>
        <v>4988.111833</v>
      </c>
      <c r="E1325" s="1">
        <f t="shared" si="3"/>
        <v>8978.601299</v>
      </c>
      <c r="F1325" s="1">
        <f t="shared" si="4"/>
        <v>16959.58023</v>
      </c>
      <c r="G1325" s="1">
        <f t="shared" si="5"/>
        <v>29928.671</v>
      </c>
      <c r="H1325" s="1">
        <f t="shared" si="6"/>
        <v>54869.23016</v>
      </c>
      <c r="I1325" s="1">
        <f t="shared" si="7"/>
        <v>89786.01299</v>
      </c>
    </row>
    <row r="1326" hidden="1">
      <c r="A1326" s="266">
        <f>IFERROR(__xludf.DUMMYFUNCTION("""COMPUTED_VALUE"""),43963.99861111111)</f>
        <v>43963.99861</v>
      </c>
      <c r="B1326" s="1">
        <f>IFERROR(__xludf.DUMMYFUNCTION("""COMPUTED_VALUE"""),8819.002)</f>
        <v>8819.002</v>
      </c>
      <c r="C1326" s="58">
        <f t="shared" si="1"/>
        <v>4147.998611</v>
      </c>
      <c r="D1326" s="1">
        <f t="shared" si="2"/>
        <v>4995.092254</v>
      </c>
      <c r="E1326" s="1">
        <f t="shared" si="3"/>
        <v>8991.166057</v>
      </c>
      <c r="F1326" s="1">
        <f t="shared" si="4"/>
        <v>16983.31366</v>
      </c>
      <c r="G1326" s="1">
        <f t="shared" si="5"/>
        <v>29970.55352</v>
      </c>
      <c r="H1326" s="1">
        <f t="shared" si="6"/>
        <v>54946.01479</v>
      </c>
      <c r="I1326" s="1">
        <f t="shared" si="7"/>
        <v>89911.66057</v>
      </c>
    </row>
    <row r="1327" hidden="1">
      <c r="A1327" s="266">
        <f>IFERROR(__xludf.DUMMYFUNCTION("""COMPUTED_VALUE"""),43964.99861111111)</f>
        <v>43964.99861</v>
      </c>
      <c r="B1327" s="1">
        <f>IFERROR(__xludf.DUMMYFUNCTION("""COMPUTED_VALUE"""),9316.817)</f>
        <v>9316.817</v>
      </c>
      <c r="C1327" s="58">
        <f t="shared" si="1"/>
        <v>4148.998611</v>
      </c>
      <c r="D1327" s="1">
        <f t="shared" si="2"/>
        <v>5002.080758</v>
      </c>
      <c r="E1327" s="1">
        <f t="shared" si="3"/>
        <v>9003.745364</v>
      </c>
      <c r="F1327" s="1">
        <f t="shared" si="4"/>
        <v>17007.07458</v>
      </c>
      <c r="G1327" s="1">
        <f t="shared" si="5"/>
        <v>30012.48455</v>
      </c>
      <c r="H1327" s="1">
        <f t="shared" si="6"/>
        <v>55022.88833</v>
      </c>
      <c r="I1327" s="1">
        <f t="shared" si="7"/>
        <v>90037.45364</v>
      </c>
    </row>
    <row r="1328" hidden="1">
      <c r="A1328" s="266">
        <f>IFERROR(__xludf.DUMMYFUNCTION("""COMPUTED_VALUE"""),43965.99861111111)</f>
        <v>43965.99861</v>
      </c>
      <c r="B1328" s="1">
        <f>IFERROR(__xludf.DUMMYFUNCTION("""COMPUTED_VALUE"""),9790.999)</f>
        <v>9790.999</v>
      </c>
      <c r="C1328" s="58">
        <f t="shared" si="1"/>
        <v>4149.998611</v>
      </c>
      <c r="D1328" s="1">
        <f t="shared" si="2"/>
        <v>5009.077351</v>
      </c>
      <c r="E1328" s="1">
        <f t="shared" si="3"/>
        <v>9016.339231</v>
      </c>
      <c r="F1328" s="1">
        <f t="shared" si="4"/>
        <v>17030.86299</v>
      </c>
      <c r="G1328" s="1">
        <f t="shared" si="5"/>
        <v>30054.4641</v>
      </c>
      <c r="H1328" s="1">
        <f t="shared" si="6"/>
        <v>55099.85086</v>
      </c>
      <c r="I1328" s="1">
        <f t="shared" si="7"/>
        <v>90163.39231</v>
      </c>
    </row>
    <row r="1329" hidden="1">
      <c r="A1329" s="266">
        <f>IFERROR(__xludf.DUMMYFUNCTION("""COMPUTED_VALUE"""),43966.99861111111)</f>
        <v>43966.99861</v>
      </c>
      <c r="B1329" s="1">
        <f>IFERROR(__xludf.DUMMYFUNCTION("""COMPUTED_VALUE"""),9309.325)</f>
        <v>9309.325</v>
      </c>
      <c r="C1329" s="58">
        <f t="shared" si="1"/>
        <v>4150.998611</v>
      </c>
      <c r="D1329" s="1">
        <f t="shared" si="2"/>
        <v>5016.082041</v>
      </c>
      <c r="E1329" s="1">
        <f t="shared" si="3"/>
        <v>9028.947674</v>
      </c>
      <c r="F1329" s="1">
        <f t="shared" si="4"/>
        <v>17054.67894</v>
      </c>
      <c r="G1329" s="1">
        <f t="shared" si="5"/>
        <v>30096.49225</v>
      </c>
      <c r="H1329" s="1">
        <f t="shared" si="6"/>
        <v>55176.90245</v>
      </c>
      <c r="I1329" s="1">
        <f t="shared" si="7"/>
        <v>90289.47674</v>
      </c>
    </row>
    <row r="1330" hidden="1">
      <c r="A1330" s="266">
        <f>IFERROR(__xludf.DUMMYFUNCTION("""COMPUTED_VALUE"""),43967.99861111111)</f>
        <v>43967.99861</v>
      </c>
      <c r="B1330" s="1">
        <f>IFERROR(__xludf.DUMMYFUNCTION("""COMPUTED_VALUE"""),9383.021)</f>
        <v>9383.021</v>
      </c>
      <c r="C1330" s="58">
        <f t="shared" si="1"/>
        <v>4151.998611</v>
      </c>
      <c r="D1330" s="1">
        <f t="shared" si="2"/>
        <v>5023.094836</v>
      </c>
      <c r="E1330" s="1">
        <f t="shared" si="3"/>
        <v>9041.570705</v>
      </c>
      <c r="F1330" s="1">
        <f t="shared" si="4"/>
        <v>17078.52244</v>
      </c>
      <c r="G1330" s="1">
        <f t="shared" si="5"/>
        <v>30138.56902</v>
      </c>
      <c r="H1330" s="1">
        <f t="shared" si="6"/>
        <v>55254.0432</v>
      </c>
      <c r="I1330" s="1">
        <f t="shared" si="7"/>
        <v>90415.70705</v>
      </c>
    </row>
    <row r="1331" hidden="1">
      <c r="A1331" s="266">
        <f>IFERROR(__xludf.DUMMYFUNCTION("""COMPUTED_VALUE"""),43968.99861111111)</f>
        <v>43968.99861</v>
      </c>
      <c r="B1331" s="1">
        <f>IFERROR(__xludf.DUMMYFUNCTION("""COMPUTED_VALUE"""),9670.41)</f>
        <v>9670.41</v>
      </c>
      <c r="C1331" s="58">
        <f t="shared" si="1"/>
        <v>4152.998611</v>
      </c>
      <c r="D1331" s="1">
        <f t="shared" si="2"/>
        <v>5030.115743</v>
      </c>
      <c r="E1331" s="1">
        <f t="shared" si="3"/>
        <v>9054.208337</v>
      </c>
      <c r="F1331" s="1">
        <f t="shared" si="4"/>
        <v>17102.39353</v>
      </c>
      <c r="G1331" s="1">
        <f t="shared" si="5"/>
        <v>30180.69446</v>
      </c>
      <c r="H1331" s="1">
        <f t="shared" si="6"/>
        <v>55331.27317</v>
      </c>
      <c r="I1331" s="1">
        <f t="shared" si="7"/>
        <v>90542.08337</v>
      </c>
    </row>
    <row r="1332" hidden="1">
      <c r="A1332" s="266">
        <f>IFERROR(__xludf.DUMMYFUNCTION("""COMPUTED_VALUE"""),43969.99861111111)</f>
        <v>43969.99861</v>
      </c>
      <c r="B1332" s="1">
        <f>IFERROR(__xludf.DUMMYFUNCTION("""COMPUTED_VALUE"""),9723.12)</f>
        <v>9723.12</v>
      </c>
      <c r="C1332" s="58">
        <f t="shared" si="1"/>
        <v>4153.998611</v>
      </c>
      <c r="D1332" s="1">
        <f t="shared" si="2"/>
        <v>5037.144769</v>
      </c>
      <c r="E1332" s="1">
        <f t="shared" si="3"/>
        <v>9066.860585</v>
      </c>
      <c r="F1332" s="1">
        <f t="shared" si="4"/>
        <v>17126.29222</v>
      </c>
      <c r="G1332" s="1">
        <f t="shared" si="5"/>
        <v>30222.86862</v>
      </c>
      <c r="H1332" s="1">
        <f t="shared" si="6"/>
        <v>55408.59246</v>
      </c>
      <c r="I1332" s="1">
        <f t="shared" si="7"/>
        <v>90668.60585</v>
      </c>
    </row>
    <row r="1333" hidden="1">
      <c r="A1333" s="266">
        <f>IFERROR(__xludf.DUMMYFUNCTION("""COMPUTED_VALUE"""),43970.99861111111)</f>
        <v>43970.99861</v>
      </c>
      <c r="B1333" s="1">
        <f>IFERROR(__xludf.DUMMYFUNCTION("""COMPUTED_VALUE"""),9776.365)</f>
        <v>9776.365</v>
      </c>
      <c r="C1333" s="58">
        <f t="shared" si="1"/>
        <v>4154.998611</v>
      </c>
      <c r="D1333" s="1">
        <f t="shared" si="2"/>
        <v>5044.181922</v>
      </c>
      <c r="E1333" s="1">
        <f t="shared" si="3"/>
        <v>9079.52746</v>
      </c>
      <c r="F1333" s="1">
        <f t="shared" si="4"/>
        <v>17150.21854</v>
      </c>
      <c r="G1333" s="1">
        <f t="shared" si="5"/>
        <v>30265.09153</v>
      </c>
      <c r="H1333" s="1">
        <f t="shared" si="6"/>
        <v>55486.00115</v>
      </c>
      <c r="I1333" s="1">
        <f t="shared" si="7"/>
        <v>90795.2746</v>
      </c>
    </row>
    <row r="1334" hidden="1">
      <c r="A1334" s="266">
        <f>IFERROR(__xludf.DUMMYFUNCTION("""COMPUTED_VALUE"""),43971.99861111111)</f>
        <v>43971.99861</v>
      </c>
      <c r="B1334" s="1">
        <f>IFERROR(__xludf.DUMMYFUNCTION("""COMPUTED_VALUE"""),9507.138)</f>
        <v>9507.138</v>
      </c>
      <c r="C1334" s="58">
        <f t="shared" si="1"/>
        <v>4155.998611</v>
      </c>
      <c r="D1334" s="1">
        <f t="shared" si="2"/>
        <v>5051.22721</v>
      </c>
      <c r="E1334" s="1">
        <f t="shared" si="3"/>
        <v>9092.208978</v>
      </c>
      <c r="F1334" s="1">
        <f t="shared" si="4"/>
        <v>17174.17251</v>
      </c>
      <c r="G1334" s="1">
        <f t="shared" si="5"/>
        <v>30307.36326</v>
      </c>
      <c r="H1334" s="1">
        <f t="shared" si="6"/>
        <v>55563.49931</v>
      </c>
      <c r="I1334" s="1">
        <f t="shared" si="7"/>
        <v>90922.08978</v>
      </c>
    </row>
    <row r="1335" hidden="1">
      <c r="A1335" s="266">
        <f>IFERROR(__xludf.DUMMYFUNCTION("""COMPUTED_VALUE"""),43972.99861111111)</f>
        <v>43972.99861</v>
      </c>
      <c r="B1335" s="1">
        <f>IFERROR(__xludf.DUMMYFUNCTION("""COMPUTED_VALUE"""),9057.211)</f>
        <v>9057.211</v>
      </c>
      <c r="C1335" s="58">
        <f t="shared" si="1"/>
        <v>4156.998611</v>
      </c>
      <c r="D1335" s="1">
        <f t="shared" si="2"/>
        <v>5058.280639</v>
      </c>
      <c r="E1335" s="1">
        <f t="shared" si="3"/>
        <v>9104.90515</v>
      </c>
      <c r="F1335" s="1">
        <f t="shared" si="4"/>
        <v>17198.15417</v>
      </c>
      <c r="G1335" s="1">
        <f t="shared" si="5"/>
        <v>30349.68383</v>
      </c>
      <c r="H1335" s="1">
        <f t="shared" si="6"/>
        <v>55641.08703</v>
      </c>
      <c r="I1335" s="1">
        <f t="shared" si="7"/>
        <v>91049.0515</v>
      </c>
    </row>
    <row r="1336" hidden="1">
      <c r="A1336" s="266">
        <f>IFERROR(__xludf.DUMMYFUNCTION("""COMPUTED_VALUE"""),43973.99861111111)</f>
        <v>43973.99861</v>
      </c>
      <c r="B1336" s="1">
        <f>IFERROR(__xludf.DUMMYFUNCTION("""COMPUTED_VALUE"""),9167.151)</f>
        <v>9167.151</v>
      </c>
      <c r="C1336" s="58">
        <f t="shared" si="1"/>
        <v>4157.998611</v>
      </c>
      <c r="D1336" s="1">
        <f t="shared" si="2"/>
        <v>5065.342217</v>
      </c>
      <c r="E1336" s="1">
        <f t="shared" si="3"/>
        <v>9117.615991</v>
      </c>
      <c r="F1336" s="1">
        <f t="shared" si="4"/>
        <v>17222.16354</v>
      </c>
      <c r="G1336" s="1">
        <f t="shared" si="5"/>
        <v>30392.0533</v>
      </c>
      <c r="H1336" s="1">
        <f t="shared" si="6"/>
        <v>55718.76439</v>
      </c>
      <c r="I1336" s="1">
        <f t="shared" si="7"/>
        <v>91176.15991</v>
      </c>
    </row>
    <row r="1337" hidden="1">
      <c r="A1337" s="266">
        <f>IFERROR(__xludf.DUMMYFUNCTION("""COMPUTED_VALUE"""),43974.99861111111)</f>
        <v>43974.99861</v>
      </c>
      <c r="B1337" s="1">
        <f>IFERROR(__xludf.DUMMYFUNCTION("""COMPUTED_VALUE"""),9177.639)</f>
        <v>9177.639</v>
      </c>
      <c r="C1337" s="58">
        <f t="shared" si="1"/>
        <v>4158.998611</v>
      </c>
      <c r="D1337" s="1">
        <f t="shared" si="2"/>
        <v>5072.411952</v>
      </c>
      <c r="E1337" s="1">
        <f t="shared" si="3"/>
        <v>9130.341513</v>
      </c>
      <c r="F1337" s="1">
        <f t="shared" si="4"/>
        <v>17246.20064</v>
      </c>
      <c r="G1337" s="1">
        <f t="shared" si="5"/>
        <v>30434.47171</v>
      </c>
      <c r="H1337" s="1">
        <f t="shared" si="6"/>
        <v>55796.53147</v>
      </c>
      <c r="I1337" s="1">
        <f t="shared" si="7"/>
        <v>91303.41513</v>
      </c>
    </row>
    <row r="1338" hidden="1">
      <c r="A1338" s="266">
        <f>IFERROR(__xludf.DUMMYFUNCTION("""COMPUTED_VALUE"""),43975.99861111111)</f>
        <v>43975.99861</v>
      </c>
      <c r="B1338" s="1">
        <f>IFERROR(__xludf.DUMMYFUNCTION("""COMPUTED_VALUE"""),8718.602)</f>
        <v>8718.602</v>
      </c>
      <c r="C1338" s="58">
        <f t="shared" si="1"/>
        <v>4159.998611</v>
      </c>
      <c r="D1338" s="1">
        <f t="shared" si="2"/>
        <v>5079.489851</v>
      </c>
      <c r="E1338" s="1">
        <f t="shared" si="3"/>
        <v>9143.081731</v>
      </c>
      <c r="F1338" s="1">
        <f t="shared" si="4"/>
        <v>17270.26549</v>
      </c>
      <c r="G1338" s="1">
        <f t="shared" si="5"/>
        <v>30476.9391</v>
      </c>
      <c r="H1338" s="1">
        <f t="shared" si="6"/>
        <v>55874.38836</v>
      </c>
      <c r="I1338" s="1">
        <f t="shared" si="7"/>
        <v>91430.81731</v>
      </c>
    </row>
    <row r="1339" hidden="1">
      <c r="A1339" s="266">
        <f>IFERROR(__xludf.DUMMYFUNCTION("""COMPUTED_VALUE"""),43976.99861111111)</f>
        <v>43976.99861</v>
      </c>
      <c r="B1339" s="1">
        <f>IFERROR(__xludf.DUMMYFUNCTION("""COMPUTED_VALUE"""),8898.196)</f>
        <v>8898.196</v>
      </c>
      <c r="C1339" s="58">
        <f t="shared" si="1"/>
        <v>4160.998611</v>
      </c>
      <c r="D1339" s="1">
        <f t="shared" si="2"/>
        <v>5086.575921</v>
      </c>
      <c r="E1339" s="1">
        <f t="shared" si="3"/>
        <v>9155.836658</v>
      </c>
      <c r="F1339" s="1">
        <f t="shared" si="4"/>
        <v>17294.35813</v>
      </c>
      <c r="G1339" s="1">
        <f t="shared" si="5"/>
        <v>30519.45553</v>
      </c>
      <c r="H1339" s="1">
        <f t="shared" si="6"/>
        <v>55952.33513</v>
      </c>
      <c r="I1339" s="1">
        <f t="shared" si="7"/>
        <v>91558.36658</v>
      </c>
    </row>
    <row r="1340" hidden="1">
      <c r="A1340" s="266">
        <f>IFERROR(__xludf.DUMMYFUNCTION("""COMPUTED_VALUE"""),43977.99861111111)</f>
        <v>43977.99861</v>
      </c>
      <c r="B1340" s="1">
        <f>IFERROR(__xludf.DUMMYFUNCTION("""COMPUTED_VALUE"""),8843.262)</f>
        <v>8843.262</v>
      </c>
      <c r="C1340" s="58">
        <f t="shared" si="1"/>
        <v>4161.998611</v>
      </c>
      <c r="D1340" s="1">
        <f t="shared" si="2"/>
        <v>5093.670171</v>
      </c>
      <c r="E1340" s="1">
        <f t="shared" si="3"/>
        <v>9168.606307</v>
      </c>
      <c r="F1340" s="1">
        <f t="shared" si="4"/>
        <v>17318.47858</v>
      </c>
      <c r="G1340" s="1">
        <f t="shared" si="5"/>
        <v>30562.02102</v>
      </c>
      <c r="H1340" s="1">
        <f t="shared" si="6"/>
        <v>56030.37188</v>
      </c>
      <c r="I1340" s="1">
        <f t="shared" si="7"/>
        <v>91686.06307</v>
      </c>
    </row>
    <row r="1341" hidden="1">
      <c r="A1341" s="266">
        <f>IFERROR(__xludf.DUMMYFUNCTION("""COMPUTED_VALUE"""),43978.99861111111)</f>
        <v>43978.99861</v>
      </c>
      <c r="B1341" s="1">
        <f>IFERROR(__xludf.DUMMYFUNCTION("""COMPUTED_VALUE"""),9204.457)</f>
        <v>9204.457</v>
      </c>
      <c r="C1341" s="58">
        <f t="shared" si="1"/>
        <v>4162.998611</v>
      </c>
      <c r="D1341" s="1">
        <f t="shared" si="2"/>
        <v>5100.772606</v>
      </c>
      <c r="E1341" s="1">
        <f t="shared" si="3"/>
        <v>9181.390692</v>
      </c>
      <c r="F1341" s="1">
        <f t="shared" si="4"/>
        <v>17342.62686</v>
      </c>
      <c r="G1341" s="1">
        <f t="shared" si="5"/>
        <v>30604.63564</v>
      </c>
      <c r="H1341" s="1">
        <f t="shared" si="6"/>
        <v>56108.49867</v>
      </c>
      <c r="I1341" s="1">
        <f t="shared" si="7"/>
        <v>91813.90692</v>
      </c>
    </row>
    <row r="1342" hidden="1">
      <c r="A1342" s="266">
        <f>IFERROR(__xludf.DUMMYFUNCTION("""COMPUTED_VALUE"""),43979.99861111111)</f>
        <v>43979.99861</v>
      </c>
      <c r="B1342" s="1">
        <f>IFERROR(__xludf.DUMMYFUNCTION("""COMPUTED_VALUE"""),9569.422)</f>
        <v>9569.422</v>
      </c>
      <c r="C1342" s="58">
        <f t="shared" si="1"/>
        <v>4163.998611</v>
      </c>
      <c r="D1342" s="1">
        <f t="shared" si="2"/>
        <v>5107.883236</v>
      </c>
      <c r="E1342" s="1">
        <f t="shared" si="3"/>
        <v>9194.189825</v>
      </c>
      <c r="F1342" s="1">
        <f t="shared" si="4"/>
        <v>17366.803</v>
      </c>
      <c r="G1342" s="1">
        <f t="shared" si="5"/>
        <v>30647.29942</v>
      </c>
      <c r="H1342" s="1">
        <f t="shared" si="6"/>
        <v>56186.7156</v>
      </c>
      <c r="I1342" s="1">
        <f t="shared" si="7"/>
        <v>91941.89825</v>
      </c>
    </row>
    <row r="1343" hidden="1">
      <c r="A1343" s="266">
        <f>IFERROR(__xludf.DUMMYFUNCTION("""COMPUTED_VALUE"""),43980.99861111111)</f>
        <v>43980.99861</v>
      </c>
      <c r="B1343" s="1">
        <f>IFERROR(__xludf.DUMMYFUNCTION("""COMPUTED_VALUE"""),9423.919)</f>
        <v>9423.919</v>
      </c>
      <c r="C1343" s="58">
        <f t="shared" si="1"/>
        <v>4164.998611</v>
      </c>
      <c r="D1343" s="1">
        <f t="shared" si="2"/>
        <v>5115.002067</v>
      </c>
      <c r="E1343" s="1">
        <f t="shared" si="3"/>
        <v>9207.003721</v>
      </c>
      <c r="F1343" s="1">
        <f t="shared" si="4"/>
        <v>17391.00703</v>
      </c>
      <c r="G1343" s="1">
        <f t="shared" si="5"/>
        <v>30690.0124</v>
      </c>
      <c r="H1343" s="1">
        <f t="shared" si="6"/>
        <v>56265.02274</v>
      </c>
      <c r="I1343" s="1">
        <f t="shared" si="7"/>
        <v>92070.03721</v>
      </c>
    </row>
    <row r="1344" hidden="1">
      <c r="A1344" s="266">
        <f>IFERROR(__xludf.DUMMYFUNCTION("""COMPUTED_VALUE"""),43981.99861111111)</f>
        <v>43981.99861</v>
      </c>
      <c r="B1344" s="1">
        <f>IFERROR(__xludf.DUMMYFUNCTION("""COMPUTED_VALUE"""),9699.125)</f>
        <v>9699.125</v>
      </c>
      <c r="C1344" s="58">
        <f t="shared" si="1"/>
        <v>4165.998611</v>
      </c>
      <c r="D1344" s="1">
        <f t="shared" si="2"/>
        <v>5122.129108</v>
      </c>
      <c r="E1344" s="1">
        <f t="shared" si="3"/>
        <v>9219.832394</v>
      </c>
      <c r="F1344" s="1">
        <f t="shared" si="4"/>
        <v>17415.23897</v>
      </c>
      <c r="G1344" s="1">
        <f t="shared" si="5"/>
        <v>30732.77465</v>
      </c>
      <c r="H1344" s="1">
        <f t="shared" si="6"/>
        <v>56343.42018</v>
      </c>
      <c r="I1344" s="1">
        <f t="shared" si="7"/>
        <v>92198.32394</v>
      </c>
    </row>
    <row r="1345" hidden="1">
      <c r="A1345" s="266">
        <f>IFERROR(__xludf.DUMMYFUNCTION("""COMPUTED_VALUE"""),43982.99861111111)</f>
        <v>43982.99861</v>
      </c>
      <c r="B1345" s="1">
        <f>IFERROR(__xludf.DUMMYFUNCTION("""COMPUTED_VALUE"""),9447.014)</f>
        <v>9447.014</v>
      </c>
      <c r="C1345" s="58">
        <f t="shared" si="1"/>
        <v>4166.998611</v>
      </c>
      <c r="D1345" s="1">
        <f t="shared" si="2"/>
        <v>5129.264364</v>
      </c>
      <c r="E1345" s="1">
        <f t="shared" si="3"/>
        <v>9232.675855</v>
      </c>
      <c r="F1345" s="1">
        <f t="shared" si="4"/>
        <v>17439.49884</v>
      </c>
      <c r="G1345" s="1">
        <f t="shared" si="5"/>
        <v>30775.58618</v>
      </c>
      <c r="H1345" s="1">
        <f t="shared" si="6"/>
        <v>56421.90801</v>
      </c>
      <c r="I1345" s="1">
        <f t="shared" si="7"/>
        <v>92326.75855</v>
      </c>
    </row>
    <row r="1346" hidden="1">
      <c r="A1346" s="266">
        <f>IFERROR(__xludf.DUMMYFUNCTION("""COMPUTED_VALUE"""),43983.99861111111)</f>
        <v>43983.99861</v>
      </c>
      <c r="B1346" s="1">
        <f>IFERROR(__xludf.DUMMYFUNCTION("""COMPUTED_VALUE"""),10208.94)</f>
        <v>10208.94</v>
      </c>
      <c r="C1346" s="58">
        <f t="shared" si="1"/>
        <v>4167.998611</v>
      </c>
      <c r="D1346" s="1">
        <f t="shared" si="2"/>
        <v>5136.407845</v>
      </c>
      <c r="E1346" s="1">
        <f t="shared" si="3"/>
        <v>9245.53412</v>
      </c>
      <c r="F1346" s="1">
        <f t="shared" si="4"/>
        <v>17463.78667</v>
      </c>
      <c r="G1346" s="1">
        <f t="shared" si="5"/>
        <v>30818.44707</v>
      </c>
      <c r="H1346" s="1">
        <f t="shared" si="6"/>
        <v>56500.48629</v>
      </c>
      <c r="I1346" s="1">
        <f t="shared" si="7"/>
        <v>92455.3412</v>
      </c>
    </row>
    <row r="1347" hidden="1">
      <c r="A1347" s="266">
        <f>IFERROR(__xludf.DUMMYFUNCTION("""COMPUTED_VALUE"""),43984.99861111111)</f>
        <v>43984.99861</v>
      </c>
      <c r="B1347" s="1">
        <f>IFERROR(__xludf.DUMMYFUNCTION("""COMPUTED_VALUE"""),9526.071)</f>
        <v>9526.071</v>
      </c>
      <c r="C1347" s="58">
        <f t="shared" si="1"/>
        <v>4168.998611</v>
      </c>
      <c r="D1347" s="1">
        <f t="shared" si="2"/>
        <v>5143.559556</v>
      </c>
      <c r="E1347" s="1">
        <f t="shared" si="3"/>
        <v>9258.407201</v>
      </c>
      <c r="F1347" s="1">
        <f t="shared" si="4"/>
        <v>17488.10249</v>
      </c>
      <c r="G1347" s="1">
        <f t="shared" si="5"/>
        <v>30861.35734</v>
      </c>
      <c r="H1347" s="1">
        <f t="shared" si="6"/>
        <v>56579.15512</v>
      </c>
      <c r="I1347" s="1">
        <f t="shared" si="7"/>
        <v>92584.07201</v>
      </c>
    </row>
    <row r="1348" hidden="1">
      <c r="A1348" s="266">
        <f>IFERROR(__xludf.DUMMYFUNCTION("""COMPUTED_VALUE"""),43985.99861111111)</f>
        <v>43985.99861</v>
      </c>
      <c r="B1348" s="1">
        <f>IFERROR(__xludf.DUMMYFUNCTION("""COMPUTED_VALUE"""),9663.929)</f>
        <v>9663.929</v>
      </c>
      <c r="C1348" s="58">
        <f t="shared" si="1"/>
        <v>4169.998611</v>
      </c>
      <c r="D1348" s="1">
        <f t="shared" si="2"/>
        <v>5150.719507</v>
      </c>
      <c r="E1348" s="1">
        <f t="shared" si="3"/>
        <v>9271.295113</v>
      </c>
      <c r="F1348" s="1">
        <f t="shared" si="4"/>
        <v>17512.44632</v>
      </c>
      <c r="G1348" s="1">
        <f t="shared" si="5"/>
        <v>30904.31704</v>
      </c>
      <c r="H1348" s="1">
        <f t="shared" si="6"/>
        <v>56657.91458</v>
      </c>
      <c r="I1348" s="1">
        <f t="shared" si="7"/>
        <v>92712.95113</v>
      </c>
    </row>
    <row r="1349" hidden="1">
      <c r="A1349" s="266">
        <f>IFERROR(__xludf.DUMMYFUNCTION("""COMPUTED_VALUE"""),43986.99861111111)</f>
        <v>43986.99861</v>
      </c>
      <c r="B1349" s="1">
        <f>IFERROR(__xludf.DUMMYFUNCTION("""COMPUTED_VALUE"""),9791.522)</f>
        <v>9791.522</v>
      </c>
      <c r="C1349" s="58">
        <f t="shared" si="1"/>
        <v>4170.998611</v>
      </c>
      <c r="D1349" s="1">
        <f t="shared" si="2"/>
        <v>5157.887704</v>
      </c>
      <c r="E1349" s="1">
        <f t="shared" si="3"/>
        <v>9284.197868</v>
      </c>
      <c r="F1349" s="1">
        <f t="shared" si="4"/>
        <v>17536.81819</v>
      </c>
      <c r="G1349" s="1">
        <f t="shared" si="5"/>
        <v>30947.32623</v>
      </c>
      <c r="H1349" s="1">
        <f t="shared" si="6"/>
        <v>56736.76475</v>
      </c>
      <c r="I1349" s="1">
        <f t="shared" si="7"/>
        <v>92841.97868</v>
      </c>
    </row>
    <row r="1350" hidden="1">
      <c r="A1350" s="266">
        <f>IFERROR(__xludf.DUMMYFUNCTION("""COMPUTED_VALUE"""),43987.99861111111)</f>
        <v>43987.99861</v>
      </c>
      <c r="B1350" s="1">
        <f>IFERROR(__xludf.DUMMYFUNCTION("""COMPUTED_VALUE"""),9617.062)</f>
        <v>9617.062</v>
      </c>
      <c r="C1350" s="58">
        <f t="shared" si="1"/>
        <v>4171.998611</v>
      </c>
      <c r="D1350" s="1">
        <f t="shared" si="2"/>
        <v>5165.064155</v>
      </c>
      <c r="E1350" s="1">
        <f t="shared" si="3"/>
        <v>9297.11548</v>
      </c>
      <c r="F1350" s="1">
        <f t="shared" si="4"/>
        <v>17561.21813</v>
      </c>
      <c r="G1350" s="1">
        <f t="shared" si="5"/>
        <v>30990.38493</v>
      </c>
      <c r="H1350" s="1">
        <f t="shared" si="6"/>
        <v>56815.70571</v>
      </c>
      <c r="I1350" s="1">
        <f t="shared" si="7"/>
        <v>92971.1548</v>
      </c>
    </row>
    <row r="1351" hidden="1">
      <c r="A1351" s="266">
        <f>IFERROR(__xludf.DUMMYFUNCTION("""COMPUTED_VALUE"""),43988.99861111111)</f>
        <v>43988.99861</v>
      </c>
      <c r="B1351" s="1">
        <f>IFERROR(__xludf.DUMMYFUNCTION("""COMPUTED_VALUE"""),9668.083)</f>
        <v>9668.083</v>
      </c>
      <c r="C1351" s="58">
        <f t="shared" si="1"/>
        <v>4172.998611</v>
      </c>
      <c r="D1351" s="1">
        <f t="shared" si="2"/>
        <v>5172.248868</v>
      </c>
      <c r="E1351" s="1">
        <f t="shared" si="3"/>
        <v>9310.047962</v>
      </c>
      <c r="F1351" s="1">
        <f t="shared" si="4"/>
        <v>17585.64615</v>
      </c>
      <c r="G1351" s="1">
        <f t="shared" si="5"/>
        <v>31033.49321</v>
      </c>
      <c r="H1351" s="1">
        <f t="shared" si="6"/>
        <v>56894.73755</v>
      </c>
      <c r="I1351" s="1">
        <f t="shared" si="7"/>
        <v>93100.47962</v>
      </c>
    </row>
    <row r="1352" hidden="1">
      <c r="A1352" s="266">
        <f>IFERROR(__xludf.DUMMYFUNCTION("""COMPUTED_VALUE"""),43989.99861111111)</f>
        <v>43989.99861</v>
      </c>
      <c r="B1352" s="1">
        <f>IFERROR(__xludf.DUMMYFUNCTION("""COMPUTED_VALUE"""),9750.416)</f>
        <v>9750.416</v>
      </c>
      <c r="C1352" s="58">
        <f t="shared" si="1"/>
        <v>4173.998611</v>
      </c>
      <c r="D1352" s="1">
        <f t="shared" si="2"/>
        <v>5179.441849</v>
      </c>
      <c r="E1352" s="1">
        <f t="shared" si="3"/>
        <v>9322.995329</v>
      </c>
      <c r="F1352" s="1">
        <f t="shared" si="4"/>
        <v>17610.10229</v>
      </c>
      <c r="G1352" s="1">
        <f t="shared" si="5"/>
        <v>31076.6511</v>
      </c>
      <c r="H1352" s="1">
        <f t="shared" si="6"/>
        <v>56973.86034</v>
      </c>
      <c r="I1352" s="1">
        <f t="shared" si="7"/>
        <v>93229.95329</v>
      </c>
    </row>
    <row r="1353" hidden="1">
      <c r="A1353" s="266">
        <f>IFERROR(__xludf.DUMMYFUNCTION("""COMPUTED_VALUE"""),43990.99861111111)</f>
        <v>43990.99861</v>
      </c>
      <c r="B1353" s="1">
        <f>IFERROR(__xludf.DUMMYFUNCTION("""COMPUTED_VALUE"""),9781.072)</f>
        <v>9781.072</v>
      </c>
      <c r="C1353" s="58">
        <f t="shared" si="1"/>
        <v>4174.998611</v>
      </c>
      <c r="D1353" s="1">
        <f t="shared" si="2"/>
        <v>5186.643107</v>
      </c>
      <c r="E1353" s="1">
        <f t="shared" si="3"/>
        <v>9335.957593</v>
      </c>
      <c r="F1353" s="1">
        <f t="shared" si="4"/>
        <v>17634.58657</v>
      </c>
      <c r="G1353" s="1">
        <f t="shared" si="5"/>
        <v>31119.85864</v>
      </c>
      <c r="H1353" s="1">
        <f t="shared" si="6"/>
        <v>57053.07418</v>
      </c>
      <c r="I1353" s="1">
        <f t="shared" si="7"/>
        <v>93359.57593</v>
      </c>
    </row>
    <row r="1354" hidden="1">
      <c r="A1354" s="266">
        <f>IFERROR(__xludf.DUMMYFUNCTION("""COMPUTED_VALUE"""),43991.99861111111)</f>
        <v>43991.99861</v>
      </c>
      <c r="B1354" s="1">
        <f>IFERROR(__xludf.DUMMYFUNCTION("""COMPUTED_VALUE"""),9775.808)</f>
        <v>9775.808</v>
      </c>
      <c r="C1354" s="58">
        <f t="shared" si="1"/>
        <v>4175.998611</v>
      </c>
      <c r="D1354" s="1">
        <f t="shared" si="2"/>
        <v>5193.852649</v>
      </c>
      <c r="E1354" s="1">
        <f t="shared" si="3"/>
        <v>9348.934769</v>
      </c>
      <c r="F1354" s="1">
        <f t="shared" si="4"/>
        <v>17659.09901</v>
      </c>
      <c r="G1354" s="1">
        <f t="shared" si="5"/>
        <v>31163.1159</v>
      </c>
      <c r="H1354" s="1">
        <f t="shared" si="6"/>
        <v>57132.37914</v>
      </c>
      <c r="I1354" s="1">
        <f t="shared" si="7"/>
        <v>93489.34769</v>
      </c>
    </row>
    <row r="1355" hidden="1">
      <c r="A1355" s="266">
        <f>IFERROR(__xludf.DUMMYFUNCTION("""COMPUTED_VALUE"""),43992.99861111111)</f>
        <v>43992.99861</v>
      </c>
      <c r="B1355" s="1">
        <f>IFERROR(__xludf.DUMMYFUNCTION("""COMPUTED_VALUE"""),9892.517)</f>
        <v>9892.517</v>
      </c>
      <c r="C1355" s="58">
        <f t="shared" si="1"/>
        <v>4176.998611</v>
      </c>
      <c r="D1355" s="1">
        <f t="shared" si="2"/>
        <v>5201.070483</v>
      </c>
      <c r="E1355" s="1">
        <f t="shared" si="3"/>
        <v>9361.92687</v>
      </c>
      <c r="F1355" s="1">
        <f t="shared" si="4"/>
        <v>17683.63964</v>
      </c>
      <c r="G1355" s="1">
        <f t="shared" si="5"/>
        <v>31206.4229</v>
      </c>
      <c r="H1355" s="1">
        <f t="shared" si="6"/>
        <v>57211.77531</v>
      </c>
      <c r="I1355" s="1">
        <f t="shared" si="7"/>
        <v>93619.2687</v>
      </c>
    </row>
    <row r="1356" hidden="1">
      <c r="A1356" s="266">
        <f>IFERROR(__xludf.DUMMYFUNCTION("""COMPUTED_VALUE"""),43993.99861111111)</f>
        <v>43993.99861</v>
      </c>
      <c r="B1356" s="1">
        <f>IFERROR(__xludf.DUMMYFUNCTION("""COMPUTED_VALUE"""),9268.878)</f>
        <v>9268.878</v>
      </c>
      <c r="C1356" s="58">
        <f t="shared" si="1"/>
        <v>4177.998611</v>
      </c>
      <c r="D1356" s="1">
        <f t="shared" si="2"/>
        <v>5208.296616</v>
      </c>
      <c r="E1356" s="1">
        <f t="shared" si="3"/>
        <v>9374.933909</v>
      </c>
      <c r="F1356" s="1">
        <f t="shared" si="4"/>
        <v>17708.20849</v>
      </c>
      <c r="G1356" s="1">
        <f t="shared" si="5"/>
        <v>31249.7797</v>
      </c>
      <c r="H1356" s="1">
        <f t="shared" si="6"/>
        <v>57291.26278</v>
      </c>
      <c r="I1356" s="1">
        <f t="shared" si="7"/>
        <v>93749.33909</v>
      </c>
    </row>
    <row r="1357" hidden="1">
      <c r="A1357" s="266">
        <f>IFERROR(__xludf.DUMMYFUNCTION("""COMPUTED_VALUE"""),43994.99861111111)</f>
        <v>43994.99861</v>
      </c>
      <c r="B1357" s="1">
        <f>IFERROR(__xludf.DUMMYFUNCTION("""COMPUTED_VALUE"""),9463.174)</f>
        <v>9463.174</v>
      </c>
      <c r="C1357" s="58">
        <f t="shared" si="1"/>
        <v>4178.998611</v>
      </c>
      <c r="D1357" s="1">
        <f t="shared" si="2"/>
        <v>5215.531056</v>
      </c>
      <c r="E1357" s="1">
        <f t="shared" si="3"/>
        <v>9387.9559</v>
      </c>
      <c r="F1357" s="1">
        <f t="shared" si="4"/>
        <v>17732.80559</v>
      </c>
      <c r="G1357" s="1">
        <f t="shared" si="5"/>
        <v>31293.18633</v>
      </c>
      <c r="H1357" s="1">
        <f t="shared" si="6"/>
        <v>57370.84161</v>
      </c>
      <c r="I1357" s="1">
        <f t="shared" si="7"/>
        <v>93879.559</v>
      </c>
    </row>
    <row r="1358" hidden="1">
      <c r="A1358" s="266">
        <f>IFERROR(__xludf.DUMMYFUNCTION("""COMPUTED_VALUE"""),43995.99861111111)</f>
        <v>43995.99861</v>
      </c>
      <c r="B1358" s="1">
        <f>IFERROR(__xludf.DUMMYFUNCTION("""COMPUTED_VALUE"""),9475.087)</f>
        <v>9475.087</v>
      </c>
      <c r="C1358" s="58">
        <f t="shared" si="1"/>
        <v>4179.998611</v>
      </c>
      <c r="D1358" s="1">
        <f t="shared" si="2"/>
        <v>5222.773809</v>
      </c>
      <c r="E1358" s="1">
        <f t="shared" si="3"/>
        <v>9400.992857</v>
      </c>
      <c r="F1358" s="1">
        <f t="shared" si="4"/>
        <v>17757.43095</v>
      </c>
      <c r="G1358" s="1">
        <f t="shared" si="5"/>
        <v>31336.64286</v>
      </c>
      <c r="H1358" s="1">
        <f t="shared" si="6"/>
        <v>57450.5119</v>
      </c>
      <c r="I1358" s="1">
        <f t="shared" si="7"/>
        <v>94009.92857</v>
      </c>
    </row>
    <row r="1359" hidden="1">
      <c r="A1359" s="266">
        <f>IFERROR(__xludf.DUMMYFUNCTION("""COMPUTED_VALUE"""),43996.99861111111)</f>
        <v>43996.99861</v>
      </c>
      <c r="B1359" s="1">
        <f>IFERROR(__xludf.DUMMYFUNCTION("""COMPUTED_VALUE"""),9332.431)</f>
        <v>9332.431</v>
      </c>
      <c r="C1359" s="58">
        <f t="shared" si="1"/>
        <v>4180.998611</v>
      </c>
      <c r="D1359" s="1">
        <f t="shared" si="2"/>
        <v>5230.024885</v>
      </c>
      <c r="E1359" s="1">
        <f t="shared" si="3"/>
        <v>9414.044793</v>
      </c>
      <c r="F1359" s="1">
        <f t="shared" si="4"/>
        <v>17782.08461</v>
      </c>
      <c r="G1359" s="1">
        <f t="shared" si="5"/>
        <v>31380.14931</v>
      </c>
      <c r="H1359" s="1">
        <f t="shared" si="6"/>
        <v>57530.27373</v>
      </c>
      <c r="I1359" s="1">
        <f t="shared" si="7"/>
        <v>94140.44793</v>
      </c>
    </row>
    <row r="1360" hidden="1">
      <c r="A1360" s="266">
        <f>IFERROR(__xludf.DUMMYFUNCTION("""COMPUTED_VALUE"""),43997.99861111111)</f>
        <v>43997.99861</v>
      </c>
      <c r="B1360" s="1">
        <f>IFERROR(__xludf.DUMMYFUNCTION("""COMPUTED_VALUE"""),9426.189)</f>
        <v>9426.189</v>
      </c>
      <c r="C1360" s="58">
        <f t="shared" si="1"/>
        <v>4181.998611</v>
      </c>
      <c r="D1360" s="1">
        <f t="shared" si="2"/>
        <v>5237.28429</v>
      </c>
      <c r="E1360" s="1">
        <f t="shared" si="3"/>
        <v>9427.111722</v>
      </c>
      <c r="F1360" s="1">
        <f t="shared" si="4"/>
        <v>17806.76659</v>
      </c>
      <c r="G1360" s="1">
        <f t="shared" si="5"/>
        <v>31423.70574</v>
      </c>
      <c r="H1360" s="1">
        <f t="shared" si="6"/>
        <v>57610.12719</v>
      </c>
      <c r="I1360" s="1">
        <f t="shared" si="7"/>
        <v>94271.11722</v>
      </c>
    </row>
    <row r="1361" hidden="1">
      <c r="A1361" s="266">
        <f>IFERROR(__xludf.DUMMYFUNCTION("""COMPUTED_VALUE"""),43998.99861111111)</f>
        <v>43998.99861</v>
      </c>
      <c r="B1361" s="1">
        <f>IFERROR(__xludf.DUMMYFUNCTION("""COMPUTED_VALUE"""),9526.845)</f>
        <v>9526.845</v>
      </c>
      <c r="C1361" s="58">
        <f t="shared" si="1"/>
        <v>4182.998611</v>
      </c>
      <c r="D1361" s="1">
        <f t="shared" si="2"/>
        <v>5244.552032</v>
      </c>
      <c r="E1361" s="1">
        <f t="shared" si="3"/>
        <v>9440.193657</v>
      </c>
      <c r="F1361" s="1">
        <f t="shared" si="4"/>
        <v>17831.47691</v>
      </c>
      <c r="G1361" s="1">
        <f t="shared" si="5"/>
        <v>31467.31219</v>
      </c>
      <c r="H1361" s="1">
        <f t="shared" si="6"/>
        <v>57690.07235</v>
      </c>
      <c r="I1361" s="1">
        <f t="shared" si="7"/>
        <v>94401.93657</v>
      </c>
    </row>
    <row r="1362" hidden="1">
      <c r="A1362" s="266">
        <f>IFERROR(__xludf.DUMMYFUNCTION("""COMPUTED_VALUE"""),43999.99861111111)</f>
        <v>43999.99861</v>
      </c>
      <c r="B1362" s="1">
        <f>IFERROR(__xludf.DUMMYFUNCTION("""COMPUTED_VALUE"""),9457.544)</f>
        <v>9457.544</v>
      </c>
      <c r="C1362" s="58">
        <f t="shared" si="1"/>
        <v>4183.998611</v>
      </c>
      <c r="D1362" s="1">
        <f t="shared" si="2"/>
        <v>5251.828118</v>
      </c>
      <c r="E1362" s="1">
        <f t="shared" si="3"/>
        <v>9453.290613</v>
      </c>
      <c r="F1362" s="1">
        <f t="shared" si="4"/>
        <v>17856.2156</v>
      </c>
      <c r="G1362" s="1">
        <f t="shared" si="5"/>
        <v>31510.96871</v>
      </c>
      <c r="H1362" s="1">
        <f t="shared" si="6"/>
        <v>57770.1093</v>
      </c>
      <c r="I1362" s="1">
        <f t="shared" si="7"/>
        <v>94532.90613</v>
      </c>
    </row>
    <row r="1363" hidden="1">
      <c r="A1363" s="266">
        <f>IFERROR(__xludf.DUMMYFUNCTION("""COMPUTED_VALUE"""),44000.99861111111)</f>
        <v>44000.99861</v>
      </c>
      <c r="B1363" s="1">
        <f>IFERROR(__xludf.DUMMYFUNCTION("""COMPUTED_VALUE"""),9380.774)</f>
        <v>9380.774</v>
      </c>
      <c r="C1363" s="58">
        <f t="shared" si="1"/>
        <v>4184.998611</v>
      </c>
      <c r="D1363" s="1">
        <f t="shared" si="2"/>
        <v>5259.112557</v>
      </c>
      <c r="E1363" s="1">
        <f t="shared" si="3"/>
        <v>9466.402603</v>
      </c>
      <c r="F1363" s="1">
        <f t="shared" si="4"/>
        <v>17880.98269</v>
      </c>
      <c r="G1363" s="1">
        <f t="shared" si="5"/>
        <v>31554.67534</v>
      </c>
      <c r="H1363" s="1">
        <f t="shared" si="6"/>
        <v>57850.23813</v>
      </c>
      <c r="I1363" s="1">
        <f t="shared" si="7"/>
        <v>94664.02603</v>
      </c>
    </row>
    <row r="1364" hidden="1">
      <c r="A1364" s="266">
        <f>IFERROR(__xludf.DUMMYFUNCTION("""COMPUTED_VALUE"""),44001.99861111111)</f>
        <v>44001.99861</v>
      </c>
      <c r="B1364" s="1">
        <f>IFERROR(__xludf.DUMMYFUNCTION("""COMPUTED_VALUE"""),9301.495)</f>
        <v>9301.495</v>
      </c>
      <c r="C1364" s="58">
        <f t="shared" si="1"/>
        <v>4185.998611</v>
      </c>
      <c r="D1364" s="1">
        <f t="shared" si="2"/>
        <v>5266.405355</v>
      </c>
      <c r="E1364" s="1">
        <f t="shared" si="3"/>
        <v>9479.52964</v>
      </c>
      <c r="F1364" s="1">
        <f t="shared" si="4"/>
        <v>17905.77821</v>
      </c>
      <c r="G1364" s="1">
        <f t="shared" si="5"/>
        <v>31598.43213</v>
      </c>
      <c r="H1364" s="1">
        <f t="shared" si="6"/>
        <v>57930.45891</v>
      </c>
      <c r="I1364" s="1">
        <f t="shared" si="7"/>
        <v>94795.2964</v>
      </c>
    </row>
    <row r="1365" hidden="1">
      <c r="A1365" s="266">
        <f>IFERROR(__xludf.DUMMYFUNCTION("""COMPUTED_VALUE"""),44002.99861111111)</f>
        <v>44002.99861</v>
      </c>
      <c r="B1365" s="1">
        <f>IFERROR(__xludf.DUMMYFUNCTION("""COMPUTED_VALUE"""),9358.458)</f>
        <v>9358.458</v>
      </c>
      <c r="C1365" s="58">
        <f t="shared" si="1"/>
        <v>4186.998611</v>
      </c>
      <c r="D1365" s="1">
        <f t="shared" si="2"/>
        <v>5273.706521</v>
      </c>
      <c r="E1365" s="1">
        <f t="shared" si="3"/>
        <v>9492.671738</v>
      </c>
      <c r="F1365" s="1">
        <f t="shared" si="4"/>
        <v>17930.60217</v>
      </c>
      <c r="G1365" s="1">
        <f t="shared" si="5"/>
        <v>31642.23913</v>
      </c>
      <c r="H1365" s="1">
        <f t="shared" si="6"/>
        <v>58010.77173</v>
      </c>
      <c r="I1365" s="1">
        <f t="shared" si="7"/>
        <v>94926.71738</v>
      </c>
    </row>
    <row r="1366" hidden="1">
      <c r="A1366" s="266">
        <f>IFERROR(__xludf.DUMMYFUNCTION("""COMPUTED_VALUE"""),44003.99861111111)</f>
        <v>44003.99861</v>
      </c>
      <c r="B1366" s="1">
        <f>IFERROR(__xludf.DUMMYFUNCTION("""COMPUTED_VALUE"""),9287.954)</f>
        <v>9287.954</v>
      </c>
      <c r="C1366" s="58">
        <f t="shared" si="1"/>
        <v>4187.998611</v>
      </c>
      <c r="D1366" s="1">
        <f t="shared" si="2"/>
        <v>5281.016061</v>
      </c>
      <c r="E1366" s="1">
        <f t="shared" si="3"/>
        <v>9505.828911</v>
      </c>
      <c r="F1366" s="1">
        <f t="shared" si="4"/>
        <v>17955.45461</v>
      </c>
      <c r="G1366" s="1">
        <f t="shared" si="5"/>
        <v>31686.09637</v>
      </c>
      <c r="H1366" s="1">
        <f t="shared" si="6"/>
        <v>58091.17668</v>
      </c>
      <c r="I1366" s="1">
        <f t="shared" si="7"/>
        <v>95058.28911</v>
      </c>
    </row>
    <row r="1367" hidden="1">
      <c r="A1367" s="266">
        <f>IFERROR(__xludf.DUMMYFUNCTION("""COMPUTED_VALUE"""),44004.99861111111)</f>
        <v>44004.99861</v>
      </c>
      <c r="B1367" s="1">
        <f>IFERROR(__xludf.DUMMYFUNCTION("""COMPUTED_VALUE"""),9690.653)</f>
        <v>9690.653</v>
      </c>
      <c r="C1367" s="58">
        <f t="shared" si="1"/>
        <v>4188.998611</v>
      </c>
      <c r="D1367" s="1">
        <f t="shared" si="2"/>
        <v>5288.333984</v>
      </c>
      <c r="E1367" s="1">
        <f t="shared" si="3"/>
        <v>9519.001172</v>
      </c>
      <c r="F1367" s="1">
        <f t="shared" si="4"/>
        <v>17980.33555</v>
      </c>
      <c r="G1367" s="1">
        <f t="shared" si="5"/>
        <v>31730.00391</v>
      </c>
      <c r="H1367" s="1">
        <f t="shared" si="6"/>
        <v>58171.67383</v>
      </c>
      <c r="I1367" s="1">
        <f t="shared" si="7"/>
        <v>95190.01172</v>
      </c>
    </row>
    <row r="1368" hidden="1">
      <c r="A1368" s="266">
        <f>IFERROR(__xludf.DUMMYFUNCTION("""COMPUTED_VALUE"""),44005.99861111111)</f>
        <v>44005.99861</v>
      </c>
      <c r="B1368" s="1">
        <f>IFERROR(__xludf.DUMMYFUNCTION("""COMPUTED_VALUE"""),9622.859)</f>
        <v>9622.859</v>
      </c>
      <c r="C1368" s="58">
        <f t="shared" si="1"/>
        <v>4189.998611</v>
      </c>
      <c r="D1368" s="1">
        <f t="shared" si="2"/>
        <v>5295.660298</v>
      </c>
      <c r="E1368" s="1">
        <f t="shared" si="3"/>
        <v>9532.188536</v>
      </c>
      <c r="F1368" s="1">
        <f t="shared" si="4"/>
        <v>18005.24501</v>
      </c>
      <c r="G1368" s="1">
        <f t="shared" si="5"/>
        <v>31773.96179</v>
      </c>
      <c r="H1368" s="1">
        <f t="shared" si="6"/>
        <v>58252.26327</v>
      </c>
      <c r="I1368" s="1">
        <f t="shared" si="7"/>
        <v>95321.88536</v>
      </c>
    </row>
    <row r="1369" hidden="1">
      <c r="A1369" s="266">
        <f>IFERROR(__xludf.DUMMYFUNCTION("""COMPUTED_VALUE"""),44006.99861111111)</f>
        <v>44006.99861</v>
      </c>
      <c r="B1369" s="1">
        <f>IFERROR(__xludf.DUMMYFUNCTION("""COMPUTED_VALUE"""),9294.837)</f>
        <v>9294.837</v>
      </c>
      <c r="C1369" s="58">
        <f t="shared" si="1"/>
        <v>4190.998611</v>
      </c>
      <c r="D1369" s="1">
        <f t="shared" si="2"/>
        <v>5302.995008</v>
      </c>
      <c r="E1369" s="1">
        <f t="shared" si="3"/>
        <v>9545.391015</v>
      </c>
      <c r="F1369" s="1">
        <f t="shared" si="4"/>
        <v>18030.18303</v>
      </c>
      <c r="G1369" s="1">
        <f t="shared" si="5"/>
        <v>31817.97005</v>
      </c>
      <c r="H1369" s="1">
        <f t="shared" si="6"/>
        <v>58332.94509</v>
      </c>
      <c r="I1369" s="1">
        <f t="shared" si="7"/>
        <v>95453.91015</v>
      </c>
    </row>
    <row r="1370" hidden="1">
      <c r="A1370" s="266">
        <f>IFERROR(__xludf.DUMMYFUNCTION("""COMPUTED_VALUE"""),44007.99861111111)</f>
        <v>44007.99861</v>
      </c>
      <c r="B1370" s="1">
        <f>IFERROR(__xludf.DUMMYFUNCTION("""COMPUTED_VALUE"""),9245.056)</f>
        <v>9245.056</v>
      </c>
      <c r="C1370" s="58">
        <f t="shared" si="1"/>
        <v>4191.998611</v>
      </c>
      <c r="D1370" s="1">
        <f t="shared" si="2"/>
        <v>5310.338125</v>
      </c>
      <c r="E1370" s="1">
        <f t="shared" si="3"/>
        <v>9558.608624</v>
      </c>
      <c r="F1370" s="1">
        <f t="shared" si="4"/>
        <v>18055.14962</v>
      </c>
      <c r="G1370" s="1">
        <f t="shared" si="5"/>
        <v>31862.02875</v>
      </c>
      <c r="H1370" s="1">
        <f t="shared" si="6"/>
        <v>58413.71937</v>
      </c>
      <c r="I1370" s="1">
        <f t="shared" si="7"/>
        <v>95586.08624</v>
      </c>
    </row>
    <row r="1371" hidden="1">
      <c r="A1371" s="266">
        <f>IFERROR(__xludf.DUMMYFUNCTION("""COMPUTED_VALUE"""),44008.99861111111)</f>
        <v>44008.99861</v>
      </c>
      <c r="B1371" s="1">
        <f>IFERROR(__xludf.DUMMYFUNCTION("""COMPUTED_VALUE"""),9156.309)</f>
        <v>9156.309</v>
      </c>
      <c r="C1371" s="58">
        <f t="shared" si="1"/>
        <v>4192.998611</v>
      </c>
      <c r="D1371" s="1">
        <f t="shared" si="2"/>
        <v>5317.689654</v>
      </c>
      <c r="E1371" s="1">
        <f t="shared" si="3"/>
        <v>9571.841377</v>
      </c>
      <c r="F1371" s="1">
        <f t="shared" si="4"/>
        <v>18080.14482</v>
      </c>
      <c r="G1371" s="1">
        <f t="shared" si="5"/>
        <v>31906.13792</v>
      </c>
      <c r="H1371" s="1">
        <f t="shared" si="6"/>
        <v>58494.58619</v>
      </c>
      <c r="I1371" s="1">
        <f t="shared" si="7"/>
        <v>95718.41377</v>
      </c>
    </row>
    <row r="1372" hidden="1">
      <c r="A1372" s="266">
        <f>IFERROR(__xludf.DUMMYFUNCTION("""COMPUTED_VALUE"""),44009.99861111111)</f>
        <v>44009.99861</v>
      </c>
      <c r="B1372" s="1">
        <f>IFERROR(__xludf.DUMMYFUNCTION("""COMPUTED_VALUE"""),9004.804)</f>
        <v>9004.804</v>
      </c>
      <c r="C1372" s="58">
        <f t="shared" si="1"/>
        <v>4193.998611</v>
      </c>
      <c r="D1372" s="1">
        <f t="shared" si="2"/>
        <v>5325.049603</v>
      </c>
      <c r="E1372" s="1">
        <f t="shared" si="3"/>
        <v>9585.089286</v>
      </c>
      <c r="F1372" s="1">
        <f t="shared" si="4"/>
        <v>18105.16865</v>
      </c>
      <c r="G1372" s="1">
        <f t="shared" si="5"/>
        <v>31950.29762</v>
      </c>
      <c r="H1372" s="1">
        <f t="shared" si="6"/>
        <v>58575.54564</v>
      </c>
      <c r="I1372" s="1">
        <f t="shared" si="7"/>
        <v>95850.89286</v>
      </c>
    </row>
    <row r="1373" hidden="1">
      <c r="A1373" s="266">
        <f>IFERROR(__xludf.DUMMYFUNCTION("""COMPUTED_VALUE"""),44010.99861111111)</f>
        <v>44010.99861</v>
      </c>
      <c r="B1373" s="1">
        <f>IFERROR(__xludf.DUMMYFUNCTION("""COMPUTED_VALUE"""),9120.856)</f>
        <v>9120.856</v>
      </c>
      <c r="C1373" s="58">
        <f t="shared" si="1"/>
        <v>4194.998611</v>
      </c>
      <c r="D1373" s="1">
        <f t="shared" si="2"/>
        <v>5332.417981</v>
      </c>
      <c r="E1373" s="1">
        <f t="shared" si="3"/>
        <v>9598.352367</v>
      </c>
      <c r="F1373" s="1">
        <f t="shared" si="4"/>
        <v>18130.22114</v>
      </c>
      <c r="G1373" s="1">
        <f t="shared" si="5"/>
        <v>31994.50789</v>
      </c>
      <c r="H1373" s="1">
        <f t="shared" si="6"/>
        <v>58656.5978</v>
      </c>
      <c r="I1373" s="1">
        <f t="shared" si="7"/>
        <v>95983.52367</v>
      </c>
    </row>
    <row r="1374" hidden="1">
      <c r="A1374" s="266">
        <f>IFERROR(__xludf.DUMMYFUNCTION("""COMPUTED_VALUE"""),44011.99861111111)</f>
        <v>44011.99861</v>
      </c>
      <c r="B1374" s="1">
        <f>IFERROR(__xludf.DUMMYFUNCTION("""COMPUTED_VALUE"""),9186.103)</f>
        <v>9186.103</v>
      </c>
      <c r="C1374" s="58">
        <f t="shared" si="1"/>
        <v>4195.998611</v>
      </c>
      <c r="D1374" s="1">
        <f t="shared" si="2"/>
        <v>5339.794795</v>
      </c>
      <c r="E1374" s="1">
        <f t="shared" si="3"/>
        <v>9611.630632</v>
      </c>
      <c r="F1374" s="1">
        <f t="shared" si="4"/>
        <v>18155.3023</v>
      </c>
      <c r="G1374" s="1">
        <f t="shared" si="5"/>
        <v>32038.76877</v>
      </c>
      <c r="H1374" s="1">
        <f t="shared" si="6"/>
        <v>58737.74275</v>
      </c>
      <c r="I1374" s="1">
        <f t="shared" si="7"/>
        <v>96116.30632</v>
      </c>
    </row>
    <row r="1375" hidden="1">
      <c r="A1375" s="266">
        <f>IFERROR(__xludf.DUMMYFUNCTION("""COMPUTED_VALUE"""),44012.99861111111)</f>
        <v>44012.99861</v>
      </c>
      <c r="B1375" s="1">
        <f>IFERROR(__xludf.DUMMYFUNCTION("""COMPUTED_VALUE"""),9136.464)</f>
        <v>9136.464</v>
      </c>
      <c r="C1375" s="58">
        <f t="shared" si="1"/>
        <v>4196.998611</v>
      </c>
      <c r="D1375" s="1">
        <f t="shared" si="2"/>
        <v>5347.180053</v>
      </c>
      <c r="E1375" s="1">
        <f t="shared" si="3"/>
        <v>9624.924095</v>
      </c>
      <c r="F1375" s="1">
        <f t="shared" si="4"/>
        <v>18180.41218</v>
      </c>
      <c r="G1375" s="1">
        <f t="shared" si="5"/>
        <v>32083.08032</v>
      </c>
      <c r="H1375" s="1">
        <f t="shared" si="6"/>
        <v>58818.98058</v>
      </c>
      <c r="I1375" s="1">
        <f t="shared" si="7"/>
        <v>96249.24095</v>
      </c>
    </row>
    <row r="1376" hidden="1">
      <c r="A1376" s="266">
        <f>IFERROR(__xludf.DUMMYFUNCTION("""COMPUTED_VALUE"""),44013.99861111111)</f>
        <v>44013.99861</v>
      </c>
      <c r="B1376" s="1">
        <f>IFERROR(__xludf.DUMMYFUNCTION("""COMPUTED_VALUE"""),9236.278)</f>
        <v>9236.278</v>
      </c>
      <c r="C1376" s="58">
        <f t="shared" si="1"/>
        <v>4197.998611</v>
      </c>
      <c r="D1376" s="1">
        <f t="shared" si="2"/>
        <v>5354.573761</v>
      </c>
      <c r="E1376" s="1">
        <f t="shared" si="3"/>
        <v>9638.23277</v>
      </c>
      <c r="F1376" s="1">
        <f t="shared" si="4"/>
        <v>18205.55079</v>
      </c>
      <c r="G1376" s="1">
        <f t="shared" si="5"/>
        <v>32127.44257</v>
      </c>
      <c r="H1376" s="1">
        <f t="shared" si="6"/>
        <v>58900.31137</v>
      </c>
      <c r="I1376" s="1">
        <f t="shared" si="7"/>
        <v>96382.3277</v>
      </c>
    </row>
    <row r="1377" hidden="1">
      <c r="A1377" s="266">
        <f>IFERROR(__xludf.DUMMYFUNCTION("""COMPUTED_VALUE"""),44014.99861111111)</f>
        <v>44014.99861</v>
      </c>
      <c r="B1377" s="1">
        <f>IFERROR(__xludf.DUMMYFUNCTION("""COMPUTED_VALUE"""),9091.494)</f>
        <v>9091.494</v>
      </c>
      <c r="C1377" s="58">
        <f t="shared" si="1"/>
        <v>4198.998611</v>
      </c>
      <c r="D1377" s="1">
        <f t="shared" si="2"/>
        <v>5361.975929</v>
      </c>
      <c r="E1377" s="1">
        <f t="shared" si="3"/>
        <v>9651.556671</v>
      </c>
      <c r="F1377" s="1">
        <f t="shared" si="4"/>
        <v>18230.71816</v>
      </c>
      <c r="G1377" s="1">
        <f t="shared" si="5"/>
        <v>32171.85557</v>
      </c>
      <c r="H1377" s="1">
        <f t="shared" si="6"/>
        <v>58981.73521</v>
      </c>
      <c r="I1377" s="1">
        <f t="shared" si="7"/>
        <v>96515.56671</v>
      </c>
    </row>
    <row r="1378" hidden="1">
      <c r="A1378" s="266">
        <f>IFERROR(__xludf.DUMMYFUNCTION("""COMPUTED_VALUE"""),44015.99861111111)</f>
        <v>44015.99861</v>
      </c>
      <c r="B1378" s="1">
        <f>IFERROR(__xludf.DUMMYFUNCTION("""COMPUTED_VALUE"""),9063.415)</f>
        <v>9063.415</v>
      </c>
      <c r="C1378" s="58">
        <f t="shared" si="1"/>
        <v>4199.998611</v>
      </c>
      <c r="D1378" s="1">
        <f t="shared" si="2"/>
        <v>5369.386562</v>
      </c>
      <c r="E1378" s="1">
        <f t="shared" si="3"/>
        <v>9664.895812</v>
      </c>
      <c r="F1378" s="1">
        <f t="shared" si="4"/>
        <v>18255.91431</v>
      </c>
      <c r="G1378" s="1">
        <f t="shared" si="5"/>
        <v>32216.31937</v>
      </c>
      <c r="H1378" s="1">
        <f t="shared" si="6"/>
        <v>59063.25219</v>
      </c>
      <c r="I1378" s="1">
        <f t="shared" si="7"/>
        <v>96648.95812</v>
      </c>
    </row>
    <row r="1379" hidden="1">
      <c r="A1379" s="266">
        <f>IFERROR(__xludf.DUMMYFUNCTION("""COMPUTED_VALUE"""),44016.99861111111)</f>
        <v>44016.99861</v>
      </c>
      <c r="B1379" s="1">
        <f>IFERROR(__xludf.DUMMYFUNCTION("""COMPUTED_VALUE"""),9134.027)</f>
        <v>9134.027</v>
      </c>
      <c r="C1379" s="58">
        <f t="shared" si="1"/>
        <v>4200.998611</v>
      </c>
      <c r="D1379" s="1">
        <f t="shared" si="2"/>
        <v>5376.80567</v>
      </c>
      <c r="E1379" s="1">
        <f t="shared" si="3"/>
        <v>9678.250207</v>
      </c>
      <c r="F1379" s="1">
        <f t="shared" si="4"/>
        <v>18281.13928</v>
      </c>
      <c r="G1379" s="1">
        <f t="shared" si="5"/>
        <v>32260.83402</v>
      </c>
      <c r="H1379" s="1">
        <f t="shared" si="6"/>
        <v>59144.86237</v>
      </c>
      <c r="I1379" s="1">
        <f t="shared" si="7"/>
        <v>96782.50207</v>
      </c>
    </row>
    <row r="1380" hidden="1">
      <c r="A1380" s="266">
        <f>IFERROR(__xludf.DUMMYFUNCTION("""COMPUTED_VALUE"""),44017.99861111111)</f>
        <v>44017.99861</v>
      </c>
      <c r="B1380" s="1">
        <f>IFERROR(__xludf.DUMMYFUNCTION("""COMPUTED_VALUE"""),9084.367)</f>
        <v>9084.367</v>
      </c>
      <c r="C1380" s="58">
        <f t="shared" si="1"/>
        <v>4201.998611</v>
      </c>
      <c r="D1380" s="1">
        <f t="shared" si="2"/>
        <v>5384.23326</v>
      </c>
      <c r="E1380" s="1">
        <f t="shared" si="3"/>
        <v>9691.619868</v>
      </c>
      <c r="F1380" s="1">
        <f t="shared" si="4"/>
        <v>18306.39308</v>
      </c>
      <c r="G1380" s="1">
        <f t="shared" si="5"/>
        <v>32305.39956</v>
      </c>
      <c r="H1380" s="1">
        <f t="shared" si="6"/>
        <v>59226.56586</v>
      </c>
      <c r="I1380" s="1">
        <f t="shared" si="7"/>
        <v>96916.19868</v>
      </c>
    </row>
    <row r="1381" hidden="1">
      <c r="A1381" s="266">
        <f>IFERROR(__xludf.DUMMYFUNCTION("""COMPUTED_VALUE"""),44018.99861111111)</f>
        <v>44018.99861</v>
      </c>
      <c r="B1381" s="1">
        <f>IFERROR(__xludf.DUMMYFUNCTION("""COMPUTED_VALUE"""),9347.735)</f>
        <v>9347.735</v>
      </c>
      <c r="C1381" s="58">
        <f t="shared" si="1"/>
        <v>4202.998611</v>
      </c>
      <c r="D1381" s="1">
        <f t="shared" si="2"/>
        <v>5391.669339</v>
      </c>
      <c r="E1381" s="1">
        <f t="shared" si="3"/>
        <v>9705.004811</v>
      </c>
      <c r="F1381" s="1">
        <f t="shared" si="4"/>
        <v>18331.67575</v>
      </c>
      <c r="G1381" s="1">
        <f t="shared" si="5"/>
        <v>32350.01604</v>
      </c>
      <c r="H1381" s="1">
        <f t="shared" si="6"/>
        <v>59308.36273</v>
      </c>
      <c r="I1381" s="1">
        <f t="shared" si="7"/>
        <v>97050.04811</v>
      </c>
    </row>
    <row r="1382" hidden="1">
      <c r="A1382" s="266">
        <f>IFERROR(__xludf.DUMMYFUNCTION("""COMPUTED_VALUE"""),44019.99861111111)</f>
        <v>44019.99861</v>
      </c>
      <c r="B1382" s="1">
        <f>IFERROR(__xludf.DUMMYFUNCTION("""COMPUTED_VALUE"""),9256.041)</f>
        <v>9256.041</v>
      </c>
      <c r="C1382" s="58">
        <f t="shared" si="1"/>
        <v>4203.998611</v>
      </c>
      <c r="D1382" s="1">
        <f t="shared" si="2"/>
        <v>5399.113916</v>
      </c>
      <c r="E1382" s="1">
        <f t="shared" si="3"/>
        <v>9718.405048</v>
      </c>
      <c r="F1382" s="1">
        <f t="shared" si="4"/>
        <v>18356.98731</v>
      </c>
      <c r="G1382" s="1">
        <f t="shared" si="5"/>
        <v>32394.68349</v>
      </c>
      <c r="H1382" s="1">
        <f t="shared" si="6"/>
        <v>59390.25307</v>
      </c>
      <c r="I1382" s="1">
        <f t="shared" si="7"/>
        <v>97184.05048</v>
      </c>
    </row>
    <row r="1383" hidden="1">
      <c r="A1383" s="266">
        <f>IFERROR(__xludf.DUMMYFUNCTION("""COMPUTED_VALUE"""),44020.99861111111)</f>
        <v>44020.99861</v>
      </c>
      <c r="B1383" s="1">
        <f>IFERROR(__xludf.DUMMYFUNCTION("""COMPUTED_VALUE"""),9438.188)</f>
        <v>9438.188</v>
      </c>
      <c r="C1383" s="58">
        <f t="shared" si="1"/>
        <v>4204.998611</v>
      </c>
      <c r="D1383" s="1">
        <f t="shared" si="2"/>
        <v>5406.566997</v>
      </c>
      <c r="E1383" s="1">
        <f t="shared" si="3"/>
        <v>9731.820595</v>
      </c>
      <c r="F1383" s="1">
        <f t="shared" si="4"/>
        <v>18382.32779</v>
      </c>
      <c r="G1383" s="1">
        <f t="shared" si="5"/>
        <v>32439.40198</v>
      </c>
      <c r="H1383" s="1">
        <f t="shared" si="6"/>
        <v>59472.23697</v>
      </c>
      <c r="I1383" s="1">
        <f t="shared" si="7"/>
        <v>97318.20595</v>
      </c>
    </row>
    <row r="1384" hidden="1">
      <c r="A1384" s="266">
        <f>IFERROR(__xludf.DUMMYFUNCTION("""COMPUTED_VALUE"""),44021.99861111111)</f>
        <v>44021.99861</v>
      </c>
      <c r="B1384" s="1">
        <f>IFERROR(__xludf.DUMMYFUNCTION("""COMPUTED_VALUE"""),9238.551)</f>
        <v>9238.551</v>
      </c>
      <c r="C1384" s="58">
        <f t="shared" si="1"/>
        <v>4205.998611</v>
      </c>
      <c r="D1384" s="1">
        <f t="shared" si="2"/>
        <v>5414.028591</v>
      </c>
      <c r="E1384" s="1">
        <f t="shared" si="3"/>
        <v>9745.251464</v>
      </c>
      <c r="F1384" s="1">
        <f t="shared" si="4"/>
        <v>18407.69721</v>
      </c>
      <c r="G1384" s="1">
        <f t="shared" si="5"/>
        <v>32484.17155</v>
      </c>
      <c r="H1384" s="1">
        <f t="shared" si="6"/>
        <v>59554.3145</v>
      </c>
      <c r="I1384" s="1">
        <f t="shared" si="7"/>
        <v>97452.51464</v>
      </c>
    </row>
    <row r="1385" hidden="1">
      <c r="A1385" s="266">
        <f>IFERROR(__xludf.DUMMYFUNCTION("""COMPUTED_VALUE"""),44022.99861111111)</f>
        <v>44022.99861</v>
      </c>
      <c r="B1385" s="1">
        <f>IFERROR(__xludf.DUMMYFUNCTION("""COMPUTED_VALUE"""),9287.806)</f>
        <v>9287.806</v>
      </c>
      <c r="C1385" s="58">
        <f t="shared" si="1"/>
        <v>4206.998611</v>
      </c>
      <c r="D1385" s="1">
        <f t="shared" si="2"/>
        <v>5421.498705</v>
      </c>
      <c r="E1385" s="1">
        <f t="shared" si="3"/>
        <v>9758.697669</v>
      </c>
      <c r="F1385" s="1">
        <f t="shared" si="4"/>
        <v>18433.0956</v>
      </c>
      <c r="G1385" s="1">
        <f t="shared" si="5"/>
        <v>32528.99223</v>
      </c>
      <c r="H1385" s="1">
        <f t="shared" si="6"/>
        <v>59636.48575</v>
      </c>
      <c r="I1385" s="1">
        <f t="shared" si="7"/>
        <v>97586.97669</v>
      </c>
    </row>
    <row r="1386" hidden="1">
      <c r="A1386" s="266">
        <f>IFERROR(__xludf.DUMMYFUNCTION("""COMPUTED_VALUE"""),44023.99861111111)</f>
        <v>44023.99861</v>
      </c>
      <c r="B1386" s="1">
        <f>IFERROR(__xludf.DUMMYFUNCTION("""COMPUTED_VALUE"""),9235.725)</f>
        <v>9235.725</v>
      </c>
      <c r="C1386" s="58">
        <f t="shared" si="1"/>
        <v>4207.998611</v>
      </c>
      <c r="D1386" s="1">
        <f t="shared" si="2"/>
        <v>5428.977347</v>
      </c>
      <c r="E1386" s="1">
        <f t="shared" si="3"/>
        <v>9772.159224</v>
      </c>
      <c r="F1386" s="1">
        <f t="shared" si="4"/>
        <v>18458.52298</v>
      </c>
      <c r="G1386" s="1">
        <f t="shared" si="5"/>
        <v>32573.86408</v>
      </c>
      <c r="H1386" s="1">
        <f t="shared" si="6"/>
        <v>59718.75082</v>
      </c>
      <c r="I1386" s="1">
        <f t="shared" si="7"/>
        <v>97721.59224</v>
      </c>
    </row>
    <row r="1387" hidden="1">
      <c r="A1387" s="266">
        <f>IFERROR(__xludf.DUMMYFUNCTION("""COMPUTED_VALUE"""),44024.99861111111)</f>
        <v>44024.99861</v>
      </c>
      <c r="B1387" s="1">
        <f>IFERROR(__xludf.DUMMYFUNCTION("""COMPUTED_VALUE"""),9302.255)</f>
        <v>9302.255</v>
      </c>
      <c r="C1387" s="58">
        <f t="shared" si="1"/>
        <v>4208.998611</v>
      </c>
      <c r="D1387" s="1">
        <f t="shared" si="2"/>
        <v>5436.464524</v>
      </c>
      <c r="E1387" s="1">
        <f t="shared" si="3"/>
        <v>9785.636144</v>
      </c>
      <c r="F1387" s="1">
        <f t="shared" si="4"/>
        <v>18483.97938</v>
      </c>
      <c r="G1387" s="1">
        <f t="shared" si="5"/>
        <v>32618.78715</v>
      </c>
      <c r="H1387" s="1">
        <f t="shared" si="6"/>
        <v>59801.10977</v>
      </c>
      <c r="I1387" s="1">
        <f t="shared" si="7"/>
        <v>97856.36144</v>
      </c>
    </row>
    <row r="1388" hidden="1">
      <c r="A1388" s="266">
        <f>IFERROR(__xludf.DUMMYFUNCTION("""COMPUTED_VALUE"""),44025.99861111111)</f>
        <v>44025.99861</v>
      </c>
      <c r="B1388" s="1">
        <f>IFERROR(__xludf.DUMMYFUNCTION("""COMPUTED_VALUE"""),9236.326)</f>
        <v>9236.326</v>
      </c>
      <c r="C1388" s="58">
        <f t="shared" si="1"/>
        <v>4209.998611</v>
      </c>
      <c r="D1388" s="1">
        <f t="shared" si="2"/>
        <v>5443.960245</v>
      </c>
      <c r="E1388" s="1">
        <f t="shared" si="3"/>
        <v>9799.128442</v>
      </c>
      <c r="F1388" s="1">
        <f t="shared" si="4"/>
        <v>18509.46483</v>
      </c>
      <c r="G1388" s="1">
        <f t="shared" si="5"/>
        <v>32663.76147</v>
      </c>
      <c r="H1388" s="1">
        <f t="shared" si="6"/>
        <v>59883.5627</v>
      </c>
      <c r="I1388" s="1">
        <f t="shared" si="7"/>
        <v>97991.28442</v>
      </c>
    </row>
    <row r="1389" hidden="1">
      <c r="A1389" s="266">
        <f>IFERROR(__xludf.DUMMYFUNCTION("""COMPUTED_VALUE"""),44026.99861111111)</f>
        <v>44026.99861</v>
      </c>
      <c r="B1389" s="1">
        <f>IFERROR(__xludf.DUMMYFUNCTION("""COMPUTED_VALUE"""),9276.242)</f>
        <v>9276.242</v>
      </c>
      <c r="C1389" s="58">
        <f t="shared" si="1"/>
        <v>4210.998611</v>
      </c>
      <c r="D1389" s="1">
        <f t="shared" si="2"/>
        <v>5451.464517</v>
      </c>
      <c r="E1389" s="1">
        <f t="shared" si="3"/>
        <v>9812.636131</v>
      </c>
      <c r="F1389" s="1">
        <f t="shared" si="4"/>
        <v>18534.97936</v>
      </c>
      <c r="G1389" s="1">
        <f t="shared" si="5"/>
        <v>32708.7871</v>
      </c>
      <c r="H1389" s="1">
        <f t="shared" si="6"/>
        <v>59966.10969</v>
      </c>
      <c r="I1389" s="1">
        <f t="shared" si="7"/>
        <v>98126.36131</v>
      </c>
    </row>
    <row r="1390" hidden="1">
      <c r="A1390" s="266">
        <f>IFERROR(__xludf.DUMMYFUNCTION("""COMPUTED_VALUE"""),44027.99861111111)</f>
        <v>44027.99861</v>
      </c>
      <c r="B1390" s="1">
        <f>IFERROR(__xludf.DUMMYFUNCTION("""COMPUTED_VALUE"""),9191.817)</f>
        <v>9191.817</v>
      </c>
      <c r="C1390" s="58">
        <f t="shared" si="1"/>
        <v>4211.998611</v>
      </c>
      <c r="D1390" s="1">
        <f t="shared" si="2"/>
        <v>5458.977348</v>
      </c>
      <c r="E1390" s="1">
        <f t="shared" si="3"/>
        <v>9826.159227</v>
      </c>
      <c r="F1390" s="1">
        <f t="shared" si="4"/>
        <v>18560.52298</v>
      </c>
      <c r="G1390" s="1">
        <f t="shared" si="5"/>
        <v>32753.86409</v>
      </c>
      <c r="H1390" s="1">
        <f t="shared" si="6"/>
        <v>60048.75083</v>
      </c>
      <c r="I1390" s="1">
        <f t="shared" si="7"/>
        <v>98261.59227</v>
      </c>
    </row>
    <row r="1391" hidden="1">
      <c r="A1391" s="266">
        <f>IFERROR(__xludf.DUMMYFUNCTION("""COMPUTED_VALUE"""),44028.99861111111)</f>
        <v>44028.99861</v>
      </c>
      <c r="B1391" s="1">
        <f>IFERROR(__xludf.DUMMYFUNCTION("""COMPUTED_VALUE"""),9132.512)</f>
        <v>9132.512</v>
      </c>
      <c r="C1391" s="58">
        <f t="shared" si="1"/>
        <v>4212.998611</v>
      </c>
      <c r="D1391" s="1">
        <f t="shared" si="2"/>
        <v>5466.498746</v>
      </c>
      <c r="E1391" s="1">
        <f t="shared" si="3"/>
        <v>9839.697742</v>
      </c>
      <c r="F1391" s="1">
        <f t="shared" si="4"/>
        <v>18586.09574</v>
      </c>
      <c r="G1391" s="1">
        <f t="shared" si="5"/>
        <v>32798.99247</v>
      </c>
      <c r="H1391" s="1">
        <f t="shared" si="6"/>
        <v>60131.4862</v>
      </c>
      <c r="I1391" s="1">
        <f t="shared" si="7"/>
        <v>98396.97742</v>
      </c>
    </row>
    <row r="1392" hidden="1">
      <c r="A1392" s="266">
        <f>IFERROR(__xludf.DUMMYFUNCTION("""COMPUTED_VALUE"""),44029.99861111111)</f>
        <v>44029.99861</v>
      </c>
      <c r="B1392" s="1">
        <f>IFERROR(__xludf.DUMMYFUNCTION("""COMPUTED_VALUE"""),9155.095)</f>
        <v>9155.095</v>
      </c>
      <c r="C1392" s="58">
        <f t="shared" si="1"/>
        <v>4213.998611</v>
      </c>
      <c r="D1392" s="1">
        <f t="shared" si="2"/>
        <v>5474.028717</v>
      </c>
      <c r="E1392" s="1">
        <f t="shared" si="3"/>
        <v>9853.251691</v>
      </c>
      <c r="F1392" s="1">
        <f t="shared" si="4"/>
        <v>18611.69764</v>
      </c>
      <c r="G1392" s="1">
        <f t="shared" si="5"/>
        <v>32844.1723</v>
      </c>
      <c r="H1392" s="1">
        <f t="shared" si="6"/>
        <v>60214.31589</v>
      </c>
      <c r="I1392" s="1">
        <f t="shared" si="7"/>
        <v>98532.51691</v>
      </c>
    </row>
    <row r="1393" hidden="1">
      <c r="A1393" s="266">
        <f>IFERROR(__xludf.DUMMYFUNCTION("""COMPUTED_VALUE"""),44030.99861111111)</f>
        <v>44030.99861</v>
      </c>
      <c r="B1393" s="1">
        <f>IFERROR(__xludf.DUMMYFUNCTION("""COMPUTED_VALUE"""),9177.39)</f>
        <v>9177.39</v>
      </c>
      <c r="C1393" s="58">
        <f t="shared" si="1"/>
        <v>4214.998611</v>
      </c>
      <c r="D1393" s="1">
        <f t="shared" si="2"/>
        <v>5481.567271</v>
      </c>
      <c r="E1393" s="1">
        <f t="shared" si="3"/>
        <v>9866.821087</v>
      </c>
      <c r="F1393" s="1">
        <f t="shared" si="4"/>
        <v>18637.32872</v>
      </c>
      <c r="G1393" s="1">
        <f t="shared" si="5"/>
        <v>32889.40362</v>
      </c>
      <c r="H1393" s="1">
        <f t="shared" si="6"/>
        <v>60297.23998</v>
      </c>
      <c r="I1393" s="1">
        <f t="shared" si="7"/>
        <v>98668.21087</v>
      </c>
    </row>
    <row r="1394" hidden="1">
      <c r="A1394" s="266">
        <f>IFERROR(__xludf.DUMMYFUNCTION("""COMPUTED_VALUE"""),44031.99861111111)</f>
        <v>44031.99861</v>
      </c>
      <c r="B1394" s="1">
        <f>IFERROR(__xludf.DUMMYFUNCTION("""COMPUTED_VALUE"""),9217.421)</f>
        <v>9217.421</v>
      </c>
      <c r="C1394" s="58">
        <f t="shared" si="1"/>
        <v>4215.998611</v>
      </c>
      <c r="D1394" s="1">
        <f t="shared" si="2"/>
        <v>5489.114414</v>
      </c>
      <c r="E1394" s="1">
        <f t="shared" si="3"/>
        <v>9880.405945</v>
      </c>
      <c r="F1394" s="1">
        <f t="shared" si="4"/>
        <v>18662.98901</v>
      </c>
      <c r="G1394" s="1">
        <f t="shared" si="5"/>
        <v>32934.68648</v>
      </c>
      <c r="H1394" s="1">
        <f t="shared" si="6"/>
        <v>60380.25855</v>
      </c>
      <c r="I1394" s="1">
        <f t="shared" si="7"/>
        <v>98804.05945</v>
      </c>
    </row>
    <row r="1395" hidden="1">
      <c r="A1395" s="266">
        <f>IFERROR(__xludf.DUMMYFUNCTION("""COMPUTED_VALUE"""),44032.99861111111)</f>
        <v>44032.99861</v>
      </c>
      <c r="B1395" s="1">
        <f>IFERROR(__xludf.DUMMYFUNCTION("""COMPUTED_VALUE"""),9164.971)</f>
        <v>9164.971</v>
      </c>
      <c r="C1395" s="58">
        <f t="shared" si="1"/>
        <v>4216.998611</v>
      </c>
      <c r="D1395" s="1">
        <f t="shared" si="2"/>
        <v>5496.670155</v>
      </c>
      <c r="E1395" s="1">
        <f t="shared" si="3"/>
        <v>9894.006279</v>
      </c>
      <c r="F1395" s="1">
        <f t="shared" si="4"/>
        <v>18688.67853</v>
      </c>
      <c r="G1395" s="1">
        <f t="shared" si="5"/>
        <v>32980.02093</v>
      </c>
      <c r="H1395" s="1">
        <f t="shared" si="6"/>
        <v>60463.3717</v>
      </c>
      <c r="I1395" s="1">
        <f t="shared" si="7"/>
        <v>98940.06279</v>
      </c>
    </row>
    <row r="1396" hidden="1">
      <c r="A1396" s="266">
        <f>IFERROR(__xludf.DUMMYFUNCTION("""COMPUTED_VALUE"""),44033.99861111111)</f>
        <v>44033.99861</v>
      </c>
      <c r="B1396" s="1">
        <f>IFERROR(__xludf.DUMMYFUNCTION("""COMPUTED_VALUE"""),9394.428)</f>
        <v>9394.428</v>
      </c>
      <c r="C1396" s="58">
        <f t="shared" si="1"/>
        <v>4217.998611</v>
      </c>
      <c r="D1396" s="1">
        <f t="shared" si="2"/>
        <v>5504.234501</v>
      </c>
      <c r="E1396" s="1">
        <f t="shared" si="3"/>
        <v>9907.622101</v>
      </c>
      <c r="F1396" s="1">
        <f t="shared" si="4"/>
        <v>18714.3973</v>
      </c>
      <c r="G1396" s="1">
        <f t="shared" si="5"/>
        <v>33025.407</v>
      </c>
      <c r="H1396" s="1">
        <f t="shared" si="6"/>
        <v>60546.57951</v>
      </c>
      <c r="I1396" s="1">
        <f t="shared" si="7"/>
        <v>99076.22101</v>
      </c>
    </row>
    <row r="1397" hidden="1">
      <c r="A1397" s="266">
        <f>IFERROR(__xludf.DUMMYFUNCTION("""COMPUTED_VALUE"""),44034.99861111111)</f>
        <v>44034.99861</v>
      </c>
      <c r="B1397" s="1">
        <f>IFERROR(__xludf.DUMMYFUNCTION("""COMPUTED_VALUE"""),9539.67)</f>
        <v>9539.67</v>
      </c>
      <c r="C1397" s="58">
        <f t="shared" si="1"/>
        <v>4218.998611</v>
      </c>
      <c r="D1397" s="1">
        <f t="shared" si="2"/>
        <v>5511.80746</v>
      </c>
      <c r="E1397" s="1">
        <f t="shared" si="3"/>
        <v>9921.253427</v>
      </c>
      <c r="F1397" s="1">
        <f t="shared" si="4"/>
        <v>18740.14536</v>
      </c>
      <c r="G1397" s="1">
        <f t="shared" si="5"/>
        <v>33070.84476</v>
      </c>
      <c r="H1397" s="1">
        <f t="shared" si="6"/>
        <v>60629.88206</v>
      </c>
      <c r="I1397" s="1">
        <f t="shared" si="7"/>
        <v>99212.53427</v>
      </c>
    </row>
    <row r="1398" hidden="1">
      <c r="A1398" s="266">
        <f>IFERROR(__xludf.DUMMYFUNCTION("""COMPUTED_VALUE"""),44035.99861111111)</f>
        <v>44035.99861</v>
      </c>
      <c r="B1398" s="1">
        <f>IFERROR(__xludf.DUMMYFUNCTION("""COMPUTED_VALUE"""),9614.052)</f>
        <v>9614.052</v>
      </c>
      <c r="C1398" s="58">
        <f t="shared" si="1"/>
        <v>4219.998611</v>
      </c>
      <c r="D1398" s="1">
        <f t="shared" si="2"/>
        <v>5519.389039</v>
      </c>
      <c r="E1398" s="1">
        <f t="shared" si="3"/>
        <v>9934.900271</v>
      </c>
      <c r="F1398" s="1">
        <f t="shared" si="4"/>
        <v>18765.92273</v>
      </c>
      <c r="G1398" s="1">
        <f t="shared" si="5"/>
        <v>33116.33424</v>
      </c>
      <c r="H1398" s="1">
        <f t="shared" si="6"/>
        <v>60713.27943</v>
      </c>
      <c r="I1398" s="1">
        <f t="shared" si="7"/>
        <v>99349.00271</v>
      </c>
    </row>
    <row r="1399" hidden="1">
      <c r="A1399" s="266">
        <f>IFERROR(__xludf.DUMMYFUNCTION("""COMPUTED_VALUE"""),44036.99861111111)</f>
        <v>44036.99861</v>
      </c>
      <c r="B1399" s="1">
        <f>IFERROR(__xludf.DUMMYFUNCTION("""COMPUTED_VALUE"""),9551.432)</f>
        <v>9551.432</v>
      </c>
      <c r="C1399" s="58">
        <f t="shared" si="1"/>
        <v>4220.998611</v>
      </c>
      <c r="D1399" s="1">
        <f t="shared" si="2"/>
        <v>5526.979248</v>
      </c>
      <c r="E1399" s="1">
        <f t="shared" si="3"/>
        <v>9948.562646</v>
      </c>
      <c r="F1399" s="1">
        <f t="shared" si="4"/>
        <v>18791.72944</v>
      </c>
      <c r="G1399" s="1">
        <f t="shared" si="5"/>
        <v>33161.87549</v>
      </c>
      <c r="H1399" s="1">
        <f t="shared" si="6"/>
        <v>60796.77172</v>
      </c>
      <c r="I1399" s="1">
        <f t="shared" si="7"/>
        <v>99485.62646</v>
      </c>
    </row>
    <row r="1400" hidden="1">
      <c r="A1400" s="266">
        <f>IFERROR(__xludf.DUMMYFUNCTION("""COMPUTED_VALUE"""),44037.99861111111)</f>
        <v>44037.99861</v>
      </c>
      <c r="B1400" s="1">
        <f>IFERROR(__xludf.DUMMYFUNCTION("""COMPUTED_VALUE"""),9710.919)</f>
        <v>9710.919</v>
      </c>
      <c r="C1400" s="58">
        <f t="shared" si="1"/>
        <v>4221.998611</v>
      </c>
      <c r="D1400" s="1">
        <f t="shared" si="2"/>
        <v>5534.578092</v>
      </c>
      <c r="E1400" s="1">
        <f t="shared" si="3"/>
        <v>9962.240566</v>
      </c>
      <c r="F1400" s="1">
        <f t="shared" si="4"/>
        <v>18817.56551</v>
      </c>
      <c r="G1400" s="1">
        <f t="shared" si="5"/>
        <v>33207.46855</v>
      </c>
      <c r="H1400" s="1">
        <f t="shared" si="6"/>
        <v>60880.35901</v>
      </c>
      <c r="I1400" s="1">
        <f t="shared" si="7"/>
        <v>99622.40566</v>
      </c>
    </row>
    <row r="1401" hidden="1">
      <c r="A1401" s="266">
        <f>IFERROR(__xludf.DUMMYFUNCTION("""COMPUTED_VALUE"""),44038.99861111111)</f>
        <v>44038.99861</v>
      </c>
      <c r="B1401" s="1">
        <f>IFERROR(__xludf.DUMMYFUNCTION("""COMPUTED_VALUE"""),9941.474)</f>
        <v>9941.474</v>
      </c>
      <c r="C1401" s="58">
        <f t="shared" si="1"/>
        <v>4222.998611</v>
      </c>
      <c r="D1401" s="1">
        <f t="shared" si="2"/>
        <v>5542.185581</v>
      </c>
      <c r="E1401" s="1">
        <f t="shared" si="3"/>
        <v>9975.934045</v>
      </c>
      <c r="F1401" s="1">
        <f t="shared" si="4"/>
        <v>18843.43097</v>
      </c>
      <c r="G1401" s="1">
        <f t="shared" si="5"/>
        <v>33253.11348</v>
      </c>
      <c r="H1401" s="1">
        <f t="shared" si="6"/>
        <v>60964.04139</v>
      </c>
      <c r="I1401" s="1">
        <f t="shared" si="7"/>
        <v>99759.34045</v>
      </c>
    </row>
    <row r="1402" hidden="1">
      <c r="A1402" s="266">
        <f>IFERROR(__xludf.DUMMYFUNCTION("""COMPUTED_VALUE"""),44039.99861111111)</f>
        <v>44039.99861</v>
      </c>
      <c r="B1402" s="1">
        <f>IFERROR(__xludf.DUMMYFUNCTION("""COMPUTED_VALUE"""),11038.19)</f>
        <v>11038.19</v>
      </c>
      <c r="C1402" s="58">
        <f t="shared" si="1"/>
        <v>4223.998611</v>
      </c>
      <c r="D1402" s="1">
        <f t="shared" si="2"/>
        <v>5549.801721</v>
      </c>
      <c r="E1402" s="1">
        <f t="shared" si="3"/>
        <v>9989.643098</v>
      </c>
      <c r="F1402" s="1">
        <f t="shared" si="4"/>
        <v>18869.32585</v>
      </c>
      <c r="G1402" s="1">
        <f t="shared" si="5"/>
        <v>33298.81033</v>
      </c>
      <c r="H1402" s="1">
        <f t="shared" si="6"/>
        <v>61047.81893</v>
      </c>
      <c r="I1402" s="1">
        <f t="shared" si="7"/>
        <v>99896.43098</v>
      </c>
    </row>
    <row r="1403" hidden="1">
      <c r="A1403" s="266">
        <f>IFERROR(__xludf.DUMMYFUNCTION("""COMPUTED_VALUE"""),44040.99861111111)</f>
        <v>44040.99861</v>
      </c>
      <c r="B1403" s="1">
        <f>IFERROR(__xludf.DUMMYFUNCTION("""COMPUTED_VALUE"""),10932.79)</f>
        <v>10932.79</v>
      </c>
      <c r="C1403" s="58">
        <f t="shared" si="1"/>
        <v>4224.998611</v>
      </c>
      <c r="D1403" s="1">
        <f t="shared" si="2"/>
        <v>5557.426521</v>
      </c>
      <c r="E1403" s="1">
        <f t="shared" si="3"/>
        <v>10003.36774</v>
      </c>
      <c r="F1403" s="1">
        <f t="shared" si="4"/>
        <v>18895.25017</v>
      </c>
      <c r="G1403" s="1">
        <f t="shared" si="5"/>
        <v>33344.55913</v>
      </c>
      <c r="H1403" s="1">
        <f t="shared" si="6"/>
        <v>61131.69173</v>
      </c>
      <c r="I1403" s="1">
        <f t="shared" si="7"/>
        <v>100033.6774</v>
      </c>
    </row>
    <row r="1404" hidden="1">
      <c r="A1404" s="266">
        <f>IFERROR(__xludf.DUMMYFUNCTION("""COMPUTED_VALUE"""),44041.99861111111)</f>
        <v>44041.99861</v>
      </c>
      <c r="B1404" s="1">
        <f>IFERROR(__xludf.DUMMYFUNCTION("""COMPUTED_VALUE"""),11110.78)</f>
        <v>11110.78</v>
      </c>
      <c r="C1404" s="58">
        <f t="shared" si="1"/>
        <v>4225.998611</v>
      </c>
      <c r="D1404" s="1">
        <f t="shared" si="2"/>
        <v>5565.059988</v>
      </c>
      <c r="E1404" s="1">
        <f t="shared" si="3"/>
        <v>10017.10798</v>
      </c>
      <c r="F1404" s="1">
        <f t="shared" si="4"/>
        <v>18921.20396</v>
      </c>
      <c r="G1404" s="1">
        <f t="shared" si="5"/>
        <v>33390.35993</v>
      </c>
      <c r="H1404" s="1">
        <f t="shared" si="6"/>
        <v>61215.65987</v>
      </c>
      <c r="I1404" s="1">
        <f t="shared" si="7"/>
        <v>100171.0798</v>
      </c>
    </row>
    <row r="1405" hidden="1">
      <c r="A1405" s="266">
        <f>IFERROR(__xludf.DUMMYFUNCTION("""COMPUTED_VALUE"""),44042.99861111111)</f>
        <v>44042.99861</v>
      </c>
      <c r="B1405" s="1">
        <f>IFERROR(__xludf.DUMMYFUNCTION("""COMPUTED_VALUE"""),11113.47)</f>
        <v>11113.47</v>
      </c>
      <c r="C1405" s="58">
        <f t="shared" si="1"/>
        <v>4226.998611</v>
      </c>
      <c r="D1405" s="1">
        <f t="shared" si="2"/>
        <v>5572.702131</v>
      </c>
      <c r="E1405" s="1">
        <f t="shared" si="3"/>
        <v>10030.86384</v>
      </c>
      <c r="F1405" s="1">
        <f t="shared" si="4"/>
        <v>18947.18725</v>
      </c>
      <c r="G1405" s="1">
        <f t="shared" si="5"/>
        <v>33436.21279</v>
      </c>
      <c r="H1405" s="1">
        <f t="shared" si="6"/>
        <v>61299.72344</v>
      </c>
      <c r="I1405" s="1">
        <f t="shared" si="7"/>
        <v>100308.6384</v>
      </c>
    </row>
    <row r="1406" hidden="1">
      <c r="A1406" s="266">
        <f>IFERROR(__xludf.DUMMYFUNCTION("""COMPUTED_VALUE"""),44043.99861111111)</f>
        <v>44043.99861</v>
      </c>
      <c r="B1406" s="1">
        <f>IFERROR(__xludf.DUMMYFUNCTION("""COMPUTED_VALUE"""),11350.44)</f>
        <v>11350.44</v>
      </c>
      <c r="C1406" s="58">
        <f t="shared" si="1"/>
        <v>4227.998611</v>
      </c>
      <c r="D1406" s="1">
        <f t="shared" si="2"/>
        <v>5580.352957</v>
      </c>
      <c r="E1406" s="1">
        <f t="shared" si="3"/>
        <v>10044.63532</v>
      </c>
      <c r="F1406" s="1">
        <f t="shared" si="4"/>
        <v>18973.20005</v>
      </c>
      <c r="G1406" s="1">
        <f t="shared" si="5"/>
        <v>33482.11774</v>
      </c>
      <c r="H1406" s="1">
        <f t="shared" si="6"/>
        <v>61383.88252</v>
      </c>
      <c r="I1406" s="1">
        <f t="shared" si="7"/>
        <v>100446.3532</v>
      </c>
    </row>
    <row r="1407" hidden="1">
      <c r="A1407" s="266">
        <f>IFERROR(__xludf.DUMMYFUNCTION("""COMPUTED_VALUE"""),44044.99861111111)</f>
        <v>44044.99861</v>
      </c>
      <c r="B1407" s="1">
        <f>IFERROR(__xludf.DUMMYFUNCTION("""COMPUTED_VALUE"""),11811.0)</f>
        <v>11811</v>
      </c>
      <c r="C1407" s="58">
        <f t="shared" si="1"/>
        <v>4228.998611</v>
      </c>
      <c r="D1407" s="1">
        <f t="shared" si="2"/>
        <v>5588.012473</v>
      </c>
      <c r="E1407" s="1">
        <f t="shared" si="3"/>
        <v>10058.42245</v>
      </c>
      <c r="F1407" s="1">
        <f t="shared" si="4"/>
        <v>18999.24241</v>
      </c>
      <c r="G1407" s="1">
        <f t="shared" si="5"/>
        <v>33528.07484</v>
      </c>
      <c r="H1407" s="1">
        <f t="shared" si="6"/>
        <v>61468.1372</v>
      </c>
      <c r="I1407" s="1">
        <f t="shared" si="7"/>
        <v>100584.2245</v>
      </c>
    </row>
    <row r="1408" hidden="1">
      <c r="A1408" s="266">
        <f>IFERROR(__xludf.DUMMYFUNCTION("""COMPUTED_VALUE"""),44045.99861111111)</f>
        <v>44045.99861</v>
      </c>
      <c r="B1408" s="1">
        <f>IFERROR(__xludf.DUMMYFUNCTION("""COMPUTED_VALUE"""),11060.74)</f>
        <v>11060.74</v>
      </c>
      <c r="C1408" s="58">
        <f t="shared" si="1"/>
        <v>4229.998611</v>
      </c>
      <c r="D1408" s="1">
        <f t="shared" si="2"/>
        <v>5595.680688</v>
      </c>
      <c r="E1408" s="1">
        <f t="shared" si="3"/>
        <v>10072.22524</v>
      </c>
      <c r="F1408" s="1">
        <f t="shared" si="4"/>
        <v>19025.31434</v>
      </c>
      <c r="G1408" s="1">
        <f t="shared" si="5"/>
        <v>33574.08413</v>
      </c>
      <c r="H1408" s="1">
        <f t="shared" si="6"/>
        <v>61552.48757</v>
      </c>
      <c r="I1408" s="1">
        <f t="shared" si="7"/>
        <v>100722.2524</v>
      </c>
    </row>
    <row r="1409" hidden="1">
      <c r="A1409" s="266">
        <f>IFERROR(__xludf.DUMMYFUNCTION("""COMPUTED_VALUE"""),44046.99861111111)</f>
        <v>44046.99861</v>
      </c>
      <c r="B1409" s="1">
        <f>IFERROR(__xludf.DUMMYFUNCTION("""COMPUTED_VALUE"""),11229.23)</f>
        <v>11229.23</v>
      </c>
      <c r="C1409" s="58">
        <f t="shared" si="1"/>
        <v>4230.998611</v>
      </c>
      <c r="D1409" s="1">
        <f t="shared" si="2"/>
        <v>5603.35761</v>
      </c>
      <c r="E1409" s="1">
        <f t="shared" si="3"/>
        <v>10086.0437</v>
      </c>
      <c r="F1409" s="1">
        <f t="shared" si="4"/>
        <v>19051.41587</v>
      </c>
      <c r="G1409" s="1">
        <f t="shared" si="5"/>
        <v>33620.14566</v>
      </c>
      <c r="H1409" s="1">
        <f t="shared" si="6"/>
        <v>61636.93371</v>
      </c>
      <c r="I1409" s="1">
        <f t="shared" si="7"/>
        <v>100860.437</v>
      </c>
    </row>
    <row r="1410" hidden="1">
      <c r="A1410" s="266">
        <f>IFERROR(__xludf.DUMMYFUNCTION("""COMPUTED_VALUE"""),44047.99861111111)</f>
        <v>44047.99861</v>
      </c>
      <c r="B1410" s="1">
        <f>IFERROR(__xludf.DUMMYFUNCTION("""COMPUTED_VALUE"""),11193.52)</f>
        <v>11193.52</v>
      </c>
      <c r="C1410" s="58">
        <f t="shared" si="1"/>
        <v>4231.998611</v>
      </c>
      <c r="D1410" s="1">
        <f t="shared" si="2"/>
        <v>5611.043246</v>
      </c>
      <c r="E1410" s="1">
        <f t="shared" si="3"/>
        <v>10099.87784</v>
      </c>
      <c r="F1410" s="1">
        <f t="shared" si="4"/>
        <v>19077.54704</v>
      </c>
      <c r="G1410" s="1">
        <f t="shared" si="5"/>
        <v>33666.25947</v>
      </c>
      <c r="H1410" s="1">
        <f t="shared" si="6"/>
        <v>61721.4757</v>
      </c>
      <c r="I1410" s="1">
        <f t="shared" si="7"/>
        <v>100998.7784</v>
      </c>
    </row>
    <row r="1411" hidden="1">
      <c r="A1411" s="266">
        <f>IFERROR(__xludf.DUMMYFUNCTION("""COMPUTED_VALUE"""),44048.99861111111)</f>
        <v>44048.99861</v>
      </c>
      <c r="B1411" s="1">
        <f>IFERROR(__xludf.DUMMYFUNCTION("""COMPUTED_VALUE"""),11750.11)</f>
        <v>11750.11</v>
      </c>
      <c r="C1411" s="58">
        <f t="shared" si="1"/>
        <v>4232.998611</v>
      </c>
      <c r="D1411" s="1">
        <f t="shared" si="2"/>
        <v>5618.737604</v>
      </c>
      <c r="E1411" s="1">
        <f t="shared" si="3"/>
        <v>10113.72769</v>
      </c>
      <c r="F1411" s="1">
        <f t="shared" si="4"/>
        <v>19103.70785</v>
      </c>
      <c r="G1411" s="1">
        <f t="shared" si="5"/>
        <v>33712.42562</v>
      </c>
      <c r="H1411" s="1">
        <f t="shared" si="6"/>
        <v>61806.11364</v>
      </c>
      <c r="I1411" s="1">
        <f t="shared" si="7"/>
        <v>101137.2769</v>
      </c>
    </row>
    <row r="1412" hidden="1">
      <c r="A1412" s="266">
        <f>IFERROR(__xludf.DUMMYFUNCTION("""COMPUTED_VALUE"""),44049.99861111111)</f>
        <v>44049.99861</v>
      </c>
      <c r="B1412" s="1">
        <f>IFERROR(__xludf.DUMMYFUNCTION("""COMPUTED_VALUE"""),11771.01)</f>
        <v>11771.01</v>
      </c>
      <c r="C1412" s="58">
        <f t="shared" si="1"/>
        <v>4233.998611</v>
      </c>
      <c r="D1412" s="1">
        <f t="shared" si="2"/>
        <v>5626.440692</v>
      </c>
      <c r="E1412" s="1">
        <f t="shared" si="3"/>
        <v>10127.59325</v>
      </c>
      <c r="F1412" s="1">
        <f t="shared" si="4"/>
        <v>19129.89835</v>
      </c>
      <c r="G1412" s="1">
        <f t="shared" si="5"/>
        <v>33758.64415</v>
      </c>
      <c r="H1412" s="1">
        <f t="shared" si="6"/>
        <v>61890.84761</v>
      </c>
      <c r="I1412" s="1">
        <f t="shared" si="7"/>
        <v>101275.9325</v>
      </c>
    </row>
    <row r="1413" hidden="1">
      <c r="A1413" s="266">
        <f>IFERROR(__xludf.DUMMYFUNCTION("""COMPUTED_VALUE"""),44050.99861111111)</f>
        <v>44050.99861</v>
      </c>
      <c r="B1413" s="1">
        <f>IFERROR(__xludf.DUMMYFUNCTION("""COMPUTED_VALUE"""),11603.77)</f>
        <v>11603.77</v>
      </c>
      <c r="C1413" s="58">
        <f t="shared" si="1"/>
        <v>4234.998611</v>
      </c>
      <c r="D1413" s="1">
        <f t="shared" si="2"/>
        <v>5634.152517</v>
      </c>
      <c r="E1413" s="1">
        <f t="shared" si="3"/>
        <v>10141.47453</v>
      </c>
      <c r="F1413" s="1">
        <f t="shared" si="4"/>
        <v>19156.11856</v>
      </c>
      <c r="G1413" s="1">
        <f t="shared" si="5"/>
        <v>33804.9151</v>
      </c>
      <c r="H1413" s="1">
        <f t="shared" si="6"/>
        <v>61975.67769</v>
      </c>
      <c r="I1413" s="1">
        <f t="shared" si="7"/>
        <v>101414.7453</v>
      </c>
    </row>
    <row r="1414" hidden="1">
      <c r="A1414" s="266">
        <f>IFERROR(__xludf.DUMMYFUNCTION("""COMPUTED_VALUE"""),44051.99861111111)</f>
        <v>44051.99861</v>
      </c>
      <c r="B1414" s="1">
        <f>IFERROR(__xludf.DUMMYFUNCTION("""COMPUTED_VALUE"""),11771.91)</f>
        <v>11771.91</v>
      </c>
      <c r="C1414" s="58">
        <f t="shared" si="1"/>
        <v>4235.998611</v>
      </c>
      <c r="D1414" s="1">
        <f t="shared" si="2"/>
        <v>5641.873089</v>
      </c>
      <c r="E1414" s="1">
        <f t="shared" si="3"/>
        <v>10155.37156</v>
      </c>
      <c r="F1414" s="1">
        <f t="shared" si="4"/>
        <v>19182.3685</v>
      </c>
      <c r="G1414" s="1">
        <f t="shared" si="5"/>
        <v>33851.23853</v>
      </c>
      <c r="H1414" s="1">
        <f t="shared" si="6"/>
        <v>62060.60398</v>
      </c>
      <c r="I1414" s="1">
        <f t="shared" si="7"/>
        <v>101553.7156</v>
      </c>
    </row>
    <row r="1415" hidden="1">
      <c r="A1415" s="266">
        <f>IFERROR(__xludf.DUMMYFUNCTION("""COMPUTED_VALUE"""),44052.99861111111)</f>
        <v>44052.99861</v>
      </c>
      <c r="B1415" s="1">
        <f>IFERROR(__xludf.DUMMYFUNCTION("""COMPUTED_VALUE"""),11685.37)</f>
        <v>11685.37</v>
      </c>
      <c r="C1415" s="58">
        <f t="shared" si="1"/>
        <v>4236.998611</v>
      </c>
      <c r="D1415" s="1">
        <f t="shared" si="2"/>
        <v>5649.602414</v>
      </c>
      <c r="E1415" s="1">
        <f t="shared" si="3"/>
        <v>10169.28434</v>
      </c>
      <c r="F1415" s="1">
        <f t="shared" si="4"/>
        <v>19208.64821</v>
      </c>
      <c r="G1415" s="1">
        <f t="shared" si="5"/>
        <v>33897.61448</v>
      </c>
      <c r="H1415" s="1">
        <f t="shared" si="6"/>
        <v>62145.62655</v>
      </c>
      <c r="I1415" s="1">
        <f t="shared" si="7"/>
        <v>101692.8434</v>
      </c>
    </row>
    <row r="1416" hidden="1">
      <c r="A1416" s="266">
        <f>IFERROR(__xludf.DUMMYFUNCTION("""COMPUTED_VALUE"""),44053.99861111111)</f>
        <v>44053.99861</v>
      </c>
      <c r="B1416" s="1">
        <f>IFERROR(__xludf.DUMMYFUNCTION("""COMPUTED_VALUE"""),11892.32)</f>
        <v>11892.32</v>
      </c>
      <c r="C1416" s="58">
        <f t="shared" si="1"/>
        <v>4237.998611</v>
      </c>
      <c r="D1416" s="1">
        <f t="shared" si="2"/>
        <v>5657.3405</v>
      </c>
      <c r="E1416" s="1">
        <f t="shared" si="3"/>
        <v>10183.2129</v>
      </c>
      <c r="F1416" s="1">
        <f t="shared" si="4"/>
        <v>19234.9577</v>
      </c>
      <c r="G1416" s="1">
        <f t="shared" si="5"/>
        <v>33944.043</v>
      </c>
      <c r="H1416" s="1">
        <f t="shared" si="6"/>
        <v>62230.7455</v>
      </c>
      <c r="I1416" s="1">
        <f t="shared" si="7"/>
        <v>101832.129</v>
      </c>
    </row>
    <row r="1417" hidden="1">
      <c r="A1417" s="266">
        <f>IFERROR(__xludf.DUMMYFUNCTION("""COMPUTED_VALUE"""),44054.99861111111)</f>
        <v>44054.99861</v>
      </c>
      <c r="B1417" s="1">
        <f>IFERROR(__xludf.DUMMYFUNCTION("""COMPUTED_VALUE"""),11386.83)</f>
        <v>11386.83</v>
      </c>
      <c r="C1417" s="58">
        <f t="shared" si="1"/>
        <v>4238.998611</v>
      </c>
      <c r="D1417" s="1">
        <f t="shared" si="2"/>
        <v>5665.087355</v>
      </c>
      <c r="E1417" s="1">
        <f t="shared" si="3"/>
        <v>10197.15724</v>
      </c>
      <c r="F1417" s="1">
        <f t="shared" si="4"/>
        <v>19261.29701</v>
      </c>
      <c r="G1417" s="1">
        <f t="shared" si="5"/>
        <v>33990.52413</v>
      </c>
      <c r="H1417" s="1">
        <f t="shared" si="6"/>
        <v>62315.96091</v>
      </c>
      <c r="I1417" s="1">
        <f t="shared" si="7"/>
        <v>101971.5724</v>
      </c>
    </row>
    <row r="1418" hidden="1">
      <c r="A1418" s="266">
        <f>IFERROR(__xludf.DUMMYFUNCTION("""COMPUTED_VALUE"""),44055.99861111111)</f>
        <v>44055.99861</v>
      </c>
      <c r="B1418" s="1">
        <f>IFERROR(__xludf.DUMMYFUNCTION("""COMPUTED_VALUE"""),11570.86)</f>
        <v>11570.86</v>
      </c>
      <c r="C1418" s="58">
        <f t="shared" si="1"/>
        <v>4239.998611</v>
      </c>
      <c r="D1418" s="1">
        <f t="shared" si="2"/>
        <v>5672.842988</v>
      </c>
      <c r="E1418" s="1">
        <f t="shared" si="3"/>
        <v>10211.11738</v>
      </c>
      <c r="F1418" s="1">
        <f t="shared" si="4"/>
        <v>19287.66616</v>
      </c>
      <c r="G1418" s="1">
        <f t="shared" si="5"/>
        <v>34037.05793</v>
      </c>
      <c r="H1418" s="1">
        <f t="shared" si="6"/>
        <v>62401.27286</v>
      </c>
      <c r="I1418" s="1">
        <f t="shared" si="7"/>
        <v>102111.1738</v>
      </c>
    </row>
    <row r="1419" hidden="1">
      <c r="A1419" s="266">
        <f>IFERROR(__xludf.DUMMYFUNCTION("""COMPUTED_VALUE"""),44056.99861111111)</f>
        <v>44056.99861</v>
      </c>
      <c r="B1419" s="1">
        <f>IFERROR(__xludf.DUMMYFUNCTION("""COMPUTED_VALUE"""),11788.67)</f>
        <v>11788.67</v>
      </c>
      <c r="C1419" s="58">
        <f t="shared" si="1"/>
        <v>4240.998611</v>
      </c>
      <c r="D1419" s="1">
        <f t="shared" si="2"/>
        <v>5680.607405</v>
      </c>
      <c r="E1419" s="1">
        <f t="shared" si="3"/>
        <v>10225.09333</v>
      </c>
      <c r="F1419" s="1">
        <f t="shared" si="4"/>
        <v>19314.06518</v>
      </c>
      <c r="G1419" s="1">
        <f t="shared" si="5"/>
        <v>34083.64443</v>
      </c>
      <c r="H1419" s="1">
        <f t="shared" si="6"/>
        <v>62486.68146</v>
      </c>
      <c r="I1419" s="1">
        <f t="shared" si="7"/>
        <v>102250.9333</v>
      </c>
    </row>
    <row r="1420" hidden="1">
      <c r="A1420" s="266">
        <f>IFERROR(__xludf.DUMMYFUNCTION("""COMPUTED_VALUE"""),44057.99861111111)</f>
        <v>44057.99861</v>
      </c>
      <c r="B1420" s="1">
        <f>IFERROR(__xludf.DUMMYFUNCTION("""COMPUTED_VALUE"""),11774.58)</f>
        <v>11774.58</v>
      </c>
      <c r="C1420" s="58">
        <f t="shared" si="1"/>
        <v>4241.998611</v>
      </c>
      <c r="D1420" s="1">
        <f t="shared" si="2"/>
        <v>5688.380615</v>
      </c>
      <c r="E1420" s="1">
        <f t="shared" si="3"/>
        <v>10239.08511</v>
      </c>
      <c r="F1420" s="1">
        <f t="shared" si="4"/>
        <v>19340.49409</v>
      </c>
      <c r="G1420" s="1">
        <f t="shared" si="5"/>
        <v>34130.28369</v>
      </c>
      <c r="H1420" s="1">
        <f t="shared" si="6"/>
        <v>62572.18677</v>
      </c>
      <c r="I1420" s="1">
        <f t="shared" si="7"/>
        <v>102390.8511</v>
      </c>
    </row>
    <row r="1421" hidden="1">
      <c r="A1421" s="266">
        <f>IFERROR(__xludf.DUMMYFUNCTION("""COMPUTED_VALUE"""),44058.99861111111)</f>
        <v>44058.99861</v>
      </c>
      <c r="B1421" s="1">
        <f>IFERROR(__xludf.DUMMYFUNCTION("""COMPUTED_VALUE"""),11860.8)</f>
        <v>11860.8</v>
      </c>
      <c r="C1421" s="58">
        <f t="shared" si="1"/>
        <v>4242.998611</v>
      </c>
      <c r="D1421" s="1">
        <f t="shared" si="2"/>
        <v>5696.162626</v>
      </c>
      <c r="E1421" s="1">
        <f t="shared" si="3"/>
        <v>10253.09273</v>
      </c>
      <c r="F1421" s="1">
        <f t="shared" si="4"/>
        <v>19366.95293</v>
      </c>
      <c r="G1421" s="1">
        <f t="shared" si="5"/>
        <v>34176.97576</v>
      </c>
      <c r="H1421" s="1">
        <f t="shared" si="6"/>
        <v>62657.78889</v>
      </c>
      <c r="I1421" s="1">
        <f t="shared" si="7"/>
        <v>102530.9273</v>
      </c>
    </row>
    <row r="1422" hidden="1">
      <c r="A1422" s="266">
        <f>IFERROR(__xludf.DUMMYFUNCTION("""COMPUTED_VALUE"""),44059.99861111111)</f>
        <v>44059.99861</v>
      </c>
      <c r="B1422" s="1">
        <f>IFERROR(__xludf.DUMMYFUNCTION("""COMPUTED_VALUE"""),11917.42)</f>
        <v>11917.42</v>
      </c>
      <c r="C1422" s="58">
        <f t="shared" si="1"/>
        <v>4243.998611</v>
      </c>
      <c r="D1422" s="1">
        <f t="shared" si="2"/>
        <v>5703.953446</v>
      </c>
      <c r="E1422" s="1">
        <f t="shared" si="3"/>
        <v>10267.1162</v>
      </c>
      <c r="F1422" s="1">
        <f t="shared" si="4"/>
        <v>19393.44172</v>
      </c>
      <c r="G1422" s="1">
        <f t="shared" si="5"/>
        <v>34223.72067</v>
      </c>
      <c r="H1422" s="1">
        <f t="shared" si="6"/>
        <v>62743.4879</v>
      </c>
      <c r="I1422" s="1">
        <f t="shared" si="7"/>
        <v>102671.162</v>
      </c>
    </row>
    <row r="1423" hidden="1">
      <c r="A1423" s="266">
        <f>IFERROR(__xludf.DUMMYFUNCTION("""COMPUTED_VALUE"""),44060.99861111111)</f>
        <v>44060.99861</v>
      </c>
      <c r="B1423" s="1">
        <f>IFERROR(__xludf.DUMMYFUNCTION("""COMPUTED_VALUE"""),12290.64)</f>
        <v>12290.64</v>
      </c>
      <c r="C1423" s="58">
        <f t="shared" si="1"/>
        <v>4244.998611</v>
      </c>
      <c r="D1423" s="1">
        <f t="shared" si="2"/>
        <v>5711.753082</v>
      </c>
      <c r="E1423" s="1">
        <f t="shared" si="3"/>
        <v>10281.15555</v>
      </c>
      <c r="F1423" s="1">
        <f t="shared" si="4"/>
        <v>19419.96048</v>
      </c>
      <c r="G1423" s="1">
        <f t="shared" si="5"/>
        <v>34270.51849</v>
      </c>
      <c r="H1423" s="1">
        <f t="shared" si="6"/>
        <v>62829.2839</v>
      </c>
      <c r="I1423" s="1">
        <f t="shared" si="7"/>
        <v>102811.5555</v>
      </c>
    </row>
    <row r="1424" hidden="1">
      <c r="A1424" s="266">
        <f>IFERROR(__xludf.DUMMYFUNCTION("""COMPUTED_VALUE"""),44061.99861111111)</f>
        <v>44061.99861</v>
      </c>
      <c r="B1424" s="1">
        <f>IFERROR(__xludf.DUMMYFUNCTION("""COMPUTED_VALUE"""),11954.85)</f>
        <v>11954.85</v>
      </c>
      <c r="C1424" s="58">
        <f t="shared" si="1"/>
        <v>4245.998611</v>
      </c>
      <c r="D1424" s="1">
        <f t="shared" si="2"/>
        <v>5719.561542</v>
      </c>
      <c r="E1424" s="1">
        <f t="shared" si="3"/>
        <v>10295.21078</v>
      </c>
      <c r="F1424" s="1">
        <f t="shared" si="4"/>
        <v>19446.50924</v>
      </c>
      <c r="G1424" s="1">
        <f t="shared" si="5"/>
        <v>34317.36925</v>
      </c>
      <c r="H1424" s="1">
        <f t="shared" si="6"/>
        <v>62915.17696</v>
      </c>
      <c r="I1424" s="1">
        <f t="shared" si="7"/>
        <v>102952.1078</v>
      </c>
    </row>
    <row r="1425" hidden="1">
      <c r="A1425" s="266">
        <f>IFERROR(__xludf.DUMMYFUNCTION("""COMPUTED_VALUE"""),44062.99861111111)</f>
        <v>44062.99861</v>
      </c>
      <c r="B1425" s="1">
        <f>IFERROR(__xludf.DUMMYFUNCTION("""COMPUTED_VALUE"""),11756.31)</f>
        <v>11756.31</v>
      </c>
      <c r="C1425" s="58">
        <f t="shared" si="1"/>
        <v>4246.998611</v>
      </c>
      <c r="D1425" s="1">
        <f t="shared" si="2"/>
        <v>5727.378834</v>
      </c>
      <c r="E1425" s="1">
        <f t="shared" si="3"/>
        <v>10309.2819</v>
      </c>
      <c r="F1425" s="1">
        <f t="shared" si="4"/>
        <v>19473.08804</v>
      </c>
      <c r="G1425" s="1">
        <f t="shared" si="5"/>
        <v>34364.27301</v>
      </c>
      <c r="H1425" s="1">
        <f t="shared" si="6"/>
        <v>63001.16718</v>
      </c>
      <c r="I1425" s="1">
        <f t="shared" si="7"/>
        <v>103092.819</v>
      </c>
    </row>
    <row r="1426" hidden="1">
      <c r="A1426" s="266">
        <f>IFERROR(__xludf.DUMMYFUNCTION("""COMPUTED_VALUE"""),44063.99861111111)</f>
        <v>44063.99861</v>
      </c>
      <c r="B1426" s="1">
        <f>IFERROR(__xludf.DUMMYFUNCTION("""COMPUTED_VALUE"""),11864.59)</f>
        <v>11864.59</v>
      </c>
      <c r="C1426" s="58">
        <f t="shared" si="1"/>
        <v>4247.998611</v>
      </c>
      <c r="D1426" s="1">
        <f t="shared" si="2"/>
        <v>5735.204967</v>
      </c>
      <c r="E1426" s="1">
        <f t="shared" si="3"/>
        <v>10323.36894</v>
      </c>
      <c r="F1426" s="1">
        <f t="shared" si="4"/>
        <v>19499.69689</v>
      </c>
      <c r="G1426" s="1">
        <f t="shared" si="5"/>
        <v>34411.2298</v>
      </c>
      <c r="H1426" s="1">
        <f t="shared" si="6"/>
        <v>63087.25464</v>
      </c>
      <c r="I1426" s="1">
        <f t="shared" si="7"/>
        <v>103233.6894</v>
      </c>
    </row>
    <row r="1427" hidden="1">
      <c r="A1427" s="266">
        <f>IFERROR(__xludf.DUMMYFUNCTION("""COMPUTED_VALUE"""),44064.99861111111)</f>
        <v>44064.99861</v>
      </c>
      <c r="B1427" s="1">
        <f>IFERROR(__xludf.DUMMYFUNCTION("""COMPUTED_VALUE"""),11525.75)</f>
        <v>11525.75</v>
      </c>
      <c r="C1427" s="58">
        <f t="shared" si="1"/>
        <v>4248.998611</v>
      </c>
      <c r="D1427" s="1">
        <f t="shared" si="2"/>
        <v>5743.039948</v>
      </c>
      <c r="E1427" s="1">
        <f t="shared" si="3"/>
        <v>10337.47191</v>
      </c>
      <c r="F1427" s="1">
        <f t="shared" si="4"/>
        <v>19526.33582</v>
      </c>
      <c r="G1427" s="1">
        <f t="shared" si="5"/>
        <v>34458.23969</v>
      </c>
      <c r="H1427" s="1">
        <f t="shared" si="6"/>
        <v>63173.43943</v>
      </c>
      <c r="I1427" s="1">
        <f t="shared" si="7"/>
        <v>103374.7191</v>
      </c>
    </row>
    <row r="1428" hidden="1">
      <c r="A1428" s="266">
        <f>IFERROR(__xludf.DUMMYFUNCTION("""COMPUTED_VALUE"""),44065.99861111111)</f>
        <v>44065.99861</v>
      </c>
      <c r="B1428" s="1">
        <f>IFERROR(__xludf.DUMMYFUNCTION("""COMPUTED_VALUE"""),11676.19)</f>
        <v>11676.19</v>
      </c>
      <c r="C1428" s="58">
        <f t="shared" si="1"/>
        <v>4249.998611</v>
      </c>
      <c r="D1428" s="1">
        <f t="shared" si="2"/>
        <v>5750.883785</v>
      </c>
      <c r="E1428" s="1">
        <f t="shared" si="3"/>
        <v>10351.59081</v>
      </c>
      <c r="F1428" s="1">
        <f t="shared" si="4"/>
        <v>19553.00487</v>
      </c>
      <c r="G1428" s="1">
        <f t="shared" si="5"/>
        <v>34505.30271</v>
      </c>
      <c r="H1428" s="1">
        <f t="shared" si="6"/>
        <v>63259.72163</v>
      </c>
      <c r="I1428" s="1">
        <f t="shared" si="7"/>
        <v>103515.9081</v>
      </c>
    </row>
    <row r="1429" hidden="1">
      <c r="A1429" s="266">
        <f>IFERROR(__xludf.DUMMYFUNCTION("""COMPUTED_VALUE"""),44066.99861111111)</f>
        <v>44066.99861</v>
      </c>
      <c r="B1429" s="1">
        <f>IFERROR(__xludf.DUMMYFUNCTION("""COMPUTED_VALUE"""),11651.92)</f>
        <v>11651.92</v>
      </c>
      <c r="C1429" s="58">
        <f t="shared" si="1"/>
        <v>4250.998611</v>
      </c>
      <c r="D1429" s="1">
        <f t="shared" si="2"/>
        <v>5758.736486</v>
      </c>
      <c r="E1429" s="1">
        <f t="shared" si="3"/>
        <v>10365.72567</v>
      </c>
      <c r="F1429" s="1">
        <f t="shared" si="4"/>
        <v>19579.70405</v>
      </c>
      <c r="G1429" s="1">
        <f t="shared" si="5"/>
        <v>34552.41891</v>
      </c>
      <c r="H1429" s="1">
        <f t="shared" si="6"/>
        <v>63346.10134</v>
      </c>
      <c r="I1429" s="1">
        <f t="shared" si="7"/>
        <v>103657.2567</v>
      </c>
    </row>
    <row r="1430" hidden="1">
      <c r="A1430" s="266">
        <f>IFERROR(__xludf.DUMMYFUNCTION("""COMPUTED_VALUE"""),44067.99861111111)</f>
        <v>44067.99861</v>
      </c>
      <c r="B1430" s="1">
        <f>IFERROR(__xludf.DUMMYFUNCTION("""COMPUTED_VALUE"""),11758.47)</f>
        <v>11758.47</v>
      </c>
      <c r="C1430" s="58">
        <f t="shared" si="1"/>
        <v>4251.998611</v>
      </c>
      <c r="D1430" s="1">
        <f t="shared" si="2"/>
        <v>5766.598058</v>
      </c>
      <c r="E1430" s="1">
        <f t="shared" si="3"/>
        <v>10379.8765</v>
      </c>
      <c r="F1430" s="1">
        <f t="shared" si="4"/>
        <v>19606.4334</v>
      </c>
      <c r="G1430" s="1">
        <f t="shared" si="5"/>
        <v>34599.58835</v>
      </c>
      <c r="H1430" s="1">
        <f t="shared" si="6"/>
        <v>63432.57864</v>
      </c>
      <c r="I1430" s="1">
        <f t="shared" si="7"/>
        <v>103798.765</v>
      </c>
    </row>
    <row r="1431" hidden="1">
      <c r="A1431" s="266">
        <f>IFERROR(__xludf.DUMMYFUNCTION("""COMPUTED_VALUE"""),44068.99861111111)</f>
        <v>44068.99861</v>
      </c>
      <c r="B1431" s="1">
        <f>IFERROR(__xludf.DUMMYFUNCTION("""COMPUTED_VALUE"""),11329.89)</f>
        <v>11329.89</v>
      </c>
      <c r="C1431" s="58">
        <f t="shared" si="1"/>
        <v>4252.998611</v>
      </c>
      <c r="D1431" s="1">
        <f t="shared" si="2"/>
        <v>5774.468511</v>
      </c>
      <c r="E1431" s="1">
        <f t="shared" si="3"/>
        <v>10394.04332</v>
      </c>
      <c r="F1431" s="1">
        <f t="shared" si="4"/>
        <v>19633.19294</v>
      </c>
      <c r="G1431" s="1">
        <f t="shared" si="5"/>
        <v>34646.81106</v>
      </c>
      <c r="H1431" s="1">
        <f t="shared" si="6"/>
        <v>63519.15362</v>
      </c>
      <c r="I1431" s="1">
        <f t="shared" si="7"/>
        <v>103940.4332</v>
      </c>
    </row>
    <row r="1432" hidden="1">
      <c r="A1432" s="266">
        <f>IFERROR(__xludf.DUMMYFUNCTION("""COMPUTED_VALUE"""),44069.99861111111)</f>
        <v>44069.99861</v>
      </c>
      <c r="B1432" s="1">
        <f>IFERROR(__xludf.DUMMYFUNCTION("""COMPUTED_VALUE"""),11463.63)</f>
        <v>11463.63</v>
      </c>
      <c r="C1432" s="58">
        <f t="shared" si="1"/>
        <v>4253.998611</v>
      </c>
      <c r="D1432" s="1">
        <f t="shared" si="2"/>
        <v>5782.347851</v>
      </c>
      <c r="E1432" s="1">
        <f t="shared" si="3"/>
        <v>10408.22613</v>
      </c>
      <c r="F1432" s="1">
        <f t="shared" si="4"/>
        <v>19659.98269</v>
      </c>
      <c r="G1432" s="1">
        <f t="shared" si="5"/>
        <v>34694.08711</v>
      </c>
      <c r="H1432" s="1">
        <f t="shared" si="6"/>
        <v>63605.82636</v>
      </c>
      <c r="I1432" s="1">
        <f t="shared" si="7"/>
        <v>104082.2613</v>
      </c>
    </row>
    <row r="1433" hidden="1">
      <c r="A1433" s="266">
        <f>IFERROR(__xludf.DUMMYFUNCTION("""COMPUTED_VALUE"""),44070.99861111111)</f>
        <v>44070.99861</v>
      </c>
      <c r="B1433" s="1">
        <f>IFERROR(__xludf.DUMMYFUNCTION("""COMPUTED_VALUE"""),11325.62)</f>
        <v>11325.62</v>
      </c>
      <c r="C1433" s="58">
        <f t="shared" si="1"/>
        <v>4254.998611</v>
      </c>
      <c r="D1433" s="1">
        <f t="shared" si="2"/>
        <v>5790.236087</v>
      </c>
      <c r="E1433" s="1">
        <f t="shared" si="3"/>
        <v>10422.42496</v>
      </c>
      <c r="F1433" s="1">
        <f t="shared" si="4"/>
        <v>19686.80269</v>
      </c>
      <c r="G1433" s="1">
        <f t="shared" si="5"/>
        <v>34741.41652</v>
      </c>
      <c r="H1433" s="1">
        <f t="shared" si="6"/>
        <v>63692.59695</v>
      </c>
      <c r="I1433" s="1">
        <f t="shared" si="7"/>
        <v>104224.2496</v>
      </c>
    </row>
    <row r="1434" hidden="1">
      <c r="A1434" s="266">
        <f>IFERROR(__xludf.DUMMYFUNCTION("""COMPUTED_VALUE"""),44071.99861111111)</f>
        <v>44071.99861</v>
      </c>
      <c r="B1434" s="1">
        <f>IFERROR(__xludf.DUMMYFUNCTION("""COMPUTED_VALUE"""),11533.22)</f>
        <v>11533.22</v>
      </c>
      <c r="C1434" s="58">
        <f t="shared" si="1"/>
        <v>4255.998611</v>
      </c>
      <c r="D1434" s="1">
        <f t="shared" si="2"/>
        <v>5798.133226</v>
      </c>
      <c r="E1434" s="1">
        <f t="shared" si="3"/>
        <v>10436.63981</v>
      </c>
      <c r="F1434" s="1">
        <f t="shared" si="4"/>
        <v>19713.65297</v>
      </c>
      <c r="G1434" s="1">
        <f t="shared" si="5"/>
        <v>34788.79936</v>
      </c>
      <c r="H1434" s="1">
        <f t="shared" si="6"/>
        <v>63779.46549</v>
      </c>
      <c r="I1434" s="1">
        <f t="shared" si="7"/>
        <v>104366.3981</v>
      </c>
    </row>
    <row r="1435" hidden="1">
      <c r="A1435" s="266">
        <f>IFERROR(__xludf.DUMMYFUNCTION("""COMPUTED_VALUE"""),44072.99861111111)</f>
        <v>44072.99861</v>
      </c>
      <c r="B1435" s="1">
        <f>IFERROR(__xludf.DUMMYFUNCTION("""COMPUTED_VALUE"""),11477.2)</f>
        <v>11477.2</v>
      </c>
      <c r="C1435" s="58">
        <f t="shared" si="1"/>
        <v>4256.998611</v>
      </c>
      <c r="D1435" s="1">
        <f t="shared" si="2"/>
        <v>5806.039277</v>
      </c>
      <c r="E1435" s="1">
        <f t="shared" si="3"/>
        <v>10450.8707</v>
      </c>
      <c r="F1435" s="1">
        <f t="shared" si="4"/>
        <v>19740.53354</v>
      </c>
      <c r="G1435" s="1">
        <f t="shared" si="5"/>
        <v>34836.23566</v>
      </c>
      <c r="H1435" s="1">
        <f t="shared" si="6"/>
        <v>63866.43205</v>
      </c>
      <c r="I1435" s="1">
        <f t="shared" si="7"/>
        <v>104508.707</v>
      </c>
    </row>
    <row r="1436" hidden="1">
      <c r="A1436" s="266">
        <f>IFERROR(__xludf.DUMMYFUNCTION("""COMPUTED_VALUE"""),44073.99861111111)</f>
        <v>44073.99861</v>
      </c>
      <c r="B1436" s="1">
        <f>IFERROR(__xludf.DUMMYFUNCTION("""COMPUTED_VALUE"""),11713.8)</f>
        <v>11713.8</v>
      </c>
      <c r="C1436" s="58">
        <f t="shared" si="1"/>
        <v>4257.998611</v>
      </c>
      <c r="D1436" s="1">
        <f t="shared" si="2"/>
        <v>5813.954248</v>
      </c>
      <c r="E1436" s="1">
        <f t="shared" si="3"/>
        <v>10465.11765</v>
      </c>
      <c r="F1436" s="1">
        <f t="shared" si="4"/>
        <v>19767.44444</v>
      </c>
      <c r="G1436" s="1">
        <f t="shared" si="5"/>
        <v>34883.72549</v>
      </c>
      <c r="H1436" s="1">
        <f t="shared" si="6"/>
        <v>63953.49673</v>
      </c>
      <c r="I1436" s="1">
        <f t="shared" si="7"/>
        <v>104651.1765</v>
      </c>
    </row>
    <row r="1437" hidden="1">
      <c r="A1437" s="266">
        <f>IFERROR(__xludf.DUMMYFUNCTION("""COMPUTED_VALUE"""),44074.99861111111)</f>
        <v>44074.99861</v>
      </c>
      <c r="B1437" s="1">
        <f>IFERROR(__xludf.DUMMYFUNCTION("""COMPUTED_VALUE"""),11656.86)</f>
        <v>11656.86</v>
      </c>
      <c r="C1437" s="58">
        <f t="shared" si="1"/>
        <v>4258.998611</v>
      </c>
      <c r="D1437" s="1">
        <f t="shared" si="2"/>
        <v>5821.878146</v>
      </c>
      <c r="E1437" s="1">
        <f t="shared" si="3"/>
        <v>10479.38066</v>
      </c>
      <c r="F1437" s="1">
        <f t="shared" si="4"/>
        <v>19794.3857</v>
      </c>
      <c r="G1437" s="1">
        <f t="shared" si="5"/>
        <v>34931.26887</v>
      </c>
      <c r="H1437" s="1">
        <f t="shared" si="6"/>
        <v>64040.6596</v>
      </c>
      <c r="I1437" s="1">
        <f t="shared" si="7"/>
        <v>104793.8066</v>
      </c>
    </row>
    <row r="1438" hidden="1">
      <c r="A1438" s="266">
        <f>IFERROR(__xludf.DUMMYFUNCTION("""COMPUTED_VALUE"""),44075.99861111111)</f>
        <v>44075.99861</v>
      </c>
      <c r="B1438" s="1">
        <f>IFERROR(__xludf.DUMMYFUNCTION("""COMPUTED_VALUE"""),11925.36)</f>
        <v>11925.36</v>
      </c>
      <c r="C1438" s="58">
        <f t="shared" si="1"/>
        <v>4259.998611</v>
      </c>
      <c r="D1438" s="1">
        <f t="shared" si="2"/>
        <v>5829.810979</v>
      </c>
      <c r="E1438" s="1">
        <f t="shared" si="3"/>
        <v>10493.65976</v>
      </c>
      <c r="F1438" s="1">
        <f t="shared" si="4"/>
        <v>19821.35733</v>
      </c>
      <c r="G1438" s="1">
        <f t="shared" si="5"/>
        <v>34978.86588</v>
      </c>
      <c r="H1438" s="1">
        <f t="shared" si="6"/>
        <v>64127.92077</v>
      </c>
      <c r="I1438" s="1">
        <f t="shared" si="7"/>
        <v>104936.5976</v>
      </c>
    </row>
    <row r="1439" hidden="1">
      <c r="A1439" s="266">
        <f>IFERROR(__xludf.DUMMYFUNCTION("""COMPUTED_VALUE"""),44076.99861111111)</f>
        <v>44076.99861</v>
      </c>
      <c r="B1439" s="1">
        <f>IFERROR(__xludf.DUMMYFUNCTION("""COMPUTED_VALUE"""),11398.04)</f>
        <v>11398.04</v>
      </c>
      <c r="C1439" s="58">
        <f t="shared" si="1"/>
        <v>4260.998611</v>
      </c>
      <c r="D1439" s="1">
        <f t="shared" si="2"/>
        <v>5837.752756</v>
      </c>
      <c r="E1439" s="1">
        <f t="shared" si="3"/>
        <v>10507.95496</v>
      </c>
      <c r="F1439" s="1">
        <f t="shared" si="4"/>
        <v>19848.35937</v>
      </c>
      <c r="G1439" s="1">
        <f t="shared" si="5"/>
        <v>35026.51654</v>
      </c>
      <c r="H1439" s="1">
        <f t="shared" si="6"/>
        <v>64215.28032</v>
      </c>
      <c r="I1439" s="1">
        <f t="shared" si="7"/>
        <v>105079.5496</v>
      </c>
    </row>
    <row r="1440" hidden="1">
      <c r="A1440" s="266">
        <f>IFERROR(__xludf.DUMMYFUNCTION("""COMPUTED_VALUE"""),44077.99861111111)</f>
        <v>44077.99861</v>
      </c>
      <c r="B1440" s="1">
        <f>IFERROR(__xludf.DUMMYFUNCTION("""COMPUTED_VALUE"""),10175.84)</f>
        <v>10175.84</v>
      </c>
      <c r="C1440" s="58">
        <f t="shared" si="1"/>
        <v>4261.998611</v>
      </c>
      <c r="D1440" s="1">
        <f t="shared" si="2"/>
        <v>5845.703485</v>
      </c>
      <c r="E1440" s="1">
        <f t="shared" si="3"/>
        <v>10522.26627</v>
      </c>
      <c r="F1440" s="1">
        <f t="shared" si="4"/>
        <v>19875.39185</v>
      </c>
      <c r="G1440" s="1">
        <f t="shared" si="5"/>
        <v>35074.22091</v>
      </c>
      <c r="H1440" s="1">
        <f t="shared" si="6"/>
        <v>64302.73833</v>
      </c>
      <c r="I1440" s="1">
        <f t="shared" si="7"/>
        <v>105222.6627</v>
      </c>
    </row>
    <row r="1441" hidden="1">
      <c r="A1441" s="266">
        <f>IFERROR(__xludf.DUMMYFUNCTION("""COMPUTED_VALUE"""),44078.99861111111)</f>
        <v>44078.99861</v>
      </c>
      <c r="B1441" s="1">
        <f>IFERROR(__xludf.DUMMYFUNCTION("""COMPUTED_VALUE"""),10469.5)</f>
        <v>10469.5</v>
      </c>
      <c r="C1441" s="58">
        <f t="shared" si="1"/>
        <v>4262.998611</v>
      </c>
      <c r="D1441" s="1">
        <f t="shared" si="2"/>
        <v>5853.663173</v>
      </c>
      <c r="E1441" s="1">
        <f t="shared" si="3"/>
        <v>10536.59371</v>
      </c>
      <c r="F1441" s="1">
        <f t="shared" si="4"/>
        <v>19902.45479</v>
      </c>
      <c r="G1441" s="1">
        <f t="shared" si="5"/>
        <v>35121.97904</v>
      </c>
      <c r="H1441" s="1">
        <f t="shared" si="6"/>
        <v>64390.2949</v>
      </c>
      <c r="I1441" s="1">
        <f t="shared" si="7"/>
        <v>105365.9371</v>
      </c>
    </row>
    <row r="1442" hidden="1">
      <c r="A1442" s="266">
        <f>IFERROR(__xludf.DUMMYFUNCTION("""COMPUTED_VALUE"""),44079.99861111111)</f>
        <v>44079.99861</v>
      </c>
      <c r="B1442" s="1">
        <f>IFERROR(__xludf.DUMMYFUNCTION("""COMPUTED_VALUE"""),10166.73)</f>
        <v>10166.73</v>
      </c>
      <c r="C1442" s="58">
        <f t="shared" si="1"/>
        <v>4263.998611</v>
      </c>
      <c r="D1442" s="1">
        <f t="shared" si="2"/>
        <v>5861.631828</v>
      </c>
      <c r="E1442" s="1">
        <f t="shared" si="3"/>
        <v>10550.93729</v>
      </c>
      <c r="F1442" s="1">
        <f t="shared" si="4"/>
        <v>19929.54821</v>
      </c>
      <c r="G1442" s="1">
        <f t="shared" si="5"/>
        <v>35169.79097</v>
      </c>
      <c r="H1442" s="1">
        <f t="shared" si="6"/>
        <v>64477.95011</v>
      </c>
      <c r="I1442" s="1">
        <f t="shared" si="7"/>
        <v>105509.3729</v>
      </c>
    </row>
    <row r="1443" hidden="1">
      <c r="A1443" s="266">
        <f>IFERROR(__xludf.DUMMYFUNCTION("""COMPUTED_VALUE"""),44080.99861111111)</f>
        <v>44080.99861</v>
      </c>
      <c r="B1443" s="1">
        <f>IFERROR(__xludf.DUMMYFUNCTION("""COMPUTED_VALUE"""),10255.99)</f>
        <v>10255.99</v>
      </c>
      <c r="C1443" s="58">
        <f t="shared" si="1"/>
        <v>4264.998611</v>
      </c>
      <c r="D1443" s="1">
        <f t="shared" si="2"/>
        <v>5869.609458</v>
      </c>
      <c r="E1443" s="1">
        <f t="shared" si="3"/>
        <v>10565.29703</v>
      </c>
      <c r="F1443" s="1">
        <f t="shared" si="4"/>
        <v>19956.67216</v>
      </c>
      <c r="G1443" s="1">
        <f t="shared" si="5"/>
        <v>35217.65675</v>
      </c>
      <c r="H1443" s="1">
        <f t="shared" si="6"/>
        <v>64565.70404</v>
      </c>
      <c r="I1443" s="1">
        <f t="shared" si="7"/>
        <v>105652.9703</v>
      </c>
    </row>
    <row r="1444" hidden="1">
      <c r="A1444" s="266">
        <f>IFERROR(__xludf.DUMMYFUNCTION("""COMPUTED_VALUE"""),44081.99861111111)</f>
        <v>44081.99861</v>
      </c>
      <c r="B1444" s="1">
        <f>IFERROR(__xludf.DUMMYFUNCTION("""COMPUTED_VALUE"""),10374.99)</f>
        <v>10374.99</v>
      </c>
      <c r="C1444" s="58">
        <f t="shared" si="1"/>
        <v>4265.998611</v>
      </c>
      <c r="D1444" s="1">
        <f t="shared" si="2"/>
        <v>5877.596072</v>
      </c>
      <c r="E1444" s="1">
        <f t="shared" si="3"/>
        <v>10579.67293</v>
      </c>
      <c r="F1444" s="1">
        <f t="shared" si="4"/>
        <v>19983.82665</v>
      </c>
      <c r="G1444" s="1">
        <f t="shared" si="5"/>
        <v>35265.57643</v>
      </c>
      <c r="H1444" s="1">
        <f t="shared" si="6"/>
        <v>64653.5568</v>
      </c>
      <c r="I1444" s="1">
        <f t="shared" si="7"/>
        <v>105796.7293</v>
      </c>
    </row>
    <row r="1445" hidden="1">
      <c r="A1445" s="266">
        <f>IFERROR(__xludf.DUMMYFUNCTION("""COMPUTED_VALUE"""),44082.99861111111)</f>
        <v>44082.99861</v>
      </c>
      <c r="B1445" s="1">
        <f>IFERROR(__xludf.DUMMYFUNCTION("""COMPUTED_VALUE"""),10125.08)</f>
        <v>10125.08</v>
      </c>
      <c r="C1445" s="58">
        <f t="shared" si="1"/>
        <v>4266.998611</v>
      </c>
      <c r="D1445" s="1">
        <f t="shared" si="2"/>
        <v>5885.591678</v>
      </c>
      <c r="E1445" s="1">
        <f t="shared" si="3"/>
        <v>10594.06502</v>
      </c>
      <c r="F1445" s="1">
        <f t="shared" si="4"/>
        <v>20011.0117</v>
      </c>
      <c r="G1445" s="1">
        <f t="shared" si="5"/>
        <v>35313.55007</v>
      </c>
      <c r="H1445" s="1">
        <f t="shared" si="6"/>
        <v>64741.50846</v>
      </c>
      <c r="I1445" s="1">
        <f t="shared" si="7"/>
        <v>105940.6502</v>
      </c>
    </row>
    <row r="1446" hidden="1">
      <c r="A1446" s="266">
        <f>IFERROR(__xludf.DUMMYFUNCTION("""COMPUTED_VALUE"""),44083.99861111111)</f>
        <v>44083.99861</v>
      </c>
      <c r="B1446" s="1">
        <f>IFERROR(__xludf.DUMMYFUNCTION("""COMPUTED_VALUE"""),10225.3)</f>
        <v>10225.3</v>
      </c>
      <c r="C1446" s="58">
        <f t="shared" si="1"/>
        <v>4267.998611</v>
      </c>
      <c r="D1446" s="1">
        <f t="shared" si="2"/>
        <v>5893.596283</v>
      </c>
      <c r="E1446" s="1">
        <f t="shared" si="3"/>
        <v>10608.47331</v>
      </c>
      <c r="F1446" s="1">
        <f t="shared" si="4"/>
        <v>20038.22736</v>
      </c>
      <c r="G1446" s="1">
        <f t="shared" si="5"/>
        <v>35361.5777</v>
      </c>
      <c r="H1446" s="1">
        <f t="shared" si="6"/>
        <v>64829.55911</v>
      </c>
      <c r="I1446" s="1">
        <f t="shared" si="7"/>
        <v>106084.7331</v>
      </c>
    </row>
    <row r="1447" hidden="1">
      <c r="A1447" s="266">
        <f>IFERROR(__xludf.DUMMYFUNCTION("""COMPUTED_VALUE"""),44084.99861111111)</f>
        <v>44084.99861</v>
      </c>
      <c r="B1447" s="1">
        <f>IFERROR(__xludf.DUMMYFUNCTION("""COMPUTED_VALUE"""),10346.71)</f>
        <v>10346.71</v>
      </c>
      <c r="C1447" s="58">
        <f t="shared" si="1"/>
        <v>4268.998611</v>
      </c>
      <c r="D1447" s="1">
        <f t="shared" si="2"/>
        <v>5901.609895</v>
      </c>
      <c r="E1447" s="1">
        <f t="shared" si="3"/>
        <v>10622.89781</v>
      </c>
      <c r="F1447" s="1">
        <f t="shared" si="4"/>
        <v>20065.47364</v>
      </c>
      <c r="G1447" s="1">
        <f t="shared" si="5"/>
        <v>35409.65937</v>
      </c>
      <c r="H1447" s="1">
        <f t="shared" si="6"/>
        <v>64917.70884</v>
      </c>
      <c r="I1447" s="1">
        <f t="shared" si="7"/>
        <v>106228.9781</v>
      </c>
    </row>
    <row r="1448" hidden="1">
      <c r="A1448" s="266">
        <f>IFERROR(__xludf.DUMMYFUNCTION("""COMPUTED_VALUE"""),44085.99861111111)</f>
        <v>44085.99861</v>
      </c>
      <c r="B1448" s="1">
        <f>IFERROR(__xludf.DUMMYFUNCTION("""COMPUTED_VALUE"""),10396.03)</f>
        <v>10396.03</v>
      </c>
      <c r="C1448" s="58">
        <f t="shared" si="1"/>
        <v>4269.998611</v>
      </c>
      <c r="D1448" s="1">
        <f t="shared" si="2"/>
        <v>5909.632523</v>
      </c>
      <c r="E1448" s="1">
        <f t="shared" si="3"/>
        <v>10637.33854</v>
      </c>
      <c r="F1448" s="1">
        <f t="shared" si="4"/>
        <v>20092.75058</v>
      </c>
      <c r="G1448" s="1">
        <f t="shared" si="5"/>
        <v>35457.79514</v>
      </c>
      <c r="H1448" s="1">
        <f t="shared" si="6"/>
        <v>65005.95775</v>
      </c>
      <c r="I1448" s="1">
        <f t="shared" si="7"/>
        <v>106373.3854</v>
      </c>
    </row>
    <row r="1449" hidden="1">
      <c r="A1449" s="266">
        <f>IFERROR(__xludf.DUMMYFUNCTION("""COMPUTED_VALUE"""),44086.99861111111)</f>
        <v>44086.99861</v>
      </c>
      <c r="B1449" s="1">
        <f>IFERROR(__xludf.DUMMYFUNCTION("""COMPUTED_VALUE"""),10446.0)</f>
        <v>10446</v>
      </c>
      <c r="C1449" s="58">
        <f t="shared" si="1"/>
        <v>4270.998611</v>
      </c>
      <c r="D1449" s="1">
        <f t="shared" si="2"/>
        <v>5917.664174</v>
      </c>
      <c r="E1449" s="1">
        <f t="shared" si="3"/>
        <v>10651.79551</v>
      </c>
      <c r="F1449" s="1">
        <f t="shared" si="4"/>
        <v>20120.05819</v>
      </c>
      <c r="G1449" s="1">
        <f t="shared" si="5"/>
        <v>35505.98504</v>
      </c>
      <c r="H1449" s="1">
        <f t="shared" si="6"/>
        <v>65094.30591</v>
      </c>
      <c r="I1449" s="1">
        <f t="shared" si="7"/>
        <v>106517.9551</v>
      </c>
    </row>
    <row r="1450" hidden="1">
      <c r="A1450" s="266">
        <f>IFERROR(__xludf.DUMMYFUNCTION("""COMPUTED_VALUE"""),44087.99861111111)</f>
        <v>44087.99861</v>
      </c>
      <c r="B1450" s="1">
        <f>IFERROR(__xludf.DUMMYFUNCTION("""COMPUTED_VALUE"""),10332.06)</f>
        <v>10332.06</v>
      </c>
      <c r="C1450" s="58">
        <f t="shared" si="1"/>
        <v>4271.998611</v>
      </c>
      <c r="D1450" s="1">
        <f t="shared" si="2"/>
        <v>5925.704856</v>
      </c>
      <c r="E1450" s="1">
        <f t="shared" si="3"/>
        <v>10666.26874</v>
      </c>
      <c r="F1450" s="1">
        <f t="shared" si="4"/>
        <v>20147.39651</v>
      </c>
      <c r="G1450" s="1">
        <f t="shared" si="5"/>
        <v>35554.22914</v>
      </c>
      <c r="H1450" s="1">
        <f t="shared" si="6"/>
        <v>65182.75342</v>
      </c>
      <c r="I1450" s="1">
        <f t="shared" si="7"/>
        <v>106662.6874</v>
      </c>
    </row>
    <row r="1451" hidden="1">
      <c r="A1451" s="266">
        <f>IFERROR(__xludf.DUMMYFUNCTION("""COMPUTED_VALUE"""),44088.99861111111)</f>
        <v>44088.99861</v>
      </c>
      <c r="B1451" s="1">
        <f>IFERROR(__xludf.DUMMYFUNCTION("""COMPUTED_VALUE"""),10678.08)</f>
        <v>10678.08</v>
      </c>
      <c r="C1451" s="58">
        <f t="shared" si="1"/>
        <v>4272.998611</v>
      </c>
      <c r="D1451" s="1">
        <f t="shared" si="2"/>
        <v>5933.754579</v>
      </c>
      <c r="E1451" s="1">
        <f t="shared" si="3"/>
        <v>10680.75824</v>
      </c>
      <c r="F1451" s="1">
        <f t="shared" si="4"/>
        <v>20174.76557</v>
      </c>
      <c r="G1451" s="1">
        <f t="shared" si="5"/>
        <v>35602.52747</v>
      </c>
      <c r="H1451" s="1">
        <f t="shared" si="6"/>
        <v>65271.30037</v>
      </c>
      <c r="I1451" s="1">
        <f t="shared" si="7"/>
        <v>106807.5824</v>
      </c>
    </row>
    <row r="1452" hidden="1">
      <c r="A1452" s="266">
        <f>IFERROR(__xludf.DUMMYFUNCTION("""COMPUTED_VALUE"""),44089.99861111111)</f>
        <v>44089.99861</v>
      </c>
      <c r="B1452" s="1">
        <f>IFERROR(__xludf.DUMMYFUNCTION("""COMPUTED_VALUE"""),10786.28)</f>
        <v>10786.28</v>
      </c>
      <c r="C1452" s="58">
        <f t="shared" si="1"/>
        <v>4273.998611</v>
      </c>
      <c r="D1452" s="1">
        <f t="shared" si="2"/>
        <v>5941.813349</v>
      </c>
      <c r="E1452" s="1">
        <f t="shared" si="3"/>
        <v>10695.26403</v>
      </c>
      <c r="F1452" s="1">
        <f t="shared" si="4"/>
        <v>20202.16539</v>
      </c>
      <c r="G1452" s="1">
        <f t="shared" si="5"/>
        <v>35650.88009</v>
      </c>
      <c r="H1452" s="1">
        <f t="shared" si="6"/>
        <v>65359.94683</v>
      </c>
      <c r="I1452" s="1">
        <f t="shared" si="7"/>
        <v>106952.6403</v>
      </c>
    </row>
    <row r="1453" hidden="1">
      <c r="A1453" s="266">
        <f>IFERROR(__xludf.DUMMYFUNCTION("""COMPUTED_VALUE"""),44090.99861111111)</f>
        <v>44090.99861</v>
      </c>
      <c r="B1453" s="1">
        <f>IFERROR(__xludf.DUMMYFUNCTION("""COMPUTED_VALUE"""),10950.88)</f>
        <v>10950.88</v>
      </c>
      <c r="C1453" s="58">
        <f t="shared" si="1"/>
        <v>4274.998611</v>
      </c>
      <c r="D1453" s="1">
        <f t="shared" si="2"/>
        <v>5949.881174</v>
      </c>
      <c r="E1453" s="1">
        <f t="shared" si="3"/>
        <v>10709.78611</v>
      </c>
      <c r="F1453" s="1">
        <f t="shared" si="4"/>
        <v>20229.59599</v>
      </c>
      <c r="G1453" s="1">
        <f t="shared" si="5"/>
        <v>35699.28704</v>
      </c>
      <c r="H1453" s="1">
        <f t="shared" si="6"/>
        <v>65448.69292</v>
      </c>
      <c r="I1453" s="1">
        <f t="shared" si="7"/>
        <v>107097.8611</v>
      </c>
    </row>
    <row r="1454" hidden="1">
      <c r="A1454" s="266">
        <f>IFERROR(__xludf.DUMMYFUNCTION("""COMPUTED_VALUE"""),44091.99861111111)</f>
        <v>44091.99861</v>
      </c>
      <c r="B1454" s="1">
        <f>IFERROR(__xludf.DUMMYFUNCTION("""COMPUTED_VALUE"""),10944.69)</f>
        <v>10944.69</v>
      </c>
      <c r="C1454" s="58">
        <f t="shared" si="1"/>
        <v>4275.998611</v>
      </c>
      <c r="D1454" s="1">
        <f t="shared" si="2"/>
        <v>5957.958063</v>
      </c>
      <c r="E1454" s="1">
        <f t="shared" si="3"/>
        <v>10724.32451</v>
      </c>
      <c r="F1454" s="1">
        <f t="shared" si="4"/>
        <v>20257.05742</v>
      </c>
      <c r="G1454" s="1">
        <f t="shared" si="5"/>
        <v>35747.74838</v>
      </c>
      <c r="H1454" s="1">
        <f t="shared" si="6"/>
        <v>65537.5387</v>
      </c>
      <c r="I1454" s="1">
        <f t="shared" si="7"/>
        <v>107243.2451</v>
      </c>
    </row>
    <row r="1455" hidden="1">
      <c r="A1455" s="266">
        <f>IFERROR(__xludf.DUMMYFUNCTION("""COMPUTED_VALUE"""),44092.99861111111)</f>
        <v>44092.99861</v>
      </c>
      <c r="B1455" s="1">
        <f>IFERROR(__xludf.DUMMYFUNCTION("""COMPUTED_VALUE"""),10936.99)</f>
        <v>10936.99</v>
      </c>
      <c r="C1455" s="58">
        <f t="shared" si="1"/>
        <v>4276.998611</v>
      </c>
      <c r="D1455" s="1">
        <f t="shared" si="2"/>
        <v>5966.044024</v>
      </c>
      <c r="E1455" s="1">
        <f t="shared" si="3"/>
        <v>10738.87924</v>
      </c>
      <c r="F1455" s="1">
        <f t="shared" si="4"/>
        <v>20284.54968</v>
      </c>
      <c r="G1455" s="1">
        <f t="shared" si="5"/>
        <v>35796.26415</v>
      </c>
      <c r="H1455" s="1">
        <f t="shared" si="6"/>
        <v>65626.48427</v>
      </c>
      <c r="I1455" s="1">
        <f t="shared" si="7"/>
        <v>107388.7924</v>
      </c>
    </row>
    <row r="1456" hidden="1">
      <c r="A1456" s="266">
        <f>IFERROR(__xludf.DUMMYFUNCTION("""COMPUTED_VALUE"""),44093.99861111111)</f>
        <v>44093.99861</v>
      </c>
      <c r="B1456" s="1">
        <f>IFERROR(__xludf.DUMMYFUNCTION("""COMPUTED_VALUE"""),11082.85)</f>
        <v>11082.85</v>
      </c>
      <c r="C1456" s="58">
        <f t="shared" si="1"/>
        <v>4277.998611</v>
      </c>
      <c r="D1456" s="1">
        <f t="shared" si="2"/>
        <v>5974.139065</v>
      </c>
      <c r="E1456" s="1">
        <f t="shared" si="3"/>
        <v>10753.45032</v>
      </c>
      <c r="F1456" s="1">
        <f t="shared" si="4"/>
        <v>20312.07282</v>
      </c>
      <c r="G1456" s="1">
        <f t="shared" si="5"/>
        <v>35844.83439</v>
      </c>
      <c r="H1456" s="1">
        <f t="shared" si="6"/>
        <v>65715.52972</v>
      </c>
      <c r="I1456" s="1">
        <f t="shared" si="7"/>
        <v>107534.5032</v>
      </c>
    </row>
    <row r="1457" hidden="1">
      <c r="A1457" s="266">
        <f>IFERROR(__xludf.DUMMYFUNCTION("""COMPUTED_VALUE"""),44094.99861111111)</f>
        <v>44094.99861</v>
      </c>
      <c r="B1457" s="1">
        <f>IFERROR(__xludf.DUMMYFUNCTION("""COMPUTED_VALUE"""),10920.82)</f>
        <v>10920.82</v>
      </c>
      <c r="C1457" s="58">
        <f t="shared" si="1"/>
        <v>4278.998611</v>
      </c>
      <c r="D1457" s="1">
        <f t="shared" si="2"/>
        <v>5982.243194</v>
      </c>
      <c r="E1457" s="1">
        <f t="shared" si="3"/>
        <v>10768.03775</v>
      </c>
      <c r="F1457" s="1">
        <f t="shared" si="4"/>
        <v>20339.62686</v>
      </c>
      <c r="G1457" s="1">
        <f t="shared" si="5"/>
        <v>35893.45916</v>
      </c>
      <c r="H1457" s="1">
        <f t="shared" si="6"/>
        <v>65804.67513</v>
      </c>
      <c r="I1457" s="1">
        <f t="shared" si="7"/>
        <v>107680.3775</v>
      </c>
    </row>
    <row r="1458" hidden="1">
      <c r="A1458" s="266">
        <f>IFERROR(__xludf.DUMMYFUNCTION("""COMPUTED_VALUE"""),44095.99861111111)</f>
        <v>44095.99861</v>
      </c>
      <c r="B1458" s="1">
        <f>IFERROR(__xludf.DUMMYFUNCTION("""COMPUTED_VALUE"""),10418.53)</f>
        <v>10418.53</v>
      </c>
      <c r="C1458" s="58">
        <f t="shared" si="1"/>
        <v>4279.998611</v>
      </c>
      <c r="D1458" s="1">
        <f t="shared" si="2"/>
        <v>5990.356419</v>
      </c>
      <c r="E1458" s="1">
        <f t="shared" si="3"/>
        <v>10782.64155</v>
      </c>
      <c r="F1458" s="1">
        <f t="shared" si="4"/>
        <v>20367.21182</v>
      </c>
      <c r="G1458" s="1">
        <f t="shared" si="5"/>
        <v>35942.13851</v>
      </c>
      <c r="H1458" s="1">
        <f t="shared" si="6"/>
        <v>65893.9206</v>
      </c>
      <c r="I1458" s="1">
        <f t="shared" si="7"/>
        <v>107826.4155</v>
      </c>
    </row>
    <row r="1459" hidden="1">
      <c r="A1459" s="266">
        <f>IFERROR(__xludf.DUMMYFUNCTION("""COMPUTED_VALUE"""),44096.99861111111)</f>
        <v>44096.99861</v>
      </c>
      <c r="B1459" s="1">
        <f>IFERROR(__xludf.DUMMYFUNCTION("""COMPUTED_VALUE"""),10532.29)</f>
        <v>10532.29</v>
      </c>
      <c r="C1459" s="58">
        <f t="shared" si="1"/>
        <v>4280.998611</v>
      </c>
      <c r="D1459" s="1">
        <f t="shared" si="2"/>
        <v>5998.478747</v>
      </c>
      <c r="E1459" s="1">
        <f t="shared" si="3"/>
        <v>10797.26175</v>
      </c>
      <c r="F1459" s="1">
        <f t="shared" si="4"/>
        <v>20394.82774</v>
      </c>
      <c r="G1459" s="1">
        <f t="shared" si="5"/>
        <v>35990.87248</v>
      </c>
      <c r="H1459" s="1">
        <f t="shared" si="6"/>
        <v>65983.26622</v>
      </c>
      <c r="I1459" s="1">
        <f t="shared" si="7"/>
        <v>107972.6175</v>
      </c>
    </row>
    <row r="1460" hidden="1">
      <c r="A1460" s="266">
        <f>IFERROR(__xludf.DUMMYFUNCTION("""COMPUTED_VALUE"""),44097.99861111111)</f>
        <v>44097.99861</v>
      </c>
      <c r="B1460" s="1">
        <f>IFERROR(__xludf.DUMMYFUNCTION("""COMPUTED_VALUE"""),10234.28)</f>
        <v>10234.28</v>
      </c>
      <c r="C1460" s="58">
        <f t="shared" si="1"/>
        <v>4281.998611</v>
      </c>
      <c r="D1460" s="1">
        <f t="shared" si="2"/>
        <v>6006.610188</v>
      </c>
      <c r="E1460" s="1">
        <f t="shared" si="3"/>
        <v>10811.89834</v>
      </c>
      <c r="F1460" s="1">
        <f t="shared" si="4"/>
        <v>20422.47464</v>
      </c>
      <c r="G1460" s="1">
        <f t="shared" si="5"/>
        <v>36039.66113</v>
      </c>
      <c r="H1460" s="1">
        <f t="shared" si="6"/>
        <v>66072.71207</v>
      </c>
      <c r="I1460" s="1">
        <f t="shared" si="7"/>
        <v>108118.9834</v>
      </c>
    </row>
    <row r="1461" hidden="1">
      <c r="A1461" s="266">
        <f>IFERROR(__xludf.DUMMYFUNCTION("""COMPUTED_VALUE"""),44098.99861111111)</f>
        <v>44098.99861</v>
      </c>
      <c r="B1461" s="1">
        <f>IFERROR(__xludf.DUMMYFUNCTION("""COMPUTED_VALUE"""),10741.21)</f>
        <v>10741.21</v>
      </c>
      <c r="C1461" s="58">
        <f t="shared" si="1"/>
        <v>4282.998611</v>
      </c>
      <c r="D1461" s="1">
        <f t="shared" si="2"/>
        <v>6014.750749</v>
      </c>
      <c r="E1461" s="1">
        <f t="shared" si="3"/>
        <v>10826.55135</v>
      </c>
      <c r="F1461" s="1">
        <f t="shared" si="4"/>
        <v>20450.15255</v>
      </c>
      <c r="G1461" s="1">
        <f t="shared" si="5"/>
        <v>36088.5045</v>
      </c>
      <c r="H1461" s="1">
        <f t="shared" si="6"/>
        <v>66162.25824</v>
      </c>
      <c r="I1461" s="1">
        <f t="shared" si="7"/>
        <v>108265.5135</v>
      </c>
    </row>
    <row r="1462" hidden="1">
      <c r="A1462" s="266">
        <f>IFERROR(__xludf.DUMMYFUNCTION("""COMPUTED_VALUE"""),44099.99861111111)</f>
        <v>44099.99861</v>
      </c>
      <c r="B1462" s="1">
        <f>IFERROR(__xludf.DUMMYFUNCTION("""COMPUTED_VALUE"""),10691.79)</f>
        <v>10691.79</v>
      </c>
      <c r="C1462" s="58">
        <f t="shared" si="1"/>
        <v>4283.998611</v>
      </c>
      <c r="D1462" s="1">
        <f t="shared" si="2"/>
        <v>6022.900439</v>
      </c>
      <c r="E1462" s="1">
        <f t="shared" si="3"/>
        <v>10841.22079</v>
      </c>
      <c r="F1462" s="1">
        <f t="shared" si="4"/>
        <v>20477.86149</v>
      </c>
      <c r="G1462" s="1">
        <f t="shared" si="5"/>
        <v>36137.40263</v>
      </c>
      <c r="H1462" s="1">
        <f t="shared" si="6"/>
        <v>66251.90482</v>
      </c>
      <c r="I1462" s="1">
        <f t="shared" si="7"/>
        <v>108412.2079</v>
      </c>
    </row>
    <row r="1463" hidden="1">
      <c r="A1463" s="266">
        <f>IFERROR(__xludf.DUMMYFUNCTION("""COMPUTED_VALUE"""),44100.99861111111)</f>
        <v>44100.99861</v>
      </c>
      <c r="B1463" s="1">
        <f>IFERROR(__xludf.DUMMYFUNCTION("""COMPUTED_VALUE"""),10732.1)</f>
        <v>10732.1</v>
      </c>
      <c r="C1463" s="58">
        <f t="shared" si="1"/>
        <v>4284.998611</v>
      </c>
      <c r="D1463" s="1">
        <f t="shared" si="2"/>
        <v>6031.059264</v>
      </c>
      <c r="E1463" s="1">
        <f t="shared" si="3"/>
        <v>10855.90668</v>
      </c>
      <c r="F1463" s="1">
        <f t="shared" si="4"/>
        <v>20505.6015</v>
      </c>
      <c r="G1463" s="1">
        <f t="shared" si="5"/>
        <v>36186.35559</v>
      </c>
      <c r="H1463" s="1">
        <f t="shared" si="6"/>
        <v>66341.65191</v>
      </c>
      <c r="I1463" s="1">
        <f t="shared" si="7"/>
        <v>108559.0668</v>
      </c>
    </row>
    <row r="1464" hidden="1">
      <c r="A1464" s="266">
        <f>IFERROR(__xludf.DUMMYFUNCTION("""COMPUTED_VALUE"""),44101.99861111111)</f>
        <v>44101.99861</v>
      </c>
      <c r="B1464" s="1">
        <f>IFERROR(__xludf.DUMMYFUNCTION("""COMPUTED_VALUE"""),10777.93)</f>
        <v>10777.93</v>
      </c>
      <c r="C1464" s="58">
        <f t="shared" si="1"/>
        <v>4285.998611</v>
      </c>
      <c r="D1464" s="1">
        <f t="shared" si="2"/>
        <v>6039.227235</v>
      </c>
      <c r="E1464" s="1">
        <f t="shared" si="3"/>
        <v>10870.60902</v>
      </c>
      <c r="F1464" s="1">
        <f t="shared" si="4"/>
        <v>20533.3726</v>
      </c>
      <c r="G1464" s="1">
        <f t="shared" si="5"/>
        <v>36235.36341</v>
      </c>
      <c r="H1464" s="1">
        <f t="shared" si="6"/>
        <v>66431.49958</v>
      </c>
      <c r="I1464" s="1">
        <f t="shared" si="7"/>
        <v>108706.0902</v>
      </c>
    </row>
    <row r="1465" hidden="1">
      <c r="A1465" s="266">
        <f>IFERROR(__xludf.DUMMYFUNCTION("""COMPUTED_VALUE"""),44102.99861111111)</f>
        <v>44102.99861</v>
      </c>
      <c r="B1465" s="1">
        <f>IFERROR(__xludf.DUMMYFUNCTION("""COMPUTED_VALUE"""),10695.78)</f>
        <v>10695.78</v>
      </c>
      <c r="C1465" s="58">
        <f t="shared" si="1"/>
        <v>4286.998611</v>
      </c>
      <c r="D1465" s="1">
        <f t="shared" si="2"/>
        <v>6047.404358</v>
      </c>
      <c r="E1465" s="1">
        <f t="shared" si="3"/>
        <v>10885.32784</v>
      </c>
      <c r="F1465" s="1">
        <f t="shared" si="4"/>
        <v>20561.17482</v>
      </c>
      <c r="G1465" s="1">
        <f t="shared" si="5"/>
        <v>36284.42615</v>
      </c>
      <c r="H1465" s="1">
        <f t="shared" si="6"/>
        <v>66521.44794</v>
      </c>
      <c r="I1465" s="1">
        <f t="shared" si="7"/>
        <v>108853.2784</v>
      </c>
    </row>
    <row r="1466" hidden="1">
      <c r="A1466" s="266">
        <f>IFERROR(__xludf.DUMMYFUNCTION("""COMPUTED_VALUE"""),44103.99861111111)</f>
        <v>44103.99861</v>
      </c>
      <c r="B1466" s="1">
        <f>IFERROR(__xludf.DUMMYFUNCTION("""COMPUTED_VALUE"""),10841.77)</f>
        <v>10841.77</v>
      </c>
      <c r="C1466" s="58">
        <f t="shared" si="1"/>
        <v>4287.998611</v>
      </c>
      <c r="D1466" s="1">
        <f t="shared" si="2"/>
        <v>6055.590642</v>
      </c>
      <c r="E1466" s="1">
        <f t="shared" si="3"/>
        <v>10900.06315</v>
      </c>
      <c r="F1466" s="1">
        <f t="shared" si="4"/>
        <v>20589.00818</v>
      </c>
      <c r="G1466" s="1">
        <f t="shared" si="5"/>
        <v>36333.54385</v>
      </c>
      <c r="H1466" s="1">
        <f t="shared" si="6"/>
        <v>66611.49706</v>
      </c>
      <c r="I1466" s="1">
        <f t="shared" si="7"/>
        <v>109000.6315</v>
      </c>
    </row>
    <row r="1467" hidden="1">
      <c r="A1467" s="266">
        <f>IFERROR(__xludf.DUMMYFUNCTION("""COMPUTED_VALUE"""),44104.99861111111)</f>
        <v>44104.99861</v>
      </c>
      <c r="B1467" s="1">
        <f>IFERROR(__xludf.DUMMYFUNCTION("""COMPUTED_VALUE"""),10779.78)</f>
        <v>10779.78</v>
      </c>
      <c r="C1467" s="58">
        <f t="shared" si="1"/>
        <v>4288.998611</v>
      </c>
      <c r="D1467" s="1">
        <f t="shared" si="2"/>
        <v>6063.786094</v>
      </c>
      <c r="E1467" s="1">
        <f t="shared" si="3"/>
        <v>10914.81497</v>
      </c>
      <c r="F1467" s="1">
        <f t="shared" si="4"/>
        <v>20616.87272</v>
      </c>
      <c r="G1467" s="1">
        <f t="shared" si="5"/>
        <v>36382.71657</v>
      </c>
      <c r="H1467" s="1">
        <f t="shared" si="6"/>
        <v>66701.64704</v>
      </c>
      <c r="I1467" s="1">
        <f t="shared" si="7"/>
        <v>109148.1497</v>
      </c>
    </row>
    <row r="1468" hidden="1">
      <c r="A1468" s="266">
        <f>IFERROR(__xludf.DUMMYFUNCTION("""COMPUTED_VALUE"""),44105.99861111111)</f>
        <v>44105.99861</v>
      </c>
      <c r="B1468" s="1">
        <f>IFERROR(__xludf.DUMMYFUNCTION("""COMPUTED_VALUE"""),10620.55)</f>
        <v>10620.55</v>
      </c>
      <c r="C1468" s="58">
        <f t="shared" si="1"/>
        <v>4289.998611</v>
      </c>
      <c r="D1468" s="1">
        <f t="shared" si="2"/>
        <v>6071.990724</v>
      </c>
      <c r="E1468" s="1">
        <f t="shared" si="3"/>
        <v>10929.5833</v>
      </c>
      <c r="F1468" s="1">
        <f t="shared" si="4"/>
        <v>20644.76846</v>
      </c>
      <c r="G1468" s="1">
        <f t="shared" si="5"/>
        <v>36431.94434</v>
      </c>
      <c r="H1468" s="1">
        <f t="shared" si="6"/>
        <v>66791.89796</v>
      </c>
      <c r="I1468" s="1">
        <f t="shared" si="7"/>
        <v>109295.833</v>
      </c>
    </row>
    <row r="1469" hidden="1">
      <c r="A1469" s="266">
        <f>IFERROR(__xludf.DUMMYFUNCTION("""COMPUTED_VALUE"""),44106.99861111111)</f>
        <v>44106.99861</v>
      </c>
      <c r="B1469" s="1">
        <f>IFERROR(__xludf.DUMMYFUNCTION("""COMPUTED_VALUE"""),10574.28)</f>
        <v>10574.28</v>
      </c>
      <c r="C1469" s="58">
        <f t="shared" si="1"/>
        <v>4290.998611</v>
      </c>
      <c r="D1469" s="1">
        <f t="shared" si="2"/>
        <v>6080.204539</v>
      </c>
      <c r="E1469" s="1">
        <f t="shared" si="3"/>
        <v>10944.36817</v>
      </c>
      <c r="F1469" s="1">
        <f t="shared" si="4"/>
        <v>20672.69543</v>
      </c>
      <c r="G1469" s="1">
        <f t="shared" si="5"/>
        <v>36481.22723</v>
      </c>
      <c r="H1469" s="1">
        <f t="shared" si="6"/>
        <v>66882.24993</v>
      </c>
      <c r="I1469" s="1">
        <f t="shared" si="7"/>
        <v>109443.6817</v>
      </c>
    </row>
    <row r="1470" hidden="1">
      <c r="A1470" s="266">
        <f>IFERROR(__xludf.DUMMYFUNCTION("""COMPUTED_VALUE"""),44107.99861111111)</f>
        <v>44107.99861</v>
      </c>
      <c r="B1470" s="1">
        <f>IFERROR(__xludf.DUMMYFUNCTION("""COMPUTED_VALUE"""),10551.46)</f>
        <v>10551.46</v>
      </c>
      <c r="C1470" s="58">
        <f t="shared" si="1"/>
        <v>4291.998611</v>
      </c>
      <c r="D1470" s="1">
        <f t="shared" si="2"/>
        <v>6088.427547</v>
      </c>
      <c r="E1470" s="1">
        <f t="shared" si="3"/>
        <v>10959.16958</v>
      </c>
      <c r="F1470" s="1">
        <f t="shared" si="4"/>
        <v>20700.65366</v>
      </c>
      <c r="G1470" s="1">
        <f t="shared" si="5"/>
        <v>36530.56528</v>
      </c>
      <c r="H1470" s="1">
        <f t="shared" si="6"/>
        <v>66972.70302</v>
      </c>
      <c r="I1470" s="1">
        <f t="shared" si="7"/>
        <v>109591.6958</v>
      </c>
    </row>
    <row r="1471" hidden="1">
      <c r="A1471" s="266">
        <f>IFERROR(__xludf.DUMMYFUNCTION("""COMPUTED_VALUE"""),44108.99861111111)</f>
        <v>44108.99861</v>
      </c>
      <c r="B1471" s="1">
        <f>IFERROR(__xludf.DUMMYFUNCTION("""COMPUTED_VALUE"""),10673.94)</f>
        <v>10673.94</v>
      </c>
      <c r="C1471" s="58">
        <f t="shared" si="1"/>
        <v>4292.998611</v>
      </c>
      <c r="D1471" s="1">
        <f t="shared" si="2"/>
        <v>6096.659756</v>
      </c>
      <c r="E1471" s="1">
        <f t="shared" si="3"/>
        <v>10973.98756</v>
      </c>
      <c r="F1471" s="1">
        <f t="shared" si="4"/>
        <v>20728.64317</v>
      </c>
      <c r="G1471" s="1">
        <f t="shared" si="5"/>
        <v>36579.95854</v>
      </c>
      <c r="H1471" s="1">
        <f t="shared" si="6"/>
        <v>67063.25732</v>
      </c>
      <c r="I1471" s="1">
        <f t="shared" si="7"/>
        <v>109739.8756</v>
      </c>
    </row>
    <row r="1472" hidden="1">
      <c r="A1472" s="266">
        <f>IFERROR(__xludf.DUMMYFUNCTION("""COMPUTED_VALUE"""),44109.99861111111)</f>
        <v>44109.99861</v>
      </c>
      <c r="B1472" s="1">
        <f>IFERROR(__xludf.DUMMYFUNCTION("""COMPUTED_VALUE"""),10793.58)</f>
        <v>10793.58</v>
      </c>
      <c r="C1472" s="58">
        <f t="shared" si="1"/>
        <v>4293.998611</v>
      </c>
      <c r="D1472" s="1">
        <f t="shared" si="2"/>
        <v>6104.901175</v>
      </c>
      <c r="E1472" s="1">
        <f t="shared" si="3"/>
        <v>10988.82212</v>
      </c>
      <c r="F1472" s="1">
        <f t="shared" si="4"/>
        <v>20756.664</v>
      </c>
      <c r="G1472" s="1">
        <f t="shared" si="5"/>
        <v>36629.40705</v>
      </c>
      <c r="H1472" s="1">
        <f t="shared" si="6"/>
        <v>67153.91293</v>
      </c>
      <c r="I1472" s="1">
        <f t="shared" si="7"/>
        <v>109888.2212</v>
      </c>
    </row>
    <row r="1473" hidden="1">
      <c r="A1473" s="266">
        <f>IFERROR(__xludf.DUMMYFUNCTION("""COMPUTED_VALUE"""),44110.99861111111)</f>
        <v>44110.99861</v>
      </c>
      <c r="B1473" s="1">
        <f>IFERROR(__xludf.DUMMYFUNCTION("""COMPUTED_VALUE"""),10603.72)</f>
        <v>10603.72</v>
      </c>
      <c r="C1473" s="58">
        <f t="shared" si="1"/>
        <v>4294.998611</v>
      </c>
      <c r="D1473" s="1">
        <f t="shared" si="2"/>
        <v>6113.151812</v>
      </c>
      <c r="E1473" s="1">
        <f t="shared" si="3"/>
        <v>11003.67326</v>
      </c>
      <c r="F1473" s="1">
        <f t="shared" si="4"/>
        <v>20784.71616</v>
      </c>
      <c r="G1473" s="1">
        <f t="shared" si="5"/>
        <v>36678.91087</v>
      </c>
      <c r="H1473" s="1">
        <f t="shared" si="6"/>
        <v>67244.66994</v>
      </c>
      <c r="I1473" s="1">
        <f t="shared" si="7"/>
        <v>110036.7326</v>
      </c>
    </row>
    <row r="1474" hidden="1">
      <c r="A1474" s="266">
        <f>IFERROR(__xludf.DUMMYFUNCTION("""COMPUTED_VALUE"""),44111.99861111111)</f>
        <v>44111.99861</v>
      </c>
      <c r="B1474" s="1">
        <f>IFERROR(__xludf.DUMMYFUNCTION("""COMPUTED_VALUE"""),10671.61)</f>
        <v>10671.61</v>
      </c>
      <c r="C1474" s="58">
        <f t="shared" si="1"/>
        <v>4295.998611</v>
      </c>
      <c r="D1474" s="1">
        <f t="shared" si="2"/>
        <v>6121.411675</v>
      </c>
      <c r="E1474" s="1">
        <f t="shared" si="3"/>
        <v>11018.54102</v>
      </c>
      <c r="F1474" s="1">
        <f t="shared" si="4"/>
        <v>20812.7997</v>
      </c>
      <c r="G1474" s="1">
        <f t="shared" si="5"/>
        <v>36728.47005</v>
      </c>
      <c r="H1474" s="1">
        <f t="shared" si="6"/>
        <v>67335.52843</v>
      </c>
      <c r="I1474" s="1">
        <f t="shared" si="7"/>
        <v>110185.4102</v>
      </c>
    </row>
    <row r="1475" hidden="1">
      <c r="A1475" s="266">
        <f>IFERROR(__xludf.DUMMYFUNCTION("""COMPUTED_VALUE"""),44112.99861111111)</f>
        <v>44112.99861</v>
      </c>
      <c r="B1475" s="1">
        <f>IFERROR(__xludf.DUMMYFUNCTION("""COMPUTED_VALUE"""),10929.55)</f>
        <v>10929.55</v>
      </c>
      <c r="C1475" s="58">
        <f t="shared" si="1"/>
        <v>4296.998611</v>
      </c>
      <c r="D1475" s="1">
        <f t="shared" si="2"/>
        <v>6129.680772</v>
      </c>
      <c r="E1475" s="1">
        <f t="shared" si="3"/>
        <v>11033.42539</v>
      </c>
      <c r="F1475" s="1">
        <f t="shared" si="4"/>
        <v>20840.91462</v>
      </c>
      <c r="G1475" s="1">
        <f t="shared" si="5"/>
        <v>36778.08463</v>
      </c>
      <c r="H1475" s="1">
        <f t="shared" si="6"/>
        <v>67426.48849</v>
      </c>
      <c r="I1475" s="1">
        <f t="shared" si="7"/>
        <v>110334.2539</v>
      </c>
    </row>
    <row r="1476" hidden="1">
      <c r="A1476" s="266">
        <f>IFERROR(__xludf.DUMMYFUNCTION("""COMPUTED_VALUE"""),44113.99861111111)</f>
        <v>44113.99861</v>
      </c>
      <c r="B1476" s="1">
        <f>IFERROR(__xludf.DUMMYFUNCTION("""COMPUTED_VALUE"""),11059.02)</f>
        <v>11059.02</v>
      </c>
      <c r="C1476" s="58">
        <f t="shared" si="1"/>
        <v>4297.998611</v>
      </c>
      <c r="D1476" s="1">
        <f t="shared" si="2"/>
        <v>6137.959111</v>
      </c>
      <c r="E1476" s="1">
        <f t="shared" si="3"/>
        <v>11048.3264</v>
      </c>
      <c r="F1476" s="1">
        <f t="shared" si="4"/>
        <v>20869.06098</v>
      </c>
      <c r="G1476" s="1">
        <f t="shared" si="5"/>
        <v>36827.75467</v>
      </c>
      <c r="H1476" s="1">
        <f t="shared" si="6"/>
        <v>67517.55022</v>
      </c>
      <c r="I1476" s="1">
        <f t="shared" si="7"/>
        <v>110483.264</v>
      </c>
    </row>
    <row r="1477" hidden="1">
      <c r="A1477" s="266">
        <f>IFERROR(__xludf.DUMMYFUNCTION("""COMPUTED_VALUE"""),44114.99861111111)</f>
        <v>44114.99861</v>
      </c>
      <c r="B1477" s="1">
        <f>IFERROR(__xludf.DUMMYFUNCTION("""COMPUTED_VALUE"""),11301.6)</f>
        <v>11301.6</v>
      </c>
      <c r="C1477" s="58">
        <f t="shared" si="1"/>
        <v>4298.998611</v>
      </c>
      <c r="D1477" s="1">
        <f t="shared" si="2"/>
        <v>6146.2467</v>
      </c>
      <c r="E1477" s="1">
        <f t="shared" si="3"/>
        <v>11063.24406</v>
      </c>
      <c r="F1477" s="1">
        <f t="shared" si="4"/>
        <v>20897.23878</v>
      </c>
      <c r="G1477" s="1">
        <f t="shared" si="5"/>
        <v>36877.4802</v>
      </c>
      <c r="H1477" s="1">
        <f t="shared" si="6"/>
        <v>67608.7137</v>
      </c>
      <c r="I1477" s="1">
        <f t="shared" si="7"/>
        <v>110632.4406</v>
      </c>
    </row>
    <row r="1478" hidden="1">
      <c r="A1478" s="266">
        <f>IFERROR(__xludf.DUMMYFUNCTION("""COMPUTED_VALUE"""),44115.99861111111)</f>
        <v>44115.99861</v>
      </c>
      <c r="B1478" s="1">
        <f>IFERROR(__xludf.DUMMYFUNCTION("""COMPUTED_VALUE"""),11375.07)</f>
        <v>11375.07</v>
      </c>
      <c r="C1478" s="58">
        <f t="shared" si="1"/>
        <v>4299.998611</v>
      </c>
      <c r="D1478" s="1">
        <f t="shared" si="2"/>
        <v>6154.543548</v>
      </c>
      <c r="E1478" s="1">
        <f t="shared" si="3"/>
        <v>11078.17839</v>
      </c>
      <c r="F1478" s="1">
        <f t="shared" si="4"/>
        <v>20925.44806</v>
      </c>
      <c r="G1478" s="1">
        <f t="shared" si="5"/>
        <v>36927.26129</v>
      </c>
      <c r="H1478" s="1">
        <f t="shared" si="6"/>
        <v>67699.97903</v>
      </c>
      <c r="I1478" s="1">
        <f t="shared" si="7"/>
        <v>110781.7839</v>
      </c>
    </row>
    <row r="1479" hidden="1">
      <c r="A1479" s="266">
        <f>IFERROR(__xludf.DUMMYFUNCTION("""COMPUTED_VALUE"""),44116.99861111111)</f>
        <v>44116.99861</v>
      </c>
      <c r="B1479" s="1">
        <f>IFERROR(__xludf.DUMMYFUNCTION("""COMPUTED_VALUE"""),11537.3)</f>
        <v>11537.3</v>
      </c>
      <c r="C1479" s="58">
        <f t="shared" si="1"/>
        <v>4300.998611</v>
      </c>
      <c r="D1479" s="1">
        <f t="shared" si="2"/>
        <v>6162.849663</v>
      </c>
      <c r="E1479" s="1">
        <f t="shared" si="3"/>
        <v>11093.12939</v>
      </c>
      <c r="F1479" s="1">
        <f t="shared" si="4"/>
        <v>20953.68885</v>
      </c>
      <c r="G1479" s="1">
        <f t="shared" si="5"/>
        <v>36977.09798</v>
      </c>
      <c r="H1479" s="1">
        <f t="shared" si="6"/>
        <v>67791.34629</v>
      </c>
      <c r="I1479" s="1">
        <f t="shared" si="7"/>
        <v>110931.2939</v>
      </c>
    </row>
    <row r="1480" hidden="1">
      <c r="A1480" s="266">
        <f>IFERROR(__xludf.DUMMYFUNCTION("""COMPUTED_VALUE"""),44117.99861111111)</f>
        <v>44117.99861</v>
      </c>
      <c r="B1480" s="1">
        <f>IFERROR(__xludf.DUMMYFUNCTION("""COMPUTED_VALUE"""),11429.06)</f>
        <v>11429.06</v>
      </c>
      <c r="C1480" s="58">
        <f t="shared" si="1"/>
        <v>4301.998611</v>
      </c>
      <c r="D1480" s="1">
        <f t="shared" si="2"/>
        <v>6171.165053</v>
      </c>
      <c r="E1480" s="1">
        <f t="shared" si="3"/>
        <v>11108.0971</v>
      </c>
      <c r="F1480" s="1">
        <f t="shared" si="4"/>
        <v>20981.96118</v>
      </c>
      <c r="G1480" s="1">
        <f t="shared" si="5"/>
        <v>37026.99032</v>
      </c>
      <c r="H1480" s="1">
        <f t="shared" si="6"/>
        <v>67882.81558</v>
      </c>
      <c r="I1480" s="1">
        <f t="shared" si="7"/>
        <v>111080.971</v>
      </c>
    </row>
    <row r="1481" hidden="1">
      <c r="A1481" s="266">
        <f>IFERROR(__xludf.DUMMYFUNCTION("""COMPUTED_VALUE"""),44118.99861111111)</f>
        <v>44118.99861</v>
      </c>
      <c r="B1481" s="1">
        <f>IFERROR(__xludf.DUMMYFUNCTION("""COMPUTED_VALUE"""),11428.24)</f>
        <v>11428.24</v>
      </c>
      <c r="C1481" s="58">
        <f t="shared" si="1"/>
        <v>4302.998611</v>
      </c>
      <c r="D1481" s="1">
        <f t="shared" si="2"/>
        <v>6179.489726</v>
      </c>
      <c r="E1481" s="1">
        <f t="shared" si="3"/>
        <v>11123.08151</v>
      </c>
      <c r="F1481" s="1">
        <f t="shared" si="4"/>
        <v>21010.26507</v>
      </c>
      <c r="G1481" s="1">
        <f t="shared" si="5"/>
        <v>37076.93835</v>
      </c>
      <c r="H1481" s="1">
        <f t="shared" si="6"/>
        <v>67974.38698</v>
      </c>
      <c r="I1481" s="1">
        <f t="shared" si="7"/>
        <v>111230.8151</v>
      </c>
    </row>
    <row r="1482" hidden="1">
      <c r="A1482" s="266">
        <f>IFERROR(__xludf.DUMMYFUNCTION("""COMPUTED_VALUE"""),44119.99861111111)</f>
        <v>44119.99861</v>
      </c>
      <c r="B1482" s="1">
        <f>IFERROR(__xludf.DUMMYFUNCTION("""COMPUTED_VALUE"""),11506.18)</f>
        <v>11506.18</v>
      </c>
      <c r="C1482" s="58">
        <f t="shared" si="1"/>
        <v>4303.998611</v>
      </c>
      <c r="D1482" s="1">
        <f t="shared" si="2"/>
        <v>6187.82369</v>
      </c>
      <c r="E1482" s="1">
        <f t="shared" si="3"/>
        <v>11138.08264</v>
      </c>
      <c r="F1482" s="1">
        <f t="shared" si="4"/>
        <v>21038.60055</v>
      </c>
      <c r="G1482" s="1">
        <f t="shared" si="5"/>
        <v>37126.94214</v>
      </c>
      <c r="H1482" s="1">
        <f t="shared" si="6"/>
        <v>68066.06059</v>
      </c>
      <c r="I1482" s="1">
        <f t="shared" si="7"/>
        <v>111380.8264</v>
      </c>
    </row>
    <row r="1483" hidden="1">
      <c r="A1483" s="266">
        <f>IFERROR(__xludf.DUMMYFUNCTION("""COMPUTED_VALUE"""),44120.99861111111)</f>
        <v>44120.99861</v>
      </c>
      <c r="B1483" s="1">
        <f>IFERROR(__xludf.DUMMYFUNCTION("""COMPUTED_VALUE"""),11325.54)</f>
        <v>11325.54</v>
      </c>
      <c r="C1483" s="58">
        <f t="shared" si="1"/>
        <v>4304.998611</v>
      </c>
      <c r="D1483" s="1">
        <f t="shared" si="2"/>
        <v>6196.166954</v>
      </c>
      <c r="E1483" s="1">
        <f t="shared" si="3"/>
        <v>11153.10052</v>
      </c>
      <c r="F1483" s="1">
        <f t="shared" si="4"/>
        <v>21066.96764</v>
      </c>
      <c r="G1483" s="1">
        <f t="shared" si="5"/>
        <v>37177.00172</v>
      </c>
      <c r="H1483" s="1">
        <f t="shared" si="6"/>
        <v>68157.83649</v>
      </c>
      <c r="I1483" s="1">
        <f t="shared" si="7"/>
        <v>111531.0052</v>
      </c>
    </row>
    <row r="1484" hidden="1">
      <c r="A1484" s="266">
        <f>IFERROR(__xludf.DUMMYFUNCTION("""COMPUTED_VALUE"""),44121.99861111111)</f>
        <v>44121.99861</v>
      </c>
      <c r="B1484" s="1">
        <f>IFERROR(__xludf.DUMMYFUNCTION("""COMPUTED_VALUE"""),11367.93)</f>
        <v>11367.93</v>
      </c>
      <c r="C1484" s="58">
        <f t="shared" si="1"/>
        <v>4305.998611</v>
      </c>
      <c r="D1484" s="1">
        <f t="shared" si="2"/>
        <v>6204.519525</v>
      </c>
      <c r="E1484" s="1">
        <f t="shared" si="3"/>
        <v>11168.13515</v>
      </c>
      <c r="F1484" s="1">
        <f t="shared" si="4"/>
        <v>21095.36639</v>
      </c>
      <c r="G1484" s="1">
        <f t="shared" si="5"/>
        <v>37227.11715</v>
      </c>
      <c r="H1484" s="1">
        <f t="shared" si="6"/>
        <v>68249.71478</v>
      </c>
      <c r="I1484" s="1">
        <f t="shared" si="7"/>
        <v>111681.3515</v>
      </c>
    </row>
    <row r="1485" hidden="1">
      <c r="A1485" s="266">
        <f>IFERROR(__xludf.DUMMYFUNCTION("""COMPUTED_VALUE"""),44122.99861111111)</f>
        <v>44122.99861</v>
      </c>
      <c r="B1485" s="1">
        <f>IFERROR(__xludf.DUMMYFUNCTION("""COMPUTED_VALUE"""),11512.48)</f>
        <v>11512.48</v>
      </c>
      <c r="C1485" s="58">
        <f t="shared" si="1"/>
        <v>4306.998611</v>
      </c>
      <c r="D1485" s="1">
        <f t="shared" si="2"/>
        <v>6212.881413</v>
      </c>
      <c r="E1485" s="1">
        <f t="shared" si="3"/>
        <v>11183.18654</v>
      </c>
      <c r="F1485" s="1">
        <f t="shared" si="4"/>
        <v>21123.7968</v>
      </c>
      <c r="G1485" s="1">
        <f t="shared" si="5"/>
        <v>37277.28848</v>
      </c>
      <c r="H1485" s="1">
        <f t="shared" si="6"/>
        <v>68341.69554</v>
      </c>
      <c r="I1485" s="1">
        <f t="shared" si="7"/>
        <v>111831.8654</v>
      </c>
    </row>
    <row r="1486" hidden="1">
      <c r="A1486" s="266">
        <f>IFERROR(__xludf.DUMMYFUNCTION("""COMPUTED_VALUE"""),44123.99861111111)</f>
        <v>44123.99861</v>
      </c>
      <c r="B1486" s="1">
        <f>IFERROR(__xludf.DUMMYFUNCTION("""COMPUTED_VALUE"""),11758.06)</f>
        <v>11758.06</v>
      </c>
      <c r="C1486" s="58">
        <f t="shared" si="1"/>
        <v>4307.998611</v>
      </c>
      <c r="D1486" s="1">
        <f t="shared" si="2"/>
        <v>6221.252625</v>
      </c>
      <c r="E1486" s="1">
        <f t="shared" si="3"/>
        <v>11198.25472</v>
      </c>
      <c r="F1486" s="1">
        <f t="shared" si="4"/>
        <v>21152.25892</v>
      </c>
      <c r="G1486" s="1">
        <f t="shared" si="5"/>
        <v>37327.51575</v>
      </c>
      <c r="H1486" s="1">
        <f t="shared" si="6"/>
        <v>68433.77887</v>
      </c>
      <c r="I1486" s="1">
        <f t="shared" si="7"/>
        <v>111982.5472</v>
      </c>
    </row>
    <row r="1487" hidden="1">
      <c r="A1487" s="266">
        <f>IFERROR(__xludf.DUMMYFUNCTION("""COMPUTED_VALUE"""),44124.99861111111)</f>
        <v>44124.99861</v>
      </c>
      <c r="B1487" s="1">
        <f>IFERROR(__xludf.DUMMYFUNCTION("""COMPUTED_VALUE"""),11922.28)</f>
        <v>11922.28</v>
      </c>
      <c r="C1487" s="58">
        <f t="shared" si="1"/>
        <v>4308.998611</v>
      </c>
      <c r="D1487" s="1">
        <f t="shared" si="2"/>
        <v>6229.633169</v>
      </c>
      <c r="E1487" s="1">
        <f t="shared" si="3"/>
        <v>11213.3397</v>
      </c>
      <c r="F1487" s="1">
        <f t="shared" si="4"/>
        <v>21180.75278</v>
      </c>
      <c r="G1487" s="1">
        <f t="shared" si="5"/>
        <v>37377.79902</v>
      </c>
      <c r="H1487" s="1">
        <f t="shared" si="6"/>
        <v>68525.96486</v>
      </c>
      <c r="I1487" s="1">
        <f t="shared" si="7"/>
        <v>112133.397</v>
      </c>
    </row>
    <row r="1488" hidden="1">
      <c r="A1488" s="266">
        <f>IFERROR(__xludf.DUMMYFUNCTION("""COMPUTED_VALUE"""),44125.99861111111)</f>
        <v>44125.99861</v>
      </c>
      <c r="B1488" s="1">
        <f>IFERROR(__xludf.DUMMYFUNCTION("""COMPUTED_VALUE"""),12811.03)</f>
        <v>12811.03</v>
      </c>
      <c r="C1488" s="58">
        <f t="shared" si="1"/>
        <v>4309.998611</v>
      </c>
      <c r="D1488" s="1">
        <f t="shared" si="2"/>
        <v>6238.023054</v>
      </c>
      <c r="E1488" s="1">
        <f t="shared" si="3"/>
        <v>11228.4415</v>
      </c>
      <c r="F1488" s="1">
        <f t="shared" si="4"/>
        <v>21209.27838</v>
      </c>
      <c r="G1488" s="1">
        <f t="shared" si="5"/>
        <v>37428.13833</v>
      </c>
      <c r="H1488" s="1">
        <f t="shared" si="6"/>
        <v>68618.2536</v>
      </c>
      <c r="I1488" s="1">
        <f t="shared" si="7"/>
        <v>112284.415</v>
      </c>
    </row>
    <row r="1489" hidden="1">
      <c r="A1489" s="266">
        <f>IFERROR(__xludf.DUMMYFUNCTION("""COMPUTED_VALUE"""),44126.99861111111)</f>
        <v>44126.99861</v>
      </c>
      <c r="B1489" s="1">
        <f>IFERROR(__xludf.DUMMYFUNCTION("""COMPUTED_VALUE"""),12984.58)</f>
        <v>12984.58</v>
      </c>
      <c r="C1489" s="58">
        <f t="shared" si="1"/>
        <v>4310.998611</v>
      </c>
      <c r="D1489" s="1">
        <f t="shared" si="2"/>
        <v>6246.422288</v>
      </c>
      <c r="E1489" s="1">
        <f t="shared" si="3"/>
        <v>11243.56012</v>
      </c>
      <c r="F1489" s="1">
        <f t="shared" si="4"/>
        <v>21237.83578</v>
      </c>
      <c r="G1489" s="1">
        <f t="shared" si="5"/>
        <v>37478.53373</v>
      </c>
      <c r="H1489" s="1">
        <f t="shared" si="6"/>
        <v>68710.64517</v>
      </c>
      <c r="I1489" s="1">
        <f t="shared" si="7"/>
        <v>112435.6012</v>
      </c>
    </row>
    <row r="1490" hidden="1">
      <c r="A1490" s="266">
        <f>IFERROR(__xludf.DUMMYFUNCTION("""COMPUTED_VALUE"""),44127.99861111111)</f>
        <v>44127.99861</v>
      </c>
      <c r="B1490" s="1">
        <f>IFERROR(__xludf.DUMMYFUNCTION("""COMPUTED_VALUE"""),12939.6)</f>
        <v>12939.6</v>
      </c>
      <c r="C1490" s="58">
        <f t="shared" si="1"/>
        <v>4311.998611</v>
      </c>
      <c r="D1490" s="1">
        <f t="shared" si="2"/>
        <v>6254.830879</v>
      </c>
      <c r="E1490" s="1">
        <f t="shared" si="3"/>
        <v>11258.69558</v>
      </c>
      <c r="F1490" s="1">
        <f t="shared" si="4"/>
        <v>21266.42499</v>
      </c>
      <c r="G1490" s="1">
        <f t="shared" si="5"/>
        <v>37528.98528</v>
      </c>
      <c r="H1490" s="1">
        <f t="shared" si="6"/>
        <v>68803.13967</v>
      </c>
      <c r="I1490" s="1">
        <f t="shared" si="7"/>
        <v>112586.9558</v>
      </c>
    </row>
    <row r="1491" hidden="1">
      <c r="A1491" s="266">
        <f>IFERROR(__xludf.DUMMYFUNCTION("""COMPUTED_VALUE"""),44128.99861111111)</f>
        <v>44128.99861</v>
      </c>
      <c r="B1491" s="1">
        <f>IFERROR(__xludf.DUMMYFUNCTION("""COMPUTED_VALUE"""),13126.43)</f>
        <v>13126.43</v>
      </c>
      <c r="C1491" s="58">
        <f t="shared" si="1"/>
        <v>4312.998611</v>
      </c>
      <c r="D1491" s="1">
        <f t="shared" si="2"/>
        <v>6263.248836</v>
      </c>
      <c r="E1491" s="1">
        <f t="shared" si="3"/>
        <v>11273.8479</v>
      </c>
      <c r="F1491" s="1">
        <f t="shared" si="4"/>
        <v>21295.04604</v>
      </c>
      <c r="G1491" s="1">
        <f t="shared" si="5"/>
        <v>37579.49301</v>
      </c>
      <c r="H1491" s="1">
        <f t="shared" si="6"/>
        <v>68895.73719</v>
      </c>
      <c r="I1491" s="1">
        <f t="shared" si="7"/>
        <v>112738.479</v>
      </c>
    </row>
    <row r="1492" hidden="1">
      <c r="A1492" s="266">
        <f>IFERROR(__xludf.DUMMYFUNCTION("""COMPUTED_VALUE"""),44129.99861111111)</f>
        <v>44129.99861</v>
      </c>
      <c r="B1492" s="1">
        <f>IFERROR(__xludf.DUMMYFUNCTION("""COMPUTED_VALUE"""),13040.09)</f>
        <v>13040.09</v>
      </c>
      <c r="C1492" s="58">
        <f t="shared" si="1"/>
        <v>4313.998611</v>
      </c>
      <c r="D1492" s="1">
        <f t="shared" si="2"/>
        <v>6271.676166</v>
      </c>
      <c r="E1492" s="1">
        <f t="shared" si="3"/>
        <v>11289.0171</v>
      </c>
      <c r="F1492" s="1">
        <f t="shared" si="4"/>
        <v>21323.69896</v>
      </c>
      <c r="G1492" s="1">
        <f t="shared" si="5"/>
        <v>37630.057</v>
      </c>
      <c r="H1492" s="1">
        <f t="shared" si="6"/>
        <v>68988.43783</v>
      </c>
      <c r="I1492" s="1">
        <f t="shared" si="7"/>
        <v>112890.171</v>
      </c>
    </row>
    <row r="1493" hidden="1">
      <c r="A1493" s="266">
        <f>IFERROR(__xludf.DUMMYFUNCTION("""COMPUTED_VALUE"""),44130.99861111111)</f>
        <v>44130.99861</v>
      </c>
      <c r="B1493" s="1">
        <f>IFERROR(__xludf.DUMMYFUNCTION("""COMPUTED_VALUE"""),13070.06)</f>
        <v>13070.06</v>
      </c>
      <c r="C1493" s="58">
        <f t="shared" si="1"/>
        <v>4314.998611</v>
      </c>
      <c r="D1493" s="1">
        <f t="shared" si="2"/>
        <v>6280.112878</v>
      </c>
      <c r="E1493" s="1">
        <f t="shared" si="3"/>
        <v>11304.20318</v>
      </c>
      <c r="F1493" s="1">
        <f t="shared" si="4"/>
        <v>21352.38379</v>
      </c>
      <c r="G1493" s="1">
        <f t="shared" si="5"/>
        <v>37680.67727</v>
      </c>
      <c r="H1493" s="1">
        <f t="shared" si="6"/>
        <v>69081.24166</v>
      </c>
      <c r="I1493" s="1">
        <f t="shared" si="7"/>
        <v>113042.0318</v>
      </c>
    </row>
    <row r="1494" hidden="1">
      <c r="A1494" s="266">
        <f>IFERROR(__xludf.DUMMYFUNCTION("""COMPUTED_VALUE"""),44131.99861111111)</f>
        <v>44131.99861</v>
      </c>
      <c r="B1494" s="1">
        <f>IFERROR(__xludf.DUMMYFUNCTION("""COMPUTED_VALUE"""),13646.0)</f>
        <v>13646</v>
      </c>
      <c r="C1494" s="58">
        <f t="shared" si="1"/>
        <v>4315.998611</v>
      </c>
      <c r="D1494" s="1">
        <f t="shared" si="2"/>
        <v>6288.558981</v>
      </c>
      <c r="E1494" s="1">
        <f t="shared" si="3"/>
        <v>11319.40616</v>
      </c>
      <c r="F1494" s="1">
        <f t="shared" si="4"/>
        <v>21381.10053</v>
      </c>
      <c r="G1494" s="1">
        <f t="shared" si="5"/>
        <v>37731.35388</v>
      </c>
      <c r="H1494" s="1">
        <f t="shared" si="6"/>
        <v>69174.14879</v>
      </c>
      <c r="I1494" s="1">
        <f t="shared" si="7"/>
        <v>113194.0616</v>
      </c>
    </row>
    <row r="1495" hidden="1">
      <c r="A1495" s="266">
        <f>IFERROR(__xludf.DUMMYFUNCTION("""COMPUTED_VALUE"""),44132.99861111111)</f>
        <v>44132.99861</v>
      </c>
      <c r="B1495" s="1">
        <f>IFERROR(__xludf.DUMMYFUNCTION("""COMPUTED_VALUE"""),13280.92)</f>
        <v>13280.92</v>
      </c>
      <c r="C1495" s="58">
        <f t="shared" si="1"/>
        <v>4316.998611</v>
      </c>
      <c r="D1495" s="1">
        <f t="shared" si="2"/>
        <v>6297.014481</v>
      </c>
      <c r="E1495" s="1">
        <f t="shared" si="3"/>
        <v>11334.62607</v>
      </c>
      <c r="F1495" s="1">
        <f t="shared" si="4"/>
        <v>21409.84924</v>
      </c>
      <c r="G1495" s="1">
        <f t="shared" si="5"/>
        <v>37782.08689</v>
      </c>
      <c r="H1495" s="1">
        <f t="shared" si="6"/>
        <v>69267.1593</v>
      </c>
      <c r="I1495" s="1">
        <f t="shared" si="7"/>
        <v>113346.2607</v>
      </c>
    </row>
    <row r="1496" hidden="1">
      <c r="A1496" s="266">
        <f>IFERROR(__xludf.DUMMYFUNCTION("""COMPUTED_VALUE"""),44133.99861111111)</f>
        <v>44133.99861</v>
      </c>
      <c r="B1496" s="1">
        <f>IFERROR(__xludf.DUMMYFUNCTION("""COMPUTED_VALUE"""),13455.76)</f>
        <v>13455.76</v>
      </c>
      <c r="C1496" s="58">
        <f t="shared" si="1"/>
        <v>4317.998611</v>
      </c>
      <c r="D1496" s="1">
        <f t="shared" si="2"/>
        <v>6305.479389</v>
      </c>
      <c r="E1496" s="1">
        <f t="shared" si="3"/>
        <v>11349.8629</v>
      </c>
      <c r="F1496" s="1">
        <f t="shared" si="4"/>
        <v>21438.62992</v>
      </c>
      <c r="G1496" s="1">
        <f t="shared" si="5"/>
        <v>37832.87633</v>
      </c>
      <c r="H1496" s="1">
        <f t="shared" si="6"/>
        <v>69360.27328</v>
      </c>
      <c r="I1496" s="1">
        <f t="shared" si="7"/>
        <v>113498.629</v>
      </c>
    </row>
    <row r="1497" hidden="1">
      <c r="A1497" s="266">
        <f>IFERROR(__xludf.DUMMYFUNCTION("""COMPUTED_VALUE"""),44134.99861111111)</f>
        <v>44134.99861</v>
      </c>
      <c r="B1497" s="1">
        <f>IFERROR(__xludf.DUMMYFUNCTION("""COMPUTED_VALUE"""),13568.08)</f>
        <v>13568.08</v>
      </c>
      <c r="C1497" s="58">
        <f t="shared" si="1"/>
        <v>4318.998611</v>
      </c>
      <c r="D1497" s="1">
        <f t="shared" si="2"/>
        <v>6313.953712</v>
      </c>
      <c r="E1497" s="1">
        <f t="shared" si="3"/>
        <v>11365.11668</v>
      </c>
      <c r="F1497" s="1">
        <f t="shared" si="4"/>
        <v>21467.44262</v>
      </c>
      <c r="G1497" s="1">
        <f t="shared" si="5"/>
        <v>37883.72227</v>
      </c>
      <c r="H1497" s="1">
        <f t="shared" si="6"/>
        <v>69453.49083</v>
      </c>
      <c r="I1497" s="1">
        <f t="shared" si="7"/>
        <v>113651.1668</v>
      </c>
    </row>
    <row r="1498" hidden="1">
      <c r="A1498" s="266">
        <f>IFERROR(__xludf.DUMMYFUNCTION("""COMPUTED_VALUE"""),44135.99861111111)</f>
        <v>44135.99861</v>
      </c>
      <c r="B1498" s="1">
        <f>IFERROR(__xludf.DUMMYFUNCTION("""COMPUTED_VALUE"""),13798.8)</f>
        <v>13798.8</v>
      </c>
      <c r="C1498" s="58">
        <f t="shared" si="1"/>
        <v>4319.998611</v>
      </c>
      <c r="D1498" s="1">
        <f t="shared" si="2"/>
        <v>6322.437458</v>
      </c>
      <c r="E1498" s="1">
        <f t="shared" si="3"/>
        <v>11380.38742</v>
      </c>
      <c r="F1498" s="1">
        <f t="shared" si="4"/>
        <v>21496.28736</v>
      </c>
      <c r="G1498" s="1">
        <f t="shared" si="5"/>
        <v>37934.62475</v>
      </c>
      <c r="H1498" s="1">
        <f t="shared" si="6"/>
        <v>69546.81203</v>
      </c>
      <c r="I1498" s="1">
        <f t="shared" si="7"/>
        <v>113803.8742</v>
      </c>
    </row>
    <row r="1499" hidden="1">
      <c r="A1499" s="266">
        <f>IFERROR(__xludf.DUMMYFUNCTION("""COMPUTED_VALUE"""),44136.99861111111)</f>
        <v>44136.99861</v>
      </c>
      <c r="B1499" s="1">
        <f>IFERROR(__xludf.DUMMYFUNCTION("""COMPUTED_VALUE"""),13763.58)</f>
        <v>13763.58</v>
      </c>
      <c r="C1499" s="58">
        <f t="shared" si="1"/>
        <v>4320.998611</v>
      </c>
      <c r="D1499" s="1">
        <f t="shared" si="2"/>
        <v>6330.930635</v>
      </c>
      <c r="E1499" s="1">
        <f t="shared" si="3"/>
        <v>11395.67514</v>
      </c>
      <c r="F1499" s="1">
        <f t="shared" si="4"/>
        <v>21525.16416</v>
      </c>
      <c r="G1499" s="1">
        <f t="shared" si="5"/>
        <v>37985.58381</v>
      </c>
      <c r="H1499" s="1">
        <f t="shared" si="6"/>
        <v>69640.23699</v>
      </c>
      <c r="I1499" s="1">
        <f t="shared" si="7"/>
        <v>113956.7514</v>
      </c>
    </row>
    <row r="1500" hidden="1">
      <c r="A1500" s="266">
        <f>IFERROR(__xludf.DUMMYFUNCTION("""COMPUTED_VALUE"""),44137.99861111111)</f>
        <v>44137.99861</v>
      </c>
      <c r="B1500" s="1">
        <f>IFERROR(__xludf.DUMMYFUNCTION("""COMPUTED_VALUE"""),13566.47)</f>
        <v>13566.47</v>
      </c>
      <c r="C1500" s="58">
        <f t="shared" si="1"/>
        <v>4321.998611</v>
      </c>
      <c r="D1500" s="1">
        <f t="shared" si="2"/>
        <v>6339.433253</v>
      </c>
      <c r="E1500" s="1">
        <f t="shared" si="3"/>
        <v>11410.97986</v>
      </c>
      <c r="F1500" s="1">
        <f t="shared" si="4"/>
        <v>21554.07306</v>
      </c>
      <c r="G1500" s="1">
        <f t="shared" si="5"/>
        <v>38036.59952</v>
      </c>
      <c r="H1500" s="1">
        <f t="shared" si="6"/>
        <v>69733.76578</v>
      </c>
      <c r="I1500" s="1">
        <f t="shared" si="7"/>
        <v>114109.7986</v>
      </c>
    </row>
    <row r="1501" hidden="1">
      <c r="A1501" s="266">
        <f>IFERROR(__xludf.DUMMYFUNCTION("""COMPUTED_VALUE"""),44138.99861111111)</f>
        <v>44138.99861</v>
      </c>
      <c r="B1501" s="1">
        <f>IFERROR(__xludf.DUMMYFUNCTION("""COMPUTED_VALUE"""),14021.7)</f>
        <v>14021.7</v>
      </c>
      <c r="C1501" s="58">
        <f t="shared" si="1"/>
        <v>4322.998611</v>
      </c>
      <c r="D1501" s="1">
        <f t="shared" si="2"/>
        <v>6347.945319</v>
      </c>
      <c r="E1501" s="1">
        <f t="shared" si="3"/>
        <v>11426.30157</v>
      </c>
      <c r="F1501" s="1">
        <f t="shared" si="4"/>
        <v>21583.01408</v>
      </c>
      <c r="G1501" s="1">
        <f t="shared" si="5"/>
        <v>38087.67191</v>
      </c>
      <c r="H1501" s="1">
        <f t="shared" si="6"/>
        <v>69827.3985</v>
      </c>
      <c r="I1501" s="1">
        <f t="shared" si="7"/>
        <v>114263.0157</v>
      </c>
    </row>
    <row r="1502" hidden="1">
      <c r="A1502" s="266">
        <f>IFERROR(__xludf.DUMMYFUNCTION("""COMPUTED_VALUE"""),44139.99861111111)</f>
        <v>44139.99861</v>
      </c>
      <c r="B1502" s="1">
        <f>IFERROR(__xludf.DUMMYFUNCTION("""COMPUTED_VALUE"""),14159.61)</f>
        <v>14159.61</v>
      </c>
      <c r="C1502" s="58">
        <f t="shared" si="1"/>
        <v>4323.998611</v>
      </c>
      <c r="D1502" s="1">
        <f t="shared" si="2"/>
        <v>6356.466841</v>
      </c>
      <c r="E1502" s="1">
        <f t="shared" si="3"/>
        <v>11441.64031</v>
      </c>
      <c r="F1502" s="1">
        <f t="shared" si="4"/>
        <v>21611.98726</v>
      </c>
      <c r="G1502" s="1">
        <f t="shared" si="5"/>
        <v>38138.80105</v>
      </c>
      <c r="H1502" s="1">
        <f t="shared" si="6"/>
        <v>69921.13525</v>
      </c>
      <c r="I1502" s="1">
        <f t="shared" si="7"/>
        <v>114416.4031</v>
      </c>
    </row>
    <row r="1503" hidden="1">
      <c r="A1503" s="266">
        <f>IFERROR(__xludf.DUMMYFUNCTION("""COMPUTED_VALUE"""),44140.99861111111)</f>
        <v>44140.99861</v>
      </c>
      <c r="B1503" s="1">
        <f>IFERROR(__xludf.DUMMYFUNCTION("""COMPUTED_VALUE"""),15588.08)</f>
        <v>15588.08</v>
      </c>
      <c r="C1503" s="58">
        <f t="shared" si="1"/>
        <v>4324.998611</v>
      </c>
      <c r="D1503" s="1">
        <f t="shared" si="2"/>
        <v>6364.997828</v>
      </c>
      <c r="E1503" s="1">
        <f t="shared" si="3"/>
        <v>11456.99609</v>
      </c>
      <c r="F1503" s="1">
        <f t="shared" si="4"/>
        <v>21640.99262</v>
      </c>
      <c r="G1503" s="1">
        <f t="shared" si="5"/>
        <v>38189.98697</v>
      </c>
      <c r="H1503" s="1">
        <f t="shared" si="6"/>
        <v>70014.97611</v>
      </c>
      <c r="I1503" s="1">
        <f t="shared" si="7"/>
        <v>114569.9609</v>
      </c>
    </row>
    <row r="1504" hidden="1">
      <c r="A1504" s="266">
        <f>IFERROR(__xludf.DUMMYFUNCTION("""COMPUTED_VALUE"""),44141.99861111111)</f>
        <v>44141.99861</v>
      </c>
      <c r="B1504" s="1">
        <f>IFERROR(__xludf.DUMMYFUNCTION("""COMPUTED_VALUE"""),15584.02)</f>
        <v>15584.02</v>
      </c>
      <c r="C1504" s="58">
        <f t="shared" si="1"/>
        <v>4325.998611</v>
      </c>
      <c r="D1504" s="1">
        <f t="shared" si="2"/>
        <v>6373.538288</v>
      </c>
      <c r="E1504" s="1">
        <f t="shared" si="3"/>
        <v>11472.36892</v>
      </c>
      <c r="F1504" s="1">
        <f t="shared" si="4"/>
        <v>21670.03018</v>
      </c>
      <c r="G1504" s="1">
        <f t="shared" si="5"/>
        <v>38241.22973</v>
      </c>
      <c r="H1504" s="1">
        <f t="shared" si="6"/>
        <v>70108.92117</v>
      </c>
      <c r="I1504" s="1">
        <f t="shared" si="7"/>
        <v>114723.6892</v>
      </c>
    </row>
    <row r="1505" hidden="1">
      <c r="A1505" s="266">
        <f>IFERROR(__xludf.DUMMYFUNCTION("""COMPUTED_VALUE"""),44142.99861111111)</f>
        <v>44142.99861</v>
      </c>
      <c r="B1505" s="1">
        <f>IFERROR(__xludf.DUMMYFUNCTION("""COMPUTED_VALUE"""),14832.34)</f>
        <v>14832.34</v>
      </c>
      <c r="C1505" s="58">
        <f t="shared" si="1"/>
        <v>4326.998611</v>
      </c>
      <c r="D1505" s="1">
        <f t="shared" si="2"/>
        <v>6382.08823</v>
      </c>
      <c r="E1505" s="1">
        <f t="shared" si="3"/>
        <v>11487.75881</v>
      </c>
      <c r="F1505" s="1">
        <f t="shared" si="4"/>
        <v>21699.09998</v>
      </c>
      <c r="G1505" s="1">
        <f t="shared" si="5"/>
        <v>38292.52938</v>
      </c>
      <c r="H1505" s="1">
        <f t="shared" si="6"/>
        <v>70202.97053</v>
      </c>
      <c r="I1505" s="1">
        <f t="shared" si="7"/>
        <v>114877.5881</v>
      </c>
    </row>
    <row r="1506" hidden="1">
      <c r="A1506" s="266">
        <f>IFERROR(__xludf.DUMMYFUNCTION("""COMPUTED_VALUE"""),44143.99861111111)</f>
        <v>44143.99861</v>
      </c>
      <c r="B1506" s="1">
        <f>IFERROR(__xludf.DUMMYFUNCTION("""COMPUTED_VALUE"""),15484.36)</f>
        <v>15484.36</v>
      </c>
      <c r="C1506" s="58">
        <f t="shared" si="1"/>
        <v>4327.998611</v>
      </c>
      <c r="D1506" s="1">
        <f t="shared" si="2"/>
        <v>6390.647662</v>
      </c>
      <c r="E1506" s="1">
        <f t="shared" si="3"/>
        <v>11503.16579</v>
      </c>
      <c r="F1506" s="1">
        <f t="shared" si="4"/>
        <v>21728.20205</v>
      </c>
      <c r="G1506" s="1">
        <f t="shared" si="5"/>
        <v>38343.88597</v>
      </c>
      <c r="H1506" s="1">
        <f t="shared" si="6"/>
        <v>70297.12428</v>
      </c>
      <c r="I1506" s="1">
        <f t="shared" si="7"/>
        <v>115031.6579</v>
      </c>
    </row>
    <row r="1507" hidden="1">
      <c r="A1507" s="266">
        <f>IFERROR(__xludf.DUMMYFUNCTION("""COMPUTED_VALUE"""),44144.99861111111)</f>
        <v>44144.99861</v>
      </c>
      <c r="B1507" s="1">
        <f>IFERROR(__xludf.DUMMYFUNCTION("""COMPUTED_VALUE"""),15326.06)</f>
        <v>15326.06</v>
      </c>
      <c r="C1507" s="58">
        <f t="shared" si="1"/>
        <v>4328.998611</v>
      </c>
      <c r="D1507" s="1">
        <f t="shared" si="2"/>
        <v>6399.216592</v>
      </c>
      <c r="E1507" s="1">
        <f t="shared" si="3"/>
        <v>11518.58987</v>
      </c>
      <c r="F1507" s="1">
        <f t="shared" si="4"/>
        <v>21757.33641</v>
      </c>
      <c r="G1507" s="1">
        <f t="shared" si="5"/>
        <v>38395.29955</v>
      </c>
      <c r="H1507" s="1">
        <f t="shared" si="6"/>
        <v>70391.38251</v>
      </c>
      <c r="I1507" s="1">
        <f t="shared" si="7"/>
        <v>115185.8987</v>
      </c>
    </row>
    <row r="1508" hidden="1">
      <c r="A1508" s="266">
        <f>IFERROR(__xludf.DUMMYFUNCTION("""COMPUTED_VALUE"""),44145.99861111111)</f>
        <v>44145.99861</v>
      </c>
      <c r="B1508" s="1">
        <f>IFERROR(__xludf.DUMMYFUNCTION("""COMPUTED_VALUE"""),15309.83)</f>
        <v>15309.83</v>
      </c>
      <c r="C1508" s="58">
        <f t="shared" si="1"/>
        <v>4329.998611</v>
      </c>
      <c r="D1508" s="1">
        <f t="shared" si="2"/>
        <v>6407.795028</v>
      </c>
      <c r="E1508" s="1">
        <f t="shared" si="3"/>
        <v>11534.03105</v>
      </c>
      <c r="F1508" s="1">
        <f t="shared" si="4"/>
        <v>21786.5031</v>
      </c>
      <c r="G1508" s="1">
        <f t="shared" si="5"/>
        <v>38446.77017</v>
      </c>
      <c r="H1508" s="1">
        <f t="shared" si="6"/>
        <v>70485.74531</v>
      </c>
      <c r="I1508" s="1">
        <f t="shared" si="7"/>
        <v>115340.3105</v>
      </c>
    </row>
    <row r="1509" hidden="1">
      <c r="A1509" s="266">
        <f>IFERROR(__xludf.DUMMYFUNCTION("""COMPUTED_VALUE"""),44146.99861111111)</f>
        <v>44146.99861</v>
      </c>
      <c r="B1509" s="1">
        <f>IFERROR(__xludf.DUMMYFUNCTION("""COMPUTED_VALUE"""),15704.55)</f>
        <v>15704.55</v>
      </c>
      <c r="C1509" s="58">
        <f t="shared" si="1"/>
        <v>4330.998611</v>
      </c>
      <c r="D1509" s="1">
        <f t="shared" si="2"/>
        <v>6416.382979</v>
      </c>
      <c r="E1509" s="1">
        <f t="shared" si="3"/>
        <v>11549.48936</v>
      </c>
      <c r="F1509" s="1">
        <f t="shared" si="4"/>
        <v>21815.70213</v>
      </c>
      <c r="G1509" s="1">
        <f t="shared" si="5"/>
        <v>38498.29788</v>
      </c>
      <c r="H1509" s="1">
        <f t="shared" si="6"/>
        <v>70580.21277</v>
      </c>
      <c r="I1509" s="1">
        <f t="shared" si="7"/>
        <v>115494.8936</v>
      </c>
    </row>
    <row r="1510" hidden="1">
      <c r="A1510" s="266">
        <f>IFERROR(__xludf.DUMMYFUNCTION("""COMPUTED_VALUE"""),44148.99861111111)</f>
        <v>44148.99861</v>
      </c>
      <c r="B1510" s="1">
        <f>IFERROR(__xludf.DUMMYFUNCTION("""COMPUTED_VALUE"""),16326.84)</f>
        <v>16326.84</v>
      </c>
      <c r="C1510" s="58">
        <f t="shared" si="1"/>
        <v>4332.998611</v>
      </c>
      <c r="D1510" s="1">
        <f t="shared" si="2"/>
        <v>6433.58746</v>
      </c>
      <c r="E1510" s="1">
        <f t="shared" si="3"/>
        <v>11580.45743</v>
      </c>
      <c r="F1510" s="1">
        <f t="shared" si="4"/>
        <v>21874.19736</v>
      </c>
      <c r="G1510" s="1">
        <f t="shared" si="5"/>
        <v>38601.52476</v>
      </c>
      <c r="H1510" s="1">
        <f t="shared" si="6"/>
        <v>70769.46206</v>
      </c>
      <c r="I1510" s="1">
        <f t="shared" si="7"/>
        <v>115804.5743</v>
      </c>
    </row>
    <row r="1511" hidden="1">
      <c r="A1511" s="266">
        <f>IFERROR(__xludf.DUMMYFUNCTION("""COMPUTED_VALUE"""),44149.99861111111)</f>
        <v>44149.99861</v>
      </c>
      <c r="B1511" s="1">
        <f>IFERROR(__xludf.DUMMYFUNCTION("""COMPUTED_VALUE"""),16078.98)</f>
        <v>16078.98</v>
      </c>
      <c r="C1511" s="58">
        <f t="shared" si="1"/>
        <v>4333.998611</v>
      </c>
      <c r="D1511" s="1">
        <f t="shared" si="2"/>
        <v>6442.204006</v>
      </c>
      <c r="E1511" s="1">
        <f t="shared" si="3"/>
        <v>11595.96721</v>
      </c>
      <c r="F1511" s="1">
        <f t="shared" si="4"/>
        <v>21903.49362</v>
      </c>
      <c r="G1511" s="1">
        <f t="shared" si="5"/>
        <v>38653.22403</v>
      </c>
      <c r="H1511" s="1">
        <f t="shared" si="6"/>
        <v>70864.24406</v>
      </c>
      <c r="I1511" s="1">
        <f t="shared" si="7"/>
        <v>115959.6721</v>
      </c>
    </row>
    <row r="1512" hidden="1">
      <c r="A1512" s="266">
        <f>IFERROR(__xludf.DUMMYFUNCTION("""COMPUTED_VALUE"""),44150.99861111111)</f>
        <v>44150.99861</v>
      </c>
      <c r="B1512" s="1">
        <f>IFERROR(__xludf.DUMMYFUNCTION("""COMPUTED_VALUE"""),15936.22)</f>
        <v>15936.22</v>
      </c>
      <c r="C1512" s="58">
        <f t="shared" si="1"/>
        <v>4334.998611</v>
      </c>
      <c r="D1512" s="1">
        <f t="shared" si="2"/>
        <v>6450.8301</v>
      </c>
      <c r="E1512" s="1">
        <f t="shared" si="3"/>
        <v>11611.49418</v>
      </c>
      <c r="F1512" s="1">
        <f t="shared" si="4"/>
        <v>21932.82234</v>
      </c>
      <c r="G1512" s="1">
        <f t="shared" si="5"/>
        <v>38704.9806</v>
      </c>
      <c r="H1512" s="1">
        <f t="shared" si="6"/>
        <v>70959.1311</v>
      </c>
      <c r="I1512" s="1">
        <f t="shared" si="7"/>
        <v>116114.9418</v>
      </c>
    </row>
    <row r="1513" hidden="1">
      <c r="A1513" s="266">
        <f>IFERROR(__xludf.DUMMYFUNCTION("""COMPUTED_VALUE"""),44151.99861111111)</f>
        <v>44151.99861</v>
      </c>
      <c r="B1513" s="1">
        <f>IFERROR(__xludf.DUMMYFUNCTION("""COMPUTED_VALUE"""),16709.44)</f>
        <v>16709.44</v>
      </c>
      <c r="C1513" s="58">
        <f t="shared" si="1"/>
        <v>4335.998611</v>
      </c>
      <c r="D1513" s="1">
        <f t="shared" si="2"/>
        <v>6459.465751</v>
      </c>
      <c r="E1513" s="1">
        <f t="shared" si="3"/>
        <v>11627.03835</v>
      </c>
      <c r="F1513" s="1">
        <f t="shared" si="4"/>
        <v>21962.18355</v>
      </c>
      <c r="G1513" s="1">
        <f t="shared" si="5"/>
        <v>38756.79451</v>
      </c>
      <c r="H1513" s="1">
        <f t="shared" si="6"/>
        <v>71054.12326</v>
      </c>
      <c r="I1513" s="1">
        <f t="shared" si="7"/>
        <v>116270.3835</v>
      </c>
    </row>
    <row r="1514" hidden="1">
      <c r="A1514" s="266">
        <f>IFERROR(__xludf.DUMMYFUNCTION("""COMPUTED_VALUE"""),44152.99861111111)</f>
        <v>44152.99861</v>
      </c>
      <c r="B1514" s="1">
        <f>IFERROR(__xludf.DUMMYFUNCTION("""COMPUTED_VALUE"""),17672.58)</f>
        <v>17672.58</v>
      </c>
      <c r="C1514" s="58">
        <f t="shared" si="1"/>
        <v>4336.998611</v>
      </c>
      <c r="D1514" s="1">
        <f t="shared" si="2"/>
        <v>6468.110967</v>
      </c>
      <c r="E1514" s="1">
        <f t="shared" si="3"/>
        <v>11642.59974</v>
      </c>
      <c r="F1514" s="1">
        <f t="shared" si="4"/>
        <v>21991.57729</v>
      </c>
      <c r="G1514" s="1">
        <f t="shared" si="5"/>
        <v>38808.6658</v>
      </c>
      <c r="H1514" s="1">
        <f t="shared" si="6"/>
        <v>71149.22064</v>
      </c>
      <c r="I1514" s="1">
        <f t="shared" si="7"/>
        <v>116425.9974</v>
      </c>
    </row>
    <row r="1515" hidden="1">
      <c r="A1515" s="266">
        <f>IFERROR(__xludf.DUMMYFUNCTION("""COMPUTED_VALUE"""),44153.99861111111)</f>
        <v>44153.99861</v>
      </c>
      <c r="B1515" s="1">
        <f>IFERROR(__xludf.DUMMYFUNCTION("""COMPUTED_VALUE"""),17785.87)</f>
        <v>17785.87</v>
      </c>
      <c r="C1515" s="58">
        <f t="shared" si="1"/>
        <v>4337.998611</v>
      </c>
      <c r="D1515" s="1">
        <f t="shared" si="2"/>
        <v>6476.765756</v>
      </c>
      <c r="E1515" s="1">
        <f t="shared" si="3"/>
        <v>11658.17836</v>
      </c>
      <c r="F1515" s="1">
        <f t="shared" si="4"/>
        <v>22021.00357</v>
      </c>
      <c r="G1515" s="1">
        <f t="shared" si="5"/>
        <v>38860.59454</v>
      </c>
      <c r="H1515" s="1">
        <f t="shared" si="6"/>
        <v>71244.42332</v>
      </c>
      <c r="I1515" s="1">
        <f t="shared" si="7"/>
        <v>116581.7836</v>
      </c>
    </row>
    <row r="1516" hidden="1">
      <c r="A1516" s="266">
        <f>IFERROR(__xludf.DUMMYFUNCTION("""COMPUTED_VALUE"""),44154.99861111111)</f>
        <v>44154.99861</v>
      </c>
      <c r="B1516" s="1">
        <f>IFERROR(__xludf.DUMMYFUNCTION("""COMPUTED_VALUE"""),17813.76)</f>
        <v>17813.76</v>
      </c>
      <c r="C1516" s="58">
        <f t="shared" si="1"/>
        <v>4338.998611</v>
      </c>
      <c r="D1516" s="1">
        <f t="shared" si="2"/>
        <v>6485.430128</v>
      </c>
      <c r="E1516" s="1">
        <f t="shared" si="3"/>
        <v>11673.77423</v>
      </c>
      <c r="F1516" s="1">
        <f t="shared" si="4"/>
        <v>22050.46243</v>
      </c>
      <c r="G1516" s="1">
        <f t="shared" si="5"/>
        <v>38912.58077</v>
      </c>
      <c r="H1516" s="1">
        <f t="shared" si="6"/>
        <v>71339.7314</v>
      </c>
      <c r="I1516" s="1">
        <f t="shared" si="7"/>
        <v>116737.7423</v>
      </c>
    </row>
    <row r="1517" hidden="1">
      <c r="A1517" s="266">
        <f>IFERROR(__xludf.DUMMYFUNCTION("""COMPUTED_VALUE"""),44155.99861111111)</f>
        <v>44155.99861</v>
      </c>
      <c r="B1517" s="1">
        <f>IFERROR(__xludf.DUMMYFUNCTION("""COMPUTED_VALUE"""),18669.68)</f>
        <v>18669.68</v>
      </c>
      <c r="C1517" s="58">
        <f t="shared" si="1"/>
        <v>4339.998611</v>
      </c>
      <c r="D1517" s="1">
        <f t="shared" si="2"/>
        <v>6494.104089</v>
      </c>
      <c r="E1517" s="1">
        <f t="shared" si="3"/>
        <v>11689.38736</v>
      </c>
      <c r="F1517" s="1">
        <f t="shared" si="4"/>
        <v>22079.9539</v>
      </c>
      <c r="G1517" s="1">
        <f t="shared" si="5"/>
        <v>38964.62453</v>
      </c>
      <c r="H1517" s="1">
        <f t="shared" si="6"/>
        <v>71435.14498</v>
      </c>
      <c r="I1517" s="1">
        <f t="shared" si="7"/>
        <v>116893.8736</v>
      </c>
    </row>
    <row r="1518" hidden="1">
      <c r="A1518" s="266">
        <f>IFERROR(__xludf.DUMMYFUNCTION("""COMPUTED_VALUE"""),44156.99861111111)</f>
        <v>44156.99861</v>
      </c>
      <c r="B1518" s="1">
        <f>IFERROR(__xludf.DUMMYFUNCTION("""COMPUTED_VALUE"""),18697.88)</f>
        <v>18697.88</v>
      </c>
      <c r="C1518" s="58">
        <f t="shared" si="1"/>
        <v>4340.998611</v>
      </c>
      <c r="D1518" s="1">
        <f t="shared" si="2"/>
        <v>6502.787649</v>
      </c>
      <c r="E1518" s="1">
        <f t="shared" si="3"/>
        <v>11705.01777</v>
      </c>
      <c r="F1518" s="1">
        <f t="shared" si="4"/>
        <v>22109.47801</v>
      </c>
      <c r="G1518" s="1">
        <f t="shared" si="5"/>
        <v>39016.72589</v>
      </c>
      <c r="H1518" s="1">
        <f t="shared" si="6"/>
        <v>71530.66414</v>
      </c>
      <c r="I1518" s="1">
        <f t="shared" si="7"/>
        <v>117050.1777</v>
      </c>
    </row>
    <row r="1519" hidden="1">
      <c r="A1519" s="266">
        <f>IFERROR(__xludf.DUMMYFUNCTION("""COMPUTED_VALUE"""),44157.99861111111)</f>
        <v>44157.99861</v>
      </c>
      <c r="B1519" s="1">
        <f>IFERROR(__xludf.DUMMYFUNCTION("""COMPUTED_VALUE"""),18428.38)</f>
        <v>18428.38</v>
      </c>
      <c r="C1519" s="58">
        <f t="shared" si="1"/>
        <v>4341.998611</v>
      </c>
      <c r="D1519" s="1">
        <f t="shared" si="2"/>
        <v>6511.480816</v>
      </c>
      <c r="E1519" s="1">
        <f t="shared" si="3"/>
        <v>11720.66547</v>
      </c>
      <c r="F1519" s="1">
        <f t="shared" si="4"/>
        <v>22139.03478</v>
      </c>
      <c r="G1519" s="1">
        <f t="shared" si="5"/>
        <v>39068.8849</v>
      </c>
      <c r="H1519" s="1">
        <f t="shared" si="6"/>
        <v>71626.28898</v>
      </c>
      <c r="I1519" s="1">
        <f t="shared" si="7"/>
        <v>117206.6547</v>
      </c>
    </row>
    <row r="1520" hidden="1">
      <c r="A1520" s="266">
        <f>IFERROR(__xludf.DUMMYFUNCTION("""COMPUTED_VALUE"""),44158.99861111111)</f>
        <v>44158.99861</v>
      </c>
      <c r="B1520" s="1">
        <f>IFERROR(__xludf.DUMMYFUNCTION("""COMPUTED_VALUE"""),18375.57)</f>
        <v>18375.57</v>
      </c>
      <c r="C1520" s="58">
        <f t="shared" si="1"/>
        <v>4342.998611</v>
      </c>
      <c r="D1520" s="1">
        <f t="shared" si="2"/>
        <v>6520.183599</v>
      </c>
      <c r="E1520" s="1">
        <f t="shared" si="3"/>
        <v>11736.33048</v>
      </c>
      <c r="F1520" s="1">
        <f t="shared" si="4"/>
        <v>22168.62424</v>
      </c>
      <c r="G1520" s="1">
        <f t="shared" si="5"/>
        <v>39121.10159</v>
      </c>
      <c r="H1520" s="1">
        <f t="shared" si="6"/>
        <v>71722.01959</v>
      </c>
      <c r="I1520" s="1">
        <f t="shared" si="7"/>
        <v>117363.3048</v>
      </c>
    </row>
    <row r="1521" hidden="1">
      <c r="A1521" s="266">
        <f>IFERROR(__xludf.DUMMYFUNCTION("""COMPUTED_VALUE"""),44159.99861111111)</f>
        <v>44159.99861</v>
      </c>
      <c r="B1521" s="1">
        <f>IFERROR(__xludf.DUMMYFUNCTION("""COMPUTED_VALUE"""),19146.67)</f>
        <v>19146.67</v>
      </c>
      <c r="C1521" s="58">
        <f t="shared" si="1"/>
        <v>4343.998611</v>
      </c>
      <c r="D1521" s="1">
        <f t="shared" si="2"/>
        <v>6528.896005</v>
      </c>
      <c r="E1521" s="1">
        <f t="shared" si="3"/>
        <v>11752.01281</v>
      </c>
      <c r="F1521" s="1">
        <f t="shared" si="4"/>
        <v>22198.24642</v>
      </c>
      <c r="G1521" s="1">
        <f t="shared" si="5"/>
        <v>39173.37603</v>
      </c>
      <c r="H1521" s="1">
        <f t="shared" si="6"/>
        <v>71817.85606</v>
      </c>
      <c r="I1521" s="1">
        <f t="shared" si="7"/>
        <v>117520.1281</v>
      </c>
    </row>
    <row r="1522" hidden="1">
      <c r="A1522" s="266">
        <f>IFERROR(__xludf.DUMMYFUNCTION("""COMPUTED_VALUE"""),44160.99861111111)</f>
        <v>44160.99861</v>
      </c>
      <c r="B1522" s="1">
        <f>IFERROR(__xludf.DUMMYFUNCTION("""COMPUTED_VALUE"""),18724.2)</f>
        <v>18724.2</v>
      </c>
      <c r="C1522" s="58">
        <f t="shared" si="1"/>
        <v>4344.998611</v>
      </c>
      <c r="D1522" s="1">
        <f t="shared" si="2"/>
        <v>6537.618044</v>
      </c>
      <c r="E1522" s="1">
        <f t="shared" si="3"/>
        <v>11767.71248</v>
      </c>
      <c r="F1522" s="1">
        <f t="shared" si="4"/>
        <v>22227.90135</v>
      </c>
      <c r="G1522" s="1">
        <f t="shared" si="5"/>
        <v>39225.70826</v>
      </c>
      <c r="H1522" s="1">
        <f t="shared" si="6"/>
        <v>71913.79849</v>
      </c>
      <c r="I1522" s="1">
        <f t="shared" si="7"/>
        <v>117677.1248</v>
      </c>
    </row>
    <row r="1523" hidden="1">
      <c r="A1523" s="266">
        <f>IFERROR(__xludf.DUMMYFUNCTION("""COMPUTED_VALUE"""),44161.99861111111)</f>
        <v>44161.99861</v>
      </c>
      <c r="B1523" s="1">
        <f>IFERROR(__xludf.DUMMYFUNCTION("""COMPUTED_VALUE"""),17165.51)</f>
        <v>17165.51</v>
      </c>
      <c r="C1523" s="58">
        <f t="shared" si="1"/>
        <v>4345.998611</v>
      </c>
      <c r="D1523" s="1">
        <f t="shared" si="2"/>
        <v>6546.349724</v>
      </c>
      <c r="E1523" s="1">
        <f t="shared" si="3"/>
        <v>11783.4295</v>
      </c>
      <c r="F1523" s="1">
        <f t="shared" si="4"/>
        <v>22257.58906</v>
      </c>
      <c r="G1523" s="1">
        <f t="shared" si="5"/>
        <v>39278.09834</v>
      </c>
      <c r="H1523" s="1">
        <f t="shared" si="6"/>
        <v>72009.84696</v>
      </c>
      <c r="I1523" s="1">
        <f t="shared" si="7"/>
        <v>117834.295</v>
      </c>
    </row>
    <row r="1524" hidden="1">
      <c r="A1524" s="266">
        <f>IFERROR(__xludf.DUMMYFUNCTION("""COMPUTED_VALUE"""),44162.99861111111)</f>
        <v>44162.99861</v>
      </c>
      <c r="B1524" s="1">
        <f>IFERROR(__xludf.DUMMYFUNCTION("""COMPUTED_VALUE"""),17140.12)</f>
        <v>17140.12</v>
      </c>
      <c r="C1524" s="58">
        <f t="shared" si="1"/>
        <v>4346.998611</v>
      </c>
      <c r="D1524" s="1">
        <f t="shared" si="2"/>
        <v>6555.091052</v>
      </c>
      <c r="E1524" s="1">
        <f t="shared" si="3"/>
        <v>11799.16389</v>
      </c>
      <c r="F1524" s="1">
        <f t="shared" si="4"/>
        <v>22287.30958</v>
      </c>
      <c r="G1524" s="1">
        <f t="shared" si="5"/>
        <v>39330.54631</v>
      </c>
      <c r="H1524" s="1">
        <f t="shared" si="6"/>
        <v>72106.00157</v>
      </c>
      <c r="I1524" s="1">
        <f t="shared" si="7"/>
        <v>117991.6389</v>
      </c>
    </row>
    <row r="1525" hidden="1">
      <c r="A1525" s="266">
        <f>IFERROR(__xludf.DUMMYFUNCTION("""COMPUTED_VALUE"""),44163.99861111111)</f>
        <v>44163.99861</v>
      </c>
      <c r="B1525" s="1">
        <f>IFERROR(__xludf.DUMMYFUNCTION("""COMPUTED_VALUE"""),17734.38)</f>
        <v>17734.38</v>
      </c>
      <c r="C1525" s="58">
        <f t="shared" si="1"/>
        <v>4347.998611</v>
      </c>
      <c r="D1525" s="1">
        <f t="shared" si="2"/>
        <v>6563.842038</v>
      </c>
      <c r="E1525" s="1">
        <f t="shared" si="3"/>
        <v>11814.91567</v>
      </c>
      <c r="F1525" s="1">
        <f t="shared" si="4"/>
        <v>22317.06293</v>
      </c>
      <c r="G1525" s="1">
        <f t="shared" si="5"/>
        <v>39383.05223</v>
      </c>
      <c r="H1525" s="1">
        <f t="shared" si="6"/>
        <v>72202.26242</v>
      </c>
      <c r="I1525" s="1">
        <f t="shared" si="7"/>
        <v>118149.1567</v>
      </c>
    </row>
    <row r="1526" hidden="1">
      <c r="A1526" s="266">
        <f>IFERROR(__xludf.DUMMYFUNCTION("""COMPUTED_VALUE"""),44164.99861111111)</f>
        <v>44164.99861</v>
      </c>
      <c r="B1526" s="1">
        <f>IFERROR(__xludf.DUMMYFUNCTION("""COMPUTED_VALUE"""),18189.63)</f>
        <v>18189.63</v>
      </c>
      <c r="C1526" s="58">
        <f t="shared" si="1"/>
        <v>4348.998611</v>
      </c>
      <c r="D1526" s="1">
        <f t="shared" si="2"/>
        <v>6572.602691</v>
      </c>
      <c r="E1526" s="1">
        <f t="shared" si="3"/>
        <v>11830.68484</v>
      </c>
      <c r="F1526" s="1">
        <f t="shared" si="4"/>
        <v>22346.84915</v>
      </c>
      <c r="G1526" s="1">
        <f t="shared" si="5"/>
        <v>39435.61614</v>
      </c>
      <c r="H1526" s="1">
        <f t="shared" si="6"/>
        <v>72298.6296</v>
      </c>
      <c r="I1526" s="1">
        <f t="shared" si="7"/>
        <v>118306.8484</v>
      </c>
    </row>
    <row r="1527" hidden="1">
      <c r="A1527" s="266">
        <f>IFERROR(__xludf.DUMMYFUNCTION("""COMPUTED_VALUE"""),44165.99861111111)</f>
        <v>44165.99861</v>
      </c>
      <c r="B1527" s="1">
        <f>IFERROR(__xludf.DUMMYFUNCTION("""COMPUTED_VALUE"""),19704.15)</f>
        <v>19704.15</v>
      </c>
      <c r="C1527" s="58">
        <f t="shared" si="1"/>
        <v>4349.998611</v>
      </c>
      <c r="D1527" s="1">
        <f t="shared" si="2"/>
        <v>6581.373018</v>
      </c>
      <c r="E1527" s="1">
        <f t="shared" si="3"/>
        <v>11846.47143</v>
      </c>
      <c r="F1527" s="1">
        <f t="shared" si="4"/>
        <v>22376.66826</v>
      </c>
      <c r="G1527" s="1">
        <f t="shared" si="5"/>
        <v>39488.23811</v>
      </c>
      <c r="H1527" s="1">
        <f t="shared" si="6"/>
        <v>72395.10319</v>
      </c>
      <c r="I1527" s="1">
        <f t="shared" si="7"/>
        <v>118464.7143</v>
      </c>
    </row>
    <row r="1528" hidden="1">
      <c r="A1528" s="266">
        <f>IFERROR(__xludf.DUMMYFUNCTION("""COMPUTED_VALUE"""),44166.99861111111)</f>
        <v>44166.99861</v>
      </c>
      <c r="B1528" s="1">
        <f>IFERROR(__xludf.DUMMYFUNCTION("""COMPUTED_VALUE"""),18784.93)</f>
        <v>18784.93</v>
      </c>
      <c r="C1528" s="58">
        <f t="shared" si="1"/>
        <v>4350.998611</v>
      </c>
      <c r="D1528" s="1">
        <f t="shared" si="2"/>
        <v>6590.153027</v>
      </c>
      <c r="E1528" s="1">
        <f t="shared" si="3"/>
        <v>11862.27545</v>
      </c>
      <c r="F1528" s="1">
        <f t="shared" si="4"/>
        <v>22406.52029</v>
      </c>
      <c r="G1528" s="1">
        <f t="shared" si="5"/>
        <v>39540.91816</v>
      </c>
      <c r="H1528" s="1">
        <f t="shared" si="6"/>
        <v>72491.6833</v>
      </c>
      <c r="I1528" s="1">
        <f t="shared" si="7"/>
        <v>118622.7545</v>
      </c>
    </row>
    <row r="1529" hidden="1">
      <c r="A1529" s="266">
        <f>IFERROR(__xludf.DUMMYFUNCTION("""COMPUTED_VALUE"""),44167.99861111111)</f>
        <v>44167.99861</v>
      </c>
      <c r="B1529" s="1">
        <f>IFERROR(__xludf.DUMMYFUNCTION("""COMPUTED_VALUE"""),19230.17)</f>
        <v>19230.17</v>
      </c>
      <c r="C1529" s="58">
        <f t="shared" si="1"/>
        <v>4351.998611</v>
      </c>
      <c r="D1529" s="1">
        <f t="shared" si="2"/>
        <v>6598.942728</v>
      </c>
      <c r="E1529" s="1">
        <f t="shared" si="3"/>
        <v>11878.09691</v>
      </c>
      <c r="F1529" s="1">
        <f t="shared" si="4"/>
        <v>22436.40528</v>
      </c>
      <c r="G1529" s="1">
        <f t="shared" si="5"/>
        <v>39593.65637</v>
      </c>
      <c r="H1529" s="1">
        <f t="shared" si="6"/>
        <v>72588.37001</v>
      </c>
      <c r="I1529" s="1">
        <f t="shared" si="7"/>
        <v>118780.9691</v>
      </c>
    </row>
    <row r="1530" hidden="1">
      <c r="A1530" s="266">
        <f>IFERROR(__xludf.DUMMYFUNCTION("""COMPUTED_VALUE"""),44168.99861111111)</f>
        <v>44168.99861</v>
      </c>
      <c r="B1530" s="1">
        <f>IFERROR(__xludf.DUMMYFUNCTION("""COMPUTED_VALUE"""),19444.89)</f>
        <v>19444.89</v>
      </c>
      <c r="C1530" s="58">
        <f t="shared" si="1"/>
        <v>4352.998611</v>
      </c>
      <c r="D1530" s="1">
        <f t="shared" si="2"/>
        <v>6607.742129</v>
      </c>
      <c r="E1530" s="1">
        <f t="shared" si="3"/>
        <v>11893.93583</v>
      </c>
      <c r="F1530" s="1">
        <f t="shared" si="4"/>
        <v>22466.32324</v>
      </c>
      <c r="G1530" s="1">
        <f t="shared" si="5"/>
        <v>39646.45278</v>
      </c>
      <c r="H1530" s="1">
        <f t="shared" si="6"/>
        <v>72685.16342</v>
      </c>
      <c r="I1530" s="1">
        <f t="shared" si="7"/>
        <v>118939.3583</v>
      </c>
    </row>
    <row r="1531" hidden="1">
      <c r="A1531" s="266">
        <f>IFERROR(__xludf.DUMMYFUNCTION("""COMPUTED_VALUE"""),44169.99861111111)</f>
        <v>44169.99861</v>
      </c>
      <c r="B1531" s="1">
        <f>IFERROR(__xludf.DUMMYFUNCTION("""COMPUTED_VALUE"""),18658.84)</f>
        <v>18658.84</v>
      </c>
      <c r="C1531" s="58">
        <f t="shared" si="1"/>
        <v>4353.998611</v>
      </c>
      <c r="D1531" s="1">
        <f t="shared" si="2"/>
        <v>6616.551239</v>
      </c>
      <c r="E1531" s="1">
        <f t="shared" si="3"/>
        <v>11909.79223</v>
      </c>
      <c r="F1531" s="1">
        <f t="shared" si="4"/>
        <v>22496.27421</v>
      </c>
      <c r="G1531" s="1">
        <f t="shared" si="5"/>
        <v>39699.30743</v>
      </c>
      <c r="H1531" s="1">
        <f t="shared" si="6"/>
        <v>72782.06363</v>
      </c>
      <c r="I1531" s="1">
        <f t="shared" si="7"/>
        <v>119097.9223</v>
      </c>
    </row>
    <row r="1532" hidden="1">
      <c r="A1532" s="266">
        <f>IFERROR(__xludf.DUMMYFUNCTION("""COMPUTED_VALUE"""),44170.99861111111)</f>
        <v>44170.99861</v>
      </c>
      <c r="B1532" s="1">
        <f>IFERROR(__xludf.DUMMYFUNCTION("""COMPUTED_VALUE"""),19156.46)</f>
        <v>19156.46</v>
      </c>
      <c r="C1532" s="58">
        <f t="shared" si="1"/>
        <v>4354.998611</v>
      </c>
      <c r="D1532" s="1">
        <f t="shared" si="2"/>
        <v>6625.370065</v>
      </c>
      <c r="E1532" s="1">
        <f t="shared" si="3"/>
        <v>11925.66612</v>
      </c>
      <c r="F1532" s="1">
        <f t="shared" si="4"/>
        <v>22526.25822</v>
      </c>
      <c r="G1532" s="1">
        <f t="shared" si="5"/>
        <v>39752.22039</v>
      </c>
      <c r="H1532" s="1">
        <f t="shared" si="6"/>
        <v>72879.07071</v>
      </c>
      <c r="I1532" s="1">
        <f t="shared" si="7"/>
        <v>119256.6612</v>
      </c>
    </row>
    <row r="1533" hidden="1">
      <c r="A1533" s="266">
        <f>IFERROR(__xludf.DUMMYFUNCTION("""COMPUTED_VALUE"""),44171.99861111111)</f>
        <v>44171.99861</v>
      </c>
      <c r="B1533" s="1">
        <f>IFERROR(__xludf.DUMMYFUNCTION("""COMPUTED_VALUE"""),19380.58)</f>
        <v>19380.58</v>
      </c>
      <c r="C1533" s="58">
        <f t="shared" si="1"/>
        <v>4355.998611</v>
      </c>
      <c r="D1533" s="1">
        <f t="shared" si="2"/>
        <v>6634.198616</v>
      </c>
      <c r="E1533" s="1">
        <f t="shared" si="3"/>
        <v>11941.55751</v>
      </c>
      <c r="F1533" s="1">
        <f t="shared" si="4"/>
        <v>22556.2753</v>
      </c>
      <c r="G1533" s="1">
        <f t="shared" si="5"/>
        <v>39805.1917</v>
      </c>
      <c r="H1533" s="1">
        <f t="shared" si="6"/>
        <v>72976.18478</v>
      </c>
      <c r="I1533" s="1">
        <f t="shared" si="7"/>
        <v>119415.5751</v>
      </c>
    </row>
    <row r="1534" hidden="1">
      <c r="A1534" s="266">
        <f>IFERROR(__xludf.DUMMYFUNCTION("""COMPUTED_VALUE"""),44172.99861111111)</f>
        <v>44172.99861</v>
      </c>
      <c r="B1534" s="1">
        <f>IFERROR(__xludf.DUMMYFUNCTION("""COMPUTED_VALUE"""),19176.42)</f>
        <v>19176.42</v>
      </c>
      <c r="C1534" s="58">
        <f t="shared" si="1"/>
        <v>4356.998611</v>
      </c>
      <c r="D1534" s="1">
        <f t="shared" si="2"/>
        <v>6643.036902</v>
      </c>
      <c r="E1534" s="1">
        <f t="shared" si="3"/>
        <v>11957.46642</v>
      </c>
      <c r="F1534" s="1">
        <f t="shared" si="4"/>
        <v>22586.32547</v>
      </c>
      <c r="G1534" s="1">
        <f t="shared" si="5"/>
        <v>39858.22141</v>
      </c>
      <c r="H1534" s="1">
        <f t="shared" si="6"/>
        <v>73073.40592</v>
      </c>
      <c r="I1534" s="1">
        <f t="shared" si="7"/>
        <v>119574.6642</v>
      </c>
    </row>
    <row r="1535" hidden="1">
      <c r="A1535" s="266">
        <f>IFERROR(__xludf.DUMMYFUNCTION("""COMPUTED_VALUE"""),44173.99861111111)</f>
        <v>44173.99861</v>
      </c>
      <c r="B1535" s="1">
        <f>IFERROR(__xludf.DUMMYFUNCTION("""COMPUTED_VALUE"""),18321.51)</f>
        <v>18321.51</v>
      </c>
      <c r="C1535" s="58">
        <f t="shared" si="1"/>
        <v>4357.998611</v>
      </c>
      <c r="D1535" s="1">
        <f t="shared" si="2"/>
        <v>6651.884929</v>
      </c>
      <c r="E1535" s="1">
        <f t="shared" si="3"/>
        <v>11973.39287</v>
      </c>
      <c r="F1535" s="1">
        <f t="shared" si="4"/>
        <v>22616.40876</v>
      </c>
      <c r="G1535" s="1">
        <f t="shared" si="5"/>
        <v>39911.30957</v>
      </c>
      <c r="H1535" s="1">
        <f t="shared" si="6"/>
        <v>73170.73422</v>
      </c>
      <c r="I1535" s="1">
        <f t="shared" si="7"/>
        <v>119733.9287</v>
      </c>
    </row>
    <row r="1536" hidden="1">
      <c r="A1536" s="266">
        <f>IFERROR(__xludf.DUMMYFUNCTION("""COMPUTED_VALUE"""),44174.99861111111)</f>
        <v>44174.99861</v>
      </c>
      <c r="B1536" s="1">
        <f>IFERROR(__xludf.DUMMYFUNCTION("""COMPUTED_VALUE"""),18547.8)</f>
        <v>18547.8</v>
      </c>
      <c r="C1536" s="58">
        <f t="shared" si="1"/>
        <v>4358.998611</v>
      </c>
      <c r="D1536" s="1">
        <f t="shared" si="2"/>
        <v>6660.742707</v>
      </c>
      <c r="E1536" s="1">
        <f t="shared" si="3"/>
        <v>11989.33687</v>
      </c>
      <c r="F1536" s="1">
        <f t="shared" si="4"/>
        <v>22646.52521</v>
      </c>
      <c r="G1536" s="1">
        <f t="shared" si="5"/>
        <v>39964.45624</v>
      </c>
      <c r="H1536" s="1">
        <f t="shared" si="6"/>
        <v>73268.16978</v>
      </c>
      <c r="I1536" s="1">
        <f t="shared" si="7"/>
        <v>119893.3687</v>
      </c>
    </row>
    <row r="1537" hidden="1">
      <c r="A1537" s="266">
        <f>IFERROR(__xludf.DUMMYFUNCTION("""COMPUTED_VALUE"""),44175.99861111111)</f>
        <v>44175.99861</v>
      </c>
      <c r="B1537" s="1">
        <f>IFERROR(__xludf.DUMMYFUNCTION("""COMPUTED_VALUE"""),18248.09)</f>
        <v>18248.09</v>
      </c>
      <c r="C1537" s="58">
        <f t="shared" si="1"/>
        <v>4359.998611</v>
      </c>
      <c r="D1537" s="1">
        <f t="shared" si="2"/>
        <v>6669.610245</v>
      </c>
      <c r="E1537" s="1">
        <f t="shared" si="3"/>
        <v>12005.29844</v>
      </c>
      <c r="F1537" s="1">
        <f t="shared" si="4"/>
        <v>22676.67483</v>
      </c>
      <c r="G1537" s="1">
        <f t="shared" si="5"/>
        <v>40017.66147</v>
      </c>
      <c r="H1537" s="1">
        <f t="shared" si="6"/>
        <v>73365.7127</v>
      </c>
      <c r="I1537" s="1">
        <f t="shared" si="7"/>
        <v>120052.9844</v>
      </c>
    </row>
    <row r="1538" hidden="1">
      <c r="A1538" s="266">
        <f>IFERROR(__xludf.DUMMYFUNCTION("""COMPUTED_VALUE"""),44176.99861111111)</f>
        <v>44176.99861</v>
      </c>
      <c r="B1538" s="1">
        <f>IFERROR(__xludf.DUMMYFUNCTION("""COMPUTED_VALUE"""),18023.18)</f>
        <v>18023.18</v>
      </c>
      <c r="C1538" s="58">
        <f t="shared" si="1"/>
        <v>4360.998611</v>
      </c>
      <c r="D1538" s="1">
        <f t="shared" si="2"/>
        <v>6678.487551</v>
      </c>
      <c r="E1538" s="1">
        <f t="shared" si="3"/>
        <v>12021.27759</v>
      </c>
      <c r="F1538" s="1">
        <f t="shared" si="4"/>
        <v>22706.85767</v>
      </c>
      <c r="G1538" s="1">
        <f t="shared" si="5"/>
        <v>40070.9253</v>
      </c>
      <c r="H1538" s="1">
        <f t="shared" si="6"/>
        <v>73463.36306</v>
      </c>
      <c r="I1538" s="1">
        <f t="shared" si="7"/>
        <v>120212.7759</v>
      </c>
    </row>
    <row r="1539" hidden="1">
      <c r="A1539" s="266">
        <f>IFERROR(__xludf.DUMMYFUNCTION("""COMPUTED_VALUE"""),44177.99861111111)</f>
        <v>44177.99861</v>
      </c>
      <c r="B1539" s="1">
        <f>IFERROR(__xludf.DUMMYFUNCTION("""COMPUTED_VALUE"""),18810.76)</f>
        <v>18810.76</v>
      </c>
      <c r="C1539" s="58">
        <f t="shared" si="1"/>
        <v>4361.998611</v>
      </c>
      <c r="D1539" s="1">
        <f t="shared" si="2"/>
        <v>6687.374632</v>
      </c>
      <c r="E1539" s="1">
        <f t="shared" si="3"/>
        <v>12037.27434</v>
      </c>
      <c r="F1539" s="1">
        <f t="shared" si="4"/>
        <v>22737.07375</v>
      </c>
      <c r="G1539" s="1">
        <f t="shared" si="5"/>
        <v>40124.24779</v>
      </c>
      <c r="H1539" s="1">
        <f t="shared" si="6"/>
        <v>73561.12096</v>
      </c>
      <c r="I1539" s="1">
        <f t="shared" si="7"/>
        <v>120372.7434</v>
      </c>
    </row>
    <row r="1540" hidden="1">
      <c r="A1540" s="266">
        <f>IFERROR(__xludf.DUMMYFUNCTION("""COMPUTED_VALUE"""),44178.99861111111)</f>
        <v>44178.99861</v>
      </c>
      <c r="B1540" s="1">
        <f>IFERROR(__xludf.DUMMYFUNCTION("""COMPUTED_VALUE"""),19166.16)</f>
        <v>19166.16</v>
      </c>
      <c r="C1540" s="58">
        <f t="shared" si="1"/>
        <v>4362.998611</v>
      </c>
      <c r="D1540" s="1">
        <f t="shared" si="2"/>
        <v>6696.271499</v>
      </c>
      <c r="E1540" s="1">
        <f t="shared" si="3"/>
        <v>12053.2887</v>
      </c>
      <c r="F1540" s="1">
        <f t="shared" si="4"/>
        <v>22767.3231</v>
      </c>
      <c r="G1540" s="1">
        <f t="shared" si="5"/>
        <v>40177.62899</v>
      </c>
      <c r="H1540" s="1">
        <f t="shared" si="6"/>
        <v>73658.98649</v>
      </c>
      <c r="I1540" s="1">
        <f t="shared" si="7"/>
        <v>120532.887</v>
      </c>
    </row>
    <row r="1541" hidden="1">
      <c r="A1541" s="266">
        <f>IFERROR(__xludf.DUMMYFUNCTION("""COMPUTED_VALUE"""),44179.99861111111)</f>
        <v>44179.99861</v>
      </c>
      <c r="B1541" s="1">
        <f>IFERROR(__xludf.DUMMYFUNCTION("""COMPUTED_VALUE"""),19274.74)</f>
        <v>19274.74</v>
      </c>
      <c r="C1541" s="58">
        <f t="shared" si="1"/>
        <v>4363.998611</v>
      </c>
      <c r="D1541" s="1">
        <f t="shared" si="2"/>
        <v>6705.178159</v>
      </c>
      <c r="E1541" s="1">
        <f t="shared" si="3"/>
        <v>12069.32069</v>
      </c>
      <c r="F1541" s="1">
        <f t="shared" si="4"/>
        <v>22797.60574</v>
      </c>
      <c r="G1541" s="1">
        <f t="shared" si="5"/>
        <v>40231.06895</v>
      </c>
      <c r="H1541" s="1">
        <f t="shared" si="6"/>
        <v>73756.95975</v>
      </c>
      <c r="I1541" s="1">
        <f t="shared" si="7"/>
        <v>120693.2069</v>
      </c>
    </row>
    <row r="1542" hidden="1">
      <c r="A1542" s="266">
        <f>IFERROR(__xludf.DUMMYFUNCTION("""COMPUTED_VALUE"""),44180.99861111111)</f>
        <v>44180.99861</v>
      </c>
      <c r="B1542" s="1">
        <f>IFERROR(__xludf.DUMMYFUNCTION("""COMPUTED_VALUE"""),19435.53)</f>
        <v>19435.53</v>
      </c>
      <c r="C1542" s="58">
        <f t="shared" si="1"/>
        <v>4364.998611</v>
      </c>
      <c r="D1542" s="1">
        <f t="shared" si="2"/>
        <v>6714.094621</v>
      </c>
      <c r="E1542" s="1">
        <f t="shared" si="3"/>
        <v>12085.37032</v>
      </c>
      <c r="F1542" s="1">
        <f t="shared" si="4"/>
        <v>22827.92171</v>
      </c>
      <c r="G1542" s="1">
        <f t="shared" si="5"/>
        <v>40284.56772</v>
      </c>
      <c r="H1542" s="1">
        <f t="shared" si="6"/>
        <v>73855.04083</v>
      </c>
      <c r="I1542" s="1">
        <f t="shared" si="7"/>
        <v>120853.7032</v>
      </c>
    </row>
    <row r="1543" hidden="1">
      <c r="A1543" s="266">
        <f>IFERROR(__xludf.DUMMYFUNCTION("""COMPUTED_VALUE"""),44181.99861111111)</f>
        <v>44181.99861</v>
      </c>
      <c r="B1543" s="1">
        <f>IFERROR(__xludf.DUMMYFUNCTION("""COMPUTED_VALUE"""),21354.81)</f>
        <v>21354.81</v>
      </c>
      <c r="C1543" s="58">
        <f t="shared" si="1"/>
        <v>4365.998611</v>
      </c>
      <c r="D1543" s="1">
        <f t="shared" si="2"/>
        <v>6723.020893</v>
      </c>
      <c r="E1543" s="1">
        <f t="shared" si="3"/>
        <v>12101.43761</v>
      </c>
      <c r="F1543" s="1">
        <f t="shared" si="4"/>
        <v>22858.27104</v>
      </c>
      <c r="G1543" s="1">
        <f t="shared" si="5"/>
        <v>40338.12536</v>
      </c>
      <c r="H1543" s="1">
        <f t="shared" si="6"/>
        <v>73953.22982</v>
      </c>
      <c r="I1543" s="1">
        <f t="shared" si="7"/>
        <v>121014.3761</v>
      </c>
    </row>
    <row r="1544" hidden="1">
      <c r="A1544" s="266">
        <f>IFERROR(__xludf.DUMMYFUNCTION("""COMPUTED_VALUE"""),44182.99861111111)</f>
        <v>44182.99861</v>
      </c>
      <c r="B1544" s="1">
        <f>IFERROR(__xludf.DUMMYFUNCTION("""COMPUTED_VALUE"""),22831.94)</f>
        <v>22831.94</v>
      </c>
      <c r="C1544" s="58">
        <f t="shared" si="1"/>
        <v>4366.998611</v>
      </c>
      <c r="D1544" s="1">
        <f t="shared" si="2"/>
        <v>6731.956984</v>
      </c>
      <c r="E1544" s="1">
        <f t="shared" si="3"/>
        <v>12117.52257</v>
      </c>
      <c r="F1544" s="1">
        <f t="shared" si="4"/>
        <v>22888.65375</v>
      </c>
      <c r="G1544" s="1">
        <f t="shared" si="5"/>
        <v>40391.74191</v>
      </c>
      <c r="H1544" s="1">
        <f t="shared" si="6"/>
        <v>74051.52683</v>
      </c>
      <c r="I1544" s="1">
        <f t="shared" si="7"/>
        <v>121175.2257</v>
      </c>
    </row>
    <row r="1545" hidden="1">
      <c r="A1545" s="266">
        <f>IFERROR(__xludf.DUMMYFUNCTION("""COMPUTED_VALUE"""),44183.99861111111)</f>
        <v>44183.99861</v>
      </c>
      <c r="B1545" s="1">
        <f>IFERROR(__xludf.DUMMYFUNCTION("""COMPUTED_VALUE"""),23137.34)</f>
        <v>23137.34</v>
      </c>
      <c r="C1545" s="58">
        <f t="shared" si="1"/>
        <v>4367.998611</v>
      </c>
      <c r="D1545" s="1">
        <f t="shared" si="2"/>
        <v>6740.902903</v>
      </c>
      <c r="E1545" s="1">
        <f t="shared" si="3"/>
        <v>12133.62523</v>
      </c>
      <c r="F1545" s="1">
        <f t="shared" si="4"/>
        <v>22919.06987</v>
      </c>
      <c r="G1545" s="1">
        <f t="shared" si="5"/>
        <v>40445.41742</v>
      </c>
      <c r="H1545" s="1">
        <f t="shared" si="6"/>
        <v>74149.93194</v>
      </c>
      <c r="I1545" s="1">
        <f t="shared" si="7"/>
        <v>121336.2523</v>
      </c>
    </row>
    <row r="1546" hidden="1">
      <c r="A1546" s="266">
        <f>IFERROR(__xludf.DUMMYFUNCTION("""COMPUTED_VALUE"""),44184.99861111111)</f>
        <v>44184.99861</v>
      </c>
      <c r="B1546" s="1">
        <f>IFERROR(__xludf.DUMMYFUNCTION("""COMPUTED_VALUE"""),23841.97)</f>
        <v>23841.97</v>
      </c>
      <c r="C1546" s="58">
        <f t="shared" si="1"/>
        <v>4368.998611</v>
      </c>
      <c r="D1546" s="1">
        <f t="shared" si="2"/>
        <v>6749.858658</v>
      </c>
      <c r="E1546" s="1">
        <f t="shared" si="3"/>
        <v>12149.74558</v>
      </c>
      <c r="F1546" s="1">
        <f t="shared" si="4"/>
        <v>22949.51944</v>
      </c>
      <c r="G1546" s="1">
        <f t="shared" si="5"/>
        <v>40499.15195</v>
      </c>
      <c r="H1546" s="1">
        <f t="shared" si="6"/>
        <v>74248.44524</v>
      </c>
      <c r="I1546" s="1">
        <f t="shared" si="7"/>
        <v>121497.4558</v>
      </c>
    </row>
    <row r="1547" hidden="1">
      <c r="A1547" s="266">
        <f>IFERROR(__xludf.DUMMYFUNCTION("""COMPUTED_VALUE"""),44185.99861111111)</f>
        <v>44185.99861</v>
      </c>
      <c r="B1547" s="1">
        <f>IFERROR(__xludf.DUMMYFUNCTION("""COMPUTED_VALUE"""),23472.68)</f>
        <v>23472.68</v>
      </c>
      <c r="C1547" s="58">
        <f t="shared" si="1"/>
        <v>4369.998611</v>
      </c>
      <c r="D1547" s="1">
        <f t="shared" si="2"/>
        <v>6758.824258</v>
      </c>
      <c r="E1547" s="1">
        <f t="shared" si="3"/>
        <v>12165.88366</v>
      </c>
      <c r="F1547" s="1">
        <f t="shared" si="4"/>
        <v>22980.00248</v>
      </c>
      <c r="G1547" s="1">
        <f t="shared" si="5"/>
        <v>40552.94555</v>
      </c>
      <c r="H1547" s="1">
        <f t="shared" si="6"/>
        <v>74347.06684</v>
      </c>
      <c r="I1547" s="1">
        <f t="shared" si="7"/>
        <v>121658.8366</v>
      </c>
    </row>
    <row r="1548" hidden="1">
      <c r="A1548" s="266">
        <f>IFERROR(__xludf.DUMMYFUNCTION("""COMPUTED_VALUE"""),44186.99861111111)</f>
        <v>44186.99861</v>
      </c>
      <c r="B1548" s="1">
        <f>IFERROR(__xludf.DUMMYFUNCTION("""COMPUTED_VALUE"""),22709.7)</f>
        <v>22709.7</v>
      </c>
      <c r="C1548" s="58">
        <f t="shared" si="1"/>
        <v>4370.998611</v>
      </c>
      <c r="D1548" s="1">
        <f t="shared" si="2"/>
        <v>6767.799711</v>
      </c>
      <c r="E1548" s="1">
        <f t="shared" si="3"/>
        <v>12182.03948</v>
      </c>
      <c r="F1548" s="1">
        <f t="shared" si="4"/>
        <v>23010.51902</v>
      </c>
      <c r="G1548" s="1">
        <f t="shared" si="5"/>
        <v>40606.79826</v>
      </c>
      <c r="H1548" s="1">
        <f t="shared" si="6"/>
        <v>74445.79682</v>
      </c>
      <c r="I1548" s="1">
        <f t="shared" si="7"/>
        <v>121820.3948</v>
      </c>
    </row>
    <row r="1549" hidden="1">
      <c r="A1549" s="266">
        <f>IFERROR(__xludf.DUMMYFUNCTION("""COMPUTED_VALUE"""),44187.99861111111)</f>
        <v>44187.99861</v>
      </c>
      <c r="B1549" s="1">
        <f>IFERROR(__xludf.DUMMYFUNCTION("""COMPUTED_VALUE"""),23822.64)</f>
        <v>23822.64</v>
      </c>
      <c r="C1549" s="58">
        <f t="shared" si="1"/>
        <v>4371.998611</v>
      </c>
      <c r="D1549" s="1">
        <f t="shared" si="2"/>
        <v>6776.785025</v>
      </c>
      <c r="E1549" s="1">
        <f t="shared" si="3"/>
        <v>12198.21305</v>
      </c>
      <c r="F1549" s="1">
        <f t="shared" si="4"/>
        <v>23041.06909</v>
      </c>
      <c r="G1549" s="1">
        <f t="shared" si="5"/>
        <v>40660.71015</v>
      </c>
      <c r="H1549" s="1">
        <f t="shared" si="6"/>
        <v>74544.63528</v>
      </c>
      <c r="I1549" s="1">
        <f t="shared" si="7"/>
        <v>121982.1305</v>
      </c>
    </row>
    <row r="1550" hidden="1">
      <c r="A1550" s="266">
        <f>IFERROR(__xludf.DUMMYFUNCTION("""COMPUTED_VALUE"""),44188.99861111111)</f>
        <v>44188.99861</v>
      </c>
      <c r="B1550" s="1">
        <f>IFERROR(__xludf.DUMMYFUNCTION("""COMPUTED_VALUE"""),23234.12)</f>
        <v>23234.12</v>
      </c>
      <c r="C1550" s="58">
        <f t="shared" si="1"/>
        <v>4372.998611</v>
      </c>
      <c r="D1550" s="1">
        <f t="shared" si="2"/>
        <v>6785.78021</v>
      </c>
      <c r="E1550" s="1">
        <f t="shared" si="3"/>
        <v>12214.40438</v>
      </c>
      <c r="F1550" s="1">
        <f t="shared" si="4"/>
        <v>23071.65271</v>
      </c>
      <c r="G1550" s="1">
        <f t="shared" si="5"/>
        <v>40714.68126</v>
      </c>
      <c r="H1550" s="1">
        <f t="shared" si="6"/>
        <v>74643.58231</v>
      </c>
      <c r="I1550" s="1">
        <f t="shared" si="7"/>
        <v>122144.0438</v>
      </c>
    </row>
    <row r="1551" hidden="1">
      <c r="A1551" s="266">
        <f>IFERROR(__xludf.DUMMYFUNCTION("""COMPUTED_VALUE"""),44189.99861111111)</f>
        <v>44189.99861</v>
      </c>
      <c r="B1551" s="1">
        <f>IFERROR(__xludf.DUMMYFUNCTION("""COMPUTED_VALUE"""),23719.2)</f>
        <v>23719.2</v>
      </c>
      <c r="C1551" s="58">
        <f t="shared" si="1"/>
        <v>4373.998611</v>
      </c>
      <c r="D1551" s="1">
        <f t="shared" si="2"/>
        <v>6794.785274</v>
      </c>
      <c r="E1551" s="1">
        <f t="shared" si="3"/>
        <v>12230.61349</v>
      </c>
      <c r="F1551" s="1">
        <f t="shared" si="4"/>
        <v>23102.26993</v>
      </c>
      <c r="G1551" s="1">
        <f t="shared" si="5"/>
        <v>40768.71164</v>
      </c>
      <c r="H1551" s="1">
        <f t="shared" si="6"/>
        <v>74742.63801</v>
      </c>
      <c r="I1551" s="1">
        <f t="shared" si="7"/>
        <v>122306.1349</v>
      </c>
    </row>
    <row r="1552" hidden="1">
      <c r="A1552" s="266">
        <f>IFERROR(__xludf.DUMMYFUNCTION("""COMPUTED_VALUE"""),44190.99861111111)</f>
        <v>44190.99861</v>
      </c>
      <c r="B1552" s="1">
        <f>IFERROR(__xludf.DUMMYFUNCTION("""COMPUTED_VALUE"""),24703.38)</f>
        <v>24703.38</v>
      </c>
      <c r="C1552" s="58">
        <f t="shared" si="1"/>
        <v>4374.998611</v>
      </c>
      <c r="D1552" s="1">
        <f t="shared" si="2"/>
        <v>6803.800225</v>
      </c>
      <c r="E1552" s="1">
        <f t="shared" si="3"/>
        <v>12246.84041</v>
      </c>
      <c r="F1552" s="1">
        <f t="shared" si="4"/>
        <v>23132.92077</v>
      </c>
      <c r="G1552" s="1">
        <f t="shared" si="5"/>
        <v>40822.80135</v>
      </c>
      <c r="H1552" s="1">
        <f t="shared" si="6"/>
        <v>74841.80248</v>
      </c>
      <c r="I1552" s="1">
        <f t="shared" si="7"/>
        <v>122468.4041</v>
      </c>
    </row>
    <row r="1553" hidden="1">
      <c r="A1553" s="266">
        <f>IFERROR(__xludf.DUMMYFUNCTION("""COMPUTED_VALUE"""),44191.99861111111)</f>
        <v>44191.99861</v>
      </c>
      <c r="B1553" s="1">
        <f>IFERROR(__xludf.DUMMYFUNCTION("""COMPUTED_VALUE"""),26449.16)</f>
        <v>26449.16</v>
      </c>
      <c r="C1553" s="58">
        <f t="shared" si="1"/>
        <v>4375.998611</v>
      </c>
      <c r="D1553" s="1">
        <f t="shared" si="2"/>
        <v>6812.825073</v>
      </c>
      <c r="E1553" s="1">
        <f t="shared" si="3"/>
        <v>12263.08513</v>
      </c>
      <c r="F1553" s="1">
        <f t="shared" si="4"/>
        <v>23163.60525</v>
      </c>
      <c r="G1553" s="1">
        <f t="shared" si="5"/>
        <v>40876.95044</v>
      </c>
      <c r="H1553" s="1">
        <f t="shared" si="6"/>
        <v>74941.0758</v>
      </c>
      <c r="I1553" s="1">
        <f t="shared" si="7"/>
        <v>122630.8513</v>
      </c>
    </row>
    <row r="1554" hidden="1">
      <c r="A1554" s="266">
        <f>IFERROR(__xludf.DUMMYFUNCTION("""COMPUTED_VALUE"""),44192.99861111111)</f>
        <v>44192.99861</v>
      </c>
      <c r="B1554" s="1">
        <f>IFERROR(__xludf.DUMMYFUNCTION("""COMPUTED_VALUE"""),26239.31)</f>
        <v>26239.31</v>
      </c>
      <c r="C1554" s="58">
        <f t="shared" si="1"/>
        <v>4376.998611</v>
      </c>
      <c r="D1554" s="1">
        <f t="shared" si="2"/>
        <v>6821.859825</v>
      </c>
      <c r="E1554" s="1">
        <f t="shared" si="3"/>
        <v>12279.34769</v>
      </c>
      <c r="F1554" s="1">
        <f t="shared" si="4"/>
        <v>23194.32341</v>
      </c>
      <c r="G1554" s="1">
        <f t="shared" si="5"/>
        <v>40931.15895</v>
      </c>
      <c r="H1554" s="1">
        <f t="shared" si="6"/>
        <v>75040.45808</v>
      </c>
      <c r="I1554" s="1">
        <f t="shared" si="7"/>
        <v>122793.4769</v>
      </c>
    </row>
    <row r="1555" hidden="1">
      <c r="A1555" s="266">
        <f>IFERROR(__xludf.DUMMYFUNCTION("""COMPUTED_VALUE"""),44193.99861111111)</f>
        <v>44193.99861</v>
      </c>
      <c r="B1555" s="1">
        <f>IFERROR(__xludf.DUMMYFUNCTION("""COMPUTED_VALUE"""),27035.83)</f>
        <v>27035.83</v>
      </c>
      <c r="C1555" s="58">
        <f t="shared" si="1"/>
        <v>4377.998611</v>
      </c>
      <c r="D1555" s="1">
        <f t="shared" si="2"/>
        <v>6830.904491</v>
      </c>
      <c r="E1555" s="1">
        <f t="shared" si="3"/>
        <v>12295.62808</v>
      </c>
      <c r="F1555" s="1">
        <f t="shared" si="4"/>
        <v>23225.07527</v>
      </c>
      <c r="G1555" s="1">
        <f t="shared" si="5"/>
        <v>40985.42694</v>
      </c>
      <c r="H1555" s="1">
        <f t="shared" si="6"/>
        <v>75139.9494</v>
      </c>
      <c r="I1555" s="1">
        <f t="shared" si="7"/>
        <v>122956.2808</v>
      </c>
    </row>
    <row r="1556" hidden="1">
      <c r="A1556" s="266">
        <f>IFERROR(__xludf.DUMMYFUNCTION("""COMPUTED_VALUE"""),44194.99861111111)</f>
        <v>44194.99861</v>
      </c>
      <c r="B1556" s="1">
        <f>IFERROR(__xludf.DUMMYFUNCTION("""COMPUTED_VALUE"""),27360.16)</f>
        <v>27360.16</v>
      </c>
      <c r="C1556" s="58">
        <f t="shared" si="1"/>
        <v>4378.998611</v>
      </c>
      <c r="D1556" s="1">
        <f t="shared" si="2"/>
        <v>6839.959078</v>
      </c>
      <c r="E1556" s="1">
        <f t="shared" si="3"/>
        <v>12311.92634</v>
      </c>
      <c r="F1556" s="1">
        <f t="shared" si="4"/>
        <v>23255.86087</v>
      </c>
      <c r="G1556" s="1">
        <f t="shared" si="5"/>
        <v>41039.75447</v>
      </c>
      <c r="H1556" s="1">
        <f t="shared" si="6"/>
        <v>75239.54986</v>
      </c>
      <c r="I1556" s="1">
        <f t="shared" si="7"/>
        <v>123119.2634</v>
      </c>
    </row>
    <row r="1557" hidden="1">
      <c r="A1557" s="266">
        <f>IFERROR(__xludf.DUMMYFUNCTION("""COMPUTED_VALUE"""),44195.99861111111)</f>
        <v>44195.99861</v>
      </c>
      <c r="B1557" s="1">
        <f>IFERROR(__xludf.DUMMYFUNCTION("""COMPUTED_VALUE"""),28880.12)</f>
        <v>28880.12</v>
      </c>
      <c r="C1557" s="58">
        <f t="shared" si="1"/>
        <v>4379.998611</v>
      </c>
      <c r="D1557" s="1">
        <f t="shared" si="2"/>
        <v>6849.023596</v>
      </c>
      <c r="E1557" s="1">
        <f t="shared" si="3"/>
        <v>12328.24247</v>
      </c>
      <c r="F1557" s="1">
        <f t="shared" si="4"/>
        <v>23286.68023</v>
      </c>
      <c r="G1557" s="1">
        <f t="shared" si="5"/>
        <v>41094.14158</v>
      </c>
      <c r="H1557" s="1">
        <f t="shared" si="6"/>
        <v>75339.25956</v>
      </c>
      <c r="I1557" s="1">
        <f t="shared" si="7"/>
        <v>123282.4247</v>
      </c>
    </row>
    <row r="1558" hidden="1">
      <c r="A1558" s="266">
        <f>IFERROR(__xludf.DUMMYFUNCTION("""COMPUTED_VALUE"""),44196.99861111111)</f>
        <v>44196.99861</v>
      </c>
      <c r="B1558" s="1">
        <f>IFERROR(__xludf.DUMMYFUNCTION("""COMPUTED_VALUE"""),28943.58)</f>
        <v>28943.58</v>
      </c>
      <c r="C1558" s="58">
        <f t="shared" si="1"/>
        <v>4380.998611</v>
      </c>
      <c r="D1558" s="1">
        <f t="shared" si="2"/>
        <v>6858.098053</v>
      </c>
      <c r="E1558" s="1">
        <f t="shared" si="3"/>
        <v>12344.5765</v>
      </c>
      <c r="F1558" s="1">
        <f t="shared" si="4"/>
        <v>23317.53338</v>
      </c>
      <c r="G1558" s="1">
        <f t="shared" si="5"/>
        <v>41148.58832</v>
      </c>
      <c r="H1558" s="1">
        <f t="shared" si="6"/>
        <v>75439.07859</v>
      </c>
      <c r="I1558" s="1">
        <f t="shared" si="7"/>
        <v>123445.765</v>
      </c>
    </row>
    <row r="1559" hidden="1">
      <c r="A1559" s="266">
        <f>IFERROR(__xludf.DUMMYFUNCTION("""COMPUTED_VALUE"""),44197.99861111111)</f>
        <v>44197.99861</v>
      </c>
      <c r="B1559" s="1">
        <f>IFERROR(__xludf.DUMMYFUNCTION("""COMPUTED_VALUE"""),29394.66)</f>
        <v>29394.66</v>
      </c>
      <c r="C1559" s="58">
        <f t="shared" si="1"/>
        <v>4381.998611</v>
      </c>
      <c r="D1559" s="1">
        <f t="shared" si="2"/>
        <v>6867.182458</v>
      </c>
      <c r="E1559" s="1">
        <f t="shared" si="3"/>
        <v>12360.92842</v>
      </c>
      <c r="F1559" s="1">
        <f t="shared" si="4"/>
        <v>23348.42036</v>
      </c>
      <c r="G1559" s="1">
        <f t="shared" si="5"/>
        <v>41203.09475</v>
      </c>
      <c r="H1559" s="1">
        <f t="shared" si="6"/>
        <v>75539.00704</v>
      </c>
      <c r="I1559" s="1">
        <f t="shared" si="7"/>
        <v>123609.2842</v>
      </c>
    </row>
    <row r="1560" hidden="1">
      <c r="A1560" s="266">
        <f>IFERROR(__xludf.DUMMYFUNCTION("""COMPUTED_VALUE"""),44198.99861111111)</f>
        <v>44198.99861</v>
      </c>
      <c r="B1560" s="1">
        <f>IFERROR(__xludf.DUMMYFUNCTION("""COMPUTED_VALUE"""),32183.46)</f>
        <v>32183.46</v>
      </c>
      <c r="C1560" s="58">
        <f t="shared" si="1"/>
        <v>4382.998611</v>
      </c>
      <c r="D1560" s="1">
        <f t="shared" si="2"/>
        <v>6876.27682</v>
      </c>
      <c r="E1560" s="1">
        <f t="shared" si="3"/>
        <v>12377.29828</v>
      </c>
      <c r="F1560" s="1">
        <f t="shared" si="4"/>
        <v>23379.34119</v>
      </c>
      <c r="G1560" s="1">
        <f t="shared" si="5"/>
        <v>41257.66092</v>
      </c>
      <c r="H1560" s="1">
        <f t="shared" si="6"/>
        <v>75639.04502</v>
      </c>
      <c r="I1560" s="1">
        <f t="shared" si="7"/>
        <v>123772.9828</v>
      </c>
    </row>
    <row r="1561" hidden="1">
      <c r="A1561" s="266">
        <f>IFERROR(__xludf.DUMMYFUNCTION("""COMPUTED_VALUE"""),44199.99861111111)</f>
        <v>44199.99861</v>
      </c>
      <c r="B1561" s="1">
        <f>IFERROR(__xludf.DUMMYFUNCTION("""COMPUTED_VALUE"""),32995.38)</f>
        <v>32995.38</v>
      </c>
      <c r="C1561" s="58">
        <f t="shared" si="1"/>
        <v>4383.998611</v>
      </c>
      <c r="D1561" s="1">
        <f t="shared" si="2"/>
        <v>6885.381146</v>
      </c>
      <c r="E1561" s="1">
        <f t="shared" si="3"/>
        <v>12393.68606</v>
      </c>
      <c r="F1561" s="1">
        <f t="shared" si="4"/>
        <v>23410.2959</v>
      </c>
      <c r="G1561" s="1">
        <f t="shared" si="5"/>
        <v>41312.28688</v>
      </c>
      <c r="H1561" s="1">
        <f t="shared" si="6"/>
        <v>75739.19261</v>
      </c>
      <c r="I1561" s="1">
        <f t="shared" si="7"/>
        <v>123936.8606</v>
      </c>
    </row>
    <row r="1562" hidden="1">
      <c r="A1562" s="266">
        <f>IFERROR(__xludf.DUMMYFUNCTION("""COMPUTED_VALUE"""),44200.99861111111)</f>
        <v>44200.99861</v>
      </c>
      <c r="B1562" s="1">
        <f>IFERROR(__xludf.DUMMYFUNCTION("""COMPUTED_VALUE"""),32022.43)</f>
        <v>32022.43</v>
      </c>
      <c r="C1562" s="58">
        <f t="shared" si="1"/>
        <v>4384.998611</v>
      </c>
      <c r="D1562" s="1">
        <f t="shared" si="2"/>
        <v>6894.495446</v>
      </c>
      <c r="E1562" s="1">
        <f t="shared" si="3"/>
        <v>12410.0918</v>
      </c>
      <c r="F1562" s="1">
        <f t="shared" si="4"/>
        <v>23441.28452</v>
      </c>
      <c r="G1562" s="1">
        <f t="shared" si="5"/>
        <v>41366.97268</v>
      </c>
      <c r="H1562" s="1">
        <f t="shared" si="6"/>
        <v>75839.44991</v>
      </c>
      <c r="I1562" s="1">
        <f t="shared" si="7"/>
        <v>124100.918</v>
      </c>
    </row>
    <row r="1563" hidden="1">
      <c r="A1563" s="266">
        <f>IFERROR(__xludf.DUMMYFUNCTION("""COMPUTED_VALUE"""),44201.99861111111)</f>
        <v>44201.99861</v>
      </c>
      <c r="B1563" s="1">
        <f>IFERROR(__xludf.DUMMYFUNCTION("""COMPUTED_VALUE"""),33999.23)</f>
        <v>33999.23</v>
      </c>
      <c r="C1563" s="58">
        <f t="shared" si="1"/>
        <v>4385.998611</v>
      </c>
      <c r="D1563" s="1">
        <f t="shared" si="2"/>
        <v>6903.619729</v>
      </c>
      <c r="E1563" s="1">
        <f t="shared" si="3"/>
        <v>12426.51551</v>
      </c>
      <c r="F1563" s="1">
        <f t="shared" si="4"/>
        <v>23472.30708</v>
      </c>
      <c r="G1563" s="1">
        <f t="shared" si="5"/>
        <v>41421.71837</v>
      </c>
      <c r="H1563" s="1">
        <f t="shared" si="6"/>
        <v>75939.81702</v>
      </c>
      <c r="I1563" s="1">
        <f t="shared" si="7"/>
        <v>124265.1551</v>
      </c>
    </row>
    <row r="1564" hidden="1">
      <c r="A1564" s="266">
        <f>IFERROR(__xludf.DUMMYFUNCTION("""COMPUTED_VALUE"""),44202.99861111111)</f>
        <v>44202.99861</v>
      </c>
      <c r="B1564" s="1">
        <f>IFERROR(__xludf.DUMMYFUNCTION("""COMPUTED_VALUE"""),36812.19)</f>
        <v>36812.19</v>
      </c>
      <c r="C1564" s="58">
        <f t="shared" si="1"/>
        <v>4386.998611</v>
      </c>
      <c r="D1564" s="1">
        <f t="shared" si="2"/>
        <v>6912.754002</v>
      </c>
      <c r="E1564" s="1">
        <f t="shared" si="3"/>
        <v>12442.9572</v>
      </c>
      <c r="F1564" s="1">
        <f t="shared" si="4"/>
        <v>23503.36361</v>
      </c>
      <c r="G1564" s="1">
        <f t="shared" si="5"/>
        <v>41476.52401</v>
      </c>
      <c r="H1564" s="1">
        <f t="shared" si="6"/>
        <v>76040.29403</v>
      </c>
      <c r="I1564" s="1">
        <f t="shared" si="7"/>
        <v>124429.572</v>
      </c>
    </row>
    <row r="1565" hidden="1">
      <c r="A1565" s="266">
        <f>IFERROR(__xludf.DUMMYFUNCTION("""COMPUTED_VALUE"""),44203.99861111111)</f>
        <v>44203.99861</v>
      </c>
      <c r="B1565" s="1">
        <f>IFERROR(__xludf.DUMMYFUNCTION("""COMPUTED_VALUE"""),39465.0)</f>
        <v>39465</v>
      </c>
      <c r="C1565" s="58">
        <f t="shared" si="1"/>
        <v>4387.998611</v>
      </c>
      <c r="D1565" s="1">
        <f t="shared" si="2"/>
        <v>6921.898276</v>
      </c>
      <c r="E1565" s="1">
        <f t="shared" si="3"/>
        <v>12459.4169</v>
      </c>
      <c r="F1565" s="1">
        <f t="shared" si="4"/>
        <v>23534.45414</v>
      </c>
      <c r="G1565" s="1">
        <f t="shared" si="5"/>
        <v>41531.38965</v>
      </c>
      <c r="H1565" s="1">
        <f t="shared" si="6"/>
        <v>76140.88103</v>
      </c>
      <c r="I1565" s="1">
        <f t="shared" si="7"/>
        <v>124594.169</v>
      </c>
    </row>
    <row r="1566" hidden="1">
      <c r="A1566" s="266">
        <f>IFERROR(__xludf.DUMMYFUNCTION("""COMPUTED_VALUE"""),44204.99861111111)</f>
        <v>44204.99861</v>
      </c>
      <c r="B1566" s="1">
        <f>IFERROR(__xludf.DUMMYFUNCTION("""COMPUTED_VALUE"""),40641.98)</f>
        <v>40641.98</v>
      </c>
      <c r="C1566" s="58">
        <f t="shared" si="1"/>
        <v>4388.998611</v>
      </c>
      <c r="D1566" s="1">
        <f t="shared" si="2"/>
        <v>6931.052557</v>
      </c>
      <c r="E1566" s="1">
        <f t="shared" si="3"/>
        <v>12475.8946</v>
      </c>
      <c r="F1566" s="1">
        <f t="shared" si="4"/>
        <v>23565.57869</v>
      </c>
      <c r="G1566" s="1">
        <f t="shared" si="5"/>
        <v>41586.31534</v>
      </c>
      <c r="H1566" s="1">
        <f t="shared" si="6"/>
        <v>76241.57813</v>
      </c>
      <c r="I1566" s="1">
        <f t="shared" si="7"/>
        <v>124758.946</v>
      </c>
    </row>
    <row r="1567" hidden="1">
      <c r="A1567" s="266">
        <f>IFERROR(__xludf.DUMMYFUNCTION("""COMPUTED_VALUE"""),44205.99861111111)</f>
        <v>44205.99861</v>
      </c>
      <c r="B1567" s="1">
        <f>IFERROR(__xludf.DUMMYFUNCTION("""COMPUTED_VALUE"""),40229.14)</f>
        <v>40229.14</v>
      </c>
      <c r="C1567" s="58">
        <f t="shared" si="1"/>
        <v>4389.998611</v>
      </c>
      <c r="D1567" s="1">
        <f t="shared" si="2"/>
        <v>6940.216856</v>
      </c>
      <c r="E1567" s="1">
        <f t="shared" si="3"/>
        <v>12492.39034</v>
      </c>
      <c r="F1567" s="1">
        <f t="shared" si="4"/>
        <v>23596.73731</v>
      </c>
      <c r="G1567" s="1">
        <f t="shared" si="5"/>
        <v>41641.30113</v>
      </c>
      <c r="H1567" s="1">
        <f t="shared" si="6"/>
        <v>76342.38541</v>
      </c>
      <c r="I1567" s="1">
        <f t="shared" si="7"/>
        <v>124923.9034</v>
      </c>
    </row>
    <row r="1568" hidden="1">
      <c r="A1568" s="266">
        <f>IFERROR(__xludf.DUMMYFUNCTION("""COMPUTED_VALUE"""),44206.99861111111)</f>
        <v>44206.99861</v>
      </c>
      <c r="B1568" s="1">
        <f>IFERROR(__xludf.DUMMYFUNCTION("""COMPUTED_VALUE"""),38212.04)</f>
        <v>38212.04</v>
      </c>
      <c r="C1568" s="58">
        <f t="shared" si="1"/>
        <v>4390.998611</v>
      </c>
      <c r="D1568" s="1">
        <f t="shared" si="2"/>
        <v>6949.39118</v>
      </c>
      <c r="E1568" s="1">
        <f t="shared" si="3"/>
        <v>12508.90412</v>
      </c>
      <c r="F1568" s="1">
        <f t="shared" si="4"/>
        <v>23627.93001</v>
      </c>
      <c r="G1568" s="1">
        <f t="shared" si="5"/>
        <v>41696.34708</v>
      </c>
      <c r="H1568" s="1">
        <f t="shared" si="6"/>
        <v>76443.30298</v>
      </c>
      <c r="I1568" s="1">
        <f t="shared" si="7"/>
        <v>125089.0412</v>
      </c>
    </row>
    <row r="1569" hidden="1">
      <c r="A1569" s="266">
        <f>IFERROR(__xludf.DUMMYFUNCTION("""COMPUTED_VALUE"""),44207.99861111111)</f>
        <v>44207.99861</v>
      </c>
      <c r="B1569" s="1">
        <f>IFERROR(__xludf.DUMMYFUNCTION("""COMPUTED_VALUE"""),35480.42)</f>
        <v>35480.42</v>
      </c>
      <c r="C1569" s="58">
        <f t="shared" si="1"/>
        <v>4391.998611</v>
      </c>
      <c r="D1569" s="1">
        <f t="shared" si="2"/>
        <v>6958.575538</v>
      </c>
      <c r="E1569" s="1">
        <f t="shared" si="3"/>
        <v>12525.43597</v>
      </c>
      <c r="F1569" s="1">
        <f t="shared" si="4"/>
        <v>23659.15683</v>
      </c>
      <c r="G1569" s="1">
        <f t="shared" si="5"/>
        <v>41751.45323</v>
      </c>
      <c r="H1569" s="1">
        <f t="shared" si="6"/>
        <v>76544.33092</v>
      </c>
      <c r="I1569" s="1">
        <f t="shared" si="7"/>
        <v>125254.3597</v>
      </c>
    </row>
    <row r="1570" hidden="1">
      <c r="A1570" s="266">
        <f>IFERROR(__xludf.DUMMYFUNCTION("""COMPUTED_VALUE"""),44208.99861111111)</f>
        <v>44208.99861</v>
      </c>
      <c r="B1570" s="1">
        <f>IFERROR(__xludf.DUMMYFUNCTION("""COMPUTED_VALUE"""),34051.0)</f>
        <v>34051</v>
      </c>
      <c r="C1570" s="58">
        <f t="shared" si="1"/>
        <v>4392.998611</v>
      </c>
      <c r="D1570" s="1">
        <f t="shared" si="2"/>
        <v>6967.76994</v>
      </c>
      <c r="E1570" s="1">
        <f t="shared" si="3"/>
        <v>12541.98589</v>
      </c>
      <c r="F1570" s="1">
        <f t="shared" si="4"/>
        <v>23690.4178</v>
      </c>
      <c r="G1570" s="1">
        <f t="shared" si="5"/>
        <v>41806.61964</v>
      </c>
      <c r="H1570" s="1">
        <f t="shared" si="6"/>
        <v>76645.46934</v>
      </c>
      <c r="I1570" s="1">
        <f t="shared" si="7"/>
        <v>125419.8589</v>
      </c>
    </row>
    <row r="1571" hidden="1">
      <c r="A1571" s="266">
        <f>IFERROR(__xludf.DUMMYFUNCTION("""COMPUTED_VALUE"""),44209.99861111111)</f>
        <v>44209.99861</v>
      </c>
      <c r="B1571" s="1">
        <f>IFERROR(__xludf.DUMMYFUNCTION("""COMPUTED_VALUE"""),37385.53)</f>
        <v>37385.53</v>
      </c>
      <c r="C1571" s="58">
        <f t="shared" si="1"/>
        <v>4393.998611</v>
      </c>
      <c r="D1571" s="1">
        <f t="shared" si="2"/>
        <v>6976.974393</v>
      </c>
      <c r="E1571" s="1">
        <f t="shared" si="3"/>
        <v>12558.55391</v>
      </c>
      <c r="F1571" s="1">
        <f t="shared" si="4"/>
        <v>23721.71294</v>
      </c>
      <c r="G1571" s="1">
        <f t="shared" si="5"/>
        <v>41861.84636</v>
      </c>
      <c r="H1571" s="1">
        <f t="shared" si="6"/>
        <v>76746.71833</v>
      </c>
      <c r="I1571" s="1">
        <f t="shared" si="7"/>
        <v>125585.5391</v>
      </c>
    </row>
    <row r="1572" hidden="1">
      <c r="A1572" s="266">
        <f>IFERROR(__xludf.DUMMYFUNCTION("""COMPUTED_VALUE"""),44210.99861111111)</f>
        <v>44210.99861</v>
      </c>
      <c r="B1572" s="1">
        <f>IFERROR(__xludf.DUMMYFUNCTION("""COMPUTED_VALUE"""),39152.59)</f>
        <v>39152.59</v>
      </c>
      <c r="C1572" s="58">
        <f t="shared" si="1"/>
        <v>4394.998611</v>
      </c>
      <c r="D1572" s="1">
        <f t="shared" si="2"/>
        <v>6986.188907</v>
      </c>
      <c r="E1572" s="1">
        <f t="shared" si="3"/>
        <v>12575.14003</v>
      </c>
      <c r="F1572" s="1">
        <f t="shared" si="4"/>
        <v>23753.04228</v>
      </c>
      <c r="G1572" s="1">
        <f t="shared" si="5"/>
        <v>41917.13344</v>
      </c>
      <c r="H1572" s="1">
        <f t="shared" si="6"/>
        <v>76848.07798</v>
      </c>
      <c r="I1572" s="1">
        <f t="shared" si="7"/>
        <v>125751.4003</v>
      </c>
    </row>
    <row r="1573" hidden="1">
      <c r="A1573" s="266">
        <f>IFERROR(__xludf.DUMMYFUNCTION("""COMPUTED_VALUE"""),44211.99861111111)</f>
        <v>44211.99861</v>
      </c>
      <c r="B1573" s="1">
        <f>IFERROR(__xludf.DUMMYFUNCTION("""COMPUTED_VALUE"""),36820.3)</f>
        <v>36820.3</v>
      </c>
      <c r="C1573" s="58">
        <f t="shared" si="1"/>
        <v>4395.998611</v>
      </c>
      <c r="D1573" s="1">
        <f t="shared" si="2"/>
        <v>6995.41349</v>
      </c>
      <c r="E1573" s="1">
        <f t="shared" si="3"/>
        <v>12591.74428</v>
      </c>
      <c r="F1573" s="1">
        <f t="shared" si="4"/>
        <v>23784.40587</v>
      </c>
      <c r="G1573" s="1">
        <f t="shared" si="5"/>
        <v>41972.48094</v>
      </c>
      <c r="H1573" s="1">
        <f t="shared" si="6"/>
        <v>76949.54839</v>
      </c>
      <c r="I1573" s="1">
        <f t="shared" si="7"/>
        <v>125917.4428</v>
      </c>
    </row>
    <row r="1574" hidden="1">
      <c r="A1574" s="266">
        <f>IFERROR(__xludf.DUMMYFUNCTION("""COMPUTED_VALUE"""),44212.99861111111)</f>
        <v>44212.99861</v>
      </c>
      <c r="B1574" s="1">
        <f>IFERROR(__xludf.DUMMYFUNCTION("""COMPUTED_VALUE"""),36022.09)</f>
        <v>36022.09</v>
      </c>
      <c r="C1574" s="58">
        <f t="shared" si="1"/>
        <v>4396.998611</v>
      </c>
      <c r="D1574" s="1">
        <f t="shared" si="2"/>
        <v>7004.648151</v>
      </c>
      <c r="E1574" s="1">
        <f t="shared" si="3"/>
        <v>12608.36667</v>
      </c>
      <c r="F1574" s="1">
        <f t="shared" si="4"/>
        <v>23815.80371</v>
      </c>
      <c r="G1574" s="1">
        <f t="shared" si="5"/>
        <v>42027.8889</v>
      </c>
      <c r="H1574" s="1">
        <f t="shared" si="6"/>
        <v>77051.12966</v>
      </c>
      <c r="I1574" s="1">
        <f t="shared" si="7"/>
        <v>126083.6667</v>
      </c>
    </row>
    <row r="1575" hidden="1">
      <c r="A1575" s="266">
        <f>IFERROR(__xludf.DUMMYFUNCTION("""COMPUTED_VALUE"""),44213.99861111111)</f>
        <v>44213.99861</v>
      </c>
      <c r="B1575" s="1">
        <f>IFERROR(__xludf.DUMMYFUNCTION("""COMPUTED_VALUE"""),35825.16)</f>
        <v>35825.16</v>
      </c>
      <c r="C1575" s="58">
        <f t="shared" si="1"/>
        <v>4397.998611</v>
      </c>
      <c r="D1575" s="1">
        <f t="shared" si="2"/>
        <v>7013.892898</v>
      </c>
      <c r="E1575" s="1">
        <f t="shared" si="3"/>
        <v>12625.00722</v>
      </c>
      <c r="F1575" s="1">
        <f t="shared" si="4"/>
        <v>23847.23585</v>
      </c>
      <c r="G1575" s="1">
        <f t="shared" si="5"/>
        <v>42083.35739</v>
      </c>
      <c r="H1575" s="1">
        <f t="shared" si="6"/>
        <v>77152.82188</v>
      </c>
      <c r="I1575" s="1">
        <f t="shared" si="7"/>
        <v>126250.0722</v>
      </c>
    </row>
    <row r="1576" hidden="1">
      <c r="A1576" s="266">
        <f>IFERROR(__xludf.DUMMYFUNCTION("""COMPUTED_VALUE"""),44214.99861111111)</f>
        <v>44214.99861</v>
      </c>
      <c r="B1576" s="1">
        <f>IFERROR(__xludf.DUMMYFUNCTION("""COMPUTED_VALUE"""),36625.9)</f>
        <v>36625.9</v>
      </c>
      <c r="C1576" s="58">
        <f t="shared" si="1"/>
        <v>4398.998611</v>
      </c>
      <c r="D1576" s="1">
        <f t="shared" si="2"/>
        <v>7023.14774</v>
      </c>
      <c r="E1576" s="1">
        <f t="shared" si="3"/>
        <v>12641.66593</v>
      </c>
      <c r="F1576" s="1">
        <f t="shared" si="4"/>
        <v>23878.70232</v>
      </c>
      <c r="G1576" s="1">
        <f t="shared" si="5"/>
        <v>42138.88644</v>
      </c>
      <c r="H1576" s="1">
        <f t="shared" si="6"/>
        <v>77254.62515</v>
      </c>
      <c r="I1576" s="1">
        <f t="shared" si="7"/>
        <v>126416.6593</v>
      </c>
    </row>
    <row r="1577" hidden="1">
      <c r="A1577" s="266">
        <f>IFERROR(__xludf.DUMMYFUNCTION("""COMPUTED_VALUE"""),44215.99861111111)</f>
        <v>44215.99861</v>
      </c>
      <c r="B1577" s="1">
        <f>IFERROR(__xludf.DUMMYFUNCTION("""COMPUTED_VALUE"""),35972.69)</f>
        <v>35972.69</v>
      </c>
      <c r="C1577" s="58">
        <f t="shared" si="1"/>
        <v>4399.998611</v>
      </c>
      <c r="D1577" s="1">
        <f t="shared" si="2"/>
        <v>7032.412687</v>
      </c>
      <c r="E1577" s="1">
        <f t="shared" si="3"/>
        <v>12658.34284</v>
      </c>
      <c r="F1577" s="1">
        <f t="shared" si="4"/>
        <v>23910.20314</v>
      </c>
      <c r="G1577" s="1">
        <f t="shared" si="5"/>
        <v>42194.47612</v>
      </c>
      <c r="H1577" s="1">
        <f t="shared" si="6"/>
        <v>77356.53956</v>
      </c>
      <c r="I1577" s="1">
        <f t="shared" si="7"/>
        <v>126583.4284</v>
      </c>
    </row>
    <row r="1578" hidden="1">
      <c r="A1578" s="266">
        <f>IFERROR(__xludf.DUMMYFUNCTION("""COMPUTED_VALUE"""),44216.99861111111)</f>
        <v>44216.99861</v>
      </c>
      <c r="B1578" s="1">
        <f>IFERROR(__xludf.DUMMYFUNCTION("""COMPUTED_VALUE"""),35501.85)</f>
        <v>35501.85</v>
      </c>
      <c r="C1578" s="58">
        <f t="shared" si="1"/>
        <v>4400.998611</v>
      </c>
      <c r="D1578" s="1">
        <f t="shared" si="2"/>
        <v>7041.687746</v>
      </c>
      <c r="E1578" s="1">
        <f t="shared" si="3"/>
        <v>12675.03794</v>
      </c>
      <c r="F1578" s="1">
        <f t="shared" si="4"/>
        <v>23941.73834</v>
      </c>
      <c r="G1578" s="1">
        <f t="shared" si="5"/>
        <v>42250.12648</v>
      </c>
      <c r="H1578" s="1">
        <f t="shared" si="6"/>
        <v>77458.56521</v>
      </c>
      <c r="I1578" s="1">
        <f t="shared" si="7"/>
        <v>126750.3794</v>
      </c>
    </row>
    <row r="1579" hidden="1">
      <c r="A1579" s="266">
        <f>IFERROR(__xludf.DUMMYFUNCTION("""COMPUTED_VALUE"""),44217.99861111111)</f>
        <v>44217.99861</v>
      </c>
      <c r="B1579" s="1">
        <f>IFERROR(__xludf.DUMMYFUNCTION("""COMPUTED_VALUE"""),30834.26)</f>
        <v>30834.26</v>
      </c>
      <c r="C1579" s="58">
        <f t="shared" si="1"/>
        <v>4401.998611</v>
      </c>
      <c r="D1579" s="1">
        <f t="shared" si="2"/>
        <v>7050.972927</v>
      </c>
      <c r="E1579" s="1">
        <f t="shared" si="3"/>
        <v>12691.75127</v>
      </c>
      <c r="F1579" s="1">
        <f t="shared" si="4"/>
        <v>23973.30795</v>
      </c>
      <c r="G1579" s="1">
        <f t="shared" si="5"/>
        <v>42305.83756</v>
      </c>
      <c r="H1579" s="1">
        <f t="shared" si="6"/>
        <v>77560.7022</v>
      </c>
      <c r="I1579" s="1">
        <f t="shared" si="7"/>
        <v>126917.5127</v>
      </c>
    </row>
    <row r="1580" hidden="1">
      <c r="A1580" s="266">
        <f>IFERROR(__xludf.DUMMYFUNCTION("""COMPUTED_VALUE"""),44218.99861111111)</f>
        <v>44218.99861</v>
      </c>
      <c r="B1580" s="1">
        <f>IFERROR(__xludf.DUMMYFUNCTION("""COMPUTED_VALUE"""),33010.61)</f>
        <v>33010.61</v>
      </c>
      <c r="C1580" s="58">
        <f t="shared" si="1"/>
        <v>4402.998611</v>
      </c>
      <c r="D1580" s="1">
        <f t="shared" si="2"/>
        <v>7060.268238</v>
      </c>
      <c r="E1580" s="1">
        <f t="shared" si="3"/>
        <v>12708.48283</v>
      </c>
      <c r="F1580" s="1">
        <f t="shared" si="4"/>
        <v>24004.91201</v>
      </c>
      <c r="G1580" s="1">
        <f t="shared" si="5"/>
        <v>42361.60943</v>
      </c>
      <c r="H1580" s="1">
        <f t="shared" si="6"/>
        <v>77662.95062</v>
      </c>
      <c r="I1580" s="1">
        <f t="shared" si="7"/>
        <v>127084.8283</v>
      </c>
    </row>
    <row r="1581" hidden="1">
      <c r="A1581" s="266">
        <f>IFERROR(__xludf.DUMMYFUNCTION("""COMPUTED_VALUE"""),44219.99861111111)</f>
        <v>44219.99861</v>
      </c>
      <c r="B1581" s="1">
        <f>IFERROR(__xludf.DUMMYFUNCTION("""COMPUTED_VALUE"""),32090.97)</f>
        <v>32090.97</v>
      </c>
      <c r="C1581" s="58">
        <f t="shared" si="1"/>
        <v>4403.998611</v>
      </c>
      <c r="D1581" s="1">
        <f t="shared" si="2"/>
        <v>7069.573688</v>
      </c>
      <c r="E1581" s="1">
        <f t="shared" si="3"/>
        <v>12725.23264</v>
      </c>
      <c r="F1581" s="1">
        <f t="shared" si="4"/>
        <v>24036.55054</v>
      </c>
      <c r="G1581" s="1">
        <f t="shared" si="5"/>
        <v>42417.44213</v>
      </c>
      <c r="H1581" s="1">
        <f t="shared" si="6"/>
        <v>77765.31057</v>
      </c>
      <c r="I1581" s="1">
        <f t="shared" si="7"/>
        <v>127252.3264</v>
      </c>
    </row>
    <row r="1582" hidden="1">
      <c r="A1582" s="266">
        <f>IFERROR(__xludf.DUMMYFUNCTION("""COMPUTED_VALUE"""),44220.99861111111)</f>
        <v>44220.99861</v>
      </c>
      <c r="B1582" s="1">
        <f>IFERROR(__xludf.DUMMYFUNCTION("""COMPUTED_VALUE"""),32260.85)</f>
        <v>32260.85</v>
      </c>
      <c r="C1582" s="58">
        <f t="shared" si="1"/>
        <v>4404.998611</v>
      </c>
      <c r="D1582" s="1">
        <f t="shared" si="2"/>
        <v>7078.889286</v>
      </c>
      <c r="E1582" s="1">
        <f t="shared" si="3"/>
        <v>12742.00071</v>
      </c>
      <c r="F1582" s="1">
        <f t="shared" si="4"/>
        <v>24068.22357</v>
      </c>
      <c r="G1582" s="1">
        <f t="shared" si="5"/>
        <v>42473.33571</v>
      </c>
      <c r="H1582" s="1">
        <f t="shared" si="6"/>
        <v>77867.78214</v>
      </c>
      <c r="I1582" s="1">
        <f t="shared" si="7"/>
        <v>127420.0071</v>
      </c>
    </row>
    <row r="1583" hidden="1">
      <c r="A1583" s="266">
        <f>IFERROR(__xludf.DUMMYFUNCTION("""COMPUTED_VALUE"""),44221.99861111111)</f>
        <v>44221.99861</v>
      </c>
      <c r="B1583" s="1">
        <f>IFERROR(__xludf.DUMMYFUNCTION("""COMPUTED_VALUE"""),32249.76)</f>
        <v>32249.76</v>
      </c>
      <c r="C1583" s="58">
        <f t="shared" si="1"/>
        <v>4405.998611</v>
      </c>
      <c r="D1583" s="1">
        <f t="shared" si="2"/>
        <v>7088.21504</v>
      </c>
      <c r="E1583" s="1">
        <f t="shared" si="3"/>
        <v>12758.78707</v>
      </c>
      <c r="F1583" s="1">
        <f t="shared" si="4"/>
        <v>24099.93114</v>
      </c>
      <c r="G1583" s="1">
        <f t="shared" si="5"/>
        <v>42529.29024</v>
      </c>
      <c r="H1583" s="1">
        <f t="shared" si="6"/>
        <v>77970.36544</v>
      </c>
      <c r="I1583" s="1">
        <f t="shared" si="7"/>
        <v>127587.8707</v>
      </c>
    </row>
    <row r="1584" hidden="1">
      <c r="A1584" s="266">
        <f>IFERROR(__xludf.DUMMYFUNCTION("""COMPUTED_VALUE"""),44222.99861111111)</f>
        <v>44222.99861</v>
      </c>
      <c r="B1584" s="1">
        <f>IFERROR(__xludf.DUMMYFUNCTION("""COMPUTED_VALUE"""),32507.34)</f>
        <v>32507.34</v>
      </c>
      <c r="C1584" s="58">
        <f t="shared" si="1"/>
        <v>4406.998611</v>
      </c>
      <c r="D1584" s="1">
        <f t="shared" si="2"/>
        <v>7097.550959</v>
      </c>
      <c r="E1584" s="1">
        <f t="shared" si="3"/>
        <v>12775.59173</v>
      </c>
      <c r="F1584" s="1">
        <f t="shared" si="4"/>
        <v>24131.67326</v>
      </c>
      <c r="G1584" s="1">
        <f t="shared" si="5"/>
        <v>42585.30575</v>
      </c>
      <c r="H1584" s="1">
        <f t="shared" si="6"/>
        <v>78073.06055</v>
      </c>
      <c r="I1584" s="1">
        <f t="shared" si="7"/>
        <v>127755.9173</v>
      </c>
    </row>
    <row r="1585" hidden="1">
      <c r="A1585" s="266">
        <f>IFERROR(__xludf.DUMMYFUNCTION("""COMPUTED_VALUE"""),44223.99861111111)</f>
        <v>44223.99861</v>
      </c>
      <c r="B1585" s="1">
        <f>IFERROR(__xludf.DUMMYFUNCTION("""COMPUTED_VALUE"""),30414.07)</f>
        <v>30414.07</v>
      </c>
      <c r="C1585" s="58">
        <f t="shared" si="1"/>
        <v>4407.998611</v>
      </c>
      <c r="D1585" s="1">
        <f t="shared" si="2"/>
        <v>7106.897052</v>
      </c>
      <c r="E1585" s="1">
        <f t="shared" si="3"/>
        <v>12792.41469</v>
      </c>
      <c r="F1585" s="1">
        <f t="shared" si="4"/>
        <v>24163.44998</v>
      </c>
      <c r="G1585" s="1">
        <f t="shared" si="5"/>
        <v>42641.38231</v>
      </c>
      <c r="H1585" s="1">
        <f t="shared" si="6"/>
        <v>78175.86758</v>
      </c>
      <c r="I1585" s="1">
        <f t="shared" si="7"/>
        <v>127924.1469</v>
      </c>
    </row>
    <row r="1586" hidden="1">
      <c r="A1586" s="266">
        <f>IFERROR(__xludf.DUMMYFUNCTION("""COMPUTED_VALUE"""),44224.99861111111)</f>
        <v>44224.99861</v>
      </c>
      <c r="B1586" s="1">
        <f>IFERROR(__xludf.DUMMYFUNCTION("""COMPUTED_VALUE"""),33404.69)</f>
        <v>33404.69</v>
      </c>
      <c r="C1586" s="58">
        <f t="shared" si="1"/>
        <v>4408.998611</v>
      </c>
      <c r="D1586" s="1">
        <f t="shared" si="2"/>
        <v>7116.253329</v>
      </c>
      <c r="E1586" s="1">
        <f t="shared" si="3"/>
        <v>12809.25599</v>
      </c>
      <c r="F1586" s="1">
        <f t="shared" si="4"/>
        <v>24195.26132</v>
      </c>
      <c r="G1586" s="1">
        <f t="shared" si="5"/>
        <v>42697.51997</v>
      </c>
      <c r="H1586" s="1">
        <f t="shared" si="6"/>
        <v>78278.78661</v>
      </c>
      <c r="I1586" s="1">
        <f t="shared" si="7"/>
        <v>128092.5599</v>
      </c>
    </row>
    <row r="1587" hidden="1">
      <c r="A1587" s="266">
        <f>IFERROR(__xludf.DUMMYFUNCTION("""COMPUTED_VALUE"""),44225.99861111111)</f>
        <v>44225.99861</v>
      </c>
      <c r="B1587" s="1">
        <f>IFERROR(__xludf.DUMMYFUNCTION("""COMPUTED_VALUE"""),34260.81)</f>
        <v>34260.81</v>
      </c>
      <c r="C1587" s="58">
        <f t="shared" si="1"/>
        <v>4409.998611</v>
      </c>
      <c r="D1587" s="1">
        <f t="shared" si="2"/>
        <v>7125.619796</v>
      </c>
      <c r="E1587" s="1">
        <f t="shared" si="3"/>
        <v>12826.11563</v>
      </c>
      <c r="F1587" s="1">
        <f t="shared" si="4"/>
        <v>24227.10731</v>
      </c>
      <c r="G1587" s="1">
        <f t="shared" si="5"/>
        <v>42753.71878</v>
      </c>
      <c r="H1587" s="1">
        <f t="shared" si="6"/>
        <v>78381.81776</v>
      </c>
      <c r="I1587" s="1">
        <f t="shared" si="7"/>
        <v>128261.1563</v>
      </c>
    </row>
    <row r="1588" hidden="1">
      <c r="A1588" s="266">
        <f>IFERROR(__xludf.DUMMYFUNCTION("""COMPUTED_VALUE"""),44226.99861111111)</f>
        <v>44226.99861</v>
      </c>
      <c r="B1588" s="1">
        <f>IFERROR(__xludf.DUMMYFUNCTION("""COMPUTED_VALUE"""),34293.02)</f>
        <v>34293.02</v>
      </c>
      <c r="C1588" s="58">
        <f t="shared" si="1"/>
        <v>4410.998611</v>
      </c>
      <c r="D1588" s="1">
        <f t="shared" si="2"/>
        <v>7134.996464</v>
      </c>
      <c r="E1588" s="1">
        <f t="shared" si="3"/>
        <v>12842.99364</v>
      </c>
      <c r="F1588" s="1">
        <f t="shared" si="4"/>
        <v>24258.98798</v>
      </c>
      <c r="G1588" s="1">
        <f t="shared" si="5"/>
        <v>42809.97879</v>
      </c>
      <c r="H1588" s="1">
        <f t="shared" si="6"/>
        <v>78484.96111</v>
      </c>
      <c r="I1588" s="1">
        <f t="shared" si="7"/>
        <v>128429.9364</v>
      </c>
    </row>
    <row r="1589" hidden="1">
      <c r="A1589" s="266">
        <f>IFERROR(__xludf.DUMMYFUNCTION("""COMPUTED_VALUE"""),44227.99861111111)</f>
        <v>44227.99861</v>
      </c>
      <c r="B1589" s="1">
        <f>IFERROR(__xludf.DUMMYFUNCTION("""COMPUTED_VALUE"""),33119.93)</f>
        <v>33119.93</v>
      </c>
      <c r="C1589" s="58">
        <f t="shared" si="1"/>
        <v>4411.998611</v>
      </c>
      <c r="D1589" s="1">
        <f t="shared" si="2"/>
        <v>7144.383341</v>
      </c>
      <c r="E1589" s="1">
        <f t="shared" si="3"/>
        <v>12859.89001</v>
      </c>
      <c r="F1589" s="1">
        <f t="shared" si="4"/>
        <v>24290.90336</v>
      </c>
      <c r="G1589" s="1">
        <f t="shared" si="5"/>
        <v>42866.30005</v>
      </c>
      <c r="H1589" s="1">
        <f t="shared" si="6"/>
        <v>78588.21676</v>
      </c>
      <c r="I1589" s="1">
        <f t="shared" si="7"/>
        <v>128598.9001</v>
      </c>
    </row>
    <row r="1590" hidden="1">
      <c r="A1590" s="266">
        <f>IFERROR(__xludf.DUMMYFUNCTION("""COMPUTED_VALUE"""),44228.99861111111)</f>
        <v>44228.99861</v>
      </c>
      <c r="B1590" s="1">
        <f>IFERROR(__xludf.DUMMYFUNCTION("""COMPUTED_VALUE"""),33538.11)</f>
        <v>33538.11</v>
      </c>
      <c r="C1590" s="58">
        <f t="shared" si="1"/>
        <v>4412.998611</v>
      </c>
      <c r="D1590" s="1">
        <f t="shared" si="2"/>
        <v>7153.780437</v>
      </c>
      <c r="E1590" s="1">
        <f t="shared" si="3"/>
        <v>12876.80479</v>
      </c>
      <c r="F1590" s="1">
        <f t="shared" si="4"/>
        <v>24322.85348</v>
      </c>
      <c r="G1590" s="1">
        <f t="shared" si="5"/>
        <v>42922.68262</v>
      </c>
      <c r="H1590" s="1">
        <f t="shared" si="6"/>
        <v>78691.5848</v>
      </c>
      <c r="I1590" s="1">
        <f t="shared" si="7"/>
        <v>128768.0479</v>
      </c>
    </row>
    <row r="1591" hidden="1">
      <c r="A1591" s="266">
        <f>IFERROR(__xludf.DUMMYFUNCTION("""COMPUTED_VALUE"""),44229.99861111111)</f>
        <v>44229.99861</v>
      </c>
      <c r="B1591" s="1">
        <f>IFERROR(__xludf.DUMMYFUNCTION("""COMPUTED_VALUE"""),35497.71)</f>
        <v>35497.71</v>
      </c>
      <c r="C1591" s="58">
        <f t="shared" si="1"/>
        <v>4413.998611</v>
      </c>
      <c r="D1591" s="1">
        <f t="shared" si="2"/>
        <v>7163.187758</v>
      </c>
      <c r="E1591" s="1">
        <f t="shared" si="3"/>
        <v>12893.73797</v>
      </c>
      <c r="F1591" s="1">
        <f t="shared" si="4"/>
        <v>24354.83838</v>
      </c>
      <c r="G1591" s="1">
        <f t="shared" si="5"/>
        <v>42979.12655</v>
      </c>
      <c r="H1591" s="1">
        <f t="shared" si="6"/>
        <v>78795.06534</v>
      </c>
      <c r="I1591" s="1">
        <f t="shared" si="7"/>
        <v>128937.3797</v>
      </c>
    </row>
    <row r="1592" hidden="1">
      <c r="A1592" s="266">
        <f>IFERROR(__xludf.DUMMYFUNCTION("""COMPUTED_VALUE"""),44230.99861111111)</f>
        <v>44230.99861</v>
      </c>
      <c r="B1592" s="1">
        <f>IFERROR(__xludf.DUMMYFUNCTION("""COMPUTED_VALUE"""),37664.11)</f>
        <v>37664.11</v>
      </c>
      <c r="C1592" s="58">
        <f t="shared" si="1"/>
        <v>4414.998611</v>
      </c>
      <c r="D1592" s="1">
        <f t="shared" si="2"/>
        <v>7172.605316</v>
      </c>
      <c r="E1592" s="1">
        <f t="shared" si="3"/>
        <v>12910.68957</v>
      </c>
      <c r="F1592" s="1">
        <f t="shared" si="4"/>
        <v>24386.85807</v>
      </c>
      <c r="G1592" s="1">
        <f t="shared" si="5"/>
        <v>43035.6319</v>
      </c>
      <c r="H1592" s="1">
        <f t="shared" si="6"/>
        <v>78898.65847</v>
      </c>
      <c r="I1592" s="1">
        <f t="shared" si="7"/>
        <v>129106.8957</v>
      </c>
    </row>
    <row r="1593" hidden="1">
      <c r="A1593" s="266">
        <f>IFERROR(__xludf.DUMMYFUNCTION("""COMPUTED_VALUE"""),44231.99861111111)</f>
        <v>44231.99861</v>
      </c>
      <c r="B1593" s="1">
        <f>IFERROR(__xludf.DUMMYFUNCTION("""COMPUTED_VALUE"""),36974.69)</f>
        <v>36974.69</v>
      </c>
      <c r="C1593" s="58">
        <f t="shared" si="1"/>
        <v>4415.998611</v>
      </c>
      <c r="D1593" s="1">
        <f t="shared" si="2"/>
        <v>7182.033118</v>
      </c>
      <c r="E1593" s="1">
        <f t="shared" si="3"/>
        <v>12927.65961</v>
      </c>
      <c r="F1593" s="1">
        <f t="shared" si="4"/>
        <v>24418.9126</v>
      </c>
      <c r="G1593" s="1">
        <f t="shared" si="5"/>
        <v>43092.19871</v>
      </c>
      <c r="H1593" s="1">
        <f t="shared" si="6"/>
        <v>79002.36429</v>
      </c>
      <c r="I1593" s="1">
        <f t="shared" si="7"/>
        <v>129276.5961</v>
      </c>
    </row>
    <row r="1594" hidden="1">
      <c r="A1594" s="266">
        <f>IFERROR(__xludf.DUMMYFUNCTION("""COMPUTED_VALUE"""),44232.99861111111)</f>
        <v>44232.99861</v>
      </c>
      <c r="B1594" s="1">
        <f>IFERROR(__xludf.DUMMYFUNCTION("""COMPUTED_VALUE"""),38277.3)</f>
        <v>38277.3</v>
      </c>
      <c r="C1594" s="58">
        <f t="shared" si="1"/>
        <v>4416.998611</v>
      </c>
      <c r="D1594" s="1">
        <f t="shared" si="2"/>
        <v>7191.471173</v>
      </c>
      <c r="E1594" s="1">
        <f t="shared" si="3"/>
        <v>12944.64811</v>
      </c>
      <c r="F1594" s="1">
        <f t="shared" si="4"/>
        <v>24451.00199</v>
      </c>
      <c r="G1594" s="1">
        <f t="shared" si="5"/>
        <v>43148.82704</v>
      </c>
      <c r="H1594" s="1">
        <f t="shared" si="6"/>
        <v>79106.1829</v>
      </c>
      <c r="I1594" s="1">
        <f t="shared" si="7"/>
        <v>129446.4811</v>
      </c>
    </row>
    <row r="1595" hidden="1">
      <c r="A1595" s="266">
        <f>IFERROR(__xludf.DUMMYFUNCTION("""COMPUTED_VALUE"""),44233.99861111111)</f>
        <v>44233.99861</v>
      </c>
      <c r="B1595" s="1">
        <f>IFERROR(__xludf.DUMMYFUNCTION("""COMPUTED_VALUE"""),39255.36)</f>
        <v>39255.36</v>
      </c>
      <c r="C1595" s="58">
        <f t="shared" si="1"/>
        <v>4417.998611</v>
      </c>
      <c r="D1595" s="1">
        <f t="shared" si="2"/>
        <v>7200.91949</v>
      </c>
      <c r="E1595" s="1">
        <f t="shared" si="3"/>
        <v>12961.65508</v>
      </c>
      <c r="F1595" s="1">
        <f t="shared" si="4"/>
        <v>24483.12626</v>
      </c>
      <c r="G1595" s="1">
        <f t="shared" si="5"/>
        <v>43205.51694</v>
      </c>
      <c r="H1595" s="1">
        <f t="shared" si="6"/>
        <v>79210.11439</v>
      </c>
      <c r="I1595" s="1">
        <f t="shared" si="7"/>
        <v>129616.5508</v>
      </c>
    </row>
    <row r="1596" hidden="1">
      <c r="A1596" s="266">
        <f>IFERROR(__xludf.DUMMYFUNCTION("""COMPUTED_VALUE"""),44234.99861111111)</f>
        <v>44234.99861</v>
      </c>
      <c r="B1596" s="1">
        <f>IFERROR(__xludf.DUMMYFUNCTION("""COMPUTED_VALUE"""),38840.28)</f>
        <v>38840.28</v>
      </c>
      <c r="C1596" s="58">
        <f t="shared" si="1"/>
        <v>4418.998611</v>
      </c>
      <c r="D1596" s="1">
        <f t="shared" si="2"/>
        <v>7210.378077</v>
      </c>
      <c r="E1596" s="1">
        <f t="shared" si="3"/>
        <v>12978.68054</v>
      </c>
      <c r="F1596" s="1">
        <f t="shared" si="4"/>
        <v>24515.28546</v>
      </c>
      <c r="G1596" s="1">
        <f t="shared" si="5"/>
        <v>43262.26846</v>
      </c>
      <c r="H1596" s="1">
        <f t="shared" si="6"/>
        <v>79314.15885</v>
      </c>
      <c r="I1596" s="1">
        <f t="shared" si="7"/>
        <v>129786.8054</v>
      </c>
    </row>
    <row r="1597" hidden="1">
      <c r="A1597" s="266">
        <f>IFERROR(__xludf.DUMMYFUNCTION("""COMPUTED_VALUE"""),44235.99861111111)</f>
        <v>44235.99861</v>
      </c>
      <c r="B1597" s="1">
        <f>IFERROR(__xludf.DUMMYFUNCTION("""COMPUTED_VALUE"""),46430.89)</f>
        <v>46430.89</v>
      </c>
      <c r="C1597" s="58">
        <f t="shared" si="1"/>
        <v>4419.998611</v>
      </c>
      <c r="D1597" s="1">
        <f t="shared" si="2"/>
        <v>7219.846945</v>
      </c>
      <c r="E1597" s="1">
        <f t="shared" si="3"/>
        <v>12995.7245</v>
      </c>
      <c r="F1597" s="1">
        <f t="shared" si="4"/>
        <v>24547.47961</v>
      </c>
      <c r="G1597" s="1">
        <f t="shared" si="5"/>
        <v>43319.08167</v>
      </c>
      <c r="H1597" s="1">
        <f t="shared" si="6"/>
        <v>79418.31639</v>
      </c>
      <c r="I1597" s="1">
        <f t="shared" si="7"/>
        <v>129957.245</v>
      </c>
    </row>
    <row r="1598" hidden="1">
      <c r="A1598" s="266">
        <f>IFERROR(__xludf.DUMMYFUNCTION("""COMPUTED_VALUE"""),44236.99861111111)</f>
        <v>44236.99861</v>
      </c>
      <c r="B1598" s="1">
        <f>IFERROR(__xludf.DUMMYFUNCTION("""COMPUTED_VALUE"""),46533.69)</f>
        <v>46533.69</v>
      </c>
      <c r="C1598" s="58">
        <f t="shared" si="1"/>
        <v>4420.998611</v>
      </c>
      <c r="D1598" s="1">
        <f t="shared" si="2"/>
        <v>7229.326101</v>
      </c>
      <c r="E1598" s="1">
        <f t="shared" si="3"/>
        <v>13012.78698</v>
      </c>
      <c r="F1598" s="1">
        <f t="shared" si="4"/>
        <v>24579.70874</v>
      </c>
      <c r="G1598" s="1">
        <f t="shared" si="5"/>
        <v>43375.95661</v>
      </c>
      <c r="H1598" s="1">
        <f t="shared" si="6"/>
        <v>79522.58711</v>
      </c>
      <c r="I1598" s="1">
        <f t="shared" si="7"/>
        <v>130127.8698</v>
      </c>
    </row>
    <row r="1599" hidden="1">
      <c r="A1599" s="266">
        <f>IFERROR(__xludf.DUMMYFUNCTION("""COMPUTED_VALUE"""),44237.99861111111)</f>
        <v>44237.99861</v>
      </c>
      <c r="B1599" s="1">
        <f>IFERROR(__xludf.DUMMYFUNCTION("""COMPUTED_VALUE"""),44835.64)</f>
        <v>44835.64</v>
      </c>
      <c r="C1599" s="58">
        <f t="shared" si="1"/>
        <v>4421.998611</v>
      </c>
      <c r="D1599" s="1">
        <f t="shared" si="2"/>
        <v>7238.815554</v>
      </c>
      <c r="E1599" s="1">
        <f t="shared" si="3"/>
        <v>13029.868</v>
      </c>
      <c r="F1599" s="1">
        <f t="shared" si="4"/>
        <v>24611.97288</v>
      </c>
      <c r="G1599" s="1">
        <f t="shared" si="5"/>
        <v>43432.89333</v>
      </c>
      <c r="H1599" s="1">
        <f t="shared" si="6"/>
        <v>79626.9711</v>
      </c>
      <c r="I1599" s="1">
        <f t="shared" si="7"/>
        <v>130298.68</v>
      </c>
    </row>
    <row r="1600" hidden="1">
      <c r="A1600" s="266">
        <f>IFERROR(__xludf.DUMMYFUNCTION("""COMPUTED_VALUE"""),44238.99861111111)</f>
        <v>44238.99861</v>
      </c>
      <c r="B1600" s="1">
        <f>IFERROR(__xludf.DUMMYFUNCTION("""COMPUTED_VALUE"""),47987.46)</f>
        <v>47987.46</v>
      </c>
      <c r="C1600" s="58">
        <f t="shared" si="1"/>
        <v>4422.998611</v>
      </c>
      <c r="D1600" s="1">
        <f t="shared" si="2"/>
        <v>7248.315314</v>
      </c>
      <c r="E1600" s="1">
        <f t="shared" si="3"/>
        <v>13046.96756</v>
      </c>
      <c r="F1600" s="1">
        <f t="shared" si="4"/>
        <v>24644.27207</v>
      </c>
      <c r="G1600" s="1">
        <f t="shared" si="5"/>
        <v>43489.89188</v>
      </c>
      <c r="H1600" s="1">
        <f t="shared" si="6"/>
        <v>79731.46845</v>
      </c>
      <c r="I1600" s="1">
        <f t="shared" si="7"/>
        <v>130469.6756</v>
      </c>
    </row>
    <row r="1601" hidden="1">
      <c r="A1601" s="266">
        <f>IFERROR(__xludf.DUMMYFUNCTION("""COMPUTED_VALUE"""),44239.99861111111)</f>
        <v>44239.99861</v>
      </c>
      <c r="B1601" s="1">
        <f>IFERROR(__xludf.DUMMYFUNCTION("""COMPUTED_VALUE"""),47394.65)</f>
        <v>47394.65</v>
      </c>
      <c r="C1601" s="58">
        <f t="shared" si="1"/>
        <v>4423.998611</v>
      </c>
      <c r="D1601" s="1">
        <f t="shared" si="2"/>
        <v>7257.825389</v>
      </c>
      <c r="E1601" s="1">
        <f t="shared" si="3"/>
        <v>13064.0857</v>
      </c>
      <c r="F1601" s="1">
        <f t="shared" si="4"/>
        <v>24676.60632</v>
      </c>
      <c r="G1601" s="1">
        <f t="shared" si="5"/>
        <v>43546.95233</v>
      </c>
      <c r="H1601" s="1">
        <f t="shared" si="6"/>
        <v>79836.07927</v>
      </c>
      <c r="I1601" s="1">
        <f t="shared" si="7"/>
        <v>130640.857</v>
      </c>
    </row>
    <row r="1602" hidden="1">
      <c r="A1602" s="266">
        <f>IFERROR(__xludf.DUMMYFUNCTION("""COMPUTED_VALUE"""),44240.99861111111)</f>
        <v>44240.99861</v>
      </c>
      <c r="B1602" s="1">
        <f>IFERROR(__xludf.DUMMYFUNCTION("""COMPUTED_VALUE"""),47169.87)</f>
        <v>47169.87</v>
      </c>
      <c r="C1602" s="58">
        <f t="shared" si="1"/>
        <v>4424.998611</v>
      </c>
      <c r="D1602" s="1">
        <f t="shared" si="2"/>
        <v>7267.345787</v>
      </c>
      <c r="E1602" s="1">
        <f t="shared" si="3"/>
        <v>13081.22242</v>
      </c>
      <c r="F1602" s="1">
        <f t="shared" si="4"/>
        <v>24708.97568</v>
      </c>
      <c r="G1602" s="1">
        <f t="shared" si="5"/>
        <v>43604.07472</v>
      </c>
      <c r="H1602" s="1">
        <f t="shared" si="6"/>
        <v>79940.80366</v>
      </c>
      <c r="I1602" s="1">
        <f t="shared" si="7"/>
        <v>130812.2242</v>
      </c>
    </row>
    <row r="1603" hidden="1">
      <c r="A1603" s="266">
        <f>IFERROR(__xludf.DUMMYFUNCTION("""COMPUTED_VALUE"""),44241.99861111111)</f>
        <v>44241.99861</v>
      </c>
      <c r="B1603" s="1">
        <f>IFERROR(__xludf.DUMMYFUNCTION("""COMPUTED_VALUE"""),48662.91)</f>
        <v>48662.91</v>
      </c>
      <c r="C1603" s="58">
        <f t="shared" si="1"/>
        <v>4425.998611</v>
      </c>
      <c r="D1603" s="1">
        <f t="shared" si="2"/>
        <v>7276.876519</v>
      </c>
      <c r="E1603" s="1">
        <f t="shared" si="3"/>
        <v>13098.37773</v>
      </c>
      <c r="F1603" s="1">
        <f t="shared" si="4"/>
        <v>24741.38016</v>
      </c>
      <c r="G1603" s="1">
        <f t="shared" si="5"/>
        <v>43661.25911</v>
      </c>
      <c r="H1603" s="1">
        <f t="shared" si="6"/>
        <v>80045.64171</v>
      </c>
      <c r="I1603" s="1">
        <f t="shared" si="7"/>
        <v>130983.7773</v>
      </c>
    </row>
    <row r="1604" hidden="1">
      <c r="A1604" s="266">
        <f>IFERROR(__xludf.DUMMYFUNCTION("""COMPUTED_VALUE"""),44242.99861111111)</f>
        <v>44242.99861</v>
      </c>
      <c r="B1604" s="1">
        <f>IFERROR(__xludf.DUMMYFUNCTION("""COMPUTED_VALUE"""),47924.53)</f>
        <v>47924.53</v>
      </c>
      <c r="C1604" s="58">
        <f t="shared" si="1"/>
        <v>4426.998611</v>
      </c>
      <c r="D1604" s="1">
        <f t="shared" si="2"/>
        <v>7286.417592</v>
      </c>
      <c r="E1604" s="1">
        <f t="shared" si="3"/>
        <v>13115.55167</v>
      </c>
      <c r="F1604" s="1">
        <f t="shared" si="4"/>
        <v>24773.81981</v>
      </c>
      <c r="G1604" s="1">
        <f t="shared" si="5"/>
        <v>43718.50555</v>
      </c>
      <c r="H1604" s="1">
        <f t="shared" si="6"/>
        <v>80150.59351</v>
      </c>
      <c r="I1604" s="1">
        <f t="shared" si="7"/>
        <v>131155.5167</v>
      </c>
    </row>
    <row r="1605" hidden="1">
      <c r="A1605" s="266">
        <f>IFERROR(__xludf.DUMMYFUNCTION("""COMPUTED_VALUE"""),44243.99861111111)</f>
        <v>44243.99861</v>
      </c>
      <c r="B1605" s="1">
        <f>IFERROR(__xludf.DUMMYFUNCTION("""COMPUTED_VALUE"""),49154.03)</f>
        <v>49154.03</v>
      </c>
      <c r="C1605" s="58">
        <f t="shared" si="1"/>
        <v>4427.998611</v>
      </c>
      <c r="D1605" s="1">
        <f t="shared" si="2"/>
        <v>7295.969016</v>
      </c>
      <c r="E1605" s="1">
        <f t="shared" si="3"/>
        <v>13132.74423</v>
      </c>
      <c r="F1605" s="1">
        <f t="shared" si="4"/>
        <v>24806.29465</v>
      </c>
      <c r="G1605" s="1">
        <f t="shared" si="5"/>
        <v>43775.81409</v>
      </c>
      <c r="H1605" s="1">
        <f t="shared" si="6"/>
        <v>80255.65917</v>
      </c>
      <c r="I1605" s="1">
        <f t="shared" si="7"/>
        <v>131327.4423</v>
      </c>
    </row>
    <row r="1606" hidden="1">
      <c r="A1606" s="266">
        <f>IFERROR(__xludf.DUMMYFUNCTION("""COMPUTED_VALUE"""),44244.99861111111)</f>
        <v>44244.99861</v>
      </c>
      <c r="B1606" s="1">
        <f>IFERROR(__xludf.DUMMYFUNCTION("""COMPUTED_VALUE"""),52115.98)</f>
        <v>52115.98</v>
      </c>
      <c r="C1606" s="58">
        <f t="shared" si="1"/>
        <v>4428.998611</v>
      </c>
      <c r="D1606" s="1">
        <f t="shared" si="2"/>
        <v>7305.530799</v>
      </c>
      <c r="E1606" s="1">
        <f t="shared" si="3"/>
        <v>13149.95544</v>
      </c>
      <c r="F1606" s="1">
        <f t="shared" si="4"/>
        <v>24838.80472</v>
      </c>
      <c r="G1606" s="1">
        <f t="shared" si="5"/>
        <v>43833.18479</v>
      </c>
      <c r="H1606" s="1">
        <f t="shared" si="6"/>
        <v>80360.83879</v>
      </c>
      <c r="I1606" s="1">
        <f t="shared" si="7"/>
        <v>131499.5544</v>
      </c>
    </row>
    <row r="1607" hidden="1">
      <c r="A1607" s="266">
        <f>IFERROR(__xludf.DUMMYFUNCTION("""COMPUTED_VALUE"""),44245.99861111111)</f>
        <v>44245.99861</v>
      </c>
      <c r="B1607" s="1">
        <f>IFERROR(__xludf.DUMMYFUNCTION("""COMPUTED_VALUE"""),51604.23)</f>
        <v>51604.23</v>
      </c>
      <c r="C1607" s="58">
        <f t="shared" si="1"/>
        <v>4429.998611</v>
      </c>
      <c r="D1607" s="1">
        <f t="shared" si="2"/>
        <v>7315.10295</v>
      </c>
      <c r="E1607" s="1">
        <f t="shared" si="3"/>
        <v>13167.18531</v>
      </c>
      <c r="F1607" s="1">
        <f t="shared" si="4"/>
        <v>24871.35003</v>
      </c>
      <c r="G1607" s="1">
        <f t="shared" si="5"/>
        <v>43890.6177</v>
      </c>
      <c r="H1607" s="1">
        <f t="shared" si="6"/>
        <v>80466.13245</v>
      </c>
      <c r="I1607" s="1">
        <f t="shared" si="7"/>
        <v>131671.8531</v>
      </c>
    </row>
    <row r="1608" hidden="1">
      <c r="A1608" s="266">
        <f>IFERROR(__xludf.DUMMYFUNCTION("""COMPUTED_VALUE"""),44246.99861111111)</f>
        <v>44246.99861</v>
      </c>
      <c r="B1608" s="1">
        <f>IFERROR(__xludf.DUMMYFUNCTION("""COMPUTED_VALUE"""),55905.4)</f>
        <v>55905.4</v>
      </c>
      <c r="C1608" s="58">
        <f t="shared" si="1"/>
        <v>4430.998611</v>
      </c>
      <c r="D1608" s="1">
        <f t="shared" si="2"/>
        <v>7324.685479</v>
      </c>
      <c r="E1608" s="1">
        <f t="shared" si="3"/>
        <v>13184.43386</v>
      </c>
      <c r="F1608" s="1">
        <f t="shared" si="4"/>
        <v>24903.93063</v>
      </c>
      <c r="G1608" s="1">
        <f t="shared" si="5"/>
        <v>43948.11287</v>
      </c>
      <c r="H1608" s="1">
        <f t="shared" si="6"/>
        <v>80571.54027</v>
      </c>
      <c r="I1608" s="1">
        <f t="shared" si="7"/>
        <v>131844.3386</v>
      </c>
    </row>
    <row r="1609" hidden="1">
      <c r="A1609" s="266">
        <f>IFERROR(__xludf.DUMMYFUNCTION("""COMPUTED_VALUE"""),44247.99861111111)</f>
        <v>44247.99861</v>
      </c>
      <c r="B1609" s="1">
        <f>IFERROR(__xludf.DUMMYFUNCTION("""COMPUTED_VALUE"""),55936.8)</f>
        <v>55936.8</v>
      </c>
      <c r="C1609" s="58">
        <f t="shared" si="1"/>
        <v>4431.998611</v>
      </c>
      <c r="D1609" s="1">
        <f t="shared" si="2"/>
        <v>7334.278394</v>
      </c>
      <c r="E1609" s="1">
        <f t="shared" si="3"/>
        <v>13201.70111</v>
      </c>
      <c r="F1609" s="1">
        <f t="shared" si="4"/>
        <v>24936.54654</v>
      </c>
      <c r="G1609" s="1">
        <f t="shared" si="5"/>
        <v>44005.67036</v>
      </c>
      <c r="H1609" s="1">
        <f t="shared" si="6"/>
        <v>80677.06233</v>
      </c>
      <c r="I1609" s="1">
        <f t="shared" si="7"/>
        <v>132017.0111</v>
      </c>
    </row>
    <row r="1610" hidden="1">
      <c r="A1610" s="266">
        <f>IFERROR(__xludf.DUMMYFUNCTION("""COMPUTED_VALUE"""),44248.99861111111)</f>
        <v>44248.99861</v>
      </c>
      <c r="B1610" s="1">
        <f>IFERROR(__xludf.DUMMYFUNCTION("""COMPUTED_VALUE"""),57443.79)</f>
        <v>57443.79</v>
      </c>
      <c r="C1610" s="58">
        <f t="shared" si="1"/>
        <v>4432.998611</v>
      </c>
      <c r="D1610" s="1">
        <f t="shared" si="2"/>
        <v>7343.881704</v>
      </c>
      <c r="E1610" s="1">
        <f t="shared" si="3"/>
        <v>13218.98707</v>
      </c>
      <c r="F1610" s="1">
        <f t="shared" si="4"/>
        <v>24969.19779</v>
      </c>
      <c r="G1610" s="1">
        <f t="shared" si="5"/>
        <v>44063.29022</v>
      </c>
      <c r="H1610" s="1">
        <f t="shared" si="6"/>
        <v>80782.69875</v>
      </c>
      <c r="I1610" s="1">
        <f t="shared" si="7"/>
        <v>132189.8707</v>
      </c>
    </row>
    <row r="1611" hidden="1">
      <c r="A1611" s="266">
        <f>IFERROR(__xludf.DUMMYFUNCTION("""COMPUTED_VALUE"""),44249.99861111111)</f>
        <v>44249.99861</v>
      </c>
      <c r="B1611" s="1">
        <f>IFERROR(__xludf.DUMMYFUNCTION("""COMPUTED_VALUE"""),54104.16)</f>
        <v>54104.16</v>
      </c>
      <c r="C1611" s="58">
        <f t="shared" si="1"/>
        <v>4433.998611</v>
      </c>
      <c r="D1611" s="1">
        <f t="shared" si="2"/>
        <v>7353.495418</v>
      </c>
      <c r="E1611" s="1">
        <f t="shared" si="3"/>
        <v>13236.29175</v>
      </c>
      <c r="F1611" s="1">
        <f t="shared" si="4"/>
        <v>25001.88442</v>
      </c>
      <c r="G1611" s="1">
        <f t="shared" si="5"/>
        <v>44120.97251</v>
      </c>
      <c r="H1611" s="1">
        <f t="shared" si="6"/>
        <v>80888.4496</v>
      </c>
      <c r="I1611" s="1">
        <f t="shared" si="7"/>
        <v>132362.9175</v>
      </c>
    </row>
    <row r="1612" hidden="1">
      <c r="A1612" s="266">
        <f>IFERROR(__xludf.DUMMYFUNCTION("""COMPUTED_VALUE"""),44250.99861111111)</f>
        <v>44250.99861</v>
      </c>
      <c r="B1612" s="1">
        <f>IFERROR(__xludf.DUMMYFUNCTION("""COMPUTED_VALUE"""),48894.62)</f>
        <v>48894.62</v>
      </c>
      <c r="C1612" s="58">
        <f t="shared" si="1"/>
        <v>4434.998611</v>
      </c>
      <c r="D1612" s="1">
        <f t="shared" si="2"/>
        <v>7363.119545</v>
      </c>
      <c r="E1612" s="1">
        <f t="shared" si="3"/>
        <v>13253.61518</v>
      </c>
      <c r="F1612" s="1">
        <f t="shared" si="4"/>
        <v>25034.60645</v>
      </c>
      <c r="G1612" s="1">
        <f t="shared" si="5"/>
        <v>44178.71727</v>
      </c>
      <c r="H1612" s="1">
        <f t="shared" si="6"/>
        <v>80994.315</v>
      </c>
      <c r="I1612" s="1">
        <f t="shared" si="7"/>
        <v>132536.1518</v>
      </c>
    </row>
    <row r="1613" hidden="1">
      <c r="A1613" s="266">
        <f>IFERROR(__xludf.DUMMYFUNCTION("""COMPUTED_VALUE"""),44251.99861111111)</f>
        <v>44251.99861</v>
      </c>
      <c r="B1613" s="1">
        <f>IFERROR(__xludf.DUMMYFUNCTION("""COMPUTED_VALUE"""),49699.13)</f>
        <v>49699.13</v>
      </c>
      <c r="C1613" s="58">
        <f t="shared" si="1"/>
        <v>4435.998611</v>
      </c>
      <c r="D1613" s="1">
        <f t="shared" si="2"/>
        <v>7372.754094</v>
      </c>
      <c r="E1613" s="1">
        <f t="shared" si="3"/>
        <v>13270.95737</v>
      </c>
      <c r="F1613" s="1">
        <f t="shared" si="4"/>
        <v>25067.36392</v>
      </c>
      <c r="G1613" s="1">
        <f t="shared" si="5"/>
        <v>44236.52456</v>
      </c>
      <c r="H1613" s="1">
        <f t="shared" si="6"/>
        <v>81100.29503</v>
      </c>
      <c r="I1613" s="1">
        <f t="shared" si="7"/>
        <v>132709.5737</v>
      </c>
    </row>
    <row r="1614" hidden="1">
      <c r="A1614" s="266">
        <f>IFERROR(__xludf.DUMMYFUNCTION("""COMPUTED_VALUE"""),44252.99861111111)</f>
        <v>44252.99861</v>
      </c>
      <c r="B1614" s="1">
        <f>IFERROR(__xludf.DUMMYFUNCTION("""COMPUTED_VALUE"""),47045.93)</f>
        <v>47045.93</v>
      </c>
      <c r="C1614" s="58">
        <f t="shared" si="1"/>
        <v>4436.998611</v>
      </c>
      <c r="D1614" s="1">
        <f t="shared" si="2"/>
        <v>7382.399073</v>
      </c>
      <c r="E1614" s="1">
        <f t="shared" si="3"/>
        <v>13288.31833</v>
      </c>
      <c r="F1614" s="1">
        <f t="shared" si="4"/>
        <v>25100.15685</v>
      </c>
      <c r="G1614" s="1">
        <f t="shared" si="5"/>
        <v>44294.39444</v>
      </c>
      <c r="H1614" s="1">
        <f t="shared" si="6"/>
        <v>81206.38981</v>
      </c>
      <c r="I1614" s="1">
        <f t="shared" si="7"/>
        <v>132883.1833</v>
      </c>
    </row>
    <row r="1615" hidden="1">
      <c r="A1615" s="266">
        <f>IFERROR(__xludf.DUMMYFUNCTION("""COMPUTED_VALUE"""),44253.99861111111)</f>
        <v>44253.99861</v>
      </c>
      <c r="B1615" s="1">
        <f>IFERROR(__xludf.DUMMYFUNCTION("""COMPUTED_VALUE"""),46324.21)</f>
        <v>46324.21</v>
      </c>
      <c r="C1615" s="58">
        <f t="shared" si="1"/>
        <v>4437.998611</v>
      </c>
      <c r="D1615" s="1">
        <f t="shared" si="2"/>
        <v>7392.054493</v>
      </c>
      <c r="E1615" s="1">
        <f t="shared" si="3"/>
        <v>13305.69809</v>
      </c>
      <c r="F1615" s="1">
        <f t="shared" si="4"/>
        <v>25132.98527</v>
      </c>
      <c r="G1615" s="1">
        <f t="shared" si="5"/>
        <v>44352.32696</v>
      </c>
      <c r="H1615" s="1">
        <f t="shared" si="6"/>
        <v>81312.59942</v>
      </c>
      <c r="I1615" s="1">
        <f t="shared" si="7"/>
        <v>133056.9809</v>
      </c>
    </row>
    <row r="1616" hidden="1">
      <c r="A1616" s="266">
        <f>IFERROR(__xludf.DUMMYFUNCTION("""COMPUTED_VALUE"""),44254.99861111111)</f>
        <v>44254.99861</v>
      </c>
      <c r="B1616" s="1">
        <f>IFERROR(__xludf.DUMMYFUNCTION("""COMPUTED_VALUE"""),46158.54)</f>
        <v>46158.54</v>
      </c>
      <c r="C1616" s="58">
        <f t="shared" si="1"/>
        <v>4438.998611</v>
      </c>
      <c r="D1616" s="1">
        <f t="shared" si="2"/>
        <v>7401.72036</v>
      </c>
      <c r="E1616" s="1">
        <f t="shared" si="3"/>
        <v>13323.09665</v>
      </c>
      <c r="F1616" s="1">
        <f t="shared" si="4"/>
        <v>25165.84923</v>
      </c>
      <c r="G1616" s="1">
        <f t="shared" si="5"/>
        <v>44410.32216</v>
      </c>
      <c r="H1616" s="1">
        <f t="shared" si="6"/>
        <v>81418.92396</v>
      </c>
      <c r="I1616" s="1">
        <f t="shared" si="7"/>
        <v>133230.9665</v>
      </c>
    </row>
    <row r="1617" hidden="1">
      <c r="A1617" s="266">
        <f>IFERROR(__xludf.DUMMYFUNCTION("""COMPUTED_VALUE"""),44255.99861111111)</f>
        <v>44255.99861</v>
      </c>
      <c r="B1617" s="1">
        <f>IFERROR(__xludf.DUMMYFUNCTION("""COMPUTED_VALUE"""),45203.05)</f>
        <v>45203.05</v>
      </c>
      <c r="C1617" s="58">
        <f t="shared" si="1"/>
        <v>4439.998611</v>
      </c>
      <c r="D1617" s="1">
        <f t="shared" si="2"/>
        <v>7411.396686</v>
      </c>
      <c r="E1617" s="1">
        <f t="shared" si="3"/>
        <v>13340.51403</v>
      </c>
      <c r="F1617" s="1">
        <f t="shared" si="4"/>
        <v>25198.74873</v>
      </c>
      <c r="G1617" s="1">
        <f t="shared" si="5"/>
        <v>44468.38012</v>
      </c>
      <c r="H1617" s="1">
        <f t="shared" si="6"/>
        <v>81525.36355</v>
      </c>
      <c r="I1617" s="1">
        <f t="shared" si="7"/>
        <v>133405.1403</v>
      </c>
    </row>
    <row r="1618" hidden="1">
      <c r="A1618" s="266">
        <f>IFERROR(__xludf.DUMMYFUNCTION("""COMPUTED_VALUE"""),44256.99861111111)</f>
        <v>44256.99861</v>
      </c>
      <c r="B1618" s="1">
        <f>IFERROR(__xludf.DUMMYFUNCTION("""COMPUTED_VALUE"""),49612.21)</f>
        <v>49612.21</v>
      </c>
      <c r="C1618" s="58">
        <f t="shared" si="1"/>
        <v>4440.998611</v>
      </c>
      <c r="D1618" s="1">
        <f t="shared" si="2"/>
        <v>7421.083478</v>
      </c>
      <c r="E1618" s="1">
        <f t="shared" si="3"/>
        <v>13357.95026</v>
      </c>
      <c r="F1618" s="1">
        <f t="shared" si="4"/>
        <v>25231.68383</v>
      </c>
      <c r="G1618" s="1">
        <f t="shared" si="5"/>
        <v>44526.50087</v>
      </c>
      <c r="H1618" s="1">
        <f t="shared" si="6"/>
        <v>81631.91826</v>
      </c>
      <c r="I1618" s="1">
        <f t="shared" si="7"/>
        <v>133579.5026</v>
      </c>
    </row>
    <row r="1619" hidden="1">
      <c r="A1619" s="266">
        <f>IFERROR(__xludf.DUMMYFUNCTION("""COMPUTED_VALUE"""),44257.99861111111)</f>
        <v>44257.99861</v>
      </c>
      <c r="B1619" s="1">
        <f>IFERROR(__xludf.DUMMYFUNCTION("""COMPUTED_VALUE"""),48461.85)</f>
        <v>48461.85</v>
      </c>
      <c r="C1619" s="58">
        <f t="shared" si="1"/>
        <v>4441.998611</v>
      </c>
      <c r="D1619" s="1">
        <f t="shared" si="2"/>
        <v>7430.780745</v>
      </c>
      <c r="E1619" s="1">
        <f t="shared" si="3"/>
        <v>13375.40534</v>
      </c>
      <c r="F1619" s="1">
        <f t="shared" si="4"/>
        <v>25264.65453</v>
      </c>
      <c r="G1619" s="1">
        <f t="shared" si="5"/>
        <v>44584.68447</v>
      </c>
      <c r="H1619" s="1">
        <f t="shared" si="6"/>
        <v>81738.5882</v>
      </c>
      <c r="I1619" s="1">
        <f t="shared" si="7"/>
        <v>133754.0534</v>
      </c>
    </row>
    <row r="1620" hidden="1">
      <c r="A1620" s="266">
        <f>IFERROR(__xludf.DUMMYFUNCTION("""COMPUTED_VALUE"""),44258.99861111111)</f>
        <v>44258.99861</v>
      </c>
      <c r="B1620" s="1">
        <f>IFERROR(__xludf.DUMMYFUNCTION("""COMPUTED_VALUE"""),50428.79)</f>
        <v>50428.79</v>
      </c>
      <c r="C1620" s="58">
        <f t="shared" si="1"/>
        <v>4442.998611</v>
      </c>
      <c r="D1620" s="1">
        <f t="shared" si="2"/>
        <v>7440.488498</v>
      </c>
      <c r="E1620" s="1">
        <f t="shared" si="3"/>
        <v>13392.8793</v>
      </c>
      <c r="F1620" s="1">
        <f t="shared" si="4"/>
        <v>25297.66089</v>
      </c>
      <c r="G1620" s="1">
        <f t="shared" si="5"/>
        <v>44642.93099</v>
      </c>
      <c r="H1620" s="1">
        <f t="shared" si="6"/>
        <v>81845.37347</v>
      </c>
      <c r="I1620" s="1">
        <f t="shared" si="7"/>
        <v>133928.793</v>
      </c>
    </row>
    <row r="1621" hidden="1">
      <c r="A1621" s="266">
        <f>IFERROR(__xludf.DUMMYFUNCTION("""COMPUTED_VALUE"""),44259.99861111111)</f>
        <v>44259.99861</v>
      </c>
      <c r="B1621" s="1">
        <f>IFERROR(__xludf.DUMMYFUNCTION("""COMPUTED_VALUE"""),48357.46)</f>
        <v>48357.46</v>
      </c>
      <c r="C1621" s="58">
        <f t="shared" si="1"/>
        <v>4443.998611</v>
      </c>
      <c r="D1621" s="1">
        <f t="shared" si="2"/>
        <v>7450.206743</v>
      </c>
      <c r="E1621" s="1">
        <f t="shared" si="3"/>
        <v>13410.37214</v>
      </c>
      <c r="F1621" s="1">
        <f t="shared" si="4"/>
        <v>25330.70293</v>
      </c>
      <c r="G1621" s="1">
        <f t="shared" si="5"/>
        <v>44701.24046</v>
      </c>
      <c r="H1621" s="1">
        <f t="shared" si="6"/>
        <v>81952.27417</v>
      </c>
      <c r="I1621" s="1">
        <f t="shared" si="7"/>
        <v>134103.7214</v>
      </c>
    </row>
    <row r="1622" hidden="1">
      <c r="A1622" s="266">
        <f>IFERROR(__xludf.DUMMYFUNCTION("""COMPUTED_VALUE"""),44260.99861111111)</f>
        <v>44260.99861</v>
      </c>
      <c r="B1622" s="1">
        <f>IFERROR(__xludf.DUMMYFUNCTION("""COMPUTED_VALUE"""),48766.28)</f>
        <v>48766.28</v>
      </c>
      <c r="C1622" s="58">
        <f t="shared" si="1"/>
        <v>4444.998611</v>
      </c>
      <c r="D1622" s="1">
        <f t="shared" si="2"/>
        <v>7459.935491</v>
      </c>
      <c r="E1622" s="1">
        <f t="shared" si="3"/>
        <v>13427.88388</v>
      </c>
      <c r="F1622" s="1">
        <f t="shared" si="4"/>
        <v>25363.78067</v>
      </c>
      <c r="G1622" s="1">
        <f t="shared" si="5"/>
        <v>44759.61295</v>
      </c>
      <c r="H1622" s="1">
        <f t="shared" si="6"/>
        <v>82059.2904</v>
      </c>
      <c r="I1622" s="1">
        <f t="shared" si="7"/>
        <v>134278.8388</v>
      </c>
    </row>
    <row r="1623" hidden="1">
      <c r="A1623" s="266">
        <f>IFERROR(__xludf.DUMMYFUNCTION("""COMPUTED_VALUE"""),44261.99861111111)</f>
        <v>44261.99861</v>
      </c>
      <c r="B1623" s="1">
        <f>IFERROR(__xludf.DUMMYFUNCTION("""COMPUTED_VALUE"""),48883.48)</f>
        <v>48883.48</v>
      </c>
      <c r="C1623" s="58">
        <f t="shared" si="1"/>
        <v>4445.998611</v>
      </c>
      <c r="D1623" s="1">
        <f t="shared" si="2"/>
        <v>7469.67475</v>
      </c>
      <c r="E1623" s="1">
        <f t="shared" si="3"/>
        <v>13445.41455</v>
      </c>
      <c r="F1623" s="1">
        <f t="shared" si="4"/>
        <v>25396.89415</v>
      </c>
      <c r="G1623" s="1">
        <f t="shared" si="5"/>
        <v>44818.0485</v>
      </c>
      <c r="H1623" s="1">
        <f t="shared" si="6"/>
        <v>82166.42225</v>
      </c>
      <c r="I1623" s="1">
        <f t="shared" si="7"/>
        <v>134454.1455</v>
      </c>
    </row>
    <row r="1624" hidden="1">
      <c r="A1624" s="266">
        <f>IFERROR(__xludf.DUMMYFUNCTION("""COMPUTED_VALUE"""),44262.99861111111)</f>
        <v>44262.99861</v>
      </c>
      <c r="B1624" s="1">
        <f>IFERROR(__xludf.DUMMYFUNCTION("""COMPUTED_VALUE"""),50958.3)</f>
        <v>50958.3</v>
      </c>
      <c r="C1624" s="58">
        <f t="shared" si="1"/>
        <v>4446.998611</v>
      </c>
      <c r="D1624" s="1">
        <f t="shared" si="2"/>
        <v>7479.42453</v>
      </c>
      <c r="E1624" s="1">
        <f t="shared" si="3"/>
        <v>13462.96415</v>
      </c>
      <c r="F1624" s="1">
        <f t="shared" si="4"/>
        <v>25430.0434</v>
      </c>
      <c r="G1624" s="1">
        <f t="shared" si="5"/>
        <v>44876.54718</v>
      </c>
      <c r="H1624" s="1">
        <f t="shared" si="6"/>
        <v>82273.66983</v>
      </c>
      <c r="I1624" s="1">
        <f t="shared" si="7"/>
        <v>134629.6415</v>
      </c>
    </row>
    <row r="1625" hidden="1">
      <c r="A1625" s="266">
        <f>IFERROR(__xludf.DUMMYFUNCTION("""COMPUTED_VALUE"""),44263.99861111111)</f>
        <v>44263.99861</v>
      </c>
      <c r="B1625" s="1">
        <f>IFERROR(__xludf.DUMMYFUNCTION("""COMPUTED_VALUE"""),52317.55)</f>
        <v>52317.55</v>
      </c>
      <c r="C1625" s="58">
        <f t="shared" si="1"/>
        <v>4447.998611</v>
      </c>
      <c r="D1625" s="1">
        <f t="shared" si="2"/>
        <v>7489.184839</v>
      </c>
      <c r="E1625" s="1">
        <f t="shared" si="3"/>
        <v>13480.53271</v>
      </c>
      <c r="F1625" s="1">
        <f t="shared" si="4"/>
        <v>25463.22845</v>
      </c>
      <c r="G1625" s="1">
        <f t="shared" si="5"/>
        <v>44935.10903</v>
      </c>
      <c r="H1625" s="1">
        <f t="shared" si="6"/>
        <v>82381.03323</v>
      </c>
      <c r="I1625" s="1">
        <f t="shared" si="7"/>
        <v>134805.3271</v>
      </c>
    </row>
    <row r="1626" hidden="1">
      <c r="A1626" s="266">
        <f>IFERROR(__xludf.DUMMYFUNCTION("""COMPUTED_VALUE"""),44264.99861111111)</f>
        <v>44264.99861</v>
      </c>
      <c r="B1626" s="1">
        <f>IFERROR(__xludf.DUMMYFUNCTION("""COMPUTED_VALUE"""),54898.67)</f>
        <v>54898.67</v>
      </c>
      <c r="C1626" s="58">
        <f t="shared" si="1"/>
        <v>4448.998611</v>
      </c>
      <c r="D1626" s="1">
        <f t="shared" si="2"/>
        <v>7498.955687</v>
      </c>
      <c r="E1626" s="1">
        <f t="shared" si="3"/>
        <v>13498.12024</v>
      </c>
      <c r="F1626" s="1">
        <f t="shared" si="4"/>
        <v>25496.44933</v>
      </c>
      <c r="G1626" s="1">
        <f t="shared" si="5"/>
        <v>44993.73412</v>
      </c>
      <c r="H1626" s="1">
        <f t="shared" si="6"/>
        <v>82488.51255</v>
      </c>
      <c r="I1626" s="1">
        <f t="shared" si="7"/>
        <v>134981.2024</v>
      </c>
    </row>
    <row r="1627" hidden="1">
      <c r="A1627" s="266">
        <f>IFERROR(__xludf.DUMMYFUNCTION("""COMPUTED_VALUE"""),44265.99861111111)</f>
        <v>44265.99861</v>
      </c>
      <c r="B1627" s="1">
        <f>IFERROR(__xludf.DUMMYFUNCTION("""COMPUTED_VALUE"""),55901.2)</f>
        <v>55901.2</v>
      </c>
      <c r="C1627" s="58">
        <f t="shared" si="1"/>
        <v>4449.998611</v>
      </c>
      <c r="D1627" s="1">
        <f t="shared" si="2"/>
        <v>7508.737081</v>
      </c>
      <c r="E1627" s="1">
        <f t="shared" si="3"/>
        <v>13515.72675</v>
      </c>
      <c r="F1627" s="1">
        <f t="shared" si="4"/>
        <v>25529.70608</v>
      </c>
      <c r="G1627" s="1">
        <f t="shared" si="5"/>
        <v>45052.42249</v>
      </c>
      <c r="H1627" s="1">
        <f t="shared" si="6"/>
        <v>82596.1079</v>
      </c>
      <c r="I1627" s="1">
        <f t="shared" si="7"/>
        <v>135157.2675</v>
      </c>
    </row>
    <row r="1628" hidden="1">
      <c r="A1628" s="266">
        <f>IFERROR(__xludf.DUMMYFUNCTION("""COMPUTED_VALUE"""),44266.99861111111)</f>
        <v>44266.99861</v>
      </c>
      <c r="B1628" s="1">
        <f>IFERROR(__xludf.DUMMYFUNCTION("""COMPUTED_VALUE"""),57794.57)</f>
        <v>57794.57</v>
      </c>
      <c r="C1628" s="58">
        <f t="shared" si="1"/>
        <v>4450.998611</v>
      </c>
      <c r="D1628" s="1">
        <f t="shared" si="2"/>
        <v>7518.529033</v>
      </c>
      <c r="E1628" s="1">
        <f t="shared" si="3"/>
        <v>13533.35226</v>
      </c>
      <c r="F1628" s="1">
        <f t="shared" si="4"/>
        <v>25562.99871</v>
      </c>
      <c r="G1628" s="1">
        <f t="shared" si="5"/>
        <v>45111.1742</v>
      </c>
      <c r="H1628" s="1">
        <f t="shared" si="6"/>
        <v>82703.81936</v>
      </c>
      <c r="I1628" s="1">
        <f t="shared" si="7"/>
        <v>135333.5226</v>
      </c>
    </row>
    <row r="1629" hidden="1">
      <c r="A1629" s="266">
        <f>IFERROR(__xludf.DUMMYFUNCTION("""COMPUTED_VALUE"""),44267.99861111111)</f>
        <v>44267.99861</v>
      </c>
      <c r="B1629" s="1">
        <f>IFERROR(__xludf.DUMMYFUNCTION("""COMPUTED_VALUE"""),57229.31)</f>
        <v>57229.31</v>
      </c>
      <c r="C1629" s="58">
        <f t="shared" si="1"/>
        <v>4451.998611</v>
      </c>
      <c r="D1629" s="1">
        <f t="shared" si="2"/>
        <v>7528.331549</v>
      </c>
      <c r="E1629" s="1">
        <f t="shared" si="3"/>
        <v>13550.99679</v>
      </c>
      <c r="F1629" s="1">
        <f t="shared" si="4"/>
        <v>25596.32727</v>
      </c>
      <c r="G1629" s="1">
        <f t="shared" si="5"/>
        <v>45169.9893</v>
      </c>
      <c r="H1629" s="1">
        <f t="shared" si="6"/>
        <v>82811.64704</v>
      </c>
      <c r="I1629" s="1">
        <f t="shared" si="7"/>
        <v>135509.9679</v>
      </c>
    </row>
    <row r="1630" hidden="1">
      <c r="A1630" s="266">
        <f>IFERROR(__xludf.DUMMYFUNCTION("""COMPUTED_VALUE"""),44268.99861111111)</f>
        <v>44268.99861</v>
      </c>
      <c r="B1630" s="1">
        <f>IFERROR(__xludf.DUMMYFUNCTION("""COMPUTED_VALUE"""),61190.87)</f>
        <v>61190.87</v>
      </c>
      <c r="C1630" s="58">
        <f t="shared" si="1"/>
        <v>4452.998611</v>
      </c>
      <c r="D1630" s="1">
        <f t="shared" si="2"/>
        <v>7538.144641</v>
      </c>
      <c r="E1630" s="1">
        <f t="shared" si="3"/>
        <v>13568.66035</v>
      </c>
      <c r="F1630" s="1">
        <f t="shared" si="4"/>
        <v>25629.69178</v>
      </c>
      <c r="G1630" s="1">
        <f t="shared" si="5"/>
        <v>45228.86784</v>
      </c>
      <c r="H1630" s="1">
        <f t="shared" si="6"/>
        <v>82919.59105</v>
      </c>
      <c r="I1630" s="1">
        <f t="shared" si="7"/>
        <v>135686.6035</v>
      </c>
    </row>
    <row r="1631" hidden="1">
      <c r="A1631" s="266">
        <f>IFERROR(__xludf.DUMMYFUNCTION("""COMPUTED_VALUE"""),44269.99861111111)</f>
        <v>44269.99861</v>
      </c>
      <c r="B1631" s="1">
        <f>IFERROR(__xludf.DUMMYFUNCTION("""COMPUTED_VALUE"""),59014.37)</f>
        <v>59014.37</v>
      </c>
      <c r="C1631" s="58">
        <f t="shared" si="1"/>
        <v>4453.998611</v>
      </c>
      <c r="D1631" s="1">
        <f t="shared" si="2"/>
        <v>7547.968315</v>
      </c>
      <c r="E1631" s="1">
        <f t="shared" si="3"/>
        <v>13586.34297</v>
      </c>
      <c r="F1631" s="1">
        <f t="shared" si="4"/>
        <v>25663.09227</v>
      </c>
      <c r="G1631" s="1">
        <f t="shared" si="5"/>
        <v>45287.80989</v>
      </c>
      <c r="H1631" s="1">
        <f t="shared" si="6"/>
        <v>83027.65147</v>
      </c>
      <c r="I1631" s="1">
        <f t="shared" si="7"/>
        <v>135863.4297</v>
      </c>
    </row>
    <row r="1632" hidden="1">
      <c r="A1632" s="266">
        <f>IFERROR(__xludf.DUMMYFUNCTION("""COMPUTED_VALUE"""),44270.99861111111)</f>
        <v>44270.99861</v>
      </c>
      <c r="B1632" s="1">
        <f>IFERROR(__xludf.DUMMYFUNCTION("""COMPUTED_VALUE"""),55608.05)</f>
        <v>55608.05</v>
      </c>
      <c r="C1632" s="58">
        <f t="shared" si="1"/>
        <v>4454.998611</v>
      </c>
      <c r="D1632" s="1">
        <f t="shared" si="2"/>
        <v>7557.802583</v>
      </c>
      <c r="E1632" s="1">
        <f t="shared" si="3"/>
        <v>13604.04465</v>
      </c>
      <c r="F1632" s="1">
        <f t="shared" si="4"/>
        <v>25696.52878</v>
      </c>
      <c r="G1632" s="1">
        <f t="shared" si="5"/>
        <v>45346.8155</v>
      </c>
      <c r="H1632" s="1">
        <f t="shared" si="6"/>
        <v>83135.82841</v>
      </c>
      <c r="I1632" s="1">
        <f t="shared" si="7"/>
        <v>136040.4465</v>
      </c>
    </row>
    <row r="1633" hidden="1">
      <c r="A1633" s="266">
        <f>IFERROR(__xludf.DUMMYFUNCTION("""COMPUTED_VALUE"""),44271.99861111111)</f>
        <v>44271.99861</v>
      </c>
      <c r="B1633" s="1">
        <f>IFERROR(__xludf.DUMMYFUNCTION("""COMPUTED_VALUE"""),56904.06)</f>
        <v>56904.06</v>
      </c>
      <c r="C1633" s="58">
        <f t="shared" si="1"/>
        <v>4455.998611</v>
      </c>
      <c r="D1633" s="1">
        <f t="shared" si="2"/>
        <v>7567.647451</v>
      </c>
      <c r="E1633" s="1">
        <f t="shared" si="3"/>
        <v>13621.76541</v>
      </c>
      <c r="F1633" s="1">
        <f t="shared" si="4"/>
        <v>25730.00133</v>
      </c>
      <c r="G1633" s="1">
        <f t="shared" si="5"/>
        <v>45405.88471</v>
      </c>
      <c r="H1633" s="1">
        <f t="shared" si="6"/>
        <v>83244.12196</v>
      </c>
      <c r="I1633" s="1">
        <f t="shared" si="7"/>
        <v>136217.6541</v>
      </c>
    </row>
    <row r="1634" hidden="1">
      <c r="A1634" s="266">
        <f>IFERROR(__xludf.DUMMYFUNCTION("""COMPUTED_VALUE"""),44272.99861111111)</f>
        <v>44272.99861</v>
      </c>
      <c r="B1634" s="1">
        <f>IFERROR(__xludf.DUMMYFUNCTION("""COMPUTED_VALUE"""),58898.21)</f>
        <v>58898.21</v>
      </c>
      <c r="C1634" s="58">
        <f t="shared" si="1"/>
        <v>4456.998611</v>
      </c>
      <c r="D1634" s="1">
        <f t="shared" si="2"/>
        <v>7577.502931</v>
      </c>
      <c r="E1634" s="1">
        <f t="shared" si="3"/>
        <v>13639.50528</v>
      </c>
      <c r="F1634" s="1">
        <f t="shared" si="4"/>
        <v>25763.50996</v>
      </c>
      <c r="G1634" s="1">
        <f t="shared" si="5"/>
        <v>45465.01758</v>
      </c>
      <c r="H1634" s="1">
        <f t="shared" si="6"/>
        <v>83352.53224</v>
      </c>
      <c r="I1634" s="1">
        <f t="shared" si="7"/>
        <v>136395.0528</v>
      </c>
    </row>
    <row r="1635" hidden="1">
      <c r="A1635" s="266">
        <f>IFERROR(__xludf.DUMMYFUNCTION("""COMPUTED_VALUE"""),44273.99861111111)</f>
        <v>44273.99861</v>
      </c>
      <c r="B1635" s="1">
        <f>IFERROR(__xludf.DUMMYFUNCTION("""COMPUTED_VALUE"""),57647.56)</f>
        <v>57647.56</v>
      </c>
      <c r="C1635" s="58">
        <f t="shared" si="1"/>
        <v>4457.998611</v>
      </c>
      <c r="D1635" s="1">
        <f t="shared" si="2"/>
        <v>7587.36903</v>
      </c>
      <c r="E1635" s="1">
        <f t="shared" si="3"/>
        <v>13657.26425</v>
      </c>
      <c r="F1635" s="1">
        <f t="shared" si="4"/>
        <v>25797.0547</v>
      </c>
      <c r="G1635" s="1">
        <f t="shared" si="5"/>
        <v>45524.21418</v>
      </c>
      <c r="H1635" s="1">
        <f t="shared" si="6"/>
        <v>83461.05933</v>
      </c>
      <c r="I1635" s="1">
        <f t="shared" si="7"/>
        <v>136572.6425</v>
      </c>
    </row>
    <row r="1636" hidden="1">
      <c r="A1636" s="266">
        <f>IFERROR(__xludf.DUMMYFUNCTION("""COMPUTED_VALUE"""),44274.99861111111)</f>
        <v>44274.99861</v>
      </c>
      <c r="B1636" s="1">
        <f>IFERROR(__xludf.DUMMYFUNCTION("""COMPUTED_VALUE"""),58083.82)</f>
        <v>58083.82</v>
      </c>
      <c r="C1636" s="58">
        <f t="shared" si="1"/>
        <v>4458.998611</v>
      </c>
      <c r="D1636" s="1">
        <f t="shared" si="2"/>
        <v>7597.245757</v>
      </c>
      <c r="E1636" s="1">
        <f t="shared" si="3"/>
        <v>13675.04236</v>
      </c>
      <c r="F1636" s="1">
        <f t="shared" si="4"/>
        <v>25830.63558</v>
      </c>
      <c r="G1636" s="1">
        <f t="shared" si="5"/>
        <v>45583.47454</v>
      </c>
      <c r="H1636" s="1">
        <f t="shared" si="6"/>
        <v>83569.70333</v>
      </c>
      <c r="I1636" s="1">
        <f t="shared" si="7"/>
        <v>136750.4236</v>
      </c>
    </row>
    <row r="1637" hidden="1">
      <c r="A1637" s="266">
        <f>IFERROR(__xludf.DUMMYFUNCTION("""COMPUTED_VALUE"""),44275.99861111111)</f>
        <v>44275.99861</v>
      </c>
      <c r="B1637" s="1">
        <f>IFERROR(__xludf.DUMMYFUNCTION("""COMPUTED_VALUE"""),58081.93)</f>
        <v>58081.93</v>
      </c>
      <c r="C1637" s="58">
        <f t="shared" si="1"/>
        <v>4459.998611</v>
      </c>
      <c r="D1637" s="1">
        <f t="shared" si="2"/>
        <v>7607.133123</v>
      </c>
      <c r="E1637" s="1">
        <f t="shared" si="3"/>
        <v>13692.83962</v>
      </c>
      <c r="F1637" s="1">
        <f t="shared" si="4"/>
        <v>25864.25262</v>
      </c>
      <c r="G1637" s="1">
        <f t="shared" si="5"/>
        <v>45642.79874</v>
      </c>
      <c r="H1637" s="1">
        <f t="shared" si="6"/>
        <v>83678.46435</v>
      </c>
      <c r="I1637" s="1">
        <f t="shared" si="7"/>
        <v>136928.3962</v>
      </c>
    </row>
    <row r="1638" hidden="1">
      <c r="A1638" s="266">
        <f>IFERROR(__xludf.DUMMYFUNCTION("""COMPUTED_VALUE"""),44276.99861111111)</f>
        <v>44276.99861</v>
      </c>
      <c r="B1638" s="1">
        <f>IFERROR(__xludf.DUMMYFUNCTION("""COMPUTED_VALUE"""),57357.46)</f>
        <v>57357.46</v>
      </c>
      <c r="C1638" s="58">
        <f t="shared" si="1"/>
        <v>4460.998611</v>
      </c>
      <c r="D1638" s="1">
        <f t="shared" si="2"/>
        <v>7617.031135</v>
      </c>
      <c r="E1638" s="1">
        <f t="shared" si="3"/>
        <v>13710.65604</v>
      </c>
      <c r="F1638" s="1">
        <f t="shared" si="4"/>
        <v>25897.90586</v>
      </c>
      <c r="G1638" s="1">
        <f t="shared" si="5"/>
        <v>45702.18681</v>
      </c>
      <c r="H1638" s="1">
        <f t="shared" si="6"/>
        <v>83787.34249</v>
      </c>
      <c r="I1638" s="1">
        <f t="shared" si="7"/>
        <v>137106.5604</v>
      </c>
    </row>
    <row r="1639" hidden="1">
      <c r="A1639" s="266">
        <f>IFERROR(__xludf.DUMMYFUNCTION("""COMPUTED_VALUE"""),44277.99861111111)</f>
        <v>44277.99861</v>
      </c>
      <c r="B1639" s="1">
        <f>IFERROR(__xludf.DUMMYFUNCTION("""COMPUTED_VALUE"""),54137.09)</f>
        <v>54137.09</v>
      </c>
      <c r="C1639" s="58">
        <f t="shared" si="1"/>
        <v>4461.998611</v>
      </c>
      <c r="D1639" s="1">
        <f t="shared" si="2"/>
        <v>7626.939804</v>
      </c>
      <c r="E1639" s="1">
        <f t="shared" si="3"/>
        <v>13728.49165</v>
      </c>
      <c r="F1639" s="1">
        <f t="shared" si="4"/>
        <v>25931.59533</v>
      </c>
      <c r="G1639" s="1">
        <f t="shared" si="5"/>
        <v>45761.63882</v>
      </c>
      <c r="H1639" s="1">
        <f t="shared" si="6"/>
        <v>83896.33784</v>
      </c>
      <c r="I1639" s="1">
        <f t="shared" si="7"/>
        <v>137284.9165</v>
      </c>
    </row>
    <row r="1640" hidden="1">
      <c r="A1640" s="266">
        <f>IFERROR(__xludf.DUMMYFUNCTION("""COMPUTED_VALUE"""),44278.99861111111)</f>
        <v>44278.99861</v>
      </c>
      <c r="B1640" s="1">
        <f>IFERROR(__xludf.DUMMYFUNCTION("""COMPUTED_VALUE"""),54407.55)</f>
        <v>54407.55</v>
      </c>
      <c r="C1640" s="58">
        <f t="shared" si="1"/>
        <v>4462.998611</v>
      </c>
      <c r="D1640" s="1">
        <f t="shared" si="2"/>
        <v>7636.859137</v>
      </c>
      <c r="E1640" s="1">
        <f t="shared" si="3"/>
        <v>13746.34645</v>
      </c>
      <c r="F1640" s="1">
        <f t="shared" si="4"/>
        <v>25965.32107</v>
      </c>
      <c r="G1640" s="1">
        <f t="shared" si="5"/>
        <v>45821.15482</v>
      </c>
      <c r="H1640" s="1">
        <f t="shared" si="6"/>
        <v>84005.4505</v>
      </c>
      <c r="I1640" s="1">
        <f t="shared" si="7"/>
        <v>137463.4645</v>
      </c>
    </row>
    <row r="1641" hidden="1">
      <c r="A1641" s="266">
        <f>IFERROR(__xludf.DUMMYFUNCTION("""COMPUTED_VALUE"""),44279.99861111111)</f>
        <v>44279.99861</v>
      </c>
      <c r="B1641" s="1">
        <f>IFERROR(__xludf.DUMMYFUNCTION("""COMPUTED_VALUE"""),52335.62)</f>
        <v>52335.62</v>
      </c>
      <c r="C1641" s="58">
        <f t="shared" si="1"/>
        <v>4463.998611</v>
      </c>
      <c r="D1641" s="1">
        <f t="shared" si="2"/>
        <v>7646.789144</v>
      </c>
      <c r="E1641" s="1">
        <f t="shared" si="3"/>
        <v>13764.22046</v>
      </c>
      <c r="F1641" s="1">
        <f t="shared" si="4"/>
        <v>25999.08309</v>
      </c>
      <c r="G1641" s="1">
        <f t="shared" si="5"/>
        <v>45880.73486</v>
      </c>
      <c r="H1641" s="1">
        <f t="shared" si="6"/>
        <v>84114.68059</v>
      </c>
      <c r="I1641" s="1">
        <f t="shared" si="7"/>
        <v>137642.2046</v>
      </c>
    </row>
    <row r="1642" hidden="1">
      <c r="A1642" s="266">
        <f>IFERROR(__xludf.DUMMYFUNCTION("""COMPUTED_VALUE"""),44280.99861111111)</f>
        <v>44280.99861</v>
      </c>
      <c r="B1642" s="1">
        <f>IFERROR(__xludf.DUMMYFUNCTION("""COMPUTED_VALUE"""),51342.9)</f>
        <v>51342.9</v>
      </c>
      <c r="C1642" s="58">
        <f t="shared" si="1"/>
        <v>4464.998611</v>
      </c>
      <c r="D1642" s="1">
        <f t="shared" si="2"/>
        <v>7656.729835</v>
      </c>
      <c r="E1642" s="1">
        <f t="shared" si="3"/>
        <v>13782.1137</v>
      </c>
      <c r="F1642" s="1">
        <f t="shared" si="4"/>
        <v>26032.88144</v>
      </c>
      <c r="G1642" s="1">
        <f t="shared" si="5"/>
        <v>45940.37901</v>
      </c>
      <c r="H1642" s="1">
        <f t="shared" si="6"/>
        <v>84224.02818</v>
      </c>
      <c r="I1642" s="1">
        <f t="shared" si="7"/>
        <v>137821.137</v>
      </c>
    </row>
    <row r="1643" hidden="1">
      <c r="A1643" s="266">
        <f>IFERROR(__xludf.DUMMYFUNCTION("""COMPUTED_VALUE"""),44281.99861111111)</f>
        <v>44281.99861</v>
      </c>
      <c r="B1643" s="1">
        <f>IFERROR(__xludf.DUMMYFUNCTION("""COMPUTED_VALUE"""),55041.62)</f>
        <v>55041.62</v>
      </c>
      <c r="C1643" s="58">
        <f t="shared" si="1"/>
        <v>4465.998611</v>
      </c>
      <c r="D1643" s="1">
        <f t="shared" si="2"/>
        <v>7666.681217</v>
      </c>
      <c r="E1643" s="1">
        <f t="shared" si="3"/>
        <v>13800.02619</v>
      </c>
      <c r="F1643" s="1">
        <f t="shared" si="4"/>
        <v>26066.71614</v>
      </c>
      <c r="G1643" s="1">
        <f t="shared" si="5"/>
        <v>46000.0873</v>
      </c>
      <c r="H1643" s="1">
        <f t="shared" si="6"/>
        <v>84333.49339</v>
      </c>
      <c r="I1643" s="1">
        <f t="shared" si="7"/>
        <v>138000.2619</v>
      </c>
    </row>
    <row r="1644" hidden="1">
      <c r="A1644" s="266">
        <f>IFERROR(__xludf.DUMMYFUNCTION("""COMPUTED_VALUE"""),44282.99861111111)</f>
        <v>44282.99861</v>
      </c>
      <c r="B1644" s="1">
        <f>IFERROR(__xludf.DUMMYFUNCTION("""COMPUTED_VALUE"""),55870.88)</f>
        <v>55870.88</v>
      </c>
      <c r="C1644" s="58">
        <f t="shared" si="1"/>
        <v>4466.998611</v>
      </c>
      <c r="D1644" s="1">
        <f t="shared" si="2"/>
        <v>7676.643302</v>
      </c>
      <c r="E1644" s="1">
        <f t="shared" si="3"/>
        <v>13817.95794</v>
      </c>
      <c r="F1644" s="1">
        <f t="shared" si="4"/>
        <v>26100.58723</v>
      </c>
      <c r="G1644" s="1">
        <f t="shared" si="5"/>
        <v>46059.85981</v>
      </c>
      <c r="H1644" s="1">
        <f t="shared" si="6"/>
        <v>84443.07632</v>
      </c>
      <c r="I1644" s="1">
        <f t="shared" si="7"/>
        <v>138179.5794</v>
      </c>
    </row>
    <row r="1645" hidden="1">
      <c r="A1645" s="266">
        <f>IFERROR(__xludf.DUMMYFUNCTION("""COMPUTED_VALUE"""),44283.99861111111)</f>
        <v>44283.99861</v>
      </c>
      <c r="B1645" s="1">
        <f>IFERROR(__xludf.DUMMYFUNCTION("""COMPUTED_VALUE"""),55774.09)</f>
        <v>55774.09</v>
      </c>
      <c r="C1645" s="58">
        <f t="shared" si="1"/>
        <v>4467.998611</v>
      </c>
      <c r="D1645" s="1">
        <f t="shared" si="2"/>
        <v>7686.616096</v>
      </c>
      <c r="E1645" s="1">
        <f t="shared" si="3"/>
        <v>13835.90897</v>
      </c>
      <c r="F1645" s="1">
        <f t="shared" si="4"/>
        <v>26134.49473</v>
      </c>
      <c r="G1645" s="1">
        <f t="shared" si="5"/>
        <v>46119.69658</v>
      </c>
      <c r="H1645" s="1">
        <f t="shared" si="6"/>
        <v>84552.77706</v>
      </c>
      <c r="I1645" s="1">
        <f t="shared" si="7"/>
        <v>138359.0897</v>
      </c>
    </row>
    <row r="1646" hidden="1">
      <c r="A1646" s="266">
        <f>IFERROR(__xludf.DUMMYFUNCTION("""COMPUTED_VALUE"""),44284.99861111111)</f>
        <v>44284.99861</v>
      </c>
      <c r="B1646" s="1">
        <f>IFERROR(__xludf.DUMMYFUNCTION("""COMPUTED_VALUE"""),57611.63)</f>
        <v>57611.63</v>
      </c>
      <c r="C1646" s="58">
        <f t="shared" si="1"/>
        <v>4468.998611</v>
      </c>
      <c r="D1646" s="1">
        <f t="shared" si="2"/>
        <v>7696.59961</v>
      </c>
      <c r="E1646" s="1">
        <f t="shared" si="3"/>
        <v>13853.8793</v>
      </c>
      <c r="F1646" s="1">
        <f t="shared" si="4"/>
        <v>26168.43868</v>
      </c>
      <c r="G1646" s="1">
        <f t="shared" si="5"/>
        <v>46179.59766</v>
      </c>
      <c r="H1646" s="1">
        <f t="shared" si="6"/>
        <v>84662.59572</v>
      </c>
      <c r="I1646" s="1">
        <f t="shared" si="7"/>
        <v>138538.793</v>
      </c>
    </row>
    <row r="1647" hidden="1">
      <c r="A1647" s="266">
        <f>IFERROR(__xludf.DUMMYFUNCTION("""COMPUTED_VALUE"""),44285.99861111111)</f>
        <v>44285.99861</v>
      </c>
      <c r="B1647" s="1">
        <f>IFERROR(__xludf.DUMMYFUNCTION("""COMPUTED_VALUE"""),58786.91)</f>
        <v>58786.91</v>
      </c>
      <c r="C1647" s="58">
        <f t="shared" si="1"/>
        <v>4469.998611</v>
      </c>
      <c r="D1647" s="1">
        <f t="shared" si="2"/>
        <v>7706.593853</v>
      </c>
      <c r="E1647" s="1">
        <f t="shared" si="3"/>
        <v>13871.86894</v>
      </c>
      <c r="F1647" s="1">
        <f t="shared" si="4"/>
        <v>26202.4191</v>
      </c>
      <c r="G1647" s="1">
        <f t="shared" si="5"/>
        <v>46239.56312</v>
      </c>
      <c r="H1647" s="1">
        <f t="shared" si="6"/>
        <v>84772.53239</v>
      </c>
      <c r="I1647" s="1">
        <f t="shared" si="7"/>
        <v>138718.6894</v>
      </c>
    </row>
    <row r="1648" hidden="1">
      <c r="A1648" s="266">
        <f>IFERROR(__xludf.DUMMYFUNCTION("""COMPUTED_VALUE"""),44286.99861111111)</f>
        <v>44286.99861</v>
      </c>
      <c r="B1648" s="1">
        <f>IFERROR(__xludf.DUMMYFUNCTION("""COMPUTED_VALUE"""),58794.94)</f>
        <v>58794.94</v>
      </c>
      <c r="C1648" s="58">
        <f t="shared" si="1"/>
        <v>4470.998611</v>
      </c>
      <c r="D1648" s="1">
        <f t="shared" si="2"/>
        <v>7716.598834</v>
      </c>
      <c r="E1648" s="1">
        <f t="shared" si="3"/>
        <v>13889.8779</v>
      </c>
      <c r="F1648" s="1">
        <f t="shared" si="4"/>
        <v>26236.43604</v>
      </c>
      <c r="G1648" s="1">
        <f t="shared" si="5"/>
        <v>46299.59301</v>
      </c>
      <c r="H1648" s="1">
        <f t="shared" si="6"/>
        <v>84882.58718</v>
      </c>
      <c r="I1648" s="1">
        <f t="shared" si="7"/>
        <v>138898.779</v>
      </c>
    </row>
    <row r="1649" hidden="1">
      <c r="A1649" s="266">
        <f>IFERROR(__xludf.DUMMYFUNCTION("""COMPUTED_VALUE"""),44287.99861111111)</f>
        <v>44287.99861</v>
      </c>
      <c r="B1649" s="1">
        <f>IFERROR(__xludf.DUMMYFUNCTION("""COMPUTED_VALUE"""),58721.72)</f>
        <v>58721.72</v>
      </c>
      <c r="C1649" s="58">
        <f t="shared" si="1"/>
        <v>4471.998611</v>
      </c>
      <c r="D1649" s="1">
        <f t="shared" si="2"/>
        <v>7726.614562</v>
      </c>
      <c r="E1649" s="1">
        <f t="shared" si="3"/>
        <v>13907.90621</v>
      </c>
      <c r="F1649" s="1">
        <f t="shared" si="4"/>
        <v>26270.48951</v>
      </c>
      <c r="G1649" s="1">
        <f t="shared" si="5"/>
        <v>46359.68737</v>
      </c>
      <c r="H1649" s="1">
        <f t="shared" si="6"/>
        <v>84992.76018</v>
      </c>
      <c r="I1649" s="1">
        <f t="shared" si="7"/>
        <v>139079.0621</v>
      </c>
    </row>
    <row r="1650" hidden="1">
      <c r="A1650" s="266">
        <f>IFERROR(__xludf.DUMMYFUNCTION("""COMPUTED_VALUE"""),44288.99861111111)</f>
        <v>44288.99861</v>
      </c>
      <c r="B1650" s="1">
        <f>IFERROR(__xludf.DUMMYFUNCTION("""COMPUTED_VALUE"""),58987.56)</f>
        <v>58987.56</v>
      </c>
      <c r="C1650" s="58">
        <f t="shared" si="1"/>
        <v>4472.998611</v>
      </c>
      <c r="D1650" s="1">
        <f t="shared" si="2"/>
        <v>7736.641046</v>
      </c>
      <c r="E1650" s="1">
        <f t="shared" si="3"/>
        <v>13925.95388</v>
      </c>
      <c r="F1650" s="1">
        <f t="shared" si="4"/>
        <v>26304.57956</v>
      </c>
      <c r="G1650" s="1">
        <f t="shared" si="5"/>
        <v>46419.84627</v>
      </c>
      <c r="H1650" s="1">
        <f t="shared" si="6"/>
        <v>85103.0515</v>
      </c>
      <c r="I1650" s="1">
        <f t="shared" si="7"/>
        <v>139259.5388</v>
      </c>
    </row>
    <row r="1651" hidden="1">
      <c r="A1651" s="266">
        <f>IFERROR(__xludf.DUMMYFUNCTION("""COMPUTED_VALUE"""),44289.99861111111)</f>
        <v>44289.99861</v>
      </c>
      <c r="B1651" s="1">
        <f>IFERROR(__xludf.DUMMYFUNCTION("""COMPUTED_VALUE"""),57072.03)</f>
        <v>57072.03</v>
      </c>
      <c r="C1651" s="58">
        <f t="shared" si="1"/>
        <v>4473.998611</v>
      </c>
      <c r="D1651" s="1">
        <f t="shared" si="2"/>
        <v>7746.678295</v>
      </c>
      <c r="E1651" s="1">
        <f t="shared" si="3"/>
        <v>13944.02093</v>
      </c>
      <c r="F1651" s="1">
        <f t="shared" si="4"/>
        <v>26338.7062</v>
      </c>
      <c r="G1651" s="1">
        <f t="shared" si="5"/>
        <v>46480.06977</v>
      </c>
      <c r="H1651" s="1">
        <f t="shared" si="6"/>
        <v>85213.46124</v>
      </c>
      <c r="I1651" s="1">
        <f t="shared" si="7"/>
        <v>139440.2093</v>
      </c>
    </row>
    <row r="1652" hidden="1">
      <c r="A1652" s="266">
        <f>IFERROR(__xludf.DUMMYFUNCTION("""COMPUTED_VALUE"""),44290.99861111111)</f>
        <v>44290.99861</v>
      </c>
      <c r="B1652" s="1">
        <f>IFERROR(__xludf.DUMMYFUNCTION("""COMPUTED_VALUE"""),58218.89)</f>
        <v>58218.89</v>
      </c>
      <c r="C1652" s="58">
        <f t="shared" si="1"/>
        <v>4474.998611</v>
      </c>
      <c r="D1652" s="1">
        <f t="shared" si="2"/>
        <v>7756.726318</v>
      </c>
      <c r="E1652" s="1">
        <f t="shared" si="3"/>
        <v>13962.10737</v>
      </c>
      <c r="F1652" s="1">
        <f t="shared" si="4"/>
        <v>26372.86948</v>
      </c>
      <c r="G1652" s="1">
        <f t="shared" si="5"/>
        <v>46540.35791</v>
      </c>
      <c r="H1652" s="1">
        <f t="shared" si="6"/>
        <v>85323.9895</v>
      </c>
      <c r="I1652" s="1">
        <f t="shared" si="7"/>
        <v>139621.0737</v>
      </c>
    </row>
    <row r="1653" hidden="1">
      <c r="A1653" s="266">
        <f>IFERROR(__xludf.DUMMYFUNCTION("""COMPUTED_VALUE"""),44291.99861111111)</f>
        <v>44291.99861</v>
      </c>
      <c r="B1653" s="1">
        <f>IFERROR(__xludf.DUMMYFUNCTION("""COMPUTED_VALUE"""),59075.45)</f>
        <v>59075.45</v>
      </c>
      <c r="C1653" s="58">
        <f t="shared" si="1"/>
        <v>4475.998611</v>
      </c>
      <c r="D1653" s="1">
        <f t="shared" si="2"/>
        <v>7766.785126</v>
      </c>
      <c r="E1653" s="1">
        <f t="shared" si="3"/>
        <v>13980.21323</v>
      </c>
      <c r="F1653" s="1">
        <f t="shared" si="4"/>
        <v>26407.06943</v>
      </c>
      <c r="G1653" s="1">
        <f t="shared" si="5"/>
        <v>46600.71075</v>
      </c>
      <c r="H1653" s="1">
        <f t="shared" si="6"/>
        <v>85434.63638</v>
      </c>
      <c r="I1653" s="1">
        <f t="shared" si="7"/>
        <v>139802.1323</v>
      </c>
    </row>
    <row r="1654" hidden="1">
      <c r="A1654" s="266">
        <f>IFERROR(__xludf.DUMMYFUNCTION("""COMPUTED_VALUE"""),44292.99861111111)</f>
        <v>44292.99861</v>
      </c>
      <c r="B1654" s="1">
        <f>IFERROR(__xludf.DUMMYFUNCTION("""COMPUTED_VALUE"""),58005.9)</f>
        <v>58005.9</v>
      </c>
      <c r="C1654" s="58">
        <f t="shared" si="1"/>
        <v>4476.998611</v>
      </c>
      <c r="D1654" s="1">
        <f t="shared" si="2"/>
        <v>7776.854725</v>
      </c>
      <c r="E1654" s="1">
        <f t="shared" si="3"/>
        <v>13998.33851</v>
      </c>
      <c r="F1654" s="1">
        <f t="shared" si="4"/>
        <v>26441.30607</v>
      </c>
      <c r="G1654" s="1">
        <f t="shared" si="5"/>
        <v>46661.12835</v>
      </c>
      <c r="H1654" s="1">
        <f t="shared" si="6"/>
        <v>85545.40198</v>
      </c>
      <c r="I1654" s="1">
        <f t="shared" si="7"/>
        <v>139983.3851</v>
      </c>
    </row>
    <row r="1655" hidden="1">
      <c r="A1655" s="266">
        <f>IFERROR(__xludf.DUMMYFUNCTION("""COMPUTED_VALUE"""),44293.99861111111)</f>
        <v>44293.99861</v>
      </c>
      <c r="B1655" s="1">
        <f>IFERROR(__xludf.DUMMYFUNCTION("""COMPUTED_VALUE"""),55914.07)</f>
        <v>55914.07</v>
      </c>
      <c r="C1655" s="58">
        <f t="shared" si="1"/>
        <v>4477.998611</v>
      </c>
      <c r="D1655" s="1">
        <f t="shared" si="2"/>
        <v>7786.935127</v>
      </c>
      <c r="E1655" s="1">
        <f t="shared" si="3"/>
        <v>14016.48323</v>
      </c>
      <c r="F1655" s="1">
        <f t="shared" si="4"/>
        <v>26475.57943</v>
      </c>
      <c r="G1655" s="1">
        <f t="shared" si="5"/>
        <v>46721.61076</v>
      </c>
      <c r="H1655" s="1">
        <f t="shared" si="6"/>
        <v>85656.2864</v>
      </c>
      <c r="I1655" s="1">
        <f t="shared" si="7"/>
        <v>140164.8323</v>
      </c>
    </row>
    <row r="1656" hidden="1">
      <c r="A1656" s="266">
        <f>IFERROR(__xludf.DUMMYFUNCTION("""COMPUTED_VALUE"""),44294.99861111111)</f>
        <v>44294.99861</v>
      </c>
      <c r="B1656" s="1">
        <f>IFERROR(__xludf.DUMMYFUNCTION("""COMPUTED_VALUE"""),58063.47)</f>
        <v>58063.47</v>
      </c>
      <c r="C1656" s="58">
        <f t="shared" si="1"/>
        <v>4478.998611</v>
      </c>
      <c r="D1656" s="1">
        <f t="shared" si="2"/>
        <v>7797.02634</v>
      </c>
      <c r="E1656" s="1">
        <f t="shared" si="3"/>
        <v>14034.64741</v>
      </c>
      <c r="F1656" s="1">
        <f t="shared" si="4"/>
        <v>26509.88955</v>
      </c>
      <c r="G1656" s="1">
        <f t="shared" si="5"/>
        <v>46782.15804</v>
      </c>
      <c r="H1656" s="1">
        <f t="shared" si="6"/>
        <v>85767.28974</v>
      </c>
      <c r="I1656" s="1">
        <f t="shared" si="7"/>
        <v>140346.4741</v>
      </c>
    </row>
    <row r="1657" hidden="1">
      <c r="A1657" s="266">
        <f>IFERROR(__xludf.DUMMYFUNCTION("""COMPUTED_VALUE"""),44295.99861111111)</f>
        <v>44295.99861</v>
      </c>
      <c r="B1657" s="1">
        <f>IFERROR(__xludf.DUMMYFUNCTION("""COMPUTED_VALUE"""),58095.14)</f>
        <v>58095.14</v>
      </c>
      <c r="C1657" s="58">
        <f t="shared" si="1"/>
        <v>4479.998611</v>
      </c>
      <c r="D1657" s="1">
        <f t="shared" si="2"/>
        <v>7807.128373</v>
      </c>
      <c r="E1657" s="1">
        <f t="shared" si="3"/>
        <v>14052.83107</v>
      </c>
      <c r="F1657" s="1">
        <f t="shared" si="4"/>
        <v>26544.23647</v>
      </c>
      <c r="G1657" s="1">
        <f t="shared" si="5"/>
        <v>46842.77024</v>
      </c>
      <c r="H1657" s="1">
        <f t="shared" si="6"/>
        <v>85878.4121</v>
      </c>
      <c r="I1657" s="1">
        <f t="shared" si="7"/>
        <v>140528.3107</v>
      </c>
    </row>
    <row r="1658" hidden="1">
      <c r="A1658" s="266">
        <f>IFERROR(__xludf.DUMMYFUNCTION("""COMPUTED_VALUE"""),44296.99861111111)</f>
        <v>44296.99861</v>
      </c>
      <c r="B1658" s="1">
        <f>IFERROR(__xludf.DUMMYFUNCTION("""COMPUTED_VALUE"""),59778.52)</f>
        <v>59778.52</v>
      </c>
      <c r="C1658" s="58">
        <f t="shared" si="1"/>
        <v>4480.998611</v>
      </c>
      <c r="D1658" s="1">
        <f t="shared" si="2"/>
        <v>7817.241235</v>
      </c>
      <c r="E1658" s="1">
        <f t="shared" si="3"/>
        <v>14071.03422</v>
      </c>
      <c r="F1658" s="1">
        <f t="shared" si="4"/>
        <v>26578.6202</v>
      </c>
      <c r="G1658" s="1">
        <f t="shared" si="5"/>
        <v>46903.44741</v>
      </c>
      <c r="H1658" s="1">
        <f t="shared" si="6"/>
        <v>85989.65358</v>
      </c>
      <c r="I1658" s="1">
        <f t="shared" si="7"/>
        <v>140710.3422</v>
      </c>
    </row>
    <row r="1659" hidden="1">
      <c r="A1659" s="266">
        <f>IFERROR(__xludf.DUMMYFUNCTION("""COMPUTED_VALUE"""),44297.99861111111)</f>
        <v>44297.99861</v>
      </c>
      <c r="B1659" s="1">
        <f>IFERROR(__xludf.DUMMYFUNCTION("""COMPUTED_VALUE"""),59969.24)</f>
        <v>59969.24</v>
      </c>
      <c r="C1659" s="58">
        <f t="shared" si="1"/>
        <v>4481.998611</v>
      </c>
      <c r="D1659" s="1">
        <f t="shared" si="2"/>
        <v>7827.364936</v>
      </c>
      <c r="E1659" s="1">
        <f t="shared" si="3"/>
        <v>14089.25688</v>
      </c>
      <c r="F1659" s="1">
        <f t="shared" si="4"/>
        <v>26613.04078</v>
      </c>
      <c r="G1659" s="1">
        <f t="shared" si="5"/>
        <v>46964.18962</v>
      </c>
      <c r="H1659" s="1">
        <f t="shared" si="6"/>
        <v>86101.0143</v>
      </c>
      <c r="I1659" s="1">
        <f t="shared" si="7"/>
        <v>140892.5688</v>
      </c>
    </row>
    <row r="1660" hidden="1">
      <c r="A1660" s="266">
        <f>IFERROR(__xludf.DUMMYFUNCTION("""COMPUTED_VALUE"""),44298.99861111111)</f>
        <v>44298.99861</v>
      </c>
      <c r="B1660" s="1">
        <f>IFERROR(__xludf.DUMMYFUNCTION("""COMPUTED_VALUE"""),59855.68)</f>
        <v>59855.68</v>
      </c>
      <c r="C1660" s="58">
        <f t="shared" si="1"/>
        <v>4482.998611</v>
      </c>
      <c r="D1660" s="1">
        <f t="shared" si="2"/>
        <v>7837.499485</v>
      </c>
      <c r="E1660" s="1">
        <f t="shared" si="3"/>
        <v>14107.49907</v>
      </c>
      <c r="F1660" s="1">
        <f t="shared" si="4"/>
        <v>26647.49825</v>
      </c>
      <c r="G1660" s="1">
        <f t="shared" si="5"/>
        <v>47024.99691</v>
      </c>
      <c r="H1660" s="1">
        <f t="shared" si="6"/>
        <v>86212.49433</v>
      </c>
      <c r="I1660" s="1">
        <f t="shared" si="7"/>
        <v>141074.9907</v>
      </c>
    </row>
    <row r="1661" hidden="1">
      <c r="A1661" s="266">
        <f>IFERROR(__xludf.DUMMYFUNCTION("""COMPUTED_VALUE"""),44299.99861111111)</f>
        <v>44299.99861</v>
      </c>
      <c r="B1661" s="1">
        <f>IFERROR(__xludf.DUMMYFUNCTION("""COMPUTED_VALUE"""),63539.79)</f>
        <v>63539.79</v>
      </c>
      <c r="C1661" s="58">
        <f t="shared" si="1"/>
        <v>4483.998611</v>
      </c>
      <c r="D1661" s="1">
        <f t="shared" si="2"/>
        <v>7847.64489</v>
      </c>
      <c r="E1661" s="1">
        <f t="shared" si="3"/>
        <v>14125.7608</v>
      </c>
      <c r="F1661" s="1">
        <f t="shared" si="4"/>
        <v>26681.99263</v>
      </c>
      <c r="G1661" s="1">
        <f t="shared" si="5"/>
        <v>47085.86934</v>
      </c>
      <c r="H1661" s="1">
        <f t="shared" si="6"/>
        <v>86324.09379</v>
      </c>
      <c r="I1661" s="1">
        <f t="shared" si="7"/>
        <v>141257.608</v>
      </c>
    </row>
    <row r="1662" hidden="1">
      <c r="A1662" s="266">
        <f>IFERROR(__xludf.DUMMYFUNCTION("""COMPUTED_VALUE"""),44300.99861111111)</f>
        <v>44300.99861</v>
      </c>
      <c r="B1662" s="1">
        <f>IFERROR(__xludf.DUMMYFUNCTION("""COMPUTED_VALUE"""),62990.01)</f>
        <v>62990.01</v>
      </c>
      <c r="C1662" s="58">
        <f t="shared" si="1"/>
        <v>4484.998611</v>
      </c>
      <c r="D1662" s="1">
        <f t="shared" si="2"/>
        <v>7857.801162</v>
      </c>
      <c r="E1662" s="1">
        <f t="shared" si="3"/>
        <v>14144.04209</v>
      </c>
      <c r="F1662" s="1">
        <f t="shared" si="4"/>
        <v>26716.52395</v>
      </c>
      <c r="G1662" s="1">
        <f t="shared" si="5"/>
        <v>47146.80697</v>
      </c>
      <c r="H1662" s="1">
        <f t="shared" si="6"/>
        <v>86435.81279</v>
      </c>
      <c r="I1662" s="1">
        <f t="shared" si="7"/>
        <v>141440.4209</v>
      </c>
    </row>
    <row r="1663" hidden="1">
      <c r="A1663" s="266">
        <f>IFERROR(__xludf.DUMMYFUNCTION("""COMPUTED_VALUE"""),44301.99861111111)</f>
        <v>44301.99861</v>
      </c>
      <c r="B1663" s="1">
        <f>IFERROR(__xludf.DUMMYFUNCTION("""COMPUTED_VALUE"""),63263.76)</f>
        <v>63263.76</v>
      </c>
      <c r="C1663" s="58">
        <f t="shared" si="1"/>
        <v>4485.998611</v>
      </c>
      <c r="D1663" s="1">
        <f t="shared" si="2"/>
        <v>7867.96831</v>
      </c>
      <c r="E1663" s="1">
        <f t="shared" si="3"/>
        <v>14162.34296</v>
      </c>
      <c r="F1663" s="1">
        <f t="shared" si="4"/>
        <v>26751.09225</v>
      </c>
      <c r="G1663" s="1">
        <f t="shared" si="5"/>
        <v>47207.80986</v>
      </c>
      <c r="H1663" s="1">
        <f t="shared" si="6"/>
        <v>86547.65141</v>
      </c>
      <c r="I1663" s="1">
        <f t="shared" si="7"/>
        <v>141623.4296</v>
      </c>
    </row>
    <row r="1664" hidden="1">
      <c r="A1664" s="266">
        <f>IFERROR(__xludf.DUMMYFUNCTION("""COMPUTED_VALUE"""),44302.99861111111)</f>
        <v>44302.99861</v>
      </c>
      <c r="B1664" s="1">
        <f>IFERROR(__xludf.DUMMYFUNCTION("""COMPUTED_VALUE"""),61404.21)</f>
        <v>61404.21</v>
      </c>
      <c r="C1664" s="58">
        <f t="shared" si="1"/>
        <v>4486.998611</v>
      </c>
      <c r="D1664" s="1">
        <f t="shared" si="2"/>
        <v>7878.146342</v>
      </c>
      <c r="E1664" s="1">
        <f t="shared" si="3"/>
        <v>14180.66341</v>
      </c>
      <c r="F1664" s="1">
        <f t="shared" si="4"/>
        <v>26785.69756</v>
      </c>
      <c r="G1664" s="1">
        <f t="shared" si="5"/>
        <v>47268.87805</v>
      </c>
      <c r="H1664" s="1">
        <f t="shared" si="6"/>
        <v>86659.60976</v>
      </c>
      <c r="I1664" s="1">
        <f t="shared" si="7"/>
        <v>141806.6341</v>
      </c>
    </row>
    <row r="1665" hidden="1">
      <c r="A1665" s="266">
        <f>IFERROR(__xludf.DUMMYFUNCTION("""COMPUTED_VALUE"""),44303.99861111111)</f>
        <v>44303.99861</v>
      </c>
      <c r="B1665" s="1">
        <f>IFERROR(__xludf.DUMMYFUNCTION("""COMPUTED_VALUE"""),60053.62)</f>
        <v>60053.62</v>
      </c>
      <c r="C1665" s="58">
        <f t="shared" si="1"/>
        <v>4487.998611</v>
      </c>
      <c r="D1665" s="1">
        <f t="shared" si="2"/>
        <v>7888.335267</v>
      </c>
      <c r="E1665" s="1">
        <f t="shared" si="3"/>
        <v>14199.00348</v>
      </c>
      <c r="F1665" s="1">
        <f t="shared" si="4"/>
        <v>26820.33991</v>
      </c>
      <c r="G1665" s="1">
        <f t="shared" si="5"/>
        <v>47330.0116</v>
      </c>
      <c r="H1665" s="1">
        <f t="shared" si="6"/>
        <v>86771.68794</v>
      </c>
      <c r="I1665" s="1">
        <f t="shared" si="7"/>
        <v>141990.0348</v>
      </c>
    </row>
    <row r="1666" hidden="1">
      <c r="A1666" s="266">
        <f>IFERROR(__xludf.DUMMYFUNCTION("""COMPUTED_VALUE"""),44304.99861111111)</f>
        <v>44304.99861</v>
      </c>
      <c r="B1666" s="1">
        <f>IFERROR(__xludf.DUMMYFUNCTION("""COMPUTED_VALUE"""),56245.47)</f>
        <v>56245.47</v>
      </c>
      <c r="C1666" s="58">
        <f t="shared" si="1"/>
        <v>4488.998611</v>
      </c>
      <c r="D1666" s="1">
        <f t="shared" si="2"/>
        <v>7898.535096</v>
      </c>
      <c r="E1666" s="1">
        <f t="shared" si="3"/>
        <v>14217.36317</v>
      </c>
      <c r="F1666" s="1">
        <f t="shared" si="4"/>
        <v>26855.01933</v>
      </c>
      <c r="G1666" s="1">
        <f t="shared" si="5"/>
        <v>47391.21058</v>
      </c>
      <c r="H1666" s="1">
        <f t="shared" si="6"/>
        <v>86883.88606</v>
      </c>
      <c r="I1666" s="1">
        <f t="shared" si="7"/>
        <v>142173.6317</v>
      </c>
    </row>
    <row r="1667" hidden="1">
      <c r="A1667" s="266">
        <f>IFERROR(__xludf.DUMMYFUNCTION("""COMPUTED_VALUE"""),44305.99861111111)</f>
        <v>44305.99861</v>
      </c>
      <c r="B1667" s="1">
        <f>IFERROR(__xludf.DUMMYFUNCTION("""COMPUTED_VALUE"""),55685.4)</f>
        <v>55685.4</v>
      </c>
      <c r="C1667" s="58">
        <f t="shared" si="1"/>
        <v>4489.998611</v>
      </c>
      <c r="D1667" s="1">
        <f t="shared" si="2"/>
        <v>7908.745838</v>
      </c>
      <c r="E1667" s="1">
        <f t="shared" si="3"/>
        <v>14235.74251</v>
      </c>
      <c r="F1667" s="1">
        <f t="shared" si="4"/>
        <v>26889.73585</v>
      </c>
      <c r="G1667" s="1">
        <f t="shared" si="5"/>
        <v>47452.47503</v>
      </c>
      <c r="H1667" s="1">
        <f t="shared" si="6"/>
        <v>86996.20421</v>
      </c>
      <c r="I1667" s="1">
        <f t="shared" si="7"/>
        <v>142357.4251</v>
      </c>
    </row>
    <row r="1668" hidden="1">
      <c r="A1668" s="266">
        <f>IFERROR(__xludf.DUMMYFUNCTION("""COMPUTED_VALUE"""),44306.99861111111)</f>
        <v>44306.99861</v>
      </c>
      <c r="B1668" s="1">
        <f>IFERROR(__xludf.DUMMYFUNCTION("""COMPUTED_VALUE"""),56481.9)</f>
        <v>56481.9</v>
      </c>
      <c r="C1668" s="58">
        <f t="shared" si="1"/>
        <v>4490.998611</v>
      </c>
      <c r="D1668" s="1">
        <f t="shared" si="2"/>
        <v>7918.9675</v>
      </c>
      <c r="E1668" s="1">
        <f t="shared" si="3"/>
        <v>14254.1415</v>
      </c>
      <c r="F1668" s="1">
        <f t="shared" si="4"/>
        <v>26924.4895</v>
      </c>
      <c r="G1668" s="1">
        <f t="shared" si="5"/>
        <v>47513.805</v>
      </c>
      <c r="H1668" s="1">
        <f t="shared" si="6"/>
        <v>87108.6425</v>
      </c>
      <c r="I1668" s="1">
        <f t="shared" si="7"/>
        <v>142541.415</v>
      </c>
    </row>
    <row r="1669" hidden="1">
      <c r="A1669" s="266">
        <f>IFERROR(__xludf.DUMMYFUNCTION("""COMPUTED_VALUE"""),44307.99861111111)</f>
        <v>44307.99861</v>
      </c>
      <c r="B1669" s="1">
        <f>IFERROR(__xludf.DUMMYFUNCTION("""COMPUTED_VALUE"""),53820.08)</f>
        <v>53820.08</v>
      </c>
      <c r="C1669" s="58">
        <f t="shared" si="1"/>
        <v>4491.998611</v>
      </c>
      <c r="D1669" s="1">
        <f t="shared" si="2"/>
        <v>7929.200094</v>
      </c>
      <c r="E1669" s="1">
        <f t="shared" si="3"/>
        <v>14272.56017</v>
      </c>
      <c r="F1669" s="1">
        <f t="shared" si="4"/>
        <v>26959.28032</v>
      </c>
      <c r="G1669" s="1">
        <f t="shared" si="5"/>
        <v>47575.20056</v>
      </c>
      <c r="H1669" s="1">
        <f t="shared" si="6"/>
        <v>87221.20103</v>
      </c>
      <c r="I1669" s="1">
        <f t="shared" si="7"/>
        <v>142725.6017</v>
      </c>
    </row>
    <row r="1670" hidden="1">
      <c r="A1670" s="266">
        <f>IFERROR(__xludf.DUMMYFUNCTION("""COMPUTED_VALUE"""),44308.99861111111)</f>
        <v>44308.99861</v>
      </c>
      <c r="B1670" s="1">
        <f>IFERROR(__xludf.DUMMYFUNCTION("""COMPUTED_VALUE"""),51774.63)</f>
        <v>51774.63</v>
      </c>
      <c r="C1670" s="58">
        <f t="shared" si="1"/>
        <v>4492.998611</v>
      </c>
      <c r="D1670" s="1">
        <f t="shared" si="2"/>
        <v>7939.443628</v>
      </c>
      <c r="E1670" s="1">
        <f t="shared" si="3"/>
        <v>14290.99853</v>
      </c>
      <c r="F1670" s="1">
        <f t="shared" si="4"/>
        <v>26994.10833</v>
      </c>
      <c r="G1670" s="1">
        <f t="shared" si="5"/>
        <v>47636.66177</v>
      </c>
      <c r="H1670" s="1">
        <f t="shared" si="6"/>
        <v>87333.8799</v>
      </c>
      <c r="I1670" s="1">
        <f t="shared" si="7"/>
        <v>142909.9853</v>
      </c>
    </row>
    <row r="1671" hidden="1">
      <c r="A1671" s="266">
        <f>IFERROR(__xludf.DUMMYFUNCTION("""COMPUTED_VALUE"""),44309.99861111111)</f>
        <v>44309.99861</v>
      </c>
      <c r="B1671" s="1">
        <f>IFERROR(__xludf.DUMMYFUNCTION("""COMPUTED_VALUE"""),51125.26)</f>
        <v>51125.26</v>
      </c>
      <c r="C1671" s="58">
        <f t="shared" si="1"/>
        <v>4493.998611</v>
      </c>
      <c r="D1671" s="1">
        <f t="shared" si="2"/>
        <v>7949.698111</v>
      </c>
      <c r="E1671" s="1">
        <f t="shared" si="3"/>
        <v>14309.4566</v>
      </c>
      <c r="F1671" s="1">
        <f t="shared" si="4"/>
        <v>27028.97358</v>
      </c>
      <c r="G1671" s="1">
        <f t="shared" si="5"/>
        <v>47698.18866</v>
      </c>
      <c r="H1671" s="1">
        <f t="shared" si="6"/>
        <v>87446.67922</v>
      </c>
      <c r="I1671" s="1">
        <f t="shared" si="7"/>
        <v>143094.566</v>
      </c>
    </row>
    <row r="1672" hidden="1">
      <c r="A1672" s="266">
        <f>IFERROR(__xludf.DUMMYFUNCTION("""COMPUTED_VALUE"""),44310.99861111111)</f>
        <v>44310.99861</v>
      </c>
      <c r="B1672" s="1">
        <f>IFERROR(__xludf.DUMMYFUNCTION("""COMPUTED_VALUE"""),50102.7)</f>
        <v>50102.7</v>
      </c>
      <c r="C1672" s="58">
        <f t="shared" si="1"/>
        <v>4494.998611</v>
      </c>
      <c r="D1672" s="1">
        <f t="shared" si="2"/>
        <v>7959.963552</v>
      </c>
      <c r="E1672" s="1">
        <f t="shared" si="3"/>
        <v>14327.93439</v>
      </c>
      <c r="F1672" s="1">
        <f t="shared" si="4"/>
        <v>27063.87608</v>
      </c>
      <c r="G1672" s="1">
        <f t="shared" si="5"/>
        <v>47759.78131</v>
      </c>
      <c r="H1672" s="1">
        <f t="shared" si="6"/>
        <v>87559.59907</v>
      </c>
      <c r="I1672" s="1">
        <f t="shared" si="7"/>
        <v>143279.3439</v>
      </c>
    </row>
    <row r="1673" hidden="1">
      <c r="A1673" s="266">
        <f>IFERROR(__xludf.DUMMYFUNCTION("""COMPUTED_VALUE"""),44311.99861111111)</f>
        <v>44311.99861</v>
      </c>
      <c r="B1673" s="1">
        <f>IFERROR(__xludf.DUMMYFUNCTION("""COMPUTED_VALUE"""),49072.92)</f>
        <v>49072.92</v>
      </c>
      <c r="C1673" s="58">
        <f t="shared" si="1"/>
        <v>4495.998611</v>
      </c>
      <c r="D1673" s="1">
        <f t="shared" si="2"/>
        <v>7970.239961</v>
      </c>
      <c r="E1673" s="1">
        <f t="shared" si="3"/>
        <v>14346.43193</v>
      </c>
      <c r="F1673" s="1">
        <f t="shared" si="4"/>
        <v>27098.81587</v>
      </c>
      <c r="G1673" s="1">
        <f t="shared" si="5"/>
        <v>47821.43977</v>
      </c>
      <c r="H1673" s="1">
        <f t="shared" si="6"/>
        <v>87672.63958</v>
      </c>
      <c r="I1673" s="1">
        <f t="shared" si="7"/>
        <v>143464.3193</v>
      </c>
    </row>
    <row r="1674" hidden="1">
      <c r="A1674" s="266">
        <f>IFERROR(__xludf.DUMMYFUNCTION("""COMPUTED_VALUE"""),44312.99861111111)</f>
        <v>44312.99861</v>
      </c>
      <c r="B1674" s="1">
        <f>IFERROR(__xludf.DUMMYFUNCTION("""COMPUTED_VALUE"""),54037.3)</f>
        <v>54037.3</v>
      </c>
      <c r="C1674" s="58">
        <f t="shared" si="1"/>
        <v>4496.998611</v>
      </c>
      <c r="D1674" s="1">
        <f t="shared" si="2"/>
        <v>7980.527348</v>
      </c>
      <c r="E1674" s="1">
        <f t="shared" si="3"/>
        <v>14364.94923</v>
      </c>
      <c r="F1674" s="1">
        <f t="shared" si="4"/>
        <v>27133.79298</v>
      </c>
      <c r="G1674" s="1">
        <f t="shared" si="5"/>
        <v>47883.16409</v>
      </c>
      <c r="H1674" s="1">
        <f t="shared" si="6"/>
        <v>87785.80083</v>
      </c>
      <c r="I1674" s="1">
        <f t="shared" si="7"/>
        <v>143649.4923</v>
      </c>
    </row>
    <row r="1675" hidden="1">
      <c r="A1675" s="266">
        <f>IFERROR(__xludf.DUMMYFUNCTION("""COMPUTED_VALUE"""),44313.99861111111)</f>
        <v>44313.99861</v>
      </c>
      <c r="B1675" s="1">
        <f>IFERROR(__xludf.DUMMYFUNCTION("""COMPUTED_VALUE"""),55051.97)</f>
        <v>55051.97</v>
      </c>
      <c r="C1675" s="58">
        <f t="shared" si="1"/>
        <v>4497.998611</v>
      </c>
      <c r="D1675" s="1">
        <f t="shared" si="2"/>
        <v>7990.825721</v>
      </c>
      <c r="E1675" s="1">
        <f t="shared" si="3"/>
        <v>14383.4863</v>
      </c>
      <c r="F1675" s="1">
        <f t="shared" si="4"/>
        <v>27168.80745</v>
      </c>
      <c r="G1675" s="1">
        <f t="shared" si="5"/>
        <v>47944.95432</v>
      </c>
      <c r="H1675" s="1">
        <f t="shared" si="6"/>
        <v>87899.08293</v>
      </c>
      <c r="I1675" s="1">
        <f t="shared" si="7"/>
        <v>143834.863</v>
      </c>
    </row>
    <row r="1676" hidden="1">
      <c r="A1676" s="266">
        <f>IFERROR(__xludf.DUMMYFUNCTION("""COMPUTED_VALUE"""),44314.99861111111)</f>
        <v>44314.99861</v>
      </c>
      <c r="B1676" s="1">
        <f>IFERROR(__xludf.DUMMYFUNCTION("""COMPUTED_VALUE"""),54856.06)</f>
        <v>54856.06</v>
      </c>
      <c r="C1676" s="58">
        <f t="shared" si="1"/>
        <v>4498.998611</v>
      </c>
      <c r="D1676" s="1">
        <f t="shared" si="2"/>
        <v>8001.135089</v>
      </c>
      <c r="E1676" s="1">
        <f t="shared" si="3"/>
        <v>14402.04316</v>
      </c>
      <c r="F1676" s="1">
        <f t="shared" si="4"/>
        <v>27203.8593</v>
      </c>
      <c r="G1676" s="1">
        <f t="shared" si="5"/>
        <v>48006.81054</v>
      </c>
      <c r="H1676" s="1">
        <f t="shared" si="6"/>
        <v>88012.48598</v>
      </c>
      <c r="I1676" s="1">
        <f t="shared" si="7"/>
        <v>144020.4316</v>
      </c>
    </row>
    <row r="1677" hidden="1">
      <c r="A1677" s="266">
        <f>IFERROR(__xludf.DUMMYFUNCTION("""COMPUTED_VALUE"""),44315.99861111111)</f>
        <v>44315.99861</v>
      </c>
      <c r="B1677" s="1">
        <f>IFERROR(__xludf.DUMMYFUNCTION("""COMPUTED_VALUE"""),53569.29)</f>
        <v>53569.29</v>
      </c>
      <c r="C1677" s="58">
        <f t="shared" si="1"/>
        <v>4499.998611</v>
      </c>
      <c r="D1677" s="1">
        <f t="shared" si="2"/>
        <v>8011.455463</v>
      </c>
      <c r="E1677" s="1">
        <f t="shared" si="3"/>
        <v>14420.61983</v>
      </c>
      <c r="F1677" s="1">
        <f t="shared" si="4"/>
        <v>27238.94857</v>
      </c>
      <c r="G1677" s="1">
        <f t="shared" si="5"/>
        <v>48068.73278</v>
      </c>
      <c r="H1677" s="1">
        <f t="shared" si="6"/>
        <v>88126.01009</v>
      </c>
      <c r="I1677" s="1">
        <f t="shared" si="7"/>
        <v>144206.1983</v>
      </c>
    </row>
    <row r="1678" hidden="1">
      <c r="A1678" s="266">
        <f>IFERROR(__xludf.DUMMYFUNCTION("""COMPUTED_VALUE"""),44316.99861111111)</f>
        <v>44316.99861</v>
      </c>
      <c r="B1678" s="1">
        <f>IFERROR(__xludf.DUMMYFUNCTION("""COMPUTED_VALUE"""),57766.05)</f>
        <v>57766.05</v>
      </c>
      <c r="C1678" s="58">
        <f t="shared" si="1"/>
        <v>4500.998611</v>
      </c>
      <c r="D1678" s="1">
        <f t="shared" si="2"/>
        <v>8021.786851</v>
      </c>
      <c r="E1678" s="1">
        <f t="shared" si="3"/>
        <v>14439.21633</v>
      </c>
      <c r="F1678" s="1">
        <f t="shared" si="4"/>
        <v>27274.07529</v>
      </c>
      <c r="G1678" s="1">
        <f t="shared" si="5"/>
        <v>48130.7211</v>
      </c>
      <c r="H1678" s="1">
        <f t="shared" si="6"/>
        <v>88239.65536</v>
      </c>
      <c r="I1678" s="1">
        <f t="shared" si="7"/>
        <v>144392.1633</v>
      </c>
    </row>
    <row r="1679" hidden="1">
      <c r="A1679" s="266">
        <f>IFERROR(__xludf.DUMMYFUNCTION("""COMPUTED_VALUE"""),44317.99861111111)</f>
        <v>44317.99861</v>
      </c>
      <c r="B1679" s="1">
        <f>IFERROR(__xludf.DUMMYFUNCTION("""COMPUTED_VALUE"""),57831.06)</f>
        <v>57831.06</v>
      </c>
      <c r="C1679" s="58">
        <f t="shared" si="1"/>
        <v>4501.998611</v>
      </c>
      <c r="D1679" s="1">
        <f t="shared" si="2"/>
        <v>8032.129262</v>
      </c>
      <c r="E1679" s="1">
        <f t="shared" si="3"/>
        <v>14457.83267</v>
      </c>
      <c r="F1679" s="1">
        <f t="shared" si="4"/>
        <v>27309.23949</v>
      </c>
      <c r="G1679" s="1">
        <f t="shared" si="5"/>
        <v>48192.77557</v>
      </c>
      <c r="H1679" s="1">
        <f t="shared" si="6"/>
        <v>88353.42188</v>
      </c>
      <c r="I1679" s="1">
        <f t="shared" si="7"/>
        <v>144578.3267</v>
      </c>
    </row>
    <row r="1680" hidden="1">
      <c r="A1680" s="266">
        <f>IFERROR(__xludf.DUMMYFUNCTION("""COMPUTED_VALUE"""),44318.99861111111)</f>
        <v>44318.99861</v>
      </c>
      <c r="B1680" s="1">
        <f>IFERROR(__xludf.DUMMYFUNCTION("""COMPUTED_VALUE"""),56613.92)</f>
        <v>56613.92</v>
      </c>
      <c r="C1680" s="58">
        <f t="shared" si="1"/>
        <v>4502.998611</v>
      </c>
      <c r="D1680" s="1">
        <f t="shared" si="2"/>
        <v>8042.482706</v>
      </c>
      <c r="E1680" s="1">
        <f t="shared" si="3"/>
        <v>14476.46887</v>
      </c>
      <c r="F1680" s="1">
        <f t="shared" si="4"/>
        <v>27344.4412</v>
      </c>
      <c r="G1680" s="1">
        <f t="shared" si="5"/>
        <v>48254.89624</v>
      </c>
      <c r="H1680" s="1">
        <f t="shared" si="6"/>
        <v>88467.30977</v>
      </c>
      <c r="I1680" s="1">
        <f t="shared" si="7"/>
        <v>144764.6887</v>
      </c>
    </row>
    <row r="1681" hidden="1">
      <c r="A1681" s="266">
        <f>IFERROR(__xludf.DUMMYFUNCTION("""COMPUTED_VALUE"""),44319.99861111111)</f>
        <v>44319.99861</v>
      </c>
      <c r="B1681" s="1">
        <f>IFERROR(__xludf.DUMMYFUNCTION("""COMPUTED_VALUE"""),57167.1)</f>
        <v>57167.1</v>
      </c>
      <c r="C1681" s="58">
        <f t="shared" si="1"/>
        <v>4503.998611</v>
      </c>
      <c r="D1681" s="1">
        <f t="shared" si="2"/>
        <v>8052.847193</v>
      </c>
      <c r="E1681" s="1">
        <f t="shared" si="3"/>
        <v>14495.12495</v>
      </c>
      <c r="F1681" s="1">
        <f t="shared" si="4"/>
        <v>27379.68046</v>
      </c>
      <c r="G1681" s="1">
        <f t="shared" si="5"/>
        <v>48317.08316</v>
      </c>
      <c r="H1681" s="1">
        <f t="shared" si="6"/>
        <v>88581.31912</v>
      </c>
      <c r="I1681" s="1">
        <f t="shared" si="7"/>
        <v>144951.2495</v>
      </c>
    </row>
    <row r="1682" hidden="1">
      <c r="A1682" s="266">
        <f>IFERROR(__xludf.DUMMYFUNCTION("""COMPUTED_VALUE"""),44320.99861111111)</f>
        <v>44320.99861</v>
      </c>
      <c r="B1682" s="1">
        <f>IFERROR(__xludf.DUMMYFUNCTION("""COMPUTED_VALUE"""),53253.62)</f>
        <v>53253.62</v>
      </c>
      <c r="C1682" s="58">
        <f t="shared" si="1"/>
        <v>4504.998611</v>
      </c>
      <c r="D1682" s="1">
        <f t="shared" si="2"/>
        <v>8063.222731</v>
      </c>
      <c r="E1682" s="1">
        <f t="shared" si="3"/>
        <v>14513.80092</v>
      </c>
      <c r="F1682" s="1">
        <f t="shared" si="4"/>
        <v>27414.95728</v>
      </c>
      <c r="G1682" s="1">
        <f t="shared" si="5"/>
        <v>48379.33638</v>
      </c>
      <c r="H1682" s="1">
        <f t="shared" si="6"/>
        <v>88695.45004</v>
      </c>
      <c r="I1682" s="1">
        <f t="shared" si="7"/>
        <v>145138.0092</v>
      </c>
    </row>
    <row r="1683" hidden="1">
      <c r="A1683" s="266">
        <f>IFERROR(__xludf.DUMMYFUNCTION("""COMPUTED_VALUE"""),44321.99861111111)</f>
        <v>44321.99861</v>
      </c>
      <c r="B1683" s="1">
        <f>IFERROR(__xludf.DUMMYFUNCTION("""COMPUTED_VALUE"""),57487.13)</f>
        <v>57487.13</v>
      </c>
      <c r="C1683" s="58">
        <f t="shared" si="1"/>
        <v>4505.998611</v>
      </c>
      <c r="D1683" s="1">
        <f t="shared" si="2"/>
        <v>8073.60933</v>
      </c>
      <c r="E1683" s="1">
        <f t="shared" si="3"/>
        <v>14532.49679</v>
      </c>
      <c r="F1683" s="1">
        <f t="shared" si="4"/>
        <v>27450.27172</v>
      </c>
      <c r="G1683" s="1">
        <f t="shared" si="5"/>
        <v>48441.65598</v>
      </c>
      <c r="H1683" s="1">
        <f t="shared" si="6"/>
        <v>88809.70263</v>
      </c>
      <c r="I1683" s="1">
        <f t="shared" si="7"/>
        <v>145324.9679</v>
      </c>
    </row>
    <row r="1684" hidden="1">
      <c r="A1684" s="266">
        <f>IFERROR(__xludf.DUMMYFUNCTION("""COMPUTED_VALUE"""),44322.99861111111)</f>
        <v>44322.99861</v>
      </c>
      <c r="B1684" s="1">
        <f>IFERROR(__xludf.DUMMYFUNCTION("""COMPUTED_VALUE"""),56418.45)</f>
        <v>56418.45</v>
      </c>
      <c r="C1684" s="58">
        <f t="shared" si="1"/>
        <v>4506.998611</v>
      </c>
      <c r="D1684" s="1">
        <f t="shared" si="2"/>
        <v>8084.006999</v>
      </c>
      <c r="E1684" s="1">
        <f t="shared" si="3"/>
        <v>14551.2126</v>
      </c>
      <c r="F1684" s="1">
        <f t="shared" si="4"/>
        <v>27485.6238</v>
      </c>
      <c r="G1684" s="1">
        <f t="shared" si="5"/>
        <v>48504.04199</v>
      </c>
      <c r="H1684" s="1">
        <f t="shared" si="6"/>
        <v>88924.07698</v>
      </c>
      <c r="I1684" s="1">
        <f t="shared" si="7"/>
        <v>145512.126</v>
      </c>
    </row>
    <row r="1685" hidden="1">
      <c r="A1685" s="266">
        <f>IFERROR(__xludf.DUMMYFUNCTION("""COMPUTED_VALUE"""),44323.99861111111)</f>
        <v>44323.99861</v>
      </c>
      <c r="B1685" s="1">
        <f>IFERROR(__xludf.DUMMYFUNCTION("""COMPUTED_VALUE"""),57374.92)</f>
        <v>57374.92</v>
      </c>
      <c r="C1685" s="58">
        <f t="shared" si="1"/>
        <v>4507.998611</v>
      </c>
      <c r="D1685" s="1">
        <f t="shared" si="2"/>
        <v>8094.415747</v>
      </c>
      <c r="E1685" s="1">
        <f t="shared" si="3"/>
        <v>14569.94834</v>
      </c>
      <c r="F1685" s="1">
        <f t="shared" si="4"/>
        <v>27521.01354</v>
      </c>
      <c r="G1685" s="1">
        <f t="shared" si="5"/>
        <v>48566.49448</v>
      </c>
      <c r="H1685" s="1">
        <f t="shared" si="6"/>
        <v>89038.57322</v>
      </c>
      <c r="I1685" s="1">
        <f t="shared" si="7"/>
        <v>145699.4834</v>
      </c>
    </row>
    <row r="1686" hidden="1">
      <c r="A1686" s="266">
        <f>IFERROR(__xludf.DUMMYFUNCTION("""COMPUTED_VALUE"""),44324.99861111111)</f>
        <v>44324.99861</v>
      </c>
      <c r="B1686" s="1">
        <f>IFERROR(__xludf.DUMMYFUNCTION("""COMPUTED_VALUE"""),58851.15)</f>
        <v>58851.15</v>
      </c>
      <c r="C1686" s="58">
        <f t="shared" si="1"/>
        <v>4508.998611</v>
      </c>
      <c r="D1686" s="1">
        <f t="shared" si="2"/>
        <v>8104.835585</v>
      </c>
      <c r="E1686" s="1">
        <f t="shared" si="3"/>
        <v>14588.70405</v>
      </c>
      <c r="F1686" s="1">
        <f t="shared" si="4"/>
        <v>27556.44099</v>
      </c>
      <c r="G1686" s="1">
        <f t="shared" si="5"/>
        <v>48629.01351</v>
      </c>
      <c r="H1686" s="1">
        <f t="shared" si="6"/>
        <v>89153.19143</v>
      </c>
      <c r="I1686" s="1">
        <f t="shared" si="7"/>
        <v>145887.0405</v>
      </c>
    </row>
    <row r="1687" hidden="1">
      <c r="A1687" s="266">
        <f>IFERROR(__xludf.DUMMYFUNCTION("""COMPUTED_VALUE"""),44325.99861111111)</f>
        <v>44325.99861</v>
      </c>
      <c r="B1687" s="1">
        <f>IFERROR(__xludf.DUMMYFUNCTION("""COMPUTED_VALUE"""),58249.91)</f>
        <v>58249.91</v>
      </c>
      <c r="C1687" s="58">
        <f t="shared" si="1"/>
        <v>4509.998611</v>
      </c>
      <c r="D1687" s="1">
        <f t="shared" si="2"/>
        <v>8115.26652</v>
      </c>
      <c r="E1687" s="1">
        <f t="shared" si="3"/>
        <v>14607.47974</v>
      </c>
      <c r="F1687" s="1">
        <f t="shared" si="4"/>
        <v>27591.90617</v>
      </c>
      <c r="G1687" s="1">
        <f t="shared" si="5"/>
        <v>48691.59912</v>
      </c>
      <c r="H1687" s="1">
        <f t="shared" si="6"/>
        <v>89267.93172</v>
      </c>
      <c r="I1687" s="1">
        <f t="shared" si="7"/>
        <v>146074.7974</v>
      </c>
    </row>
    <row r="1688" hidden="1">
      <c r="A1688" s="266">
        <f>IFERROR(__xludf.DUMMYFUNCTION("""COMPUTED_VALUE"""),44326.99861111111)</f>
        <v>44326.99861</v>
      </c>
      <c r="B1688" s="1">
        <f>IFERROR(__xludf.DUMMYFUNCTION("""COMPUTED_VALUE"""),55873.81)</f>
        <v>55873.81</v>
      </c>
      <c r="C1688" s="58">
        <f t="shared" si="1"/>
        <v>4510.998611</v>
      </c>
      <c r="D1688" s="1">
        <f t="shared" si="2"/>
        <v>8125.708563</v>
      </c>
      <c r="E1688" s="1">
        <f t="shared" si="3"/>
        <v>14626.27541</v>
      </c>
      <c r="F1688" s="1">
        <f t="shared" si="4"/>
        <v>27627.40912</v>
      </c>
      <c r="G1688" s="1">
        <f t="shared" si="5"/>
        <v>48754.25138</v>
      </c>
      <c r="H1688" s="1">
        <f t="shared" si="6"/>
        <v>89382.7942</v>
      </c>
      <c r="I1688" s="1">
        <f t="shared" si="7"/>
        <v>146262.7541</v>
      </c>
    </row>
    <row r="1689" hidden="1">
      <c r="A1689" s="266">
        <f>IFERROR(__xludf.DUMMYFUNCTION("""COMPUTED_VALUE"""),44327.99861111111)</f>
        <v>44327.99861</v>
      </c>
      <c r="B1689" s="1">
        <f>IFERROR(__xludf.DUMMYFUNCTION("""COMPUTED_VALUE"""),56727.85)</f>
        <v>56727.85</v>
      </c>
      <c r="C1689" s="58">
        <f t="shared" si="1"/>
        <v>4511.998611</v>
      </c>
      <c r="D1689" s="1">
        <f t="shared" si="2"/>
        <v>8136.161724</v>
      </c>
      <c r="E1689" s="1">
        <f t="shared" si="3"/>
        <v>14645.0911</v>
      </c>
      <c r="F1689" s="1">
        <f t="shared" si="4"/>
        <v>27662.94986</v>
      </c>
      <c r="G1689" s="1">
        <f t="shared" si="5"/>
        <v>48816.97034</v>
      </c>
      <c r="H1689" s="1">
        <f t="shared" si="6"/>
        <v>89497.77896</v>
      </c>
      <c r="I1689" s="1">
        <f t="shared" si="7"/>
        <v>146450.911</v>
      </c>
    </row>
    <row r="1690" hidden="1">
      <c r="A1690" s="266">
        <f>IFERROR(__xludf.DUMMYFUNCTION("""COMPUTED_VALUE"""),44328.99861111111)</f>
        <v>44328.99861</v>
      </c>
      <c r="B1690" s="1">
        <f>IFERROR(__xludf.DUMMYFUNCTION("""COMPUTED_VALUE"""),49317.21)</f>
        <v>49317.21</v>
      </c>
      <c r="C1690" s="58">
        <f t="shared" si="1"/>
        <v>4512.998611</v>
      </c>
      <c r="D1690" s="1">
        <f t="shared" si="2"/>
        <v>8146.62601</v>
      </c>
      <c r="E1690" s="1">
        <f t="shared" si="3"/>
        <v>14663.92682</v>
      </c>
      <c r="F1690" s="1">
        <f t="shared" si="4"/>
        <v>27698.52843</v>
      </c>
      <c r="G1690" s="1">
        <f t="shared" si="5"/>
        <v>48879.75606</v>
      </c>
      <c r="H1690" s="1">
        <f t="shared" si="6"/>
        <v>89612.88611</v>
      </c>
      <c r="I1690" s="1">
        <f t="shared" si="7"/>
        <v>146639.2682</v>
      </c>
    </row>
    <row r="1691" hidden="1">
      <c r="A1691" s="266">
        <f>IFERROR(__xludf.DUMMYFUNCTION("""COMPUTED_VALUE"""),44329.99861111111)</f>
        <v>44329.99861</v>
      </c>
      <c r="B1691" s="1">
        <f>IFERROR(__xludf.DUMMYFUNCTION("""COMPUTED_VALUE"""),49707.58)</f>
        <v>49707.58</v>
      </c>
      <c r="C1691" s="58">
        <f t="shared" si="1"/>
        <v>4513.998611</v>
      </c>
      <c r="D1691" s="1">
        <f t="shared" si="2"/>
        <v>8157.101432</v>
      </c>
      <c r="E1691" s="1">
        <f t="shared" si="3"/>
        <v>14682.78258</v>
      </c>
      <c r="F1691" s="1">
        <f t="shared" si="4"/>
        <v>27734.14487</v>
      </c>
      <c r="G1691" s="1">
        <f t="shared" si="5"/>
        <v>48942.60859</v>
      </c>
      <c r="H1691" s="1">
        <f t="shared" si="6"/>
        <v>89728.11575</v>
      </c>
      <c r="I1691" s="1">
        <f t="shared" si="7"/>
        <v>146827.8258</v>
      </c>
    </row>
    <row r="1692" hidden="1">
      <c r="A1692" s="266">
        <f>IFERROR(__xludf.DUMMYFUNCTION("""COMPUTED_VALUE"""),44330.99861111111)</f>
        <v>44330.99861</v>
      </c>
      <c r="B1692" s="1">
        <f>IFERROR(__xludf.DUMMYFUNCTION("""COMPUTED_VALUE"""),49889.86)</f>
        <v>49889.86</v>
      </c>
      <c r="C1692" s="58">
        <f t="shared" si="1"/>
        <v>4514.998611</v>
      </c>
      <c r="D1692" s="1">
        <f t="shared" si="2"/>
        <v>8167.587999</v>
      </c>
      <c r="E1692" s="1">
        <f t="shared" si="3"/>
        <v>14701.6584</v>
      </c>
      <c r="F1692" s="1">
        <f t="shared" si="4"/>
        <v>27769.7992</v>
      </c>
      <c r="G1692" s="1">
        <f t="shared" si="5"/>
        <v>49005.528</v>
      </c>
      <c r="H1692" s="1">
        <f t="shared" si="6"/>
        <v>89843.46799</v>
      </c>
      <c r="I1692" s="1">
        <f t="shared" si="7"/>
        <v>147016.584</v>
      </c>
    </row>
    <row r="1693" hidden="1">
      <c r="A1693" s="266">
        <f>IFERROR(__xludf.DUMMYFUNCTION("""COMPUTED_VALUE"""),44331.99861111111)</f>
        <v>44331.99861</v>
      </c>
      <c r="B1693" s="1">
        <f>IFERROR(__xludf.DUMMYFUNCTION("""COMPUTED_VALUE"""),46725.23)</f>
        <v>46725.23</v>
      </c>
      <c r="C1693" s="58">
        <f t="shared" si="1"/>
        <v>4515.998611</v>
      </c>
      <c r="D1693" s="1">
        <f t="shared" si="2"/>
        <v>8178.085721</v>
      </c>
      <c r="E1693" s="1">
        <f t="shared" si="3"/>
        <v>14720.5543</v>
      </c>
      <c r="F1693" s="1">
        <f t="shared" si="4"/>
        <v>27805.49145</v>
      </c>
      <c r="G1693" s="1">
        <f t="shared" si="5"/>
        <v>49068.51433</v>
      </c>
      <c r="H1693" s="1">
        <f t="shared" si="6"/>
        <v>89958.94293</v>
      </c>
      <c r="I1693" s="1">
        <f t="shared" si="7"/>
        <v>147205.543</v>
      </c>
    </row>
    <row r="1694" hidden="1">
      <c r="A1694" s="266">
        <f>IFERROR(__xludf.DUMMYFUNCTION("""COMPUTED_VALUE"""),44332.99861111111)</f>
        <v>44332.99861</v>
      </c>
      <c r="B1694" s="1">
        <f>IFERROR(__xludf.DUMMYFUNCTION("""COMPUTED_VALUE"""),46439.3)</f>
        <v>46439.3</v>
      </c>
      <c r="C1694" s="58">
        <f t="shared" si="1"/>
        <v>4516.998611</v>
      </c>
      <c r="D1694" s="1">
        <f t="shared" si="2"/>
        <v>8188.594607</v>
      </c>
      <c r="E1694" s="1">
        <f t="shared" si="3"/>
        <v>14739.47029</v>
      </c>
      <c r="F1694" s="1">
        <f t="shared" si="4"/>
        <v>27841.22166</v>
      </c>
      <c r="G1694" s="1">
        <f t="shared" si="5"/>
        <v>49131.56764</v>
      </c>
      <c r="H1694" s="1">
        <f t="shared" si="6"/>
        <v>90074.54067</v>
      </c>
      <c r="I1694" s="1">
        <f t="shared" si="7"/>
        <v>147394.7029</v>
      </c>
    </row>
    <row r="1695" hidden="1">
      <c r="A1695" s="266">
        <f>IFERROR(__xludf.DUMMYFUNCTION("""COMPUTED_VALUE"""),44333.99861111111)</f>
        <v>44333.99861</v>
      </c>
      <c r="B1695" s="1">
        <f>IFERROR(__xludf.DUMMYFUNCTION("""COMPUTED_VALUE"""),43558.86)</f>
        <v>43558.86</v>
      </c>
      <c r="C1695" s="58">
        <f t="shared" si="1"/>
        <v>4517.998611</v>
      </c>
      <c r="D1695" s="1">
        <f t="shared" si="2"/>
        <v>8199.114665</v>
      </c>
      <c r="E1695" s="1">
        <f t="shared" si="3"/>
        <v>14758.4064</v>
      </c>
      <c r="F1695" s="1">
        <f t="shared" si="4"/>
        <v>27876.98986</v>
      </c>
      <c r="G1695" s="1">
        <f t="shared" si="5"/>
        <v>49194.68799</v>
      </c>
      <c r="H1695" s="1">
        <f t="shared" si="6"/>
        <v>90190.26132</v>
      </c>
      <c r="I1695" s="1">
        <f t="shared" si="7"/>
        <v>147584.064</v>
      </c>
    </row>
    <row r="1696" hidden="1">
      <c r="A1696" s="266">
        <f>IFERROR(__xludf.DUMMYFUNCTION("""COMPUTED_VALUE"""),44334.99861111111)</f>
        <v>44334.99861</v>
      </c>
      <c r="B1696" s="1">
        <f>IFERROR(__xludf.DUMMYFUNCTION("""COMPUTED_VALUE"""),42901.26)</f>
        <v>42901.26</v>
      </c>
      <c r="C1696" s="58">
        <f t="shared" si="1"/>
        <v>4518.998611</v>
      </c>
      <c r="D1696" s="1">
        <f t="shared" si="2"/>
        <v>8209.645907</v>
      </c>
      <c r="E1696" s="1">
        <f t="shared" si="3"/>
        <v>14777.36263</v>
      </c>
      <c r="F1696" s="1">
        <f t="shared" si="4"/>
        <v>27912.79608</v>
      </c>
      <c r="G1696" s="1">
        <f t="shared" si="5"/>
        <v>49257.87544</v>
      </c>
      <c r="H1696" s="1">
        <f t="shared" si="6"/>
        <v>90306.10497</v>
      </c>
      <c r="I1696" s="1">
        <f t="shared" si="7"/>
        <v>147773.6263</v>
      </c>
    </row>
    <row r="1697" hidden="1">
      <c r="A1697" s="266">
        <f>IFERROR(__xludf.DUMMYFUNCTION("""COMPUTED_VALUE"""),44335.99861111111)</f>
        <v>44335.99861</v>
      </c>
      <c r="B1697" s="1">
        <f>IFERROR(__xludf.DUMMYFUNCTION("""COMPUTED_VALUE"""),36877.26)</f>
        <v>36877.26</v>
      </c>
      <c r="C1697" s="58">
        <f t="shared" si="1"/>
        <v>4519.998611</v>
      </c>
      <c r="D1697" s="1">
        <f t="shared" si="2"/>
        <v>8220.18834</v>
      </c>
      <c r="E1697" s="1">
        <f t="shared" si="3"/>
        <v>14796.33901</v>
      </c>
      <c r="F1697" s="1">
        <f t="shared" si="4"/>
        <v>27948.64036</v>
      </c>
      <c r="G1697" s="1">
        <f t="shared" si="5"/>
        <v>49321.13004</v>
      </c>
      <c r="H1697" s="1">
        <f t="shared" si="6"/>
        <v>90422.07174</v>
      </c>
      <c r="I1697" s="1">
        <f t="shared" si="7"/>
        <v>147963.3901</v>
      </c>
    </row>
    <row r="1698" hidden="1">
      <c r="A1698" s="266">
        <f>IFERROR(__xludf.DUMMYFUNCTION("""COMPUTED_VALUE"""),44336.99861111111)</f>
        <v>44336.99861</v>
      </c>
      <c r="B1698" s="1">
        <f>IFERROR(__xludf.DUMMYFUNCTION("""COMPUTED_VALUE"""),40743.69)</f>
        <v>40743.69</v>
      </c>
      <c r="C1698" s="58">
        <f t="shared" si="1"/>
        <v>4520.998611</v>
      </c>
      <c r="D1698" s="1">
        <f t="shared" si="2"/>
        <v>8230.741975</v>
      </c>
      <c r="E1698" s="1">
        <f t="shared" si="3"/>
        <v>14815.33555</v>
      </c>
      <c r="F1698" s="1">
        <f t="shared" si="4"/>
        <v>27984.52271</v>
      </c>
      <c r="G1698" s="1">
        <f t="shared" si="5"/>
        <v>49384.45185</v>
      </c>
      <c r="H1698" s="1">
        <f t="shared" si="6"/>
        <v>90538.16172</v>
      </c>
      <c r="I1698" s="1">
        <f t="shared" si="7"/>
        <v>148153.3555</v>
      </c>
    </row>
    <row r="1699" hidden="1">
      <c r="A1699" s="266">
        <f>IFERROR(__xludf.DUMMYFUNCTION("""COMPUTED_VALUE"""),44337.99861111111)</f>
        <v>44337.99861</v>
      </c>
      <c r="B1699" s="1">
        <f>IFERROR(__xludf.DUMMYFUNCTION("""COMPUTED_VALUE"""),37342.56)</f>
        <v>37342.56</v>
      </c>
      <c r="C1699" s="58">
        <f t="shared" si="1"/>
        <v>4521.998611</v>
      </c>
      <c r="D1699" s="1">
        <f t="shared" si="2"/>
        <v>8241.30682</v>
      </c>
      <c r="E1699" s="1">
        <f t="shared" si="3"/>
        <v>14834.35228</v>
      </c>
      <c r="F1699" s="1">
        <f t="shared" si="4"/>
        <v>28020.44319</v>
      </c>
      <c r="G1699" s="1">
        <f t="shared" si="5"/>
        <v>49447.84092</v>
      </c>
      <c r="H1699" s="1">
        <f t="shared" si="6"/>
        <v>90654.37503</v>
      </c>
      <c r="I1699" s="1">
        <f t="shared" si="7"/>
        <v>148343.5228</v>
      </c>
    </row>
    <row r="1700" hidden="1">
      <c r="A1700" s="266">
        <f>IFERROR(__xludf.DUMMYFUNCTION("""COMPUTED_VALUE"""),44338.99861111111)</f>
        <v>44338.99861</v>
      </c>
      <c r="B1700" s="1">
        <f>IFERROR(__xludf.DUMMYFUNCTION("""COMPUTED_VALUE"""),37482.21)</f>
        <v>37482.21</v>
      </c>
      <c r="C1700" s="58">
        <f t="shared" si="1"/>
        <v>4522.998611</v>
      </c>
      <c r="D1700" s="1">
        <f t="shared" si="2"/>
        <v>8251.882886</v>
      </c>
      <c r="E1700" s="1">
        <f t="shared" si="3"/>
        <v>14853.3892</v>
      </c>
      <c r="F1700" s="1">
        <f t="shared" si="4"/>
        <v>28056.40181</v>
      </c>
      <c r="G1700" s="1">
        <f t="shared" si="5"/>
        <v>49511.29732</v>
      </c>
      <c r="H1700" s="1">
        <f t="shared" si="6"/>
        <v>90770.71175</v>
      </c>
      <c r="I1700" s="1">
        <f t="shared" si="7"/>
        <v>148533.892</v>
      </c>
    </row>
    <row r="1701" hidden="1">
      <c r="A1701" s="266">
        <f>IFERROR(__xludf.DUMMYFUNCTION("""COMPUTED_VALUE"""),44339.99861111111)</f>
        <v>44339.99861</v>
      </c>
      <c r="B1701" s="1">
        <f>IFERROR(__xludf.DUMMYFUNCTION("""COMPUTED_VALUE"""),34707.16)</f>
        <v>34707.16</v>
      </c>
      <c r="C1701" s="58">
        <f t="shared" si="1"/>
        <v>4523.998611</v>
      </c>
      <c r="D1701" s="1">
        <f t="shared" si="2"/>
        <v>8262.470182</v>
      </c>
      <c r="E1701" s="1">
        <f t="shared" si="3"/>
        <v>14872.44633</v>
      </c>
      <c r="F1701" s="1">
        <f t="shared" si="4"/>
        <v>28092.39862</v>
      </c>
      <c r="G1701" s="1">
        <f t="shared" si="5"/>
        <v>49574.82109</v>
      </c>
      <c r="H1701" s="1">
        <f t="shared" si="6"/>
        <v>90887.172</v>
      </c>
      <c r="I1701" s="1">
        <f t="shared" si="7"/>
        <v>148724.4633</v>
      </c>
    </row>
    <row r="1702" hidden="1">
      <c r="A1702" s="266">
        <f>IFERROR(__xludf.DUMMYFUNCTION("""COMPUTED_VALUE"""),44340.99861111111)</f>
        <v>44340.99861</v>
      </c>
      <c r="B1702" s="1">
        <f>IFERROR(__xludf.DUMMYFUNCTION("""COMPUTED_VALUE"""),38751.12)</f>
        <v>38751.12</v>
      </c>
      <c r="C1702" s="58">
        <f t="shared" si="1"/>
        <v>4524.998611</v>
      </c>
      <c r="D1702" s="1">
        <f t="shared" si="2"/>
        <v>8273.068717</v>
      </c>
      <c r="E1702" s="1">
        <f t="shared" si="3"/>
        <v>14891.52369</v>
      </c>
      <c r="F1702" s="1">
        <f t="shared" si="4"/>
        <v>28128.43364</v>
      </c>
      <c r="G1702" s="1">
        <f t="shared" si="5"/>
        <v>49638.4123</v>
      </c>
      <c r="H1702" s="1">
        <f t="shared" si="6"/>
        <v>91003.75589</v>
      </c>
      <c r="I1702" s="1">
        <f t="shared" si="7"/>
        <v>148915.2369</v>
      </c>
    </row>
    <row r="1703" hidden="1">
      <c r="A1703" s="266">
        <f>IFERROR(__xludf.DUMMYFUNCTION("""COMPUTED_VALUE"""),44341.99861111111)</f>
        <v>44341.99861</v>
      </c>
      <c r="B1703" s="1">
        <f>IFERROR(__xludf.DUMMYFUNCTION("""COMPUTED_VALUE"""),38373.69)</f>
        <v>38373.69</v>
      </c>
      <c r="C1703" s="58">
        <f t="shared" si="1"/>
        <v>4525.998611</v>
      </c>
      <c r="D1703" s="1">
        <f t="shared" si="2"/>
        <v>8283.678501</v>
      </c>
      <c r="E1703" s="1">
        <f t="shared" si="3"/>
        <v>14910.6213</v>
      </c>
      <c r="F1703" s="1">
        <f t="shared" si="4"/>
        <v>28164.5069</v>
      </c>
      <c r="G1703" s="1">
        <f t="shared" si="5"/>
        <v>49702.071</v>
      </c>
      <c r="H1703" s="1">
        <f t="shared" si="6"/>
        <v>91120.46351</v>
      </c>
      <c r="I1703" s="1">
        <f t="shared" si="7"/>
        <v>149106.213</v>
      </c>
    </row>
    <row r="1704" hidden="1">
      <c r="A1704" s="266">
        <f>IFERROR(__xludf.DUMMYFUNCTION("""COMPUTED_VALUE"""),44342.99861111111)</f>
        <v>44342.99861</v>
      </c>
      <c r="B1704" s="1">
        <f>IFERROR(__xludf.DUMMYFUNCTION("""COMPUTED_VALUE"""),39259.6)</f>
        <v>39259.6</v>
      </c>
      <c r="C1704" s="58">
        <f t="shared" si="1"/>
        <v>4526.998611</v>
      </c>
      <c r="D1704" s="1">
        <f t="shared" si="2"/>
        <v>8294.299542</v>
      </c>
      <c r="E1704" s="1">
        <f t="shared" si="3"/>
        <v>14929.73918</v>
      </c>
      <c r="F1704" s="1">
        <f t="shared" si="4"/>
        <v>28200.61844</v>
      </c>
      <c r="G1704" s="1">
        <f t="shared" si="5"/>
        <v>49765.79725</v>
      </c>
      <c r="H1704" s="1">
        <f t="shared" si="6"/>
        <v>91237.29496</v>
      </c>
      <c r="I1704" s="1">
        <f t="shared" si="7"/>
        <v>149297.3918</v>
      </c>
    </row>
    <row r="1705" hidden="1">
      <c r="A1705" s="266">
        <f>IFERROR(__xludf.DUMMYFUNCTION("""COMPUTED_VALUE"""),44343.99861111111)</f>
        <v>44343.99861</v>
      </c>
      <c r="B1705" s="1">
        <f>IFERROR(__xludf.DUMMYFUNCTION("""COMPUTED_VALUE"""),38423.84)</f>
        <v>38423.84</v>
      </c>
      <c r="C1705" s="58">
        <f t="shared" si="1"/>
        <v>4527.998611</v>
      </c>
      <c r="D1705" s="1">
        <f t="shared" si="2"/>
        <v>8304.931851</v>
      </c>
      <c r="E1705" s="1">
        <f t="shared" si="3"/>
        <v>14948.87733</v>
      </c>
      <c r="F1705" s="1">
        <f t="shared" si="4"/>
        <v>28236.76829</v>
      </c>
      <c r="G1705" s="1">
        <f t="shared" si="5"/>
        <v>49829.59111</v>
      </c>
      <c r="H1705" s="1">
        <f t="shared" si="6"/>
        <v>91354.25036</v>
      </c>
      <c r="I1705" s="1">
        <f t="shared" si="7"/>
        <v>149488.7733</v>
      </c>
    </row>
    <row r="1706" hidden="1">
      <c r="A1706" s="266">
        <f>IFERROR(__xludf.DUMMYFUNCTION("""COMPUTED_VALUE"""),44344.99861111111)</f>
        <v>44344.99861</v>
      </c>
      <c r="B1706" s="1">
        <f>IFERROR(__xludf.DUMMYFUNCTION("""COMPUTED_VALUE"""),35671.04)</f>
        <v>35671.04</v>
      </c>
      <c r="C1706" s="58">
        <f t="shared" si="1"/>
        <v>4528.998611</v>
      </c>
      <c r="D1706" s="1">
        <f t="shared" si="2"/>
        <v>8315.575437</v>
      </c>
      <c r="E1706" s="1">
        <f t="shared" si="3"/>
        <v>14968.03579</v>
      </c>
      <c r="F1706" s="1">
        <f t="shared" si="4"/>
        <v>28272.95649</v>
      </c>
      <c r="G1706" s="1">
        <f t="shared" si="5"/>
        <v>49893.45262</v>
      </c>
      <c r="H1706" s="1">
        <f t="shared" si="6"/>
        <v>91471.32981</v>
      </c>
      <c r="I1706" s="1">
        <f t="shared" si="7"/>
        <v>149680.3579</v>
      </c>
    </row>
    <row r="1707" hidden="1">
      <c r="A1707" s="266">
        <f>IFERROR(__xludf.DUMMYFUNCTION("""COMPUTED_VALUE"""),44345.99861111111)</f>
        <v>44345.99861</v>
      </c>
      <c r="B1707" s="1">
        <f>IFERROR(__xludf.DUMMYFUNCTION("""COMPUTED_VALUE"""),34592.16)</f>
        <v>34592.16</v>
      </c>
      <c r="C1707" s="58">
        <f t="shared" si="1"/>
        <v>4529.998611</v>
      </c>
      <c r="D1707" s="1">
        <f t="shared" si="2"/>
        <v>8326.23031</v>
      </c>
      <c r="E1707" s="1">
        <f t="shared" si="3"/>
        <v>14987.21456</v>
      </c>
      <c r="F1707" s="1">
        <f t="shared" si="4"/>
        <v>28309.18305</v>
      </c>
      <c r="G1707" s="1">
        <f t="shared" si="5"/>
        <v>49957.38186</v>
      </c>
      <c r="H1707" s="1">
        <f t="shared" si="6"/>
        <v>91588.53341</v>
      </c>
      <c r="I1707" s="1">
        <f t="shared" si="7"/>
        <v>149872.1456</v>
      </c>
    </row>
    <row r="1708" hidden="1">
      <c r="A1708" s="266">
        <f>IFERROR(__xludf.DUMMYFUNCTION("""COMPUTED_VALUE"""),44346.99861111111)</f>
        <v>44346.99861</v>
      </c>
      <c r="B1708" s="1">
        <f>IFERROR(__xludf.DUMMYFUNCTION("""COMPUTED_VALUE"""),35654.29)</f>
        <v>35654.29</v>
      </c>
      <c r="C1708" s="58">
        <f t="shared" si="1"/>
        <v>4530.998611</v>
      </c>
      <c r="D1708" s="1">
        <f t="shared" si="2"/>
        <v>8336.896478</v>
      </c>
      <c r="E1708" s="1">
        <f t="shared" si="3"/>
        <v>15006.41366</v>
      </c>
      <c r="F1708" s="1">
        <f t="shared" si="4"/>
        <v>28345.44803</v>
      </c>
      <c r="G1708" s="1">
        <f t="shared" si="5"/>
        <v>50021.37887</v>
      </c>
      <c r="H1708" s="1">
        <f t="shared" si="6"/>
        <v>91705.86126</v>
      </c>
      <c r="I1708" s="1">
        <f t="shared" si="7"/>
        <v>150064.1366</v>
      </c>
    </row>
    <row r="1709" hidden="1">
      <c r="A1709" s="266">
        <f>IFERROR(__xludf.DUMMYFUNCTION("""COMPUTED_VALUE"""),44347.99861111111)</f>
        <v>44347.99861</v>
      </c>
      <c r="B1709" s="1">
        <f>IFERROR(__xludf.DUMMYFUNCTION("""COMPUTED_VALUE"""),37309.36)</f>
        <v>37309.36</v>
      </c>
      <c r="C1709" s="58">
        <f t="shared" si="1"/>
        <v>4531.998611</v>
      </c>
      <c r="D1709" s="1">
        <f t="shared" si="2"/>
        <v>8347.573952</v>
      </c>
      <c r="E1709" s="1">
        <f t="shared" si="3"/>
        <v>15025.63311</v>
      </c>
      <c r="F1709" s="1">
        <f t="shared" si="4"/>
        <v>28381.75144</v>
      </c>
      <c r="G1709" s="1">
        <f t="shared" si="5"/>
        <v>50085.44371</v>
      </c>
      <c r="H1709" s="1">
        <f t="shared" si="6"/>
        <v>91823.31347</v>
      </c>
      <c r="I1709" s="1">
        <f t="shared" si="7"/>
        <v>150256.3311</v>
      </c>
    </row>
    <row r="1710" hidden="1">
      <c r="A1710" s="266">
        <f>IFERROR(__xludf.DUMMYFUNCTION("""COMPUTED_VALUE"""),44348.99861111111)</f>
        <v>44348.99861</v>
      </c>
      <c r="B1710" s="1">
        <f>IFERROR(__xludf.DUMMYFUNCTION("""COMPUTED_VALUE"""),36682.96)</f>
        <v>36682.96</v>
      </c>
      <c r="C1710" s="58">
        <f t="shared" si="1"/>
        <v>4532.998611</v>
      </c>
      <c r="D1710" s="1">
        <f t="shared" si="2"/>
        <v>8358.262741</v>
      </c>
      <c r="E1710" s="1">
        <f t="shared" si="3"/>
        <v>15044.87293</v>
      </c>
      <c r="F1710" s="1">
        <f t="shared" si="4"/>
        <v>28418.09332</v>
      </c>
      <c r="G1710" s="1">
        <f t="shared" si="5"/>
        <v>50149.57645</v>
      </c>
      <c r="H1710" s="1">
        <f t="shared" si="6"/>
        <v>91940.89015</v>
      </c>
      <c r="I1710" s="1">
        <f t="shared" si="7"/>
        <v>150448.7293</v>
      </c>
    </row>
    <row r="1711" hidden="1">
      <c r="A1711" s="266">
        <f>IFERROR(__xludf.DUMMYFUNCTION("""COMPUTED_VALUE"""),44349.99861111111)</f>
        <v>44349.99861</v>
      </c>
      <c r="B1711" s="1">
        <f>IFERROR(__xludf.DUMMYFUNCTION("""COMPUTED_VALUE"""),37572.28)</f>
        <v>37572.28</v>
      </c>
      <c r="C1711" s="58">
        <f t="shared" si="1"/>
        <v>4533.998611</v>
      </c>
      <c r="D1711" s="1">
        <f t="shared" si="2"/>
        <v>8368.962854</v>
      </c>
      <c r="E1711" s="1">
        <f t="shared" si="3"/>
        <v>15064.13314</v>
      </c>
      <c r="F1711" s="1">
        <f t="shared" si="4"/>
        <v>28454.4737</v>
      </c>
      <c r="G1711" s="1">
        <f t="shared" si="5"/>
        <v>50213.77712</v>
      </c>
      <c r="H1711" s="1">
        <f t="shared" si="6"/>
        <v>92058.59139</v>
      </c>
      <c r="I1711" s="1">
        <f t="shared" si="7"/>
        <v>150641.3314</v>
      </c>
    </row>
    <row r="1712" hidden="1">
      <c r="A1712" s="266">
        <f>IFERROR(__xludf.DUMMYFUNCTION("""COMPUTED_VALUE"""),44350.99861111111)</f>
        <v>44350.99861</v>
      </c>
      <c r="B1712" s="1">
        <f>IFERROR(__xludf.DUMMYFUNCTION("""COMPUTED_VALUE"""),39184.57)</f>
        <v>39184.57</v>
      </c>
      <c r="C1712" s="58">
        <f t="shared" si="1"/>
        <v>4534.998611</v>
      </c>
      <c r="D1712" s="1">
        <f t="shared" si="2"/>
        <v>8379.674301</v>
      </c>
      <c r="E1712" s="1">
        <f t="shared" si="3"/>
        <v>15083.41374</v>
      </c>
      <c r="F1712" s="1">
        <f t="shared" si="4"/>
        <v>28490.89262</v>
      </c>
      <c r="G1712" s="1">
        <f t="shared" si="5"/>
        <v>50278.04581</v>
      </c>
      <c r="H1712" s="1">
        <f t="shared" si="6"/>
        <v>92176.41731</v>
      </c>
      <c r="I1712" s="1">
        <f t="shared" si="7"/>
        <v>150834.1374</v>
      </c>
    </row>
    <row r="1713" hidden="1">
      <c r="A1713" s="266">
        <f>IFERROR(__xludf.DUMMYFUNCTION("""COMPUTED_VALUE"""),44351.99861111111)</f>
        <v>44351.99861</v>
      </c>
      <c r="B1713" s="1">
        <f>IFERROR(__xludf.DUMMYFUNCTION("""COMPUTED_VALUE"""),36849.84)</f>
        <v>36849.84</v>
      </c>
      <c r="C1713" s="58">
        <f t="shared" si="1"/>
        <v>4535.998611</v>
      </c>
      <c r="D1713" s="1">
        <f t="shared" si="2"/>
        <v>8390.397091</v>
      </c>
      <c r="E1713" s="1">
        <f t="shared" si="3"/>
        <v>15102.71476</v>
      </c>
      <c r="F1713" s="1">
        <f t="shared" si="4"/>
        <v>28527.35011</v>
      </c>
      <c r="G1713" s="1">
        <f t="shared" si="5"/>
        <v>50342.38255</v>
      </c>
      <c r="H1713" s="1">
        <f t="shared" si="6"/>
        <v>92294.368</v>
      </c>
      <c r="I1713" s="1">
        <f t="shared" si="7"/>
        <v>151027.1476</v>
      </c>
    </row>
    <row r="1714" hidden="1">
      <c r="A1714" s="266">
        <f>IFERROR(__xludf.DUMMYFUNCTION("""COMPUTED_VALUE"""),44352.99861111111)</f>
        <v>44352.99861</v>
      </c>
      <c r="B1714" s="1">
        <f>IFERROR(__xludf.DUMMYFUNCTION("""COMPUTED_VALUE"""),35522.9)</f>
        <v>35522.9</v>
      </c>
      <c r="C1714" s="58">
        <f t="shared" si="1"/>
        <v>4536.998611</v>
      </c>
      <c r="D1714" s="1">
        <f t="shared" si="2"/>
        <v>8401.131234</v>
      </c>
      <c r="E1714" s="1">
        <f t="shared" si="3"/>
        <v>15122.03622</v>
      </c>
      <c r="F1714" s="1">
        <f t="shared" si="4"/>
        <v>28563.8462</v>
      </c>
      <c r="G1714" s="1">
        <f t="shared" si="5"/>
        <v>50406.78741</v>
      </c>
      <c r="H1714" s="1">
        <f t="shared" si="6"/>
        <v>92412.44358</v>
      </c>
      <c r="I1714" s="1">
        <f t="shared" si="7"/>
        <v>151220.3622</v>
      </c>
    </row>
    <row r="1715" hidden="1">
      <c r="A1715" s="266">
        <f>IFERROR(__xludf.DUMMYFUNCTION("""COMPUTED_VALUE"""),44353.99861111111)</f>
        <v>44353.99861</v>
      </c>
      <c r="B1715" s="1">
        <f>IFERROR(__xludf.DUMMYFUNCTION("""COMPUTED_VALUE"""),35799.29)</f>
        <v>35799.29</v>
      </c>
      <c r="C1715" s="58">
        <f t="shared" si="1"/>
        <v>4537.998611</v>
      </c>
      <c r="D1715" s="1">
        <f t="shared" si="2"/>
        <v>8411.87674</v>
      </c>
      <c r="E1715" s="1">
        <f t="shared" si="3"/>
        <v>15141.37813</v>
      </c>
      <c r="F1715" s="1">
        <f t="shared" si="4"/>
        <v>28600.38092</v>
      </c>
      <c r="G1715" s="1">
        <f t="shared" si="5"/>
        <v>50471.26044</v>
      </c>
      <c r="H1715" s="1">
        <f t="shared" si="6"/>
        <v>92530.64414</v>
      </c>
      <c r="I1715" s="1">
        <f t="shared" si="7"/>
        <v>151413.7813</v>
      </c>
    </row>
    <row r="1716" hidden="1">
      <c r="A1716" s="266">
        <f>IFERROR(__xludf.DUMMYFUNCTION("""COMPUTED_VALUE"""),44354.99861111111)</f>
        <v>44354.99861</v>
      </c>
      <c r="B1716" s="1">
        <f>IFERROR(__xludf.DUMMYFUNCTION("""COMPUTED_VALUE"""),33577.22)</f>
        <v>33577.22</v>
      </c>
      <c r="C1716" s="58">
        <f t="shared" si="1"/>
        <v>4538.998611</v>
      </c>
      <c r="D1716" s="1">
        <f t="shared" si="2"/>
        <v>8422.633617</v>
      </c>
      <c r="E1716" s="1">
        <f t="shared" si="3"/>
        <v>15160.74051</v>
      </c>
      <c r="F1716" s="1">
        <f t="shared" si="4"/>
        <v>28636.9543</v>
      </c>
      <c r="G1716" s="1">
        <f t="shared" si="5"/>
        <v>50535.8017</v>
      </c>
      <c r="H1716" s="1">
        <f t="shared" si="6"/>
        <v>92648.96979</v>
      </c>
      <c r="I1716" s="1">
        <f t="shared" si="7"/>
        <v>151607.4051</v>
      </c>
    </row>
    <row r="1717" hidden="1">
      <c r="A1717" s="266">
        <f>IFERROR(__xludf.DUMMYFUNCTION("""COMPUTED_VALUE"""),44355.99861111111)</f>
        <v>44355.99861</v>
      </c>
      <c r="B1717" s="1">
        <f>IFERROR(__xludf.DUMMYFUNCTION("""COMPUTED_VALUE"""),33407.84)</f>
        <v>33407.84</v>
      </c>
      <c r="C1717" s="58">
        <f t="shared" si="1"/>
        <v>4539.998611</v>
      </c>
      <c r="D1717" s="1">
        <f t="shared" si="2"/>
        <v>8433.401876</v>
      </c>
      <c r="E1717" s="1">
        <f t="shared" si="3"/>
        <v>15180.12338</v>
      </c>
      <c r="F1717" s="1">
        <f t="shared" si="4"/>
        <v>28673.56638</v>
      </c>
      <c r="G1717" s="1">
        <f t="shared" si="5"/>
        <v>50600.41126</v>
      </c>
      <c r="H1717" s="1">
        <f t="shared" si="6"/>
        <v>92767.42064</v>
      </c>
      <c r="I1717" s="1">
        <f t="shared" si="7"/>
        <v>151801.2338</v>
      </c>
    </row>
    <row r="1718" hidden="1">
      <c r="A1718" s="266">
        <f>IFERROR(__xludf.DUMMYFUNCTION("""COMPUTED_VALUE"""),44356.99861111111)</f>
        <v>44356.99861</v>
      </c>
      <c r="B1718" s="1">
        <f>IFERROR(__xludf.DUMMYFUNCTION("""COMPUTED_VALUE"""),37341.97)</f>
        <v>37341.97</v>
      </c>
      <c r="C1718" s="58">
        <f t="shared" si="1"/>
        <v>4540.998611</v>
      </c>
      <c r="D1718" s="1">
        <f t="shared" si="2"/>
        <v>8444.181526</v>
      </c>
      <c r="E1718" s="1">
        <f t="shared" si="3"/>
        <v>15199.52675</v>
      </c>
      <c r="F1718" s="1">
        <f t="shared" si="4"/>
        <v>28710.21719</v>
      </c>
      <c r="G1718" s="1">
        <f t="shared" si="5"/>
        <v>50665.08916</v>
      </c>
      <c r="H1718" s="1">
        <f t="shared" si="6"/>
        <v>92885.99679</v>
      </c>
      <c r="I1718" s="1">
        <f t="shared" si="7"/>
        <v>151995.2675</v>
      </c>
    </row>
    <row r="1719" hidden="1">
      <c r="A1719" s="266">
        <f>IFERROR(__xludf.DUMMYFUNCTION("""COMPUTED_VALUE"""),44357.99861111111)</f>
        <v>44357.99861</v>
      </c>
      <c r="B1719" s="1">
        <f>IFERROR(__xludf.DUMMYFUNCTION("""COMPUTED_VALUE"""),36641.08)</f>
        <v>36641.08</v>
      </c>
      <c r="C1719" s="58">
        <f t="shared" si="1"/>
        <v>4541.998611</v>
      </c>
      <c r="D1719" s="1">
        <f t="shared" si="2"/>
        <v>8454.972577</v>
      </c>
      <c r="E1719" s="1">
        <f t="shared" si="3"/>
        <v>15218.95064</v>
      </c>
      <c r="F1719" s="1">
        <f t="shared" si="4"/>
        <v>28746.90676</v>
      </c>
      <c r="G1719" s="1">
        <f t="shared" si="5"/>
        <v>50729.83546</v>
      </c>
      <c r="H1719" s="1">
        <f t="shared" si="6"/>
        <v>93004.69834</v>
      </c>
      <c r="I1719" s="1">
        <f t="shared" si="7"/>
        <v>152189.5064</v>
      </c>
    </row>
    <row r="1720" hidden="1">
      <c r="A1720" s="266">
        <f>IFERROR(__xludf.DUMMYFUNCTION("""COMPUTED_VALUE"""),44358.99861111111)</f>
        <v>44358.99861</v>
      </c>
      <c r="B1720" s="1">
        <f>IFERROR(__xludf.DUMMYFUNCTION("""COMPUTED_VALUE"""),37333.82)</f>
        <v>37333.82</v>
      </c>
      <c r="C1720" s="58">
        <f t="shared" si="1"/>
        <v>4542.998611</v>
      </c>
      <c r="D1720" s="1">
        <f t="shared" si="2"/>
        <v>8465.775037</v>
      </c>
      <c r="E1720" s="1">
        <f t="shared" si="3"/>
        <v>15238.39507</v>
      </c>
      <c r="F1720" s="1">
        <f t="shared" si="4"/>
        <v>28783.63513</v>
      </c>
      <c r="G1720" s="1">
        <f t="shared" si="5"/>
        <v>50794.65022</v>
      </c>
      <c r="H1720" s="1">
        <f t="shared" si="6"/>
        <v>93123.52541</v>
      </c>
      <c r="I1720" s="1">
        <f t="shared" si="7"/>
        <v>152383.9507</v>
      </c>
    </row>
    <row r="1721" hidden="1">
      <c r="A1721" s="266">
        <f>IFERROR(__xludf.DUMMYFUNCTION("""COMPUTED_VALUE"""),44359.99861111111)</f>
        <v>44359.99861</v>
      </c>
      <c r="B1721" s="1">
        <f>IFERROR(__xludf.DUMMYFUNCTION("""COMPUTED_VALUE"""),35479.57)</f>
        <v>35479.57</v>
      </c>
      <c r="C1721" s="58">
        <f t="shared" si="1"/>
        <v>4543.998611</v>
      </c>
      <c r="D1721" s="1">
        <f t="shared" si="2"/>
        <v>8476.588917</v>
      </c>
      <c r="E1721" s="1">
        <f t="shared" si="3"/>
        <v>15257.86005</v>
      </c>
      <c r="F1721" s="1">
        <f t="shared" si="4"/>
        <v>28820.40232</v>
      </c>
      <c r="G1721" s="1">
        <f t="shared" si="5"/>
        <v>50859.5335</v>
      </c>
      <c r="H1721" s="1">
        <f t="shared" si="6"/>
        <v>93242.47809</v>
      </c>
      <c r="I1721" s="1">
        <f t="shared" si="7"/>
        <v>152578.6005</v>
      </c>
    </row>
    <row r="1722" hidden="1">
      <c r="A1722" s="266">
        <f>IFERROR(__xludf.DUMMYFUNCTION("""COMPUTED_VALUE"""),44360.99861111111)</f>
        <v>44360.99861</v>
      </c>
      <c r="B1722" s="1">
        <f>IFERROR(__xludf.DUMMYFUNCTION("""COMPUTED_VALUE"""),39038.67)</f>
        <v>39038.67</v>
      </c>
      <c r="C1722" s="58">
        <f t="shared" si="1"/>
        <v>4544.998611</v>
      </c>
      <c r="D1722" s="1">
        <f t="shared" si="2"/>
        <v>8487.414226</v>
      </c>
      <c r="E1722" s="1">
        <f t="shared" si="3"/>
        <v>15277.34561</v>
      </c>
      <c r="F1722" s="1">
        <f t="shared" si="4"/>
        <v>28857.20837</v>
      </c>
      <c r="G1722" s="1">
        <f t="shared" si="5"/>
        <v>50924.48536</v>
      </c>
      <c r="H1722" s="1">
        <f t="shared" si="6"/>
        <v>93361.55649</v>
      </c>
      <c r="I1722" s="1">
        <f t="shared" si="7"/>
        <v>152773.4561</v>
      </c>
    </row>
    <row r="1723" hidden="1">
      <c r="A1723" s="266">
        <f>IFERROR(__xludf.DUMMYFUNCTION("""COMPUTED_VALUE"""),44361.99861111111)</f>
        <v>44361.99861</v>
      </c>
      <c r="B1723" s="1">
        <f>IFERROR(__xludf.DUMMYFUNCTION("""COMPUTED_VALUE"""),40526.54)</f>
        <v>40526.54</v>
      </c>
      <c r="C1723" s="58">
        <f t="shared" si="1"/>
        <v>4545.998611</v>
      </c>
      <c r="D1723" s="1">
        <f t="shared" si="2"/>
        <v>8498.250974</v>
      </c>
      <c r="E1723" s="1">
        <f t="shared" si="3"/>
        <v>15296.85175</v>
      </c>
      <c r="F1723" s="1">
        <f t="shared" si="4"/>
        <v>28894.05331</v>
      </c>
      <c r="G1723" s="1">
        <f t="shared" si="5"/>
        <v>50989.50585</v>
      </c>
      <c r="H1723" s="1">
        <f t="shared" si="6"/>
        <v>93480.76072</v>
      </c>
      <c r="I1723" s="1">
        <f t="shared" si="7"/>
        <v>152968.5175</v>
      </c>
    </row>
    <row r="1724" hidden="1">
      <c r="A1724" s="266">
        <f>IFERROR(__xludf.DUMMYFUNCTION("""COMPUTED_VALUE"""),44362.99861111111)</f>
        <v>44362.99861</v>
      </c>
      <c r="B1724" s="1">
        <f>IFERROR(__xludf.DUMMYFUNCTION("""COMPUTED_VALUE"""),40152.96)</f>
        <v>40152.96</v>
      </c>
      <c r="C1724" s="58">
        <f t="shared" si="1"/>
        <v>4546.998611</v>
      </c>
      <c r="D1724" s="1">
        <f t="shared" si="2"/>
        <v>8509.099171</v>
      </c>
      <c r="E1724" s="1">
        <f t="shared" si="3"/>
        <v>15316.37851</v>
      </c>
      <c r="F1724" s="1">
        <f t="shared" si="4"/>
        <v>28930.93718</v>
      </c>
      <c r="G1724" s="1">
        <f t="shared" si="5"/>
        <v>51054.59502</v>
      </c>
      <c r="H1724" s="1">
        <f t="shared" si="6"/>
        <v>93600.09088</v>
      </c>
      <c r="I1724" s="1">
        <f t="shared" si="7"/>
        <v>153163.7851</v>
      </c>
    </row>
    <row r="1725" hidden="1">
      <c r="A1725" s="266">
        <f>IFERROR(__xludf.DUMMYFUNCTION("""COMPUTED_VALUE"""),44363.99861111111)</f>
        <v>44363.99861</v>
      </c>
      <c r="B1725" s="1">
        <f>IFERROR(__xludf.DUMMYFUNCTION("""COMPUTED_VALUE"""),38344.25)</f>
        <v>38344.25</v>
      </c>
      <c r="C1725" s="58">
        <f t="shared" si="1"/>
        <v>4547.998611</v>
      </c>
      <c r="D1725" s="1">
        <f t="shared" si="2"/>
        <v>8519.958825</v>
      </c>
      <c r="E1725" s="1">
        <f t="shared" si="3"/>
        <v>15335.92588</v>
      </c>
      <c r="F1725" s="1">
        <f t="shared" si="4"/>
        <v>28967.86</v>
      </c>
      <c r="G1725" s="1">
        <f t="shared" si="5"/>
        <v>51119.75295</v>
      </c>
      <c r="H1725" s="1">
        <f t="shared" si="6"/>
        <v>93719.54707</v>
      </c>
      <c r="I1725" s="1">
        <f t="shared" si="7"/>
        <v>153359.2588</v>
      </c>
    </row>
    <row r="1726" hidden="1">
      <c r="A1726" s="266">
        <f>IFERROR(__xludf.DUMMYFUNCTION("""COMPUTED_VALUE"""),44364.99861111111)</f>
        <v>44364.99861</v>
      </c>
      <c r="B1726" s="1">
        <f>IFERROR(__xludf.DUMMYFUNCTION("""COMPUTED_VALUE"""),38065.94)</f>
        <v>38065.94</v>
      </c>
      <c r="C1726" s="58">
        <f t="shared" si="1"/>
        <v>4548.998611</v>
      </c>
      <c r="D1726" s="1">
        <f t="shared" si="2"/>
        <v>8530.829946</v>
      </c>
      <c r="E1726" s="1">
        <f t="shared" si="3"/>
        <v>15355.4939</v>
      </c>
      <c r="F1726" s="1">
        <f t="shared" si="4"/>
        <v>29004.82182</v>
      </c>
      <c r="G1726" s="1">
        <f t="shared" si="5"/>
        <v>51184.97968</v>
      </c>
      <c r="H1726" s="1">
        <f t="shared" si="6"/>
        <v>93839.12941</v>
      </c>
      <c r="I1726" s="1">
        <f t="shared" si="7"/>
        <v>153554.939</v>
      </c>
    </row>
    <row r="1727" hidden="1">
      <c r="A1727" s="266">
        <f>IFERROR(__xludf.DUMMYFUNCTION("""COMPUTED_VALUE"""),44365.99861111111)</f>
        <v>44365.99861</v>
      </c>
      <c r="B1727" s="1">
        <f>IFERROR(__xludf.DUMMYFUNCTION("""COMPUTED_VALUE"""),35734.51)</f>
        <v>35734.51</v>
      </c>
      <c r="C1727" s="58">
        <f t="shared" si="1"/>
        <v>4549.998611</v>
      </c>
      <c r="D1727" s="1">
        <f t="shared" si="2"/>
        <v>8541.712545</v>
      </c>
      <c r="E1727" s="1">
        <f t="shared" si="3"/>
        <v>15375.08258</v>
      </c>
      <c r="F1727" s="1">
        <f t="shared" si="4"/>
        <v>29041.82265</v>
      </c>
      <c r="G1727" s="1">
        <f t="shared" si="5"/>
        <v>51250.27527</v>
      </c>
      <c r="H1727" s="1">
        <f t="shared" si="6"/>
        <v>93958.83799</v>
      </c>
      <c r="I1727" s="1">
        <f t="shared" si="7"/>
        <v>153750.8258</v>
      </c>
    </row>
    <row r="1728" hidden="1">
      <c r="A1728" s="266">
        <f>IFERROR(__xludf.DUMMYFUNCTION("""COMPUTED_VALUE"""),44366.99861111111)</f>
        <v>44366.99861</v>
      </c>
      <c r="B1728" s="1">
        <f>IFERROR(__xludf.DUMMYFUNCTION("""COMPUTED_VALUE"""),35525.93)</f>
        <v>35525.93</v>
      </c>
      <c r="C1728" s="58">
        <f t="shared" si="1"/>
        <v>4550.998611</v>
      </c>
      <c r="D1728" s="1">
        <f t="shared" si="2"/>
        <v>8552.60663</v>
      </c>
      <c r="E1728" s="1">
        <f t="shared" si="3"/>
        <v>15394.69193</v>
      </c>
      <c r="F1728" s="1">
        <f t="shared" si="4"/>
        <v>29078.86254</v>
      </c>
      <c r="G1728" s="1">
        <f t="shared" si="5"/>
        <v>51315.63978</v>
      </c>
      <c r="H1728" s="1">
        <f t="shared" si="6"/>
        <v>94078.67293</v>
      </c>
      <c r="I1728" s="1">
        <f t="shared" si="7"/>
        <v>153946.9193</v>
      </c>
    </row>
    <row r="1729" hidden="1">
      <c r="A1729" s="266">
        <f>IFERROR(__xludf.DUMMYFUNCTION("""COMPUTED_VALUE"""),44367.99861111111)</f>
        <v>44367.99861</v>
      </c>
      <c r="B1729" s="1">
        <f>IFERROR(__xludf.DUMMYFUNCTION("""COMPUTED_VALUE"""),35619.15)</f>
        <v>35619.15</v>
      </c>
      <c r="C1729" s="58">
        <f t="shared" si="1"/>
        <v>4551.998611</v>
      </c>
      <c r="D1729" s="1">
        <f t="shared" si="2"/>
        <v>8563.512211</v>
      </c>
      <c r="E1729" s="1">
        <f t="shared" si="3"/>
        <v>15414.32198</v>
      </c>
      <c r="F1729" s="1">
        <f t="shared" si="4"/>
        <v>29115.94152</v>
      </c>
      <c r="G1729" s="1">
        <f t="shared" si="5"/>
        <v>51381.07327</v>
      </c>
      <c r="H1729" s="1">
        <f t="shared" si="6"/>
        <v>94198.63432</v>
      </c>
      <c r="I1729" s="1">
        <f t="shared" si="7"/>
        <v>154143.2198</v>
      </c>
    </row>
    <row r="1730" hidden="1">
      <c r="A1730" s="266">
        <f>IFERROR(__xludf.DUMMYFUNCTION("""COMPUTED_VALUE"""),44368.99861111111)</f>
        <v>44368.99861</v>
      </c>
      <c r="B1730" s="1">
        <f>IFERROR(__xludf.DUMMYFUNCTION("""COMPUTED_VALUE"""),31687.18)</f>
        <v>31687.18</v>
      </c>
      <c r="C1730" s="58">
        <f t="shared" si="1"/>
        <v>4552.998611</v>
      </c>
      <c r="D1730" s="1">
        <f t="shared" si="2"/>
        <v>8574.429298</v>
      </c>
      <c r="E1730" s="1">
        <f t="shared" si="3"/>
        <v>15433.97274</v>
      </c>
      <c r="F1730" s="1">
        <f t="shared" si="4"/>
        <v>29153.05961</v>
      </c>
      <c r="G1730" s="1">
        <f t="shared" si="5"/>
        <v>51446.57579</v>
      </c>
      <c r="H1730" s="1">
        <f t="shared" si="6"/>
        <v>94318.72228</v>
      </c>
      <c r="I1730" s="1">
        <f t="shared" si="7"/>
        <v>154339.7274</v>
      </c>
    </row>
    <row r="1731" hidden="1">
      <c r="A1731" s="266">
        <f>IFERROR(__xludf.DUMMYFUNCTION("""COMPUTED_VALUE"""),44369.99861111111)</f>
        <v>44369.99861</v>
      </c>
      <c r="B1731" s="1">
        <f>IFERROR(__xludf.DUMMYFUNCTION("""COMPUTED_VALUE"""),32488.3)</f>
        <v>32488.3</v>
      </c>
      <c r="C1731" s="58">
        <f t="shared" si="1"/>
        <v>4553.998611</v>
      </c>
      <c r="D1731" s="1">
        <f t="shared" si="2"/>
        <v>8585.357901</v>
      </c>
      <c r="E1731" s="1">
        <f t="shared" si="3"/>
        <v>15453.64422</v>
      </c>
      <c r="F1731" s="1">
        <f t="shared" si="4"/>
        <v>29190.21686</v>
      </c>
      <c r="G1731" s="1">
        <f t="shared" si="5"/>
        <v>51512.1474</v>
      </c>
      <c r="H1731" s="1">
        <f t="shared" si="6"/>
        <v>94438.93691</v>
      </c>
      <c r="I1731" s="1">
        <f t="shared" si="7"/>
        <v>154536.4422</v>
      </c>
    </row>
    <row r="1732" hidden="1">
      <c r="A1732" s="266">
        <f>IFERROR(__xludf.DUMMYFUNCTION("""COMPUTED_VALUE"""),44370.99861111111)</f>
        <v>44370.99861</v>
      </c>
      <c r="B1732" s="1">
        <f>IFERROR(__xludf.DUMMYFUNCTION("""COMPUTED_VALUE"""),33661.74)</f>
        <v>33661.74</v>
      </c>
      <c r="C1732" s="58">
        <f t="shared" si="1"/>
        <v>4554.998611</v>
      </c>
      <c r="D1732" s="1">
        <f t="shared" si="2"/>
        <v>8596.298028</v>
      </c>
      <c r="E1732" s="1">
        <f t="shared" si="3"/>
        <v>15473.33645</v>
      </c>
      <c r="F1732" s="1">
        <f t="shared" si="4"/>
        <v>29227.4133</v>
      </c>
      <c r="G1732" s="1">
        <f t="shared" si="5"/>
        <v>51577.78817</v>
      </c>
      <c r="H1732" s="1">
        <f t="shared" si="6"/>
        <v>94559.27831</v>
      </c>
      <c r="I1732" s="1">
        <f t="shared" si="7"/>
        <v>154733.3645</v>
      </c>
    </row>
    <row r="1733" hidden="1">
      <c r="A1733" s="266">
        <f>IFERROR(__xludf.DUMMYFUNCTION("""COMPUTED_VALUE"""),44371.99861111111)</f>
        <v>44371.99861</v>
      </c>
      <c r="B1733" s="1">
        <f>IFERROR(__xludf.DUMMYFUNCTION("""COMPUTED_VALUE"""),34649.07)</f>
        <v>34649.07</v>
      </c>
      <c r="C1733" s="58">
        <f t="shared" si="1"/>
        <v>4555.998611</v>
      </c>
      <c r="D1733" s="1">
        <f t="shared" si="2"/>
        <v>8607.24969</v>
      </c>
      <c r="E1733" s="1">
        <f t="shared" si="3"/>
        <v>15493.04944</v>
      </c>
      <c r="F1733" s="1">
        <f t="shared" si="4"/>
        <v>29264.64895</v>
      </c>
      <c r="G1733" s="1">
        <f t="shared" si="5"/>
        <v>51643.49814</v>
      </c>
      <c r="H1733" s="1">
        <f t="shared" si="6"/>
        <v>94679.74659</v>
      </c>
      <c r="I1733" s="1">
        <f t="shared" si="7"/>
        <v>154930.4944</v>
      </c>
    </row>
    <row r="1734" hidden="1">
      <c r="A1734" s="266">
        <f>IFERROR(__xludf.DUMMYFUNCTION("""COMPUTED_VALUE"""),44372.99861111111)</f>
        <v>44372.99861</v>
      </c>
      <c r="B1734" s="1">
        <f>IFERROR(__xludf.DUMMYFUNCTION("""COMPUTED_VALUE"""),31597.98)</f>
        <v>31597.98</v>
      </c>
      <c r="C1734" s="58">
        <f t="shared" si="1"/>
        <v>4556.998611</v>
      </c>
      <c r="D1734" s="1">
        <f t="shared" si="2"/>
        <v>8618.212897</v>
      </c>
      <c r="E1734" s="1">
        <f t="shared" si="3"/>
        <v>15512.78321</v>
      </c>
      <c r="F1734" s="1">
        <f t="shared" si="4"/>
        <v>29301.92385</v>
      </c>
      <c r="G1734" s="1">
        <f t="shared" si="5"/>
        <v>51709.27738</v>
      </c>
      <c r="H1734" s="1">
        <f t="shared" si="6"/>
        <v>94800.34186</v>
      </c>
      <c r="I1734" s="1">
        <f t="shared" si="7"/>
        <v>155127.8321</v>
      </c>
    </row>
    <row r="1735" hidden="1">
      <c r="A1735" s="266">
        <f>IFERROR(__xludf.DUMMYFUNCTION("""COMPUTED_VALUE"""),44373.99861111111)</f>
        <v>44373.99861</v>
      </c>
      <c r="B1735" s="1">
        <f>IFERROR(__xludf.DUMMYFUNCTION("""COMPUTED_VALUE"""),32214.82)</f>
        <v>32214.82</v>
      </c>
      <c r="C1735" s="58">
        <f t="shared" si="1"/>
        <v>4557.998611</v>
      </c>
      <c r="D1735" s="1">
        <f t="shared" si="2"/>
        <v>8629.187657</v>
      </c>
      <c r="E1735" s="1">
        <f t="shared" si="3"/>
        <v>15532.53778</v>
      </c>
      <c r="F1735" s="1">
        <f t="shared" si="4"/>
        <v>29339.23803</v>
      </c>
      <c r="G1735" s="1">
        <f t="shared" si="5"/>
        <v>51775.12594</v>
      </c>
      <c r="H1735" s="1">
        <f t="shared" si="6"/>
        <v>94921.06423</v>
      </c>
      <c r="I1735" s="1">
        <f t="shared" si="7"/>
        <v>155325.3778</v>
      </c>
    </row>
    <row r="1736" hidden="1">
      <c r="A1736" s="266">
        <f>IFERROR(__xludf.DUMMYFUNCTION("""COMPUTED_VALUE"""),44374.99861111111)</f>
        <v>44374.99861</v>
      </c>
      <c r="B1736" s="1">
        <f>IFERROR(__xludf.DUMMYFUNCTION("""COMPUTED_VALUE"""),34668.56)</f>
        <v>34668.56</v>
      </c>
      <c r="C1736" s="58">
        <f t="shared" si="1"/>
        <v>4558.998611</v>
      </c>
      <c r="D1736" s="1">
        <f t="shared" si="2"/>
        <v>8640.173981</v>
      </c>
      <c r="E1736" s="1">
        <f t="shared" si="3"/>
        <v>15552.31317</v>
      </c>
      <c r="F1736" s="1">
        <f t="shared" si="4"/>
        <v>29376.59154</v>
      </c>
      <c r="G1736" s="1">
        <f t="shared" si="5"/>
        <v>51841.04389</v>
      </c>
      <c r="H1736" s="1">
        <f t="shared" si="6"/>
        <v>95041.91379</v>
      </c>
      <c r="I1736" s="1">
        <f t="shared" si="7"/>
        <v>155523.1317</v>
      </c>
    </row>
    <row r="1737" hidden="1">
      <c r="A1737" s="266">
        <f>IFERROR(__xludf.DUMMYFUNCTION("""COMPUTED_VALUE"""),44375.99861111111)</f>
        <v>44375.99861</v>
      </c>
      <c r="B1737" s="1">
        <f>IFERROR(__xludf.DUMMYFUNCTION("""COMPUTED_VALUE"""),34463.3)</f>
        <v>34463.3</v>
      </c>
      <c r="C1737" s="58">
        <f t="shared" si="1"/>
        <v>4559.998611</v>
      </c>
      <c r="D1737" s="1">
        <f t="shared" si="2"/>
        <v>8651.171878</v>
      </c>
      <c r="E1737" s="1">
        <f t="shared" si="3"/>
        <v>15572.10938</v>
      </c>
      <c r="F1737" s="1">
        <f t="shared" si="4"/>
        <v>29413.98439</v>
      </c>
      <c r="G1737" s="1">
        <f t="shared" si="5"/>
        <v>51907.03127</v>
      </c>
      <c r="H1737" s="1">
        <f t="shared" si="6"/>
        <v>95162.89066</v>
      </c>
      <c r="I1737" s="1">
        <f t="shared" si="7"/>
        <v>155721.0938</v>
      </c>
    </row>
    <row r="1738" hidden="1">
      <c r="A1738" s="266">
        <f>IFERROR(__xludf.DUMMYFUNCTION("""COMPUTED_VALUE"""),44376.99861111111)</f>
        <v>44376.99861</v>
      </c>
      <c r="B1738" s="1">
        <f>IFERROR(__xludf.DUMMYFUNCTION("""COMPUTED_VALUE"""),35852.64)</f>
        <v>35852.64</v>
      </c>
      <c r="C1738" s="58">
        <f t="shared" si="1"/>
        <v>4560.998611</v>
      </c>
      <c r="D1738" s="1">
        <f t="shared" si="2"/>
        <v>8662.181358</v>
      </c>
      <c r="E1738" s="1">
        <f t="shared" si="3"/>
        <v>15591.92644</v>
      </c>
      <c r="F1738" s="1">
        <f t="shared" si="4"/>
        <v>29451.41662</v>
      </c>
      <c r="G1738" s="1">
        <f t="shared" si="5"/>
        <v>51973.08815</v>
      </c>
      <c r="H1738" s="1">
        <f t="shared" si="6"/>
        <v>95283.99494</v>
      </c>
      <c r="I1738" s="1">
        <f t="shared" si="7"/>
        <v>155919.2644</v>
      </c>
    </row>
    <row r="1739" hidden="1">
      <c r="A1739" s="266">
        <f>IFERROR(__xludf.DUMMYFUNCTION("""COMPUTED_VALUE"""),44377.99861111111)</f>
        <v>44377.99861</v>
      </c>
      <c r="B1739" s="1">
        <f>IFERROR(__xludf.DUMMYFUNCTION("""COMPUTED_VALUE"""),35031.71)</f>
        <v>35031.71</v>
      </c>
      <c r="C1739" s="58">
        <f t="shared" si="1"/>
        <v>4561.998611</v>
      </c>
      <c r="D1739" s="1">
        <f t="shared" si="2"/>
        <v>8673.20243</v>
      </c>
      <c r="E1739" s="1">
        <f t="shared" si="3"/>
        <v>15611.76437</v>
      </c>
      <c r="F1739" s="1">
        <f t="shared" si="4"/>
        <v>29488.88826</v>
      </c>
      <c r="G1739" s="1">
        <f t="shared" si="5"/>
        <v>52039.21458</v>
      </c>
      <c r="H1739" s="1">
        <f t="shared" si="6"/>
        <v>95405.22673</v>
      </c>
      <c r="I1739" s="1">
        <f t="shared" si="7"/>
        <v>156117.6437</v>
      </c>
    </row>
    <row r="1740" hidden="1">
      <c r="A1740" s="266">
        <f>IFERROR(__xludf.DUMMYFUNCTION("""COMPUTED_VALUE"""),44378.99861111111)</f>
        <v>44378.99861</v>
      </c>
      <c r="B1740" s="1">
        <f>IFERROR(__xludf.DUMMYFUNCTION("""COMPUTED_VALUE"""),33548.11)</f>
        <v>33548.11</v>
      </c>
      <c r="C1740" s="58">
        <f t="shared" si="1"/>
        <v>4562.998611</v>
      </c>
      <c r="D1740" s="1">
        <f t="shared" si="2"/>
        <v>8684.235105</v>
      </c>
      <c r="E1740" s="1">
        <f t="shared" si="3"/>
        <v>15631.62319</v>
      </c>
      <c r="F1740" s="1">
        <f t="shared" si="4"/>
        <v>29526.39936</v>
      </c>
      <c r="G1740" s="1">
        <f t="shared" si="5"/>
        <v>52105.41063</v>
      </c>
      <c r="H1740" s="1">
        <f t="shared" si="6"/>
        <v>95526.58615</v>
      </c>
      <c r="I1740" s="1">
        <f t="shared" si="7"/>
        <v>156316.2319</v>
      </c>
    </row>
    <row r="1741" hidden="1">
      <c r="A1741" s="266">
        <f>IFERROR(__xludf.DUMMYFUNCTION("""COMPUTED_VALUE"""),44379.99861111111)</f>
        <v>44379.99861</v>
      </c>
      <c r="B1741" s="1">
        <f>IFERROR(__xludf.DUMMYFUNCTION("""COMPUTED_VALUE"""),33830.32)</f>
        <v>33830.32</v>
      </c>
      <c r="C1741" s="58">
        <f t="shared" si="1"/>
        <v>4563.998611</v>
      </c>
      <c r="D1741" s="1">
        <f t="shared" si="2"/>
        <v>8695.279391</v>
      </c>
      <c r="E1741" s="1">
        <f t="shared" si="3"/>
        <v>15651.5029</v>
      </c>
      <c r="F1741" s="1">
        <f t="shared" si="4"/>
        <v>29563.94993</v>
      </c>
      <c r="G1741" s="1">
        <f t="shared" si="5"/>
        <v>52171.67635</v>
      </c>
      <c r="H1741" s="1">
        <f t="shared" si="6"/>
        <v>95648.0733</v>
      </c>
      <c r="I1741" s="1">
        <f t="shared" si="7"/>
        <v>156515.029</v>
      </c>
    </row>
    <row r="1742" hidden="1">
      <c r="A1742" s="266">
        <f>IFERROR(__xludf.DUMMYFUNCTION("""COMPUTED_VALUE"""),44380.99861111111)</f>
        <v>44380.99861</v>
      </c>
      <c r="B1742" s="1">
        <f>IFERROR(__xludf.DUMMYFUNCTION("""COMPUTED_VALUE"""),34681.76)</f>
        <v>34681.76</v>
      </c>
      <c r="C1742" s="58">
        <f t="shared" si="1"/>
        <v>4564.998611</v>
      </c>
      <c r="D1742" s="1">
        <f t="shared" si="2"/>
        <v>8706.335299</v>
      </c>
      <c r="E1742" s="1">
        <f t="shared" si="3"/>
        <v>15671.40354</v>
      </c>
      <c r="F1742" s="1">
        <f t="shared" si="4"/>
        <v>29601.54002</v>
      </c>
      <c r="G1742" s="1">
        <f t="shared" si="5"/>
        <v>52238.01179</v>
      </c>
      <c r="H1742" s="1">
        <f t="shared" si="6"/>
        <v>95769.68829</v>
      </c>
      <c r="I1742" s="1">
        <f t="shared" si="7"/>
        <v>156714.0354</v>
      </c>
    </row>
    <row r="1743" hidden="1">
      <c r="A1743" s="266">
        <f>IFERROR(__xludf.DUMMYFUNCTION("""COMPUTED_VALUE"""),44381.99861111111)</f>
        <v>44381.99861</v>
      </c>
      <c r="B1743" s="1">
        <f>IFERROR(__xludf.DUMMYFUNCTION("""COMPUTED_VALUE"""),35302.52)</f>
        <v>35302.52</v>
      </c>
      <c r="C1743" s="58">
        <f t="shared" si="1"/>
        <v>4565.998611</v>
      </c>
      <c r="D1743" s="1">
        <f t="shared" si="2"/>
        <v>8717.402838</v>
      </c>
      <c r="E1743" s="1">
        <f t="shared" si="3"/>
        <v>15691.32511</v>
      </c>
      <c r="F1743" s="1">
        <f t="shared" si="4"/>
        <v>29639.16965</v>
      </c>
      <c r="G1743" s="1">
        <f t="shared" si="5"/>
        <v>52304.41703</v>
      </c>
      <c r="H1743" s="1">
        <f t="shared" si="6"/>
        <v>95891.43122</v>
      </c>
      <c r="I1743" s="1">
        <f t="shared" si="7"/>
        <v>156913.2511</v>
      </c>
    </row>
    <row r="1744" hidden="1">
      <c r="A1744" s="266">
        <f>IFERROR(__xludf.DUMMYFUNCTION("""COMPUTED_VALUE"""),44382.99861111111)</f>
        <v>44382.99861</v>
      </c>
      <c r="B1744" s="1">
        <f>IFERROR(__xludf.DUMMYFUNCTION("""COMPUTED_VALUE"""),33707.41)</f>
        <v>33707.41</v>
      </c>
      <c r="C1744" s="58">
        <f t="shared" si="1"/>
        <v>4566.998611</v>
      </c>
      <c r="D1744" s="1">
        <f t="shared" si="2"/>
        <v>8728.482018</v>
      </c>
      <c r="E1744" s="1">
        <f t="shared" si="3"/>
        <v>15711.26763</v>
      </c>
      <c r="F1744" s="1">
        <f t="shared" si="4"/>
        <v>29676.83886</v>
      </c>
      <c r="G1744" s="1">
        <f t="shared" si="5"/>
        <v>52370.89211</v>
      </c>
      <c r="H1744" s="1">
        <f t="shared" si="6"/>
        <v>96013.3022</v>
      </c>
      <c r="I1744" s="1">
        <f t="shared" si="7"/>
        <v>157112.6763</v>
      </c>
    </row>
    <row r="1745" hidden="1">
      <c r="A1745" s="266">
        <f>IFERROR(__xludf.DUMMYFUNCTION("""COMPUTED_VALUE"""),44383.99861111111)</f>
        <v>44383.99861</v>
      </c>
      <c r="B1745" s="1">
        <f>IFERROR(__xludf.DUMMYFUNCTION("""COMPUTED_VALUE"""),34224.65)</f>
        <v>34224.65</v>
      </c>
      <c r="C1745" s="58">
        <f t="shared" si="1"/>
        <v>4567.998611</v>
      </c>
      <c r="D1745" s="1">
        <f t="shared" si="2"/>
        <v>8739.572848</v>
      </c>
      <c r="E1745" s="1">
        <f t="shared" si="3"/>
        <v>15731.23113</v>
      </c>
      <c r="F1745" s="1">
        <f t="shared" si="4"/>
        <v>29714.54768</v>
      </c>
      <c r="G1745" s="1">
        <f t="shared" si="5"/>
        <v>52437.43709</v>
      </c>
      <c r="H1745" s="1">
        <f t="shared" si="6"/>
        <v>96135.30133</v>
      </c>
      <c r="I1745" s="1">
        <f t="shared" si="7"/>
        <v>157312.3113</v>
      </c>
    </row>
    <row r="1746" hidden="1">
      <c r="A1746" s="266">
        <f>IFERROR(__xludf.DUMMYFUNCTION("""COMPUTED_VALUE"""),44384.99861111111)</f>
        <v>44384.99861</v>
      </c>
      <c r="B1746" s="1">
        <f>IFERROR(__xludf.DUMMYFUNCTION("""COMPUTED_VALUE"""),33876.87)</f>
        <v>33876.87</v>
      </c>
      <c r="C1746" s="58">
        <f t="shared" si="1"/>
        <v>4568.998611</v>
      </c>
      <c r="D1746" s="1">
        <f t="shared" si="2"/>
        <v>8750.675339</v>
      </c>
      <c r="E1746" s="1">
        <f t="shared" si="3"/>
        <v>15751.21561</v>
      </c>
      <c r="F1746" s="1">
        <f t="shared" si="4"/>
        <v>29752.29615</v>
      </c>
      <c r="G1746" s="1">
        <f t="shared" si="5"/>
        <v>52504.05203</v>
      </c>
      <c r="H1746" s="1">
        <f t="shared" si="6"/>
        <v>96257.42873</v>
      </c>
      <c r="I1746" s="1">
        <f t="shared" si="7"/>
        <v>157512.1561</v>
      </c>
    </row>
    <row r="1747" hidden="1">
      <c r="A1747" s="266">
        <f>IFERROR(__xludf.DUMMYFUNCTION("""COMPUTED_VALUE"""),44385.99861111111)</f>
        <v>44385.99861</v>
      </c>
      <c r="B1747" s="1">
        <f>IFERROR(__xludf.DUMMYFUNCTION("""COMPUTED_VALUE"""),32865.52)</f>
        <v>32865.52</v>
      </c>
      <c r="C1747" s="58">
        <f t="shared" si="1"/>
        <v>4569.998611</v>
      </c>
      <c r="D1747" s="1">
        <f t="shared" si="2"/>
        <v>8761.7895</v>
      </c>
      <c r="E1747" s="1">
        <f t="shared" si="3"/>
        <v>15771.2211</v>
      </c>
      <c r="F1747" s="1">
        <f t="shared" si="4"/>
        <v>29790.0843</v>
      </c>
      <c r="G1747" s="1">
        <f t="shared" si="5"/>
        <v>52570.737</v>
      </c>
      <c r="H1747" s="1">
        <f t="shared" si="6"/>
        <v>96379.6845</v>
      </c>
      <c r="I1747" s="1">
        <f t="shared" si="7"/>
        <v>157712.211</v>
      </c>
    </row>
    <row r="1748" hidden="1">
      <c r="A1748" s="266">
        <f>IFERROR(__xludf.DUMMYFUNCTION("""COMPUTED_VALUE"""),44386.99861111111)</f>
        <v>44386.99861</v>
      </c>
      <c r="B1748" s="1">
        <f>IFERROR(__xludf.DUMMYFUNCTION("""COMPUTED_VALUE"""),33803.7)</f>
        <v>33803.7</v>
      </c>
      <c r="C1748" s="58">
        <f t="shared" si="1"/>
        <v>4570.998611</v>
      </c>
      <c r="D1748" s="1">
        <f t="shared" si="2"/>
        <v>8772.91534</v>
      </c>
      <c r="E1748" s="1">
        <f t="shared" si="3"/>
        <v>15791.24761</v>
      </c>
      <c r="F1748" s="1">
        <f t="shared" si="4"/>
        <v>29827.91216</v>
      </c>
      <c r="G1748" s="1">
        <f t="shared" si="5"/>
        <v>52637.49204</v>
      </c>
      <c r="H1748" s="1">
        <f t="shared" si="6"/>
        <v>96502.06874</v>
      </c>
      <c r="I1748" s="1">
        <f t="shared" si="7"/>
        <v>157912.4761</v>
      </c>
    </row>
    <row r="1749" hidden="1">
      <c r="A1749" s="266">
        <f>IFERROR(__xludf.DUMMYFUNCTION("""COMPUTED_VALUE"""),44387.99861111111)</f>
        <v>44387.99861</v>
      </c>
      <c r="B1749" s="1">
        <f>IFERROR(__xludf.DUMMYFUNCTION("""COMPUTED_VALUE"""),33513.73)</f>
        <v>33513.73</v>
      </c>
      <c r="C1749" s="58">
        <f t="shared" si="1"/>
        <v>4571.998611</v>
      </c>
      <c r="D1749" s="1">
        <f t="shared" si="2"/>
        <v>8784.05287</v>
      </c>
      <c r="E1749" s="1">
        <f t="shared" si="3"/>
        <v>15811.29517</v>
      </c>
      <c r="F1749" s="1">
        <f t="shared" si="4"/>
        <v>29865.77976</v>
      </c>
      <c r="G1749" s="1">
        <f t="shared" si="5"/>
        <v>52704.31722</v>
      </c>
      <c r="H1749" s="1">
        <f t="shared" si="6"/>
        <v>96624.58156</v>
      </c>
      <c r="I1749" s="1">
        <f t="shared" si="7"/>
        <v>158112.9517</v>
      </c>
    </row>
    <row r="1750" hidden="1">
      <c r="A1750" s="266">
        <f>IFERROR(__xludf.DUMMYFUNCTION("""COMPUTED_VALUE"""),44388.99861111111)</f>
        <v>44388.99861</v>
      </c>
      <c r="B1750" s="1">
        <f>IFERROR(__xludf.DUMMYFUNCTION("""COMPUTED_VALUE"""),34246.41)</f>
        <v>34246.41</v>
      </c>
      <c r="C1750" s="58">
        <f t="shared" si="1"/>
        <v>4572.998611</v>
      </c>
      <c r="D1750" s="1">
        <f t="shared" si="2"/>
        <v>8795.202098</v>
      </c>
      <c r="E1750" s="1">
        <f t="shared" si="3"/>
        <v>15831.36378</v>
      </c>
      <c r="F1750" s="1">
        <f t="shared" si="4"/>
        <v>29903.68713</v>
      </c>
      <c r="G1750" s="1">
        <f t="shared" si="5"/>
        <v>52771.21259</v>
      </c>
      <c r="H1750" s="1">
        <f t="shared" si="6"/>
        <v>96747.22308</v>
      </c>
      <c r="I1750" s="1">
        <f t="shared" si="7"/>
        <v>158313.6378</v>
      </c>
    </row>
    <row r="1751" hidden="1">
      <c r="A1751" s="266">
        <f>IFERROR(__xludf.DUMMYFUNCTION("""COMPUTED_VALUE"""),44389.99861111111)</f>
        <v>44389.99861</v>
      </c>
      <c r="B1751" s="1">
        <f>IFERROR(__xludf.DUMMYFUNCTION("""COMPUTED_VALUE"""),33114.86)</f>
        <v>33114.86</v>
      </c>
      <c r="C1751" s="58">
        <f t="shared" si="1"/>
        <v>4573.998611</v>
      </c>
      <c r="D1751" s="1">
        <f t="shared" si="2"/>
        <v>8806.363036</v>
      </c>
      <c r="E1751" s="1">
        <f t="shared" si="3"/>
        <v>15851.45346</v>
      </c>
      <c r="F1751" s="1">
        <f t="shared" si="4"/>
        <v>29941.63432</v>
      </c>
      <c r="G1751" s="1">
        <f t="shared" si="5"/>
        <v>52838.17821</v>
      </c>
      <c r="H1751" s="1">
        <f t="shared" si="6"/>
        <v>96869.99339</v>
      </c>
      <c r="I1751" s="1">
        <f t="shared" si="7"/>
        <v>158514.5346</v>
      </c>
    </row>
    <row r="1752" hidden="1">
      <c r="A1752" s="266">
        <f>IFERROR(__xludf.DUMMYFUNCTION("""COMPUTED_VALUE"""),44390.99861111111)</f>
        <v>44390.99861</v>
      </c>
      <c r="B1752" s="1">
        <f>IFERROR(__xludf.DUMMYFUNCTION("""COMPUTED_VALUE"""),32724.95)</f>
        <v>32724.95</v>
      </c>
      <c r="C1752" s="58">
        <f t="shared" si="1"/>
        <v>4574.998611</v>
      </c>
      <c r="D1752" s="1">
        <f t="shared" si="2"/>
        <v>8817.535692</v>
      </c>
      <c r="E1752" s="1">
        <f t="shared" si="3"/>
        <v>15871.56425</v>
      </c>
      <c r="F1752" s="1">
        <f t="shared" si="4"/>
        <v>29979.62135</v>
      </c>
      <c r="G1752" s="1">
        <f t="shared" si="5"/>
        <v>52905.21415</v>
      </c>
      <c r="H1752" s="1">
        <f t="shared" si="6"/>
        <v>96992.89261</v>
      </c>
      <c r="I1752" s="1">
        <f t="shared" si="7"/>
        <v>158715.6425</v>
      </c>
    </row>
    <row r="1753" hidden="1">
      <c r="A1753" s="266">
        <f>IFERROR(__xludf.DUMMYFUNCTION("""COMPUTED_VALUE"""),44391.99861111111)</f>
        <v>44391.99861</v>
      </c>
      <c r="B1753" s="1">
        <f>IFERROR(__xludf.DUMMYFUNCTION("""COMPUTED_VALUE"""),32817.09)</f>
        <v>32817.09</v>
      </c>
      <c r="C1753" s="58">
        <f t="shared" si="1"/>
        <v>4575.998611</v>
      </c>
      <c r="D1753" s="1">
        <f t="shared" si="2"/>
        <v>8828.720076</v>
      </c>
      <c r="E1753" s="1">
        <f t="shared" si="3"/>
        <v>15891.69614</v>
      </c>
      <c r="F1753" s="1">
        <f t="shared" si="4"/>
        <v>30017.64826</v>
      </c>
      <c r="G1753" s="1">
        <f t="shared" si="5"/>
        <v>52972.32046</v>
      </c>
      <c r="H1753" s="1">
        <f t="shared" si="6"/>
        <v>97115.92084</v>
      </c>
      <c r="I1753" s="1">
        <f t="shared" si="7"/>
        <v>158916.9614</v>
      </c>
    </row>
    <row r="1754" hidden="1">
      <c r="A1754" s="266">
        <f>IFERROR(__xludf.DUMMYFUNCTION("""COMPUTED_VALUE"""),44392.99861111111)</f>
        <v>44392.99861</v>
      </c>
      <c r="B1754" s="1">
        <f>IFERROR(__xludf.DUMMYFUNCTION("""COMPUTED_VALUE"""),31848.45)</f>
        <v>31848.45</v>
      </c>
      <c r="C1754" s="58">
        <f t="shared" si="1"/>
        <v>4576.998611</v>
      </c>
      <c r="D1754" s="1">
        <f t="shared" si="2"/>
        <v>8839.916199</v>
      </c>
      <c r="E1754" s="1">
        <f t="shared" si="3"/>
        <v>15911.84916</v>
      </c>
      <c r="F1754" s="1">
        <f t="shared" si="4"/>
        <v>30055.71508</v>
      </c>
      <c r="G1754" s="1">
        <f t="shared" si="5"/>
        <v>53039.49719</v>
      </c>
      <c r="H1754" s="1">
        <f t="shared" si="6"/>
        <v>97239.07818</v>
      </c>
      <c r="I1754" s="1">
        <f t="shared" si="7"/>
        <v>159118.4916</v>
      </c>
    </row>
    <row r="1755" hidden="1">
      <c r="A1755" s="266">
        <f>IFERROR(__xludf.DUMMYFUNCTION("""COMPUTED_VALUE"""),44393.99861111111)</f>
        <v>44393.99861</v>
      </c>
      <c r="B1755" s="1">
        <f>IFERROR(__xludf.DUMMYFUNCTION("""COMPUTED_VALUE"""),31401.63)</f>
        <v>31401.63</v>
      </c>
      <c r="C1755" s="58">
        <f t="shared" si="1"/>
        <v>4577.998611</v>
      </c>
      <c r="D1755" s="1">
        <f t="shared" si="2"/>
        <v>8851.124069</v>
      </c>
      <c r="E1755" s="1">
        <f t="shared" si="3"/>
        <v>15932.02332</v>
      </c>
      <c r="F1755" s="1">
        <f t="shared" si="4"/>
        <v>30093.82183</v>
      </c>
      <c r="G1755" s="1">
        <f t="shared" si="5"/>
        <v>53106.74441</v>
      </c>
      <c r="H1755" s="1">
        <f t="shared" si="6"/>
        <v>97362.36476</v>
      </c>
      <c r="I1755" s="1">
        <f t="shared" si="7"/>
        <v>159320.2332</v>
      </c>
    </row>
    <row r="1756" hidden="1">
      <c r="A1756" s="266">
        <f>IFERROR(__xludf.DUMMYFUNCTION("""COMPUTED_VALUE"""),44394.99861111111)</f>
        <v>44394.99861</v>
      </c>
      <c r="B1756" s="1">
        <f>IFERROR(__xludf.DUMMYFUNCTION("""COMPUTED_VALUE"""),31539.02)</f>
        <v>31539.02</v>
      </c>
      <c r="C1756" s="58">
        <f t="shared" si="1"/>
        <v>4578.998611</v>
      </c>
      <c r="D1756" s="1">
        <f t="shared" si="2"/>
        <v>8862.343696</v>
      </c>
      <c r="E1756" s="1">
        <f t="shared" si="3"/>
        <v>15952.21865</v>
      </c>
      <c r="F1756" s="1">
        <f t="shared" si="4"/>
        <v>30131.96857</v>
      </c>
      <c r="G1756" s="1">
        <f t="shared" si="5"/>
        <v>53174.06218</v>
      </c>
      <c r="H1756" s="1">
        <f t="shared" si="6"/>
        <v>97485.78066</v>
      </c>
      <c r="I1756" s="1">
        <f t="shared" si="7"/>
        <v>159522.1865</v>
      </c>
    </row>
    <row r="1757" hidden="1">
      <c r="A1757" s="266">
        <f>IFERROR(__xludf.DUMMYFUNCTION("""COMPUTED_VALUE"""),44395.99861111111)</f>
        <v>44395.99861</v>
      </c>
      <c r="B1757" s="1">
        <f>IFERROR(__xludf.DUMMYFUNCTION("""COMPUTED_VALUE"""),31802.68)</f>
        <v>31802.68</v>
      </c>
      <c r="C1757" s="58">
        <f t="shared" si="1"/>
        <v>4579.998611</v>
      </c>
      <c r="D1757" s="1">
        <f t="shared" si="2"/>
        <v>8873.575091</v>
      </c>
      <c r="E1757" s="1">
        <f t="shared" si="3"/>
        <v>15972.43516</v>
      </c>
      <c r="F1757" s="1">
        <f t="shared" si="4"/>
        <v>30170.15531</v>
      </c>
      <c r="G1757" s="1">
        <f t="shared" si="5"/>
        <v>53241.45055</v>
      </c>
      <c r="H1757" s="1">
        <f t="shared" si="6"/>
        <v>97609.32601</v>
      </c>
      <c r="I1757" s="1">
        <f t="shared" si="7"/>
        <v>159724.3516</v>
      </c>
    </row>
    <row r="1758" hidden="1">
      <c r="A1758" s="266">
        <f>IFERROR(__xludf.DUMMYFUNCTION("""COMPUTED_VALUE"""),44396.99861111111)</f>
        <v>44396.99861</v>
      </c>
      <c r="B1758" s="1">
        <f>IFERROR(__xludf.DUMMYFUNCTION("""COMPUTED_VALUE"""),30838.26)</f>
        <v>30838.26</v>
      </c>
      <c r="C1758" s="58">
        <f t="shared" si="1"/>
        <v>4580.998611</v>
      </c>
      <c r="D1758" s="1">
        <f t="shared" si="2"/>
        <v>8884.818263</v>
      </c>
      <c r="E1758" s="1">
        <f t="shared" si="3"/>
        <v>15992.67287</v>
      </c>
      <c r="F1758" s="1">
        <f t="shared" si="4"/>
        <v>30208.3821</v>
      </c>
      <c r="G1758" s="1">
        <f t="shared" si="5"/>
        <v>53308.90958</v>
      </c>
      <c r="H1758" s="1">
        <f t="shared" si="6"/>
        <v>97733.0009</v>
      </c>
      <c r="I1758" s="1">
        <f t="shared" si="7"/>
        <v>159926.7287</v>
      </c>
    </row>
    <row r="1759" hidden="1">
      <c r="A1759" s="266">
        <f>IFERROR(__xludf.DUMMYFUNCTION("""COMPUTED_VALUE"""),44397.99861111111)</f>
        <v>44397.99861</v>
      </c>
      <c r="B1759" s="1">
        <f>IFERROR(__xludf.DUMMYFUNCTION("""COMPUTED_VALUE"""),29790.22)</f>
        <v>29790.22</v>
      </c>
      <c r="C1759" s="58">
        <f t="shared" si="1"/>
        <v>4581.998611</v>
      </c>
      <c r="D1759" s="1">
        <f t="shared" si="2"/>
        <v>8896.073222</v>
      </c>
      <c r="E1759" s="1">
        <f t="shared" si="3"/>
        <v>16012.9318</v>
      </c>
      <c r="F1759" s="1">
        <f t="shared" si="4"/>
        <v>30246.64896</v>
      </c>
      <c r="G1759" s="1">
        <f t="shared" si="5"/>
        <v>53376.43933</v>
      </c>
      <c r="H1759" s="1">
        <f t="shared" si="6"/>
        <v>97856.80545</v>
      </c>
      <c r="I1759" s="1">
        <f t="shared" si="7"/>
        <v>160129.318</v>
      </c>
    </row>
    <row r="1760" hidden="1">
      <c r="A1760" s="266">
        <f>IFERROR(__xludf.DUMMYFUNCTION("""COMPUTED_VALUE"""),44398.99861111111)</f>
        <v>44398.99861</v>
      </c>
      <c r="B1760" s="1">
        <f>IFERROR(__xludf.DUMMYFUNCTION("""COMPUTED_VALUE"""),32121.27)</f>
        <v>32121.27</v>
      </c>
      <c r="C1760" s="58">
        <f t="shared" si="1"/>
        <v>4582.998611</v>
      </c>
      <c r="D1760" s="1">
        <f t="shared" si="2"/>
        <v>8907.339978</v>
      </c>
      <c r="E1760" s="1">
        <f t="shared" si="3"/>
        <v>16033.21196</v>
      </c>
      <c r="F1760" s="1">
        <f t="shared" si="4"/>
        <v>30284.95592</v>
      </c>
      <c r="G1760" s="1">
        <f t="shared" si="5"/>
        <v>53444.03987</v>
      </c>
      <c r="H1760" s="1">
        <f t="shared" si="6"/>
        <v>97980.73976</v>
      </c>
      <c r="I1760" s="1">
        <f t="shared" si="7"/>
        <v>160332.1196</v>
      </c>
    </row>
    <row r="1761" hidden="1">
      <c r="A1761" s="266">
        <f>IFERROR(__xludf.DUMMYFUNCTION("""COMPUTED_VALUE"""),44399.99861111111)</f>
        <v>44399.99861</v>
      </c>
      <c r="B1761" s="1">
        <f>IFERROR(__xludf.DUMMYFUNCTION("""COMPUTED_VALUE"""),32303.9)</f>
        <v>32303.9</v>
      </c>
      <c r="C1761" s="58">
        <f t="shared" si="1"/>
        <v>4583.998611</v>
      </c>
      <c r="D1761" s="1">
        <f t="shared" si="2"/>
        <v>8918.61854</v>
      </c>
      <c r="E1761" s="1">
        <f t="shared" si="3"/>
        <v>16053.51337</v>
      </c>
      <c r="F1761" s="1">
        <f t="shared" si="4"/>
        <v>30323.30304</v>
      </c>
      <c r="G1761" s="1">
        <f t="shared" si="5"/>
        <v>53511.71124</v>
      </c>
      <c r="H1761" s="1">
        <f t="shared" si="6"/>
        <v>98104.80394</v>
      </c>
      <c r="I1761" s="1">
        <f t="shared" si="7"/>
        <v>160535.1337</v>
      </c>
    </row>
    <row r="1762" hidden="1">
      <c r="A1762" s="266">
        <f>IFERROR(__xludf.DUMMYFUNCTION("""COMPUTED_VALUE"""),44400.99861111111)</f>
        <v>44400.99861</v>
      </c>
      <c r="B1762" s="1">
        <f>IFERROR(__xludf.DUMMYFUNCTION("""COMPUTED_VALUE"""),33604.89)</f>
        <v>33604.89</v>
      </c>
      <c r="C1762" s="58">
        <f t="shared" si="1"/>
        <v>4584.998611</v>
      </c>
      <c r="D1762" s="1">
        <f t="shared" si="2"/>
        <v>8929.908918</v>
      </c>
      <c r="E1762" s="1">
        <f t="shared" si="3"/>
        <v>16073.83605</v>
      </c>
      <c r="F1762" s="1">
        <f t="shared" si="4"/>
        <v>30361.69032</v>
      </c>
      <c r="G1762" s="1">
        <f t="shared" si="5"/>
        <v>53579.45351</v>
      </c>
      <c r="H1762" s="1">
        <f t="shared" si="6"/>
        <v>98228.9981</v>
      </c>
      <c r="I1762" s="1">
        <f t="shared" si="7"/>
        <v>160738.3605</v>
      </c>
    </row>
    <row r="1763" hidden="1">
      <c r="A1763" s="266">
        <f>IFERROR(__xludf.DUMMYFUNCTION("""COMPUTED_VALUE"""),44401.99861111111)</f>
        <v>44401.99861</v>
      </c>
      <c r="B1763" s="1">
        <f>IFERROR(__xludf.DUMMYFUNCTION("""COMPUTED_VALUE"""),34280.88)</f>
        <v>34280.88</v>
      </c>
      <c r="C1763" s="58">
        <f t="shared" si="1"/>
        <v>4585.998611</v>
      </c>
      <c r="D1763" s="1">
        <f t="shared" si="2"/>
        <v>8941.211122</v>
      </c>
      <c r="E1763" s="1">
        <f t="shared" si="3"/>
        <v>16094.18002</v>
      </c>
      <c r="F1763" s="1">
        <f t="shared" si="4"/>
        <v>30400.11782</v>
      </c>
      <c r="G1763" s="1">
        <f t="shared" si="5"/>
        <v>53647.26673</v>
      </c>
      <c r="H1763" s="1">
        <f t="shared" si="6"/>
        <v>98353.32234</v>
      </c>
      <c r="I1763" s="1">
        <f t="shared" si="7"/>
        <v>160941.8002</v>
      </c>
    </row>
    <row r="1764" hidden="1">
      <c r="A1764" s="266">
        <f>IFERROR(__xludf.DUMMYFUNCTION("""COMPUTED_VALUE"""),44402.99861111111)</f>
        <v>44402.99861</v>
      </c>
      <c r="B1764" s="1">
        <f>IFERROR(__xludf.DUMMYFUNCTION("""COMPUTED_VALUE"""),35412.74)</f>
        <v>35412.74</v>
      </c>
      <c r="C1764" s="58">
        <f t="shared" si="1"/>
        <v>4586.998611</v>
      </c>
      <c r="D1764" s="1">
        <f t="shared" si="2"/>
        <v>8952.525162</v>
      </c>
      <c r="E1764" s="1">
        <f t="shared" si="3"/>
        <v>16114.54529</v>
      </c>
      <c r="F1764" s="1">
        <f t="shared" si="4"/>
        <v>30438.58555</v>
      </c>
      <c r="G1764" s="1">
        <f t="shared" si="5"/>
        <v>53715.15097</v>
      </c>
      <c r="H1764" s="1">
        <f t="shared" si="6"/>
        <v>98477.77678</v>
      </c>
      <c r="I1764" s="1">
        <f t="shared" si="7"/>
        <v>161145.4529</v>
      </c>
    </row>
    <row r="1765" hidden="1">
      <c r="A1765" s="266">
        <f>IFERROR(__xludf.DUMMYFUNCTION("""COMPUTED_VALUE"""),44403.99861111111)</f>
        <v>44403.99861</v>
      </c>
      <c r="B1765" s="1">
        <f>IFERROR(__xludf.DUMMYFUNCTION("""COMPUTED_VALUE"""),37306.7)</f>
        <v>37306.7</v>
      </c>
      <c r="C1765" s="58">
        <f t="shared" si="1"/>
        <v>4587.998611</v>
      </c>
      <c r="D1765" s="1">
        <f t="shared" si="2"/>
        <v>8963.851048</v>
      </c>
      <c r="E1765" s="1">
        <f t="shared" si="3"/>
        <v>16134.93189</v>
      </c>
      <c r="F1765" s="1">
        <f t="shared" si="4"/>
        <v>30477.09356</v>
      </c>
      <c r="G1765" s="1">
        <f t="shared" si="5"/>
        <v>53783.10629</v>
      </c>
      <c r="H1765" s="1">
        <f t="shared" si="6"/>
        <v>98602.36152</v>
      </c>
      <c r="I1765" s="1">
        <f t="shared" si="7"/>
        <v>161349.3189</v>
      </c>
    </row>
    <row r="1766" hidden="1">
      <c r="A1766" s="266">
        <f>IFERROR(__xludf.DUMMYFUNCTION("""COMPUTED_VALUE"""),44404.99861111111)</f>
        <v>44404.99861</v>
      </c>
      <c r="B1766" s="1">
        <f>IFERROR(__xludf.DUMMYFUNCTION("""COMPUTED_VALUE"""),39430.78)</f>
        <v>39430.78</v>
      </c>
      <c r="C1766" s="58">
        <f t="shared" si="1"/>
        <v>4588.998611</v>
      </c>
      <c r="D1766" s="1">
        <f t="shared" si="2"/>
        <v>8975.188789</v>
      </c>
      <c r="E1766" s="1">
        <f t="shared" si="3"/>
        <v>16155.33982</v>
      </c>
      <c r="F1766" s="1">
        <f t="shared" si="4"/>
        <v>30515.64188</v>
      </c>
      <c r="G1766" s="1">
        <f t="shared" si="5"/>
        <v>53851.13273</v>
      </c>
      <c r="H1766" s="1">
        <f t="shared" si="6"/>
        <v>98727.07668</v>
      </c>
      <c r="I1766" s="1">
        <f t="shared" si="7"/>
        <v>161553.3982</v>
      </c>
    </row>
    <row r="1767" hidden="1">
      <c r="A1767" s="266">
        <f>IFERROR(__xludf.DUMMYFUNCTION("""COMPUTED_VALUE"""),44405.99861111111)</f>
        <v>44405.99861</v>
      </c>
      <c r="B1767" s="1">
        <f>IFERROR(__xludf.DUMMYFUNCTION("""COMPUTED_VALUE"""),40005.39)</f>
        <v>40005.39</v>
      </c>
      <c r="C1767" s="58">
        <f t="shared" si="1"/>
        <v>4589.998611</v>
      </c>
      <c r="D1767" s="1">
        <f t="shared" si="2"/>
        <v>8986.538395</v>
      </c>
      <c r="E1767" s="1">
        <f t="shared" si="3"/>
        <v>16175.76911</v>
      </c>
      <c r="F1767" s="1">
        <f t="shared" si="4"/>
        <v>30554.23054</v>
      </c>
      <c r="G1767" s="1">
        <f t="shared" si="5"/>
        <v>53919.23037</v>
      </c>
      <c r="H1767" s="1">
        <f t="shared" si="6"/>
        <v>98851.92234</v>
      </c>
      <c r="I1767" s="1">
        <f t="shared" si="7"/>
        <v>161757.6911</v>
      </c>
    </row>
    <row r="1768" hidden="1">
      <c r="A1768" s="266">
        <f>IFERROR(__xludf.DUMMYFUNCTION("""COMPUTED_VALUE"""),44406.99861111111)</f>
        <v>44406.99861</v>
      </c>
      <c r="B1768" s="1">
        <f>IFERROR(__xludf.DUMMYFUNCTION("""COMPUTED_VALUE"""),40028.84)</f>
        <v>40028.84</v>
      </c>
      <c r="C1768" s="58">
        <f t="shared" si="1"/>
        <v>4590.998611</v>
      </c>
      <c r="D1768" s="1">
        <f t="shared" si="2"/>
        <v>8997.899876</v>
      </c>
      <c r="E1768" s="1">
        <f t="shared" si="3"/>
        <v>16196.21978</v>
      </c>
      <c r="F1768" s="1">
        <f t="shared" si="4"/>
        <v>30592.85958</v>
      </c>
      <c r="G1768" s="1">
        <f t="shared" si="5"/>
        <v>53987.39926</v>
      </c>
      <c r="H1768" s="1">
        <f t="shared" si="6"/>
        <v>98976.89864</v>
      </c>
      <c r="I1768" s="1">
        <f t="shared" si="7"/>
        <v>161962.1978</v>
      </c>
    </row>
    <row r="1769" hidden="1">
      <c r="A1769" s="266">
        <f>IFERROR(__xludf.DUMMYFUNCTION("""COMPUTED_VALUE"""),44407.99861111111)</f>
        <v>44407.99861</v>
      </c>
      <c r="B1769" s="1">
        <f>IFERROR(__xludf.DUMMYFUNCTION("""COMPUTED_VALUE"""),42249.93)</f>
        <v>42249.93</v>
      </c>
      <c r="C1769" s="58">
        <f t="shared" si="1"/>
        <v>4591.998611</v>
      </c>
      <c r="D1769" s="1">
        <f t="shared" si="2"/>
        <v>9009.273242</v>
      </c>
      <c r="E1769" s="1">
        <f t="shared" si="3"/>
        <v>16216.69184</v>
      </c>
      <c r="F1769" s="1">
        <f t="shared" si="4"/>
        <v>30631.52902</v>
      </c>
      <c r="G1769" s="1">
        <f t="shared" si="5"/>
        <v>54055.63945</v>
      </c>
      <c r="H1769" s="1">
        <f t="shared" si="6"/>
        <v>99102.00567</v>
      </c>
      <c r="I1769" s="1">
        <f t="shared" si="7"/>
        <v>162166.9184</v>
      </c>
    </row>
    <row r="1770" hidden="1">
      <c r="A1770" s="266">
        <f>IFERROR(__xludf.DUMMYFUNCTION("""COMPUTED_VALUE"""),44408.99861111111)</f>
        <v>44408.99861</v>
      </c>
      <c r="B1770" s="1">
        <f>IFERROR(__xludf.DUMMYFUNCTION("""COMPUTED_VALUE"""),41538.9)</f>
        <v>41538.9</v>
      </c>
      <c r="C1770" s="58">
        <f t="shared" si="1"/>
        <v>4592.998611</v>
      </c>
      <c r="D1770" s="1">
        <f t="shared" si="2"/>
        <v>9020.658503</v>
      </c>
      <c r="E1770" s="1">
        <f t="shared" si="3"/>
        <v>16237.18531</v>
      </c>
      <c r="F1770" s="1">
        <f t="shared" si="4"/>
        <v>30670.23891</v>
      </c>
      <c r="G1770" s="1">
        <f t="shared" si="5"/>
        <v>54123.95102</v>
      </c>
      <c r="H1770" s="1">
        <f t="shared" si="6"/>
        <v>99227.24354</v>
      </c>
      <c r="I1770" s="1">
        <f t="shared" si="7"/>
        <v>162371.8531</v>
      </c>
    </row>
    <row r="1771" hidden="1">
      <c r="A1771" s="266">
        <f>IFERROR(__xludf.DUMMYFUNCTION("""COMPUTED_VALUE"""),44409.99861111111)</f>
        <v>44409.99861</v>
      </c>
      <c r="B1771" s="1">
        <f>IFERROR(__xludf.DUMMYFUNCTION("""COMPUTED_VALUE"""),39897.94)</f>
        <v>39897.94</v>
      </c>
      <c r="C1771" s="58">
        <f t="shared" si="1"/>
        <v>4593.998611</v>
      </c>
      <c r="D1771" s="1">
        <f t="shared" si="2"/>
        <v>9032.055669</v>
      </c>
      <c r="E1771" s="1">
        <f t="shared" si="3"/>
        <v>16257.7002</v>
      </c>
      <c r="F1771" s="1">
        <f t="shared" si="4"/>
        <v>30708.98927</v>
      </c>
      <c r="G1771" s="1">
        <f t="shared" si="5"/>
        <v>54192.33401</v>
      </c>
      <c r="H1771" s="1">
        <f t="shared" si="6"/>
        <v>99352.61236</v>
      </c>
      <c r="I1771" s="1">
        <f t="shared" si="7"/>
        <v>162577.002</v>
      </c>
    </row>
    <row r="1772" hidden="1">
      <c r="A1772" s="266">
        <f>IFERROR(__xludf.DUMMYFUNCTION("""COMPUTED_VALUE"""),44410.99861111111)</f>
        <v>44410.99861</v>
      </c>
      <c r="B1772" s="1">
        <f>IFERROR(__xludf.DUMMYFUNCTION("""COMPUTED_VALUE"""),39179.12)</f>
        <v>39179.12</v>
      </c>
      <c r="C1772" s="58">
        <f t="shared" si="1"/>
        <v>4594.998611</v>
      </c>
      <c r="D1772" s="1">
        <f t="shared" si="2"/>
        <v>9043.464749</v>
      </c>
      <c r="E1772" s="1">
        <f t="shared" si="3"/>
        <v>16278.23655</v>
      </c>
      <c r="F1772" s="1">
        <f t="shared" si="4"/>
        <v>30747.78015</v>
      </c>
      <c r="G1772" s="1">
        <f t="shared" si="5"/>
        <v>54260.78849</v>
      </c>
      <c r="H1772" s="1">
        <f t="shared" si="6"/>
        <v>99478.11224</v>
      </c>
      <c r="I1772" s="1">
        <f t="shared" si="7"/>
        <v>162782.3655</v>
      </c>
    </row>
    <row r="1773" hidden="1">
      <c r="A1773" s="266">
        <f>IFERROR(__xludf.DUMMYFUNCTION("""COMPUTED_VALUE"""),44411.99861111111)</f>
        <v>44411.99861</v>
      </c>
      <c r="B1773" s="1">
        <f>IFERROR(__xludf.DUMMYFUNCTION("""COMPUTED_VALUE"""),38138.75)</f>
        <v>38138.75</v>
      </c>
      <c r="C1773" s="58">
        <f t="shared" si="1"/>
        <v>4595.998611</v>
      </c>
      <c r="D1773" s="1">
        <f t="shared" si="2"/>
        <v>9054.885754</v>
      </c>
      <c r="E1773" s="1">
        <f t="shared" si="3"/>
        <v>16298.79436</v>
      </c>
      <c r="F1773" s="1">
        <f t="shared" si="4"/>
        <v>30786.61156</v>
      </c>
      <c r="G1773" s="1">
        <f t="shared" si="5"/>
        <v>54329.31452</v>
      </c>
      <c r="H1773" s="1">
        <f t="shared" si="6"/>
        <v>99603.74329</v>
      </c>
      <c r="I1773" s="1">
        <f t="shared" si="7"/>
        <v>162987.9436</v>
      </c>
    </row>
    <row r="1774" hidden="1">
      <c r="A1774" s="266">
        <f>IFERROR(__xludf.DUMMYFUNCTION("""COMPUTED_VALUE"""),44412.99861111111)</f>
        <v>44412.99861</v>
      </c>
      <c r="B1774" s="1">
        <f>IFERROR(__xludf.DUMMYFUNCTION("""COMPUTED_VALUE"""),39730.27)</f>
        <v>39730.27</v>
      </c>
      <c r="C1774" s="58">
        <f t="shared" si="1"/>
        <v>4596.998611</v>
      </c>
      <c r="D1774" s="1">
        <f t="shared" si="2"/>
        <v>9066.318692</v>
      </c>
      <c r="E1774" s="1">
        <f t="shared" si="3"/>
        <v>16319.37365</v>
      </c>
      <c r="F1774" s="1">
        <f t="shared" si="4"/>
        <v>30825.48355</v>
      </c>
      <c r="G1774" s="1">
        <f t="shared" si="5"/>
        <v>54397.91215</v>
      </c>
      <c r="H1774" s="1">
        <f t="shared" si="6"/>
        <v>99729.50561</v>
      </c>
      <c r="I1774" s="1">
        <f t="shared" si="7"/>
        <v>163193.7365</v>
      </c>
    </row>
    <row r="1775" hidden="1">
      <c r="A1775" s="266">
        <f>IFERROR(__xludf.DUMMYFUNCTION("""COMPUTED_VALUE"""),44413.99861111111)</f>
        <v>44413.99861</v>
      </c>
      <c r="B1775" s="1">
        <f>IFERROR(__xludf.DUMMYFUNCTION("""COMPUTED_VALUE"""),40872.77)</f>
        <v>40872.77</v>
      </c>
      <c r="C1775" s="58">
        <f t="shared" si="1"/>
        <v>4597.998611</v>
      </c>
      <c r="D1775" s="1">
        <f t="shared" si="2"/>
        <v>9077.763575</v>
      </c>
      <c r="E1775" s="1">
        <f t="shared" si="3"/>
        <v>16339.97443</v>
      </c>
      <c r="F1775" s="1">
        <f t="shared" si="4"/>
        <v>30864.39615</v>
      </c>
      <c r="G1775" s="1">
        <f t="shared" si="5"/>
        <v>54466.58145</v>
      </c>
      <c r="H1775" s="1">
        <f t="shared" si="6"/>
        <v>99855.39932</v>
      </c>
      <c r="I1775" s="1">
        <f t="shared" si="7"/>
        <v>163399.7443</v>
      </c>
    </row>
    <row r="1776" hidden="1">
      <c r="A1776" s="266">
        <f>IFERROR(__xludf.DUMMYFUNCTION("""COMPUTED_VALUE"""),44414.99861111111)</f>
        <v>44414.99861</v>
      </c>
      <c r="B1776" s="1">
        <f>IFERROR(__xludf.DUMMYFUNCTION("""COMPUTED_VALUE"""),42839.67)</f>
        <v>42839.67</v>
      </c>
      <c r="C1776" s="58">
        <f t="shared" si="1"/>
        <v>4598.998611</v>
      </c>
      <c r="D1776" s="1">
        <f t="shared" si="2"/>
        <v>9089.220411</v>
      </c>
      <c r="E1776" s="1">
        <f t="shared" si="3"/>
        <v>16360.59674</v>
      </c>
      <c r="F1776" s="1">
        <f t="shared" si="4"/>
        <v>30903.3494</v>
      </c>
      <c r="G1776" s="1">
        <f t="shared" si="5"/>
        <v>54535.32247</v>
      </c>
      <c r="H1776" s="1">
        <f t="shared" si="6"/>
        <v>99981.42452</v>
      </c>
      <c r="I1776" s="1">
        <f t="shared" si="7"/>
        <v>163605.9674</v>
      </c>
    </row>
    <row r="1777" hidden="1">
      <c r="A1777" s="266">
        <f>IFERROR(__xludf.DUMMYFUNCTION("""COMPUTED_VALUE"""),44415.99861111111)</f>
        <v>44415.99861</v>
      </c>
      <c r="B1777" s="1">
        <f>IFERROR(__xludf.DUMMYFUNCTION("""COMPUTED_VALUE"""),44596.43)</f>
        <v>44596.43</v>
      </c>
      <c r="C1777" s="58">
        <f t="shared" si="1"/>
        <v>4599.998611</v>
      </c>
      <c r="D1777" s="1">
        <f t="shared" si="2"/>
        <v>9100.689211</v>
      </c>
      <c r="E1777" s="1">
        <f t="shared" si="3"/>
        <v>16381.24058</v>
      </c>
      <c r="F1777" s="1">
        <f t="shared" si="4"/>
        <v>30942.34332</v>
      </c>
      <c r="G1777" s="1">
        <f t="shared" si="5"/>
        <v>54604.13527</v>
      </c>
      <c r="H1777" s="1">
        <f t="shared" si="6"/>
        <v>100107.5813</v>
      </c>
      <c r="I1777" s="1">
        <f t="shared" si="7"/>
        <v>163812.4058</v>
      </c>
    </row>
    <row r="1778" hidden="1">
      <c r="A1778" s="266">
        <f>IFERROR(__xludf.DUMMYFUNCTION("""COMPUTED_VALUE"""),44416.99861111111)</f>
        <v>44416.99861</v>
      </c>
      <c r="B1778" s="1">
        <f>IFERROR(__xludf.DUMMYFUNCTION("""COMPUTED_VALUE"""),43804.42)</f>
        <v>43804.42</v>
      </c>
      <c r="C1778" s="58">
        <f t="shared" si="1"/>
        <v>4600.998611</v>
      </c>
      <c r="D1778" s="1">
        <f t="shared" si="2"/>
        <v>9112.169985</v>
      </c>
      <c r="E1778" s="1">
        <f t="shared" si="3"/>
        <v>16401.90597</v>
      </c>
      <c r="F1778" s="1">
        <f t="shared" si="4"/>
        <v>30981.37795</v>
      </c>
      <c r="G1778" s="1">
        <f t="shared" si="5"/>
        <v>54673.01991</v>
      </c>
      <c r="H1778" s="1">
        <f t="shared" si="6"/>
        <v>100233.8698</v>
      </c>
      <c r="I1778" s="1">
        <f t="shared" si="7"/>
        <v>164019.0597</v>
      </c>
    </row>
    <row r="1779" hidden="1">
      <c r="A1779" s="266">
        <f>IFERROR(__xludf.DUMMYFUNCTION("""COMPUTED_VALUE"""),44417.99861111111)</f>
        <v>44417.99861</v>
      </c>
      <c r="B1779" s="1">
        <f>IFERROR(__xludf.DUMMYFUNCTION("""COMPUTED_VALUE"""),46302.42)</f>
        <v>46302.42</v>
      </c>
      <c r="C1779" s="58">
        <f t="shared" si="1"/>
        <v>4601.998611</v>
      </c>
      <c r="D1779" s="1">
        <f t="shared" si="2"/>
        <v>9123.662743</v>
      </c>
      <c r="E1779" s="1">
        <f t="shared" si="3"/>
        <v>16422.59294</v>
      </c>
      <c r="F1779" s="1">
        <f t="shared" si="4"/>
        <v>31020.45333</v>
      </c>
      <c r="G1779" s="1">
        <f t="shared" si="5"/>
        <v>54741.97646</v>
      </c>
      <c r="H1779" s="1">
        <f t="shared" si="6"/>
        <v>100360.2902</v>
      </c>
      <c r="I1779" s="1">
        <f t="shared" si="7"/>
        <v>164225.9294</v>
      </c>
    </row>
    <row r="1780" hidden="1">
      <c r="A1780" s="266">
        <f>IFERROR(__xludf.DUMMYFUNCTION("""COMPUTED_VALUE"""),44418.99861111111)</f>
        <v>44418.99861</v>
      </c>
      <c r="B1780" s="1">
        <f>IFERROR(__xludf.DUMMYFUNCTION("""COMPUTED_VALUE"""),45597.24)</f>
        <v>45597.24</v>
      </c>
      <c r="C1780" s="58">
        <f t="shared" si="1"/>
        <v>4602.998611</v>
      </c>
      <c r="D1780" s="1">
        <f t="shared" si="2"/>
        <v>9135.167494</v>
      </c>
      <c r="E1780" s="1">
        <f t="shared" si="3"/>
        <v>16443.30149</v>
      </c>
      <c r="F1780" s="1">
        <f t="shared" si="4"/>
        <v>31059.56948</v>
      </c>
      <c r="G1780" s="1">
        <f t="shared" si="5"/>
        <v>54811.00496</v>
      </c>
      <c r="H1780" s="1">
        <f t="shared" si="6"/>
        <v>100486.8424</v>
      </c>
      <c r="I1780" s="1">
        <f t="shared" si="7"/>
        <v>164433.0149</v>
      </c>
    </row>
    <row r="1781" hidden="1">
      <c r="A1781" s="266">
        <f>IFERROR(__xludf.DUMMYFUNCTION("""COMPUTED_VALUE"""),44419.99861111111)</f>
        <v>44419.99861</v>
      </c>
      <c r="B1781" s="1">
        <f>IFERROR(__xludf.DUMMYFUNCTION("""COMPUTED_VALUE"""),45580.62)</f>
        <v>45580.62</v>
      </c>
      <c r="C1781" s="58">
        <f t="shared" si="1"/>
        <v>4603.998611</v>
      </c>
      <c r="D1781" s="1">
        <f t="shared" si="2"/>
        <v>9146.684249</v>
      </c>
      <c r="E1781" s="1">
        <f t="shared" si="3"/>
        <v>16464.03165</v>
      </c>
      <c r="F1781" s="1">
        <f t="shared" si="4"/>
        <v>31098.72645</v>
      </c>
      <c r="G1781" s="1">
        <f t="shared" si="5"/>
        <v>54880.10549</v>
      </c>
      <c r="H1781" s="1">
        <f t="shared" si="6"/>
        <v>100613.5267</v>
      </c>
      <c r="I1781" s="1">
        <f t="shared" si="7"/>
        <v>164640.3165</v>
      </c>
    </row>
    <row r="1782" hidden="1">
      <c r="A1782" s="266">
        <f>IFERROR(__xludf.DUMMYFUNCTION("""COMPUTED_VALUE"""),44420.99861111111)</f>
        <v>44420.99861</v>
      </c>
      <c r="B1782" s="1">
        <f>IFERROR(__xludf.DUMMYFUNCTION("""COMPUTED_VALUE"""),44422.31)</f>
        <v>44422.31</v>
      </c>
      <c r="C1782" s="58">
        <f t="shared" si="1"/>
        <v>4604.998611</v>
      </c>
      <c r="D1782" s="1">
        <f t="shared" si="2"/>
        <v>9158.213016</v>
      </c>
      <c r="E1782" s="1">
        <f t="shared" si="3"/>
        <v>16484.78343</v>
      </c>
      <c r="F1782" s="1">
        <f t="shared" si="4"/>
        <v>31137.92426</v>
      </c>
      <c r="G1782" s="1">
        <f t="shared" si="5"/>
        <v>54949.2781</v>
      </c>
      <c r="H1782" s="1">
        <f t="shared" si="6"/>
        <v>100740.3432</v>
      </c>
      <c r="I1782" s="1">
        <f t="shared" si="7"/>
        <v>164847.8343</v>
      </c>
    </row>
    <row r="1783" hidden="1">
      <c r="A1783" s="266">
        <f>IFERROR(__xludf.DUMMYFUNCTION("""COMPUTED_VALUE"""),44421.99861111111)</f>
        <v>44421.99861</v>
      </c>
      <c r="B1783" s="1">
        <f>IFERROR(__xludf.DUMMYFUNCTION("""COMPUTED_VALUE"""),47832.95)</f>
        <v>47832.95</v>
      </c>
      <c r="C1783" s="58">
        <f t="shared" si="1"/>
        <v>4605.998611</v>
      </c>
      <c r="D1783" s="1">
        <f t="shared" si="2"/>
        <v>9169.753807</v>
      </c>
      <c r="E1783" s="1">
        <f t="shared" si="3"/>
        <v>16505.55685</v>
      </c>
      <c r="F1783" s="1">
        <f t="shared" si="4"/>
        <v>31177.16295</v>
      </c>
      <c r="G1783" s="1">
        <f t="shared" si="5"/>
        <v>55018.52284</v>
      </c>
      <c r="H1783" s="1">
        <f t="shared" si="6"/>
        <v>100867.2919</v>
      </c>
      <c r="I1783" s="1">
        <f t="shared" si="7"/>
        <v>165055.5685</v>
      </c>
    </row>
    <row r="1784" hidden="1">
      <c r="A1784" s="266">
        <f>IFERROR(__xludf.DUMMYFUNCTION("""COMPUTED_VALUE"""),44422.99861111111)</f>
        <v>44422.99861</v>
      </c>
      <c r="B1784" s="1">
        <f>IFERROR(__xludf.DUMMYFUNCTION("""COMPUTED_VALUE"""),47103.48)</f>
        <v>47103.48</v>
      </c>
      <c r="C1784" s="58">
        <f t="shared" si="1"/>
        <v>4606.998611</v>
      </c>
      <c r="D1784" s="1">
        <f t="shared" si="2"/>
        <v>9181.306632</v>
      </c>
      <c r="E1784" s="1">
        <f t="shared" si="3"/>
        <v>16526.35194</v>
      </c>
      <c r="F1784" s="1">
        <f t="shared" si="4"/>
        <v>31216.44255</v>
      </c>
      <c r="G1784" s="1">
        <f t="shared" si="5"/>
        <v>55087.83979</v>
      </c>
      <c r="H1784" s="1">
        <f t="shared" si="6"/>
        <v>100994.3729</v>
      </c>
      <c r="I1784" s="1">
        <f t="shared" si="7"/>
        <v>165263.5194</v>
      </c>
    </row>
    <row r="1785" hidden="1">
      <c r="A1785" s="266">
        <f>IFERROR(__xludf.DUMMYFUNCTION("""COMPUTED_VALUE"""),44423.99861111111)</f>
        <v>44423.99861</v>
      </c>
      <c r="B1785" s="1">
        <f>IFERROR(__xludf.DUMMYFUNCTION("""COMPUTED_VALUE"""),47035.16)</f>
        <v>47035.16</v>
      </c>
      <c r="C1785" s="58">
        <f t="shared" si="1"/>
        <v>4607.998611</v>
      </c>
      <c r="D1785" s="1">
        <f t="shared" si="2"/>
        <v>9192.871499</v>
      </c>
      <c r="E1785" s="1">
        <f t="shared" si="3"/>
        <v>16547.1687</v>
      </c>
      <c r="F1785" s="1">
        <f t="shared" si="4"/>
        <v>31255.7631</v>
      </c>
      <c r="G1785" s="1">
        <f t="shared" si="5"/>
        <v>55157.22899</v>
      </c>
      <c r="H1785" s="1">
        <f t="shared" si="6"/>
        <v>101121.5865</v>
      </c>
      <c r="I1785" s="1">
        <f t="shared" si="7"/>
        <v>165471.687</v>
      </c>
    </row>
    <row r="1786" hidden="1">
      <c r="A1786" s="266">
        <f>IFERROR(__xludf.DUMMYFUNCTION("""COMPUTED_VALUE"""),44424.99861111111)</f>
        <v>44424.99861</v>
      </c>
      <c r="B1786" s="1">
        <f>IFERROR(__xludf.DUMMYFUNCTION("""COMPUTED_VALUE"""),45962.85)</f>
        <v>45962.85</v>
      </c>
      <c r="C1786" s="58">
        <f t="shared" si="1"/>
        <v>4608.998611</v>
      </c>
      <c r="D1786" s="1">
        <f t="shared" si="2"/>
        <v>9204.448419</v>
      </c>
      <c r="E1786" s="1">
        <f t="shared" si="3"/>
        <v>16568.00715</v>
      </c>
      <c r="F1786" s="1">
        <f t="shared" si="4"/>
        <v>31295.12462</v>
      </c>
      <c r="G1786" s="1">
        <f t="shared" si="5"/>
        <v>55226.69051</v>
      </c>
      <c r="H1786" s="1">
        <f t="shared" si="6"/>
        <v>101248.9326</v>
      </c>
      <c r="I1786" s="1">
        <f t="shared" si="7"/>
        <v>165680.0715</v>
      </c>
    </row>
    <row r="1787" hidden="1">
      <c r="A1787" s="266">
        <f>IFERROR(__xludf.DUMMYFUNCTION("""COMPUTED_VALUE"""),44425.99861111111)</f>
        <v>44425.99861</v>
      </c>
      <c r="B1787" s="1">
        <f>IFERROR(__xludf.DUMMYFUNCTION("""COMPUTED_VALUE"""),44682.28)</f>
        <v>44682.28</v>
      </c>
      <c r="C1787" s="58">
        <f t="shared" si="1"/>
        <v>4609.998611</v>
      </c>
      <c r="D1787" s="1">
        <f t="shared" si="2"/>
        <v>9216.037402</v>
      </c>
      <c r="E1787" s="1">
        <f t="shared" si="3"/>
        <v>16588.86732</v>
      </c>
      <c r="F1787" s="1">
        <f t="shared" si="4"/>
        <v>31334.52717</v>
      </c>
      <c r="G1787" s="1">
        <f t="shared" si="5"/>
        <v>55296.22441</v>
      </c>
      <c r="H1787" s="1">
        <f t="shared" si="6"/>
        <v>101376.4114</v>
      </c>
      <c r="I1787" s="1">
        <f t="shared" si="7"/>
        <v>165888.6732</v>
      </c>
    </row>
    <row r="1788" hidden="1">
      <c r="A1788" s="266">
        <f>IFERROR(__xludf.DUMMYFUNCTION("""COMPUTED_VALUE"""),44426.99861111111)</f>
        <v>44426.99861</v>
      </c>
      <c r="B1788" s="1">
        <f>IFERROR(__xludf.DUMMYFUNCTION("""COMPUTED_VALUE"""),44747.16)</f>
        <v>44747.16</v>
      </c>
      <c r="C1788" s="58">
        <f t="shared" si="1"/>
        <v>4610.998611</v>
      </c>
      <c r="D1788" s="1">
        <f t="shared" si="2"/>
        <v>9227.638458</v>
      </c>
      <c r="E1788" s="1">
        <f t="shared" si="3"/>
        <v>16609.74923</v>
      </c>
      <c r="F1788" s="1">
        <f t="shared" si="4"/>
        <v>31373.97076</v>
      </c>
      <c r="G1788" s="1">
        <f t="shared" si="5"/>
        <v>55365.83075</v>
      </c>
      <c r="H1788" s="1">
        <f t="shared" si="6"/>
        <v>101504.023</v>
      </c>
      <c r="I1788" s="1">
        <f t="shared" si="7"/>
        <v>166097.4923</v>
      </c>
    </row>
    <row r="1789" hidden="1">
      <c r="A1789" s="266">
        <f>IFERROR(__xludf.DUMMYFUNCTION("""COMPUTED_VALUE"""),44427.99861111111)</f>
        <v>44427.99861</v>
      </c>
      <c r="B1789" s="1">
        <f>IFERROR(__xludf.DUMMYFUNCTION("""COMPUTED_VALUE"""),46759.82)</f>
        <v>46759.82</v>
      </c>
      <c r="C1789" s="58">
        <f t="shared" si="1"/>
        <v>4611.998611</v>
      </c>
      <c r="D1789" s="1">
        <f t="shared" si="2"/>
        <v>9239.251597</v>
      </c>
      <c r="E1789" s="1">
        <f t="shared" si="3"/>
        <v>16630.65288</v>
      </c>
      <c r="F1789" s="1">
        <f t="shared" si="4"/>
        <v>31413.45543</v>
      </c>
      <c r="G1789" s="1">
        <f t="shared" si="5"/>
        <v>55435.50958</v>
      </c>
      <c r="H1789" s="1">
        <f t="shared" si="6"/>
        <v>101631.7676</v>
      </c>
      <c r="I1789" s="1">
        <f t="shared" si="7"/>
        <v>166306.5288</v>
      </c>
    </row>
    <row r="1790" hidden="1">
      <c r="A1790" s="266">
        <f>IFERROR(__xludf.DUMMYFUNCTION("""COMPUTED_VALUE"""),44428.99861111111)</f>
        <v>44428.99861</v>
      </c>
      <c r="B1790" s="1">
        <f>IFERROR(__xludf.DUMMYFUNCTION("""COMPUTED_VALUE"""),49328.58)</f>
        <v>49328.58</v>
      </c>
      <c r="C1790" s="58">
        <f t="shared" si="1"/>
        <v>4612.998611</v>
      </c>
      <c r="D1790" s="1">
        <f t="shared" si="2"/>
        <v>9250.876829</v>
      </c>
      <c r="E1790" s="1">
        <f t="shared" si="3"/>
        <v>16651.57829</v>
      </c>
      <c r="F1790" s="1">
        <f t="shared" si="4"/>
        <v>31452.98122</v>
      </c>
      <c r="G1790" s="1">
        <f t="shared" si="5"/>
        <v>55505.26098</v>
      </c>
      <c r="H1790" s="1">
        <f t="shared" si="6"/>
        <v>101759.6451</v>
      </c>
      <c r="I1790" s="1">
        <f t="shared" si="7"/>
        <v>166515.7829</v>
      </c>
    </row>
    <row r="1791" hidden="1">
      <c r="A1791" s="266">
        <f>IFERROR(__xludf.DUMMYFUNCTION("""COMPUTED_VALUE"""),44429.99861111111)</f>
        <v>44429.99861</v>
      </c>
      <c r="B1791" s="1">
        <f>IFERROR(__xludf.DUMMYFUNCTION("""COMPUTED_VALUE"""),48880.96)</f>
        <v>48880.96</v>
      </c>
      <c r="C1791" s="58">
        <f t="shared" si="1"/>
        <v>4613.998611</v>
      </c>
      <c r="D1791" s="1">
        <f t="shared" si="2"/>
        <v>9262.514164</v>
      </c>
      <c r="E1791" s="1">
        <f t="shared" si="3"/>
        <v>16672.52549</v>
      </c>
      <c r="F1791" s="1">
        <f t="shared" si="4"/>
        <v>31492.54816</v>
      </c>
      <c r="G1791" s="1">
        <f t="shared" si="5"/>
        <v>55575.08498</v>
      </c>
      <c r="H1791" s="1">
        <f t="shared" si="6"/>
        <v>101887.6558</v>
      </c>
      <c r="I1791" s="1">
        <f t="shared" si="7"/>
        <v>166725.2549</v>
      </c>
    </row>
    <row r="1792" hidden="1">
      <c r="A1792" s="266">
        <f>IFERROR(__xludf.DUMMYFUNCTION("""COMPUTED_VALUE"""),44430.99861111111)</f>
        <v>44430.99861</v>
      </c>
      <c r="B1792" s="1">
        <f>IFERROR(__xludf.DUMMYFUNCTION("""COMPUTED_VALUE"""),49280.35)</f>
        <v>49280.35</v>
      </c>
      <c r="C1792" s="58">
        <f t="shared" si="1"/>
        <v>4614.998611</v>
      </c>
      <c r="D1792" s="1">
        <f t="shared" si="2"/>
        <v>9274.163611</v>
      </c>
      <c r="E1792" s="1">
        <f t="shared" si="3"/>
        <v>16693.4945</v>
      </c>
      <c r="F1792" s="1">
        <f t="shared" si="4"/>
        <v>31532.15628</v>
      </c>
      <c r="G1792" s="1">
        <f t="shared" si="5"/>
        <v>55644.98167</v>
      </c>
      <c r="H1792" s="1">
        <f t="shared" si="6"/>
        <v>102015.7997</v>
      </c>
      <c r="I1792" s="1">
        <f t="shared" si="7"/>
        <v>166934.945</v>
      </c>
    </row>
    <row r="1793" hidden="1">
      <c r="A1793" s="266">
        <f>IFERROR(__xludf.DUMMYFUNCTION("""COMPUTED_VALUE"""),44431.99861111111)</f>
        <v>44431.99861</v>
      </c>
      <c r="B1793" s="1">
        <f>IFERROR(__xludf.DUMMYFUNCTION("""COMPUTED_VALUE"""),49538.76)</f>
        <v>49538.76</v>
      </c>
      <c r="C1793" s="58">
        <f t="shared" si="1"/>
        <v>4615.998611</v>
      </c>
      <c r="D1793" s="1">
        <f t="shared" si="2"/>
        <v>9285.825181</v>
      </c>
      <c r="E1793" s="1">
        <f t="shared" si="3"/>
        <v>16714.48533</v>
      </c>
      <c r="F1793" s="1">
        <f t="shared" si="4"/>
        <v>31571.80562</v>
      </c>
      <c r="G1793" s="1">
        <f t="shared" si="5"/>
        <v>55714.95109</v>
      </c>
      <c r="H1793" s="1">
        <f t="shared" si="6"/>
        <v>102144.077</v>
      </c>
      <c r="I1793" s="1">
        <f t="shared" si="7"/>
        <v>167144.8533</v>
      </c>
    </row>
    <row r="1794" hidden="1">
      <c r="A1794" s="266">
        <f>IFERROR(__xludf.DUMMYFUNCTION("""COMPUTED_VALUE"""),44432.99861111111)</f>
        <v>44432.99861</v>
      </c>
      <c r="B1794" s="1">
        <f>IFERROR(__xludf.DUMMYFUNCTION("""COMPUTED_VALUE"""),47720.25)</f>
        <v>47720.25</v>
      </c>
      <c r="C1794" s="58">
        <f t="shared" si="1"/>
        <v>4616.998611</v>
      </c>
      <c r="D1794" s="1">
        <f t="shared" si="2"/>
        <v>9297.498884</v>
      </c>
      <c r="E1794" s="1">
        <f t="shared" si="3"/>
        <v>16735.49799</v>
      </c>
      <c r="F1794" s="1">
        <f t="shared" si="4"/>
        <v>31611.49621</v>
      </c>
      <c r="G1794" s="1">
        <f t="shared" si="5"/>
        <v>55784.9933</v>
      </c>
      <c r="H1794" s="1">
        <f t="shared" si="6"/>
        <v>102272.4877</v>
      </c>
      <c r="I1794" s="1">
        <f t="shared" si="7"/>
        <v>167354.9799</v>
      </c>
    </row>
    <row r="1795" hidden="1">
      <c r="A1795" s="266">
        <f>IFERROR(__xludf.DUMMYFUNCTION("""COMPUTED_VALUE"""),44433.99861111111)</f>
        <v>44433.99861</v>
      </c>
      <c r="B1795" s="1">
        <f>IFERROR(__xludf.DUMMYFUNCTION("""COMPUTED_VALUE"""),49001.23)</f>
        <v>49001.23</v>
      </c>
      <c r="C1795" s="58">
        <f t="shared" si="1"/>
        <v>4617.998611</v>
      </c>
      <c r="D1795" s="1">
        <f t="shared" si="2"/>
        <v>9309.18473</v>
      </c>
      <c r="E1795" s="1">
        <f t="shared" si="3"/>
        <v>16756.53251</v>
      </c>
      <c r="F1795" s="1">
        <f t="shared" si="4"/>
        <v>31651.22808</v>
      </c>
      <c r="G1795" s="1">
        <f t="shared" si="5"/>
        <v>55855.10838</v>
      </c>
      <c r="H1795" s="1">
        <f t="shared" si="6"/>
        <v>102401.032</v>
      </c>
      <c r="I1795" s="1">
        <f t="shared" si="7"/>
        <v>167565.3251</v>
      </c>
    </row>
    <row r="1796" hidden="1">
      <c r="A1796" s="266">
        <f>IFERROR(__xludf.DUMMYFUNCTION("""COMPUTED_VALUE"""),44434.99861111111)</f>
        <v>44434.99861</v>
      </c>
      <c r="B1796" s="1">
        <f>IFERROR(__xludf.DUMMYFUNCTION("""COMPUTED_VALUE"""),46855.93)</f>
        <v>46855.93</v>
      </c>
      <c r="C1796" s="58">
        <f t="shared" si="1"/>
        <v>4618.998611</v>
      </c>
      <c r="D1796" s="1">
        <f t="shared" si="2"/>
        <v>9320.882728</v>
      </c>
      <c r="E1796" s="1">
        <f t="shared" si="3"/>
        <v>16777.58891</v>
      </c>
      <c r="F1796" s="1">
        <f t="shared" si="4"/>
        <v>31691.00127</v>
      </c>
      <c r="G1796" s="1">
        <f t="shared" si="5"/>
        <v>55925.29637</v>
      </c>
      <c r="H1796" s="1">
        <f t="shared" si="6"/>
        <v>102529.71</v>
      </c>
      <c r="I1796" s="1">
        <f t="shared" si="7"/>
        <v>167775.8891</v>
      </c>
    </row>
    <row r="1797" hidden="1">
      <c r="A1797" s="266">
        <f>IFERROR(__xludf.DUMMYFUNCTION("""COMPUTED_VALUE"""),44435.99861111111)</f>
        <v>44435.99861</v>
      </c>
      <c r="B1797" s="1">
        <f>IFERROR(__xludf.DUMMYFUNCTION("""COMPUTED_VALUE"""),49072.36)</f>
        <v>49072.36</v>
      </c>
      <c r="C1797" s="58">
        <f t="shared" si="1"/>
        <v>4619.998611</v>
      </c>
      <c r="D1797" s="1">
        <f t="shared" si="2"/>
        <v>9332.592889</v>
      </c>
      <c r="E1797" s="1">
        <f t="shared" si="3"/>
        <v>16798.6672</v>
      </c>
      <c r="F1797" s="1">
        <f t="shared" si="4"/>
        <v>31730.81582</v>
      </c>
      <c r="G1797" s="1">
        <f t="shared" si="5"/>
        <v>55995.55733</v>
      </c>
      <c r="H1797" s="1">
        <f t="shared" si="6"/>
        <v>102658.5218</v>
      </c>
      <c r="I1797" s="1">
        <f t="shared" si="7"/>
        <v>167986.672</v>
      </c>
    </row>
    <row r="1798" hidden="1">
      <c r="A1798" s="266">
        <f>IFERROR(__xludf.DUMMYFUNCTION("""COMPUTED_VALUE"""),44436.99861111111)</f>
        <v>44436.99861</v>
      </c>
      <c r="B1798" s="1">
        <f>IFERROR(__xludf.DUMMYFUNCTION("""COMPUTED_VALUE"""),48915.17)</f>
        <v>48915.17</v>
      </c>
      <c r="C1798" s="58">
        <f t="shared" si="1"/>
        <v>4620.998611</v>
      </c>
      <c r="D1798" s="1">
        <f t="shared" si="2"/>
        <v>9344.315223</v>
      </c>
      <c r="E1798" s="1">
        <f t="shared" si="3"/>
        <v>16819.7674</v>
      </c>
      <c r="F1798" s="1">
        <f t="shared" si="4"/>
        <v>31770.67176</v>
      </c>
      <c r="G1798" s="1">
        <f t="shared" si="5"/>
        <v>56065.89134</v>
      </c>
      <c r="H1798" s="1">
        <f t="shared" si="6"/>
        <v>102787.4674</v>
      </c>
      <c r="I1798" s="1">
        <f t="shared" si="7"/>
        <v>168197.674</v>
      </c>
    </row>
    <row r="1799" hidden="1">
      <c r="A1799" s="266">
        <f>IFERROR(__xludf.DUMMYFUNCTION("""COMPUTED_VALUE"""),44437.99861111111)</f>
        <v>44437.99861</v>
      </c>
      <c r="B1799" s="1">
        <f>IFERROR(__xludf.DUMMYFUNCTION("""COMPUTED_VALUE"""),48802.72)</f>
        <v>48802.72</v>
      </c>
      <c r="C1799" s="58">
        <f t="shared" si="1"/>
        <v>4621.998611</v>
      </c>
      <c r="D1799" s="1">
        <f t="shared" si="2"/>
        <v>9356.049739</v>
      </c>
      <c r="E1799" s="1">
        <f t="shared" si="3"/>
        <v>16840.88953</v>
      </c>
      <c r="F1799" s="1">
        <f t="shared" si="4"/>
        <v>31810.56911</v>
      </c>
      <c r="G1799" s="1">
        <f t="shared" si="5"/>
        <v>56136.29843</v>
      </c>
      <c r="H1799" s="1">
        <f t="shared" si="6"/>
        <v>102916.5471</v>
      </c>
      <c r="I1799" s="1">
        <f t="shared" si="7"/>
        <v>168408.8953</v>
      </c>
    </row>
    <row r="1800" hidden="1">
      <c r="A1800" s="266">
        <f>IFERROR(__xludf.DUMMYFUNCTION("""COMPUTED_VALUE"""),44438.99861111111)</f>
        <v>44438.99861</v>
      </c>
      <c r="B1800" s="1">
        <f>IFERROR(__xludf.DUMMYFUNCTION("""COMPUTED_VALUE"""),46996.51)</f>
        <v>46996.51</v>
      </c>
      <c r="C1800" s="58">
        <f t="shared" si="1"/>
        <v>4622.998611</v>
      </c>
      <c r="D1800" s="1">
        <f t="shared" si="2"/>
        <v>9367.796448</v>
      </c>
      <c r="E1800" s="1">
        <f t="shared" si="3"/>
        <v>16862.03361</v>
      </c>
      <c r="F1800" s="1">
        <f t="shared" si="4"/>
        <v>31850.50792</v>
      </c>
      <c r="G1800" s="1">
        <f t="shared" si="5"/>
        <v>56206.77869</v>
      </c>
      <c r="H1800" s="1">
        <f t="shared" si="6"/>
        <v>103045.7609</v>
      </c>
      <c r="I1800" s="1">
        <f t="shared" si="7"/>
        <v>168620.3361</v>
      </c>
    </row>
    <row r="1801" hidden="1">
      <c r="A1801" s="266">
        <f>IFERROR(__xludf.DUMMYFUNCTION("""COMPUTED_VALUE"""),44439.99861111111)</f>
        <v>44439.99861</v>
      </c>
      <c r="B1801" s="1">
        <f>IFERROR(__xludf.DUMMYFUNCTION("""COMPUTED_VALUE"""),47135.83)</f>
        <v>47135.83</v>
      </c>
      <c r="C1801" s="58">
        <f t="shared" si="1"/>
        <v>4623.998611</v>
      </c>
      <c r="D1801" s="1">
        <f t="shared" si="2"/>
        <v>9379.55536</v>
      </c>
      <c r="E1801" s="1">
        <f t="shared" si="3"/>
        <v>16883.19965</v>
      </c>
      <c r="F1801" s="1">
        <f t="shared" si="4"/>
        <v>31890.48823</v>
      </c>
      <c r="G1801" s="1">
        <f t="shared" si="5"/>
        <v>56277.33216</v>
      </c>
      <c r="H1801" s="1">
        <f t="shared" si="6"/>
        <v>103175.109</v>
      </c>
      <c r="I1801" s="1">
        <f t="shared" si="7"/>
        <v>168831.9965</v>
      </c>
    </row>
    <row r="1802" hidden="1">
      <c r="A1802" s="266">
        <f>IFERROR(__xludf.DUMMYFUNCTION("""COMPUTED_VALUE"""),44440.99861111111)</f>
        <v>44440.99861</v>
      </c>
      <c r="B1802" s="1">
        <f>IFERROR(__xludf.DUMMYFUNCTION("""COMPUTED_VALUE"""),48864.18)</f>
        <v>48864.18</v>
      </c>
      <c r="C1802" s="58">
        <f t="shared" si="1"/>
        <v>4624.998611</v>
      </c>
      <c r="D1802" s="1">
        <f t="shared" si="2"/>
        <v>9391.326485</v>
      </c>
      <c r="E1802" s="1">
        <f t="shared" si="3"/>
        <v>16904.38767</v>
      </c>
      <c r="F1802" s="1">
        <f t="shared" si="4"/>
        <v>31930.51005</v>
      </c>
      <c r="G1802" s="1">
        <f t="shared" si="5"/>
        <v>56347.95891</v>
      </c>
      <c r="H1802" s="1">
        <f t="shared" si="6"/>
        <v>103304.5913</v>
      </c>
      <c r="I1802" s="1">
        <f t="shared" si="7"/>
        <v>169043.8767</v>
      </c>
    </row>
    <row r="1803" hidden="1">
      <c r="A1803" s="266">
        <f>IFERROR(__xludf.DUMMYFUNCTION("""COMPUTED_VALUE"""),44441.99861111111)</f>
        <v>44441.99861</v>
      </c>
      <c r="B1803" s="1">
        <f>IFERROR(__xludf.DUMMYFUNCTION("""COMPUTED_VALUE"""),49295.96)</f>
        <v>49295.96</v>
      </c>
      <c r="C1803" s="58">
        <f t="shared" si="1"/>
        <v>4625.998611</v>
      </c>
      <c r="D1803" s="1">
        <f t="shared" si="2"/>
        <v>9403.109833</v>
      </c>
      <c r="E1803" s="1">
        <f t="shared" si="3"/>
        <v>16925.5977</v>
      </c>
      <c r="F1803" s="1">
        <f t="shared" si="4"/>
        <v>31970.57343</v>
      </c>
      <c r="G1803" s="1">
        <f t="shared" si="5"/>
        <v>56418.659</v>
      </c>
      <c r="H1803" s="1">
        <f t="shared" si="6"/>
        <v>103434.2082</v>
      </c>
      <c r="I1803" s="1">
        <f t="shared" si="7"/>
        <v>169255.977</v>
      </c>
    </row>
    <row r="1804" hidden="1">
      <c r="A1804" s="266">
        <f>IFERROR(__xludf.DUMMYFUNCTION("""COMPUTED_VALUE"""),44442.99861111111)</f>
        <v>44442.99861</v>
      </c>
      <c r="B1804" s="1">
        <f>IFERROR(__xludf.DUMMYFUNCTION("""COMPUTED_VALUE"""),50014.34)</f>
        <v>50014.34</v>
      </c>
      <c r="C1804" s="58">
        <f t="shared" si="1"/>
        <v>4626.998611</v>
      </c>
      <c r="D1804" s="1">
        <f t="shared" si="2"/>
        <v>9414.905413</v>
      </c>
      <c r="E1804" s="1">
        <f t="shared" si="3"/>
        <v>16946.82974</v>
      </c>
      <c r="F1804" s="1">
        <f t="shared" si="4"/>
        <v>32010.67841</v>
      </c>
      <c r="G1804" s="1">
        <f t="shared" si="5"/>
        <v>56489.43248</v>
      </c>
      <c r="H1804" s="1">
        <f t="shared" si="6"/>
        <v>103563.9595</v>
      </c>
      <c r="I1804" s="1">
        <f t="shared" si="7"/>
        <v>169468.2974</v>
      </c>
    </row>
    <row r="1805" hidden="1">
      <c r="A1805" s="266">
        <f>IFERROR(__xludf.DUMMYFUNCTION("""COMPUTED_VALUE"""),44443.99861111111)</f>
        <v>44443.99861</v>
      </c>
      <c r="B1805" s="1">
        <f>IFERROR(__xludf.DUMMYFUNCTION("""COMPUTED_VALUE"""),49938.51)</f>
        <v>49938.51</v>
      </c>
      <c r="C1805" s="58">
        <f t="shared" si="1"/>
        <v>4627.998611</v>
      </c>
      <c r="D1805" s="1">
        <f t="shared" si="2"/>
        <v>9426.713237</v>
      </c>
      <c r="E1805" s="1">
        <f t="shared" si="3"/>
        <v>16968.08383</v>
      </c>
      <c r="F1805" s="1">
        <f t="shared" si="4"/>
        <v>32050.82501</v>
      </c>
      <c r="G1805" s="1">
        <f t="shared" si="5"/>
        <v>56560.27942</v>
      </c>
      <c r="H1805" s="1">
        <f t="shared" si="6"/>
        <v>103693.8456</v>
      </c>
      <c r="I1805" s="1">
        <f t="shared" si="7"/>
        <v>169680.8383</v>
      </c>
    </row>
    <row r="1806" hidden="1">
      <c r="A1806" s="266">
        <f>IFERROR(__xludf.DUMMYFUNCTION("""COMPUTED_VALUE"""),44444.99861111111)</f>
        <v>44444.99861</v>
      </c>
      <c r="B1806" s="1">
        <f>IFERROR(__xludf.DUMMYFUNCTION("""COMPUTED_VALUE"""),51783.77)</f>
        <v>51783.77</v>
      </c>
      <c r="C1806" s="58">
        <f t="shared" si="1"/>
        <v>4628.998611</v>
      </c>
      <c r="D1806" s="1">
        <f t="shared" si="2"/>
        <v>9438.533314</v>
      </c>
      <c r="E1806" s="1">
        <f t="shared" si="3"/>
        <v>16989.35996</v>
      </c>
      <c r="F1806" s="1">
        <f t="shared" si="4"/>
        <v>32091.01327</v>
      </c>
      <c r="G1806" s="1">
        <f t="shared" si="5"/>
        <v>56631.19988</v>
      </c>
      <c r="H1806" s="1">
        <f t="shared" si="6"/>
        <v>103823.8664</v>
      </c>
      <c r="I1806" s="1">
        <f t="shared" si="7"/>
        <v>169893.5996</v>
      </c>
    </row>
    <row r="1807" hidden="1">
      <c r="A1807" s="266">
        <f>IFERROR(__xludf.DUMMYFUNCTION("""COMPUTED_VALUE"""),44445.99861111111)</f>
        <v>44445.99861</v>
      </c>
      <c r="B1807" s="1">
        <f>IFERROR(__xludf.DUMMYFUNCTION("""COMPUTED_VALUE"""),52686.86)</f>
        <v>52686.86</v>
      </c>
      <c r="C1807" s="58">
        <f t="shared" si="1"/>
        <v>4629.998611</v>
      </c>
      <c r="D1807" s="1">
        <f t="shared" si="2"/>
        <v>9450.365653</v>
      </c>
      <c r="E1807" s="1">
        <f t="shared" si="3"/>
        <v>17010.65818</v>
      </c>
      <c r="F1807" s="1">
        <f t="shared" si="4"/>
        <v>32131.24322</v>
      </c>
      <c r="G1807" s="1">
        <f t="shared" si="5"/>
        <v>56702.19392</v>
      </c>
      <c r="H1807" s="1">
        <f t="shared" si="6"/>
        <v>103954.0222</v>
      </c>
      <c r="I1807" s="1">
        <f t="shared" si="7"/>
        <v>170106.5818</v>
      </c>
    </row>
    <row r="1808" hidden="1">
      <c r="A1808" s="266">
        <f>IFERROR(__xludf.DUMMYFUNCTION("""COMPUTED_VALUE"""),44446.99861111111)</f>
        <v>44446.99861</v>
      </c>
      <c r="B1808" s="1">
        <f>IFERROR(__xludf.DUMMYFUNCTION("""COMPUTED_VALUE"""),46796.45)</f>
        <v>46796.45</v>
      </c>
      <c r="C1808" s="58">
        <f t="shared" si="1"/>
        <v>4630.998611</v>
      </c>
      <c r="D1808" s="1">
        <f t="shared" si="2"/>
        <v>9462.210266</v>
      </c>
      <c r="E1808" s="1">
        <f t="shared" si="3"/>
        <v>17031.97848</v>
      </c>
      <c r="F1808" s="1">
        <f t="shared" si="4"/>
        <v>32171.5149</v>
      </c>
      <c r="G1808" s="1">
        <f t="shared" si="5"/>
        <v>56773.2616</v>
      </c>
      <c r="H1808" s="1">
        <f t="shared" si="6"/>
        <v>104084.3129</v>
      </c>
      <c r="I1808" s="1">
        <f t="shared" si="7"/>
        <v>170319.7848</v>
      </c>
    </row>
    <row r="1809" hidden="1">
      <c r="A1809" s="266">
        <f>IFERROR(__xludf.DUMMYFUNCTION("""COMPUTED_VALUE"""),44447.99861111111)</f>
        <v>44447.99861</v>
      </c>
      <c r="B1809" s="1">
        <f>IFERROR(__xludf.DUMMYFUNCTION("""COMPUTED_VALUE"""),46074.31)</f>
        <v>46074.31</v>
      </c>
      <c r="C1809" s="58">
        <f t="shared" si="1"/>
        <v>4631.998611</v>
      </c>
      <c r="D1809" s="1">
        <f t="shared" si="2"/>
        <v>9474.067162</v>
      </c>
      <c r="E1809" s="1">
        <f t="shared" si="3"/>
        <v>17053.32089</v>
      </c>
      <c r="F1809" s="1">
        <f t="shared" si="4"/>
        <v>32211.82835</v>
      </c>
      <c r="G1809" s="1">
        <f t="shared" si="5"/>
        <v>56844.40297</v>
      </c>
      <c r="H1809" s="1">
        <f t="shared" si="6"/>
        <v>104214.7388</v>
      </c>
      <c r="I1809" s="1">
        <f t="shared" si="7"/>
        <v>170533.2089</v>
      </c>
    </row>
    <row r="1810" hidden="1">
      <c r="A1810" s="266">
        <f>IFERROR(__xludf.DUMMYFUNCTION("""COMPUTED_VALUE"""),44448.99861111111)</f>
        <v>44448.99861</v>
      </c>
      <c r="B1810" s="1">
        <f>IFERROR(__xludf.DUMMYFUNCTION("""COMPUTED_VALUE"""),46386.34)</f>
        <v>46386.34</v>
      </c>
      <c r="C1810" s="58">
        <f t="shared" si="1"/>
        <v>4632.998611</v>
      </c>
      <c r="D1810" s="1">
        <f t="shared" si="2"/>
        <v>9485.936351</v>
      </c>
      <c r="E1810" s="1">
        <f t="shared" si="3"/>
        <v>17074.68543</v>
      </c>
      <c r="F1810" s="1">
        <f t="shared" si="4"/>
        <v>32252.1836</v>
      </c>
      <c r="G1810" s="1">
        <f t="shared" si="5"/>
        <v>56915.61811</v>
      </c>
      <c r="H1810" s="1">
        <f t="shared" si="6"/>
        <v>104345.2999</v>
      </c>
      <c r="I1810" s="1">
        <f t="shared" si="7"/>
        <v>170746.8543</v>
      </c>
    </row>
    <row r="1811" hidden="1">
      <c r="A1811" s="266">
        <f>IFERROR(__xludf.DUMMYFUNCTION("""COMPUTED_VALUE"""),44449.99861111111)</f>
        <v>44449.99861</v>
      </c>
      <c r="B1811" s="1">
        <f>IFERROR(__xludf.DUMMYFUNCTION("""COMPUTED_VALUE"""),44844.22)</f>
        <v>44844.22</v>
      </c>
      <c r="C1811" s="58">
        <f t="shared" si="1"/>
        <v>4633.998611</v>
      </c>
      <c r="D1811" s="1">
        <f t="shared" si="2"/>
        <v>9497.817844</v>
      </c>
      <c r="E1811" s="1">
        <f t="shared" si="3"/>
        <v>17096.07212</v>
      </c>
      <c r="F1811" s="1">
        <f t="shared" si="4"/>
        <v>32292.58067</v>
      </c>
      <c r="G1811" s="1">
        <f t="shared" si="5"/>
        <v>56986.90707</v>
      </c>
      <c r="H1811" s="1">
        <f t="shared" si="6"/>
        <v>104475.9963</v>
      </c>
      <c r="I1811" s="1">
        <f t="shared" si="7"/>
        <v>170960.7212</v>
      </c>
    </row>
    <row r="1812" hidden="1">
      <c r="A1812" s="266">
        <f>IFERROR(__xludf.DUMMYFUNCTION("""COMPUTED_VALUE"""),44450.99861111111)</f>
        <v>44450.99861</v>
      </c>
      <c r="B1812" s="1">
        <f>IFERROR(__xludf.DUMMYFUNCTION("""COMPUTED_VALUE"""),45164.73)</f>
        <v>45164.73</v>
      </c>
      <c r="C1812" s="58">
        <f t="shared" si="1"/>
        <v>4634.998611</v>
      </c>
      <c r="D1812" s="1">
        <f t="shared" si="2"/>
        <v>9509.71165</v>
      </c>
      <c r="E1812" s="1">
        <f t="shared" si="3"/>
        <v>17117.48097</v>
      </c>
      <c r="F1812" s="1">
        <f t="shared" si="4"/>
        <v>32333.01961</v>
      </c>
      <c r="G1812" s="1">
        <f t="shared" si="5"/>
        <v>57058.2699</v>
      </c>
      <c r="H1812" s="1">
        <f t="shared" si="6"/>
        <v>104606.8282</v>
      </c>
      <c r="I1812" s="1">
        <f t="shared" si="7"/>
        <v>171174.8097</v>
      </c>
    </row>
    <row r="1813" hidden="1">
      <c r="A1813" s="266">
        <f>IFERROR(__xludf.DUMMYFUNCTION("""COMPUTED_VALUE"""),44451.99861111111)</f>
        <v>44451.99861</v>
      </c>
      <c r="B1813" s="1">
        <f>IFERROR(__xludf.DUMMYFUNCTION("""COMPUTED_VALUE"""),46060.68)</f>
        <v>46060.68</v>
      </c>
      <c r="C1813" s="58">
        <f t="shared" si="1"/>
        <v>4635.998611</v>
      </c>
      <c r="D1813" s="1">
        <f t="shared" si="2"/>
        <v>9521.61778</v>
      </c>
      <c r="E1813" s="1">
        <f t="shared" si="3"/>
        <v>17138.912</v>
      </c>
      <c r="F1813" s="1">
        <f t="shared" si="4"/>
        <v>32373.50045</v>
      </c>
      <c r="G1813" s="1">
        <f t="shared" si="5"/>
        <v>57129.70668</v>
      </c>
      <c r="H1813" s="1">
        <f t="shared" si="6"/>
        <v>104737.7956</v>
      </c>
      <c r="I1813" s="1">
        <f t="shared" si="7"/>
        <v>171389.12</v>
      </c>
    </row>
    <row r="1814" hidden="1">
      <c r="A1814" s="266">
        <f>IFERROR(__xludf.DUMMYFUNCTION("""COMPUTED_VALUE"""),44452.99861111111)</f>
        <v>44452.99861</v>
      </c>
      <c r="B1814" s="1">
        <f>IFERROR(__xludf.DUMMYFUNCTION("""COMPUTED_VALUE"""),44949.85)</f>
        <v>44949.85</v>
      </c>
      <c r="C1814" s="58">
        <f t="shared" si="1"/>
        <v>4636.998611</v>
      </c>
      <c r="D1814" s="1">
        <f t="shared" si="2"/>
        <v>9533.536244</v>
      </c>
      <c r="E1814" s="1">
        <f t="shared" si="3"/>
        <v>17160.36524</v>
      </c>
      <c r="F1814" s="1">
        <f t="shared" si="4"/>
        <v>32414.02323</v>
      </c>
      <c r="G1814" s="1">
        <f t="shared" si="5"/>
        <v>57201.21746</v>
      </c>
      <c r="H1814" s="1">
        <f t="shared" si="6"/>
        <v>104868.8987</v>
      </c>
      <c r="I1814" s="1">
        <f t="shared" si="7"/>
        <v>171603.6524</v>
      </c>
    </row>
    <row r="1815" hidden="1">
      <c r="A1815" s="266">
        <f>IFERROR(__xludf.DUMMYFUNCTION("""COMPUTED_VALUE"""),44453.99861111111)</f>
        <v>44453.99861</v>
      </c>
      <c r="B1815" s="1">
        <f>IFERROR(__xludf.DUMMYFUNCTION("""COMPUTED_VALUE"""),47069.52)</f>
        <v>47069.52</v>
      </c>
      <c r="C1815" s="58">
        <f t="shared" si="1"/>
        <v>4637.998611</v>
      </c>
      <c r="D1815" s="1">
        <f t="shared" si="2"/>
        <v>9545.467051</v>
      </c>
      <c r="E1815" s="1">
        <f t="shared" si="3"/>
        <v>17181.84069</v>
      </c>
      <c r="F1815" s="1">
        <f t="shared" si="4"/>
        <v>32454.58797</v>
      </c>
      <c r="G1815" s="1">
        <f t="shared" si="5"/>
        <v>57272.80231</v>
      </c>
      <c r="H1815" s="1">
        <f t="shared" si="6"/>
        <v>105000.1376</v>
      </c>
      <c r="I1815" s="1">
        <f t="shared" si="7"/>
        <v>171818.4069</v>
      </c>
    </row>
    <row r="1816" hidden="1">
      <c r="A1816" s="266">
        <f>IFERROR(__xludf.DUMMYFUNCTION("""COMPUTED_VALUE"""),44454.99861111111)</f>
        <v>44454.99861</v>
      </c>
      <c r="B1816" s="1">
        <f>IFERROR(__xludf.DUMMYFUNCTION("""COMPUTED_VALUE"""),48143.54)</f>
        <v>48143.54</v>
      </c>
      <c r="C1816" s="58">
        <f t="shared" si="1"/>
        <v>4638.998611</v>
      </c>
      <c r="D1816" s="1">
        <f t="shared" si="2"/>
        <v>9557.410213</v>
      </c>
      <c r="E1816" s="1">
        <f t="shared" si="3"/>
        <v>17203.33838</v>
      </c>
      <c r="F1816" s="1">
        <f t="shared" si="4"/>
        <v>32495.19472</v>
      </c>
      <c r="G1816" s="1">
        <f t="shared" si="5"/>
        <v>57344.46128</v>
      </c>
      <c r="H1816" s="1">
        <f t="shared" si="6"/>
        <v>105131.5123</v>
      </c>
      <c r="I1816" s="1">
        <f t="shared" si="7"/>
        <v>172033.3838</v>
      </c>
    </row>
    <row r="1817" hidden="1">
      <c r="A1817" s="266">
        <f>IFERROR(__xludf.DUMMYFUNCTION("""COMPUTED_VALUE"""),44455.99861111111)</f>
        <v>44455.99861</v>
      </c>
      <c r="B1817" s="1">
        <f>IFERROR(__xludf.DUMMYFUNCTION("""COMPUTED_VALUE"""),47767.87)</f>
        <v>47767.87</v>
      </c>
      <c r="C1817" s="58">
        <f t="shared" si="1"/>
        <v>4639.998611</v>
      </c>
      <c r="D1817" s="1">
        <f t="shared" si="2"/>
        <v>9569.365738</v>
      </c>
      <c r="E1817" s="1">
        <f t="shared" si="3"/>
        <v>17224.85833</v>
      </c>
      <c r="F1817" s="1">
        <f t="shared" si="4"/>
        <v>32535.84351</v>
      </c>
      <c r="G1817" s="1">
        <f t="shared" si="5"/>
        <v>57416.19443</v>
      </c>
      <c r="H1817" s="1">
        <f t="shared" si="6"/>
        <v>105263.0231</v>
      </c>
      <c r="I1817" s="1">
        <f t="shared" si="7"/>
        <v>172248.5833</v>
      </c>
    </row>
    <row r="1818" hidden="1">
      <c r="A1818" s="266">
        <f>IFERROR(__xludf.DUMMYFUNCTION("""COMPUTED_VALUE"""),44456.99861111111)</f>
        <v>44456.99861</v>
      </c>
      <c r="B1818" s="1">
        <f>IFERROR(__xludf.DUMMYFUNCTION("""COMPUTED_VALUE"""),47282.57)</f>
        <v>47282.57</v>
      </c>
      <c r="C1818" s="58">
        <f t="shared" si="1"/>
        <v>4640.998611</v>
      </c>
      <c r="D1818" s="1">
        <f t="shared" si="2"/>
        <v>9581.333637</v>
      </c>
      <c r="E1818" s="1">
        <f t="shared" si="3"/>
        <v>17246.40055</v>
      </c>
      <c r="F1818" s="1">
        <f t="shared" si="4"/>
        <v>32576.53437</v>
      </c>
      <c r="G1818" s="1">
        <f t="shared" si="5"/>
        <v>57488.00182</v>
      </c>
      <c r="H1818" s="1">
        <f t="shared" si="6"/>
        <v>105394.67</v>
      </c>
      <c r="I1818" s="1">
        <f t="shared" si="7"/>
        <v>172464.0055</v>
      </c>
    </row>
    <row r="1819" hidden="1">
      <c r="A1819" s="266">
        <f>IFERROR(__xludf.DUMMYFUNCTION("""COMPUTED_VALUE"""),44457.99861111111)</f>
        <v>44457.99861</v>
      </c>
      <c r="B1819" s="1">
        <f>IFERROR(__xludf.DUMMYFUNCTION("""COMPUTED_VALUE"""),48306.64)</f>
        <v>48306.64</v>
      </c>
      <c r="C1819" s="58">
        <f t="shared" si="1"/>
        <v>4641.998611</v>
      </c>
      <c r="D1819" s="1">
        <f t="shared" si="2"/>
        <v>9593.313921</v>
      </c>
      <c r="E1819" s="1">
        <f t="shared" si="3"/>
        <v>17267.96506</v>
      </c>
      <c r="F1819" s="1">
        <f t="shared" si="4"/>
        <v>32617.26733</v>
      </c>
      <c r="G1819" s="1">
        <f t="shared" si="5"/>
        <v>57559.88353</v>
      </c>
      <c r="H1819" s="1">
        <f t="shared" si="6"/>
        <v>105526.4531</v>
      </c>
      <c r="I1819" s="1">
        <f t="shared" si="7"/>
        <v>172679.6506</v>
      </c>
    </row>
    <row r="1820" hidden="1">
      <c r="A1820" s="266">
        <f>IFERROR(__xludf.DUMMYFUNCTION("""COMPUTED_VALUE"""),44458.99861111111)</f>
        <v>44458.99861</v>
      </c>
      <c r="B1820" s="1">
        <f>IFERROR(__xludf.DUMMYFUNCTION("""COMPUTED_VALUE"""),47246.58)</f>
        <v>47246.58</v>
      </c>
      <c r="C1820" s="58">
        <f t="shared" si="1"/>
        <v>4642.998611</v>
      </c>
      <c r="D1820" s="1">
        <f t="shared" si="2"/>
        <v>9605.3066</v>
      </c>
      <c r="E1820" s="1">
        <f t="shared" si="3"/>
        <v>17289.55188</v>
      </c>
      <c r="F1820" s="1">
        <f t="shared" si="4"/>
        <v>32658.04244</v>
      </c>
      <c r="G1820" s="1">
        <f t="shared" si="5"/>
        <v>57631.8396</v>
      </c>
      <c r="H1820" s="1">
        <f t="shared" si="6"/>
        <v>105658.3726</v>
      </c>
      <c r="I1820" s="1">
        <f t="shared" si="7"/>
        <v>172895.5188</v>
      </c>
    </row>
    <row r="1821" hidden="1">
      <c r="A1821" s="266">
        <f>IFERROR(__xludf.DUMMYFUNCTION("""COMPUTED_VALUE"""),44459.99861111111)</f>
        <v>44459.99861</v>
      </c>
      <c r="B1821" s="1">
        <f>IFERROR(__xludf.DUMMYFUNCTION("""COMPUTED_VALUE"""),42945.56)</f>
        <v>42945.56</v>
      </c>
      <c r="C1821" s="58">
        <f t="shared" si="1"/>
        <v>4643.998611</v>
      </c>
      <c r="D1821" s="1">
        <f t="shared" si="2"/>
        <v>9617.311683</v>
      </c>
      <c r="E1821" s="1">
        <f t="shared" si="3"/>
        <v>17311.16103</v>
      </c>
      <c r="F1821" s="1">
        <f t="shared" si="4"/>
        <v>32698.85972</v>
      </c>
      <c r="G1821" s="1">
        <f t="shared" si="5"/>
        <v>57703.8701</v>
      </c>
      <c r="H1821" s="1">
        <f t="shared" si="6"/>
        <v>105790.4285</v>
      </c>
      <c r="I1821" s="1">
        <f t="shared" si="7"/>
        <v>173111.6103</v>
      </c>
    </row>
    <row r="1822" hidden="1">
      <c r="A1822" s="266">
        <f>IFERROR(__xludf.DUMMYFUNCTION("""COMPUTED_VALUE"""),44460.99861111111)</f>
        <v>44460.99861</v>
      </c>
      <c r="B1822" s="1">
        <f>IFERROR(__xludf.DUMMYFUNCTION("""COMPUTED_VALUE"""),40585.24)</f>
        <v>40585.24</v>
      </c>
      <c r="C1822" s="58">
        <f t="shared" si="1"/>
        <v>4644.998611</v>
      </c>
      <c r="D1822" s="1">
        <f t="shared" si="2"/>
        <v>9629.32918</v>
      </c>
      <c r="E1822" s="1">
        <f t="shared" si="3"/>
        <v>17332.79252</v>
      </c>
      <c r="F1822" s="1">
        <f t="shared" si="4"/>
        <v>32739.71921</v>
      </c>
      <c r="G1822" s="1">
        <f t="shared" si="5"/>
        <v>57775.97508</v>
      </c>
      <c r="H1822" s="1">
        <f t="shared" si="6"/>
        <v>105922.621</v>
      </c>
      <c r="I1822" s="1">
        <f t="shared" si="7"/>
        <v>173327.9252</v>
      </c>
    </row>
    <row r="1823" hidden="1">
      <c r="A1823" s="266">
        <f>IFERROR(__xludf.DUMMYFUNCTION("""COMPUTED_VALUE"""),44461.99861111111)</f>
        <v>44461.99861</v>
      </c>
      <c r="B1823" s="1">
        <f>IFERROR(__xludf.DUMMYFUNCTION("""COMPUTED_VALUE"""),43583.85)</f>
        <v>43583.85</v>
      </c>
      <c r="C1823" s="58">
        <f t="shared" si="1"/>
        <v>4645.998611</v>
      </c>
      <c r="D1823" s="1">
        <f t="shared" si="2"/>
        <v>9641.359103</v>
      </c>
      <c r="E1823" s="1">
        <f t="shared" si="3"/>
        <v>17354.44639</v>
      </c>
      <c r="F1823" s="1">
        <f t="shared" si="4"/>
        <v>32780.62095</v>
      </c>
      <c r="G1823" s="1">
        <f t="shared" si="5"/>
        <v>57848.15462</v>
      </c>
      <c r="H1823" s="1">
        <f t="shared" si="6"/>
        <v>106054.9501</v>
      </c>
      <c r="I1823" s="1">
        <f t="shared" si="7"/>
        <v>173544.4639</v>
      </c>
    </row>
    <row r="1824" hidden="1">
      <c r="A1824" s="266">
        <f>IFERROR(__xludf.DUMMYFUNCTION("""COMPUTED_VALUE"""),44462.99861111111)</f>
        <v>44462.99861</v>
      </c>
      <c r="B1824" s="1">
        <f>IFERROR(__xludf.DUMMYFUNCTION("""COMPUTED_VALUE"""),44888.98)</f>
        <v>44888.98</v>
      </c>
      <c r="C1824" s="58">
        <f t="shared" si="1"/>
        <v>4646.998611</v>
      </c>
      <c r="D1824" s="1">
        <f t="shared" si="2"/>
        <v>9653.401461</v>
      </c>
      <c r="E1824" s="1">
        <f t="shared" si="3"/>
        <v>17376.12263</v>
      </c>
      <c r="F1824" s="1">
        <f t="shared" si="4"/>
        <v>32821.56497</v>
      </c>
      <c r="G1824" s="1">
        <f t="shared" si="5"/>
        <v>57920.40876</v>
      </c>
      <c r="H1824" s="1">
        <f t="shared" si="6"/>
        <v>106187.4161</v>
      </c>
      <c r="I1824" s="1">
        <f t="shared" si="7"/>
        <v>173761.2263</v>
      </c>
    </row>
    <row r="1825" hidden="1">
      <c r="A1825" s="266">
        <f>IFERROR(__xludf.DUMMYFUNCTION("""COMPUTED_VALUE"""),44463.99861111111)</f>
        <v>44463.99861</v>
      </c>
      <c r="B1825" s="1">
        <f>IFERROR(__xludf.DUMMYFUNCTION("""COMPUTED_VALUE"""),42836.94)</f>
        <v>42836.94</v>
      </c>
      <c r="C1825" s="58">
        <f t="shared" si="1"/>
        <v>4647.998611</v>
      </c>
      <c r="D1825" s="1">
        <f t="shared" si="2"/>
        <v>9665.456264</v>
      </c>
      <c r="E1825" s="1">
        <f t="shared" si="3"/>
        <v>17397.82127</v>
      </c>
      <c r="F1825" s="1">
        <f t="shared" si="4"/>
        <v>32862.5513</v>
      </c>
      <c r="G1825" s="1">
        <f t="shared" si="5"/>
        <v>57992.73758</v>
      </c>
      <c r="H1825" s="1">
        <f t="shared" si="6"/>
        <v>106320.0189</v>
      </c>
      <c r="I1825" s="1">
        <f t="shared" si="7"/>
        <v>173978.2127</v>
      </c>
    </row>
    <row r="1826" hidden="1">
      <c r="A1826" s="266">
        <f>IFERROR(__xludf.DUMMYFUNCTION("""COMPUTED_VALUE"""),44464.99861111111)</f>
        <v>44464.99861</v>
      </c>
      <c r="B1826" s="1">
        <f>IFERROR(__xludf.DUMMYFUNCTION("""COMPUTED_VALUE"""),42707.03)</f>
        <v>42707.03</v>
      </c>
      <c r="C1826" s="58">
        <f t="shared" si="1"/>
        <v>4648.998611</v>
      </c>
      <c r="D1826" s="1">
        <f t="shared" si="2"/>
        <v>9677.523522</v>
      </c>
      <c r="E1826" s="1">
        <f t="shared" si="3"/>
        <v>17419.54234</v>
      </c>
      <c r="F1826" s="1">
        <f t="shared" si="4"/>
        <v>32903.57998</v>
      </c>
      <c r="G1826" s="1">
        <f t="shared" si="5"/>
        <v>58065.14113</v>
      </c>
      <c r="H1826" s="1">
        <f t="shared" si="6"/>
        <v>106452.7587</v>
      </c>
      <c r="I1826" s="1">
        <f t="shared" si="7"/>
        <v>174195.4234</v>
      </c>
    </row>
    <row r="1827" hidden="1">
      <c r="A1827" s="266">
        <f>IFERROR(__xludf.DUMMYFUNCTION("""COMPUTED_VALUE"""),44465.99861111111)</f>
        <v>44465.99861</v>
      </c>
      <c r="B1827" s="1">
        <f>IFERROR(__xludf.DUMMYFUNCTION("""COMPUTED_VALUE"""),43169.61)</f>
        <v>43169.61</v>
      </c>
      <c r="C1827" s="58">
        <f t="shared" si="1"/>
        <v>4649.998611</v>
      </c>
      <c r="D1827" s="1">
        <f t="shared" si="2"/>
        <v>9689.603246</v>
      </c>
      <c r="E1827" s="1">
        <f t="shared" si="3"/>
        <v>17441.28584</v>
      </c>
      <c r="F1827" s="1">
        <f t="shared" si="4"/>
        <v>32944.65104</v>
      </c>
      <c r="G1827" s="1">
        <f t="shared" si="5"/>
        <v>58137.61948</v>
      </c>
      <c r="H1827" s="1">
        <f t="shared" si="6"/>
        <v>106585.6357</v>
      </c>
      <c r="I1827" s="1">
        <f t="shared" si="7"/>
        <v>174412.8584</v>
      </c>
    </row>
    <row r="1828" hidden="1">
      <c r="A1828" s="266">
        <f>IFERROR(__xludf.DUMMYFUNCTION("""COMPUTED_VALUE"""),44466.99861111111)</f>
        <v>44466.99861</v>
      </c>
      <c r="B1828" s="1">
        <f>IFERROR(__xludf.DUMMYFUNCTION("""COMPUTED_VALUE"""),42204.58)</f>
        <v>42204.58</v>
      </c>
      <c r="C1828" s="58">
        <f t="shared" si="1"/>
        <v>4650.998611</v>
      </c>
      <c r="D1828" s="1">
        <f t="shared" si="2"/>
        <v>9701.695446</v>
      </c>
      <c r="E1828" s="1">
        <f t="shared" si="3"/>
        <v>17463.0518</v>
      </c>
      <c r="F1828" s="1">
        <f t="shared" si="4"/>
        <v>32985.76452</v>
      </c>
      <c r="G1828" s="1">
        <f t="shared" si="5"/>
        <v>58210.17268</v>
      </c>
      <c r="H1828" s="1">
        <f t="shared" si="6"/>
        <v>106718.6499</v>
      </c>
      <c r="I1828" s="1">
        <f t="shared" si="7"/>
        <v>174630.518</v>
      </c>
    </row>
    <row r="1829" hidden="1">
      <c r="A1829" s="266">
        <f>IFERROR(__xludf.DUMMYFUNCTION("""COMPUTED_VALUE"""),44467.99861111111)</f>
        <v>44467.99861</v>
      </c>
      <c r="B1829" s="1">
        <f>IFERROR(__xludf.DUMMYFUNCTION("""COMPUTED_VALUE"""),41046.57)</f>
        <v>41046.57</v>
      </c>
      <c r="C1829" s="58">
        <f t="shared" si="1"/>
        <v>4651.998611</v>
      </c>
      <c r="D1829" s="1">
        <f t="shared" si="2"/>
        <v>9713.800132</v>
      </c>
      <c r="E1829" s="1">
        <f t="shared" si="3"/>
        <v>17484.84024</v>
      </c>
      <c r="F1829" s="1">
        <f t="shared" si="4"/>
        <v>33026.92045</v>
      </c>
      <c r="G1829" s="1">
        <f t="shared" si="5"/>
        <v>58282.80079</v>
      </c>
      <c r="H1829" s="1">
        <f t="shared" si="6"/>
        <v>106851.8015</v>
      </c>
      <c r="I1829" s="1">
        <f t="shared" si="7"/>
        <v>174848.4024</v>
      </c>
    </row>
    <row r="1830" hidden="1">
      <c r="A1830" s="266">
        <f>IFERROR(__xludf.DUMMYFUNCTION("""COMPUTED_VALUE"""),44468.99861111111)</f>
        <v>44468.99861</v>
      </c>
      <c r="B1830" s="1">
        <f>IFERROR(__xludf.DUMMYFUNCTION("""COMPUTED_VALUE"""),41540.94)</f>
        <v>41540.94</v>
      </c>
      <c r="C1830" s="58">
        <f t="shared" si="1"/>
        <v>4652.998611</v>
      </c>
      <c r="D1830" s="1">
        <f t="shared" si="2"/>
        <v>9725.917315</v>
      </c>
      <c r="E1830" s="1">
        <f t="shared" si="3"/>
        <v>17506.65117</v>
      </c>
      <c r="F1830" s="1">
        <f t="shared" si="4"/>
        <v>33068.11887</v>
      </c>
      <c r="G1830" s="1">
        <f t="shared" si="5"/>
        <v>58355.50389</v>
      </c>
      <c r="H1830" s="1">
        <f t="shared" si="6"/>
        <v>106985.0905</v>
      </c>
      <c r="I1830" s="1">
        <f t="shared" si="7"/>
        <v>175066.5117</v>
      </c>
    </row>
    <row r="1831" hidden="1">
      <c r="A1831" s="266">
        <f>IFERROR(__xludf.DUMMYFUNCTION("""COMPUTED_VALUE"""),44469.99861111111)</f>
        <v>44469.99861</v>
      </c>
      <c r="B1831" s="1">
        <f>IFERROR(__xludf.DUMMYFUNCTION("""COMPUTED_VALUE"""),43788.04)</f>
        <v>43788.04</v>
      </c>
      <c r="C1831" s="58">
        <f t="shared" si="1"/>
        <v>4653.998611</v>
      </c>
      <c r="D1831" s="1">
        <f t="shared" si="2"/>
        <v>9738.047003</v>
      </c>
      <c r="E1831" s="1">
        <f t="shared" si="3"/>
        <v>17528.48461</v>
      </c>
      <c r="F1831" s="1">
        <f t="shared" si="4"/>
        <v>33109.35981</v>
      </c>
      <c r="G1831" s="1">
        <f t="shared" si="5"/>
        <v>58428.28202</v>
      </c>
      <c r="H1831" s="1">
        <f t="shared" si="6"/>
        <v>107118.517</v>
      </c>
      <c r="I1831" s="1">
        <f t="shared" si="7"/>
        <v>175284.8461</v>
      </c>
    </row>
    <row r="1832" hidden="1">
      <c r="A1832" s="266">
        <f>IFERROR(__xludf.DUMMYFUNCTION("""COMPUTED_VALUE"""),44470.99861111111)</f>
        <v>44470.99861</v>
      </c>
      <c r="B1832" s="1">
        <f>IFERROR(__xludf.DUMMYFUNCTION("""COMPUTED_VALUE"""),48144.0)</f>
        <v>48144</v>
      </c>
      <c r="C1832" s="58">
        <f t="shared" si="1"/>
        <v>4654.998611</v>
      </c>
      <c r="D1832" s="1">
        <f t="shared" si="2"/>
        <v>9750.189209</v>
      </c>
      <c r="E1832" s="1">
        <f t="shared" si="3"/>
        <v>17550.34058</v>
      </c>
      <c r="F1832" s="1">
        <f t="shared" si="4"/>
        <v>33150.64331</v>
      </c>
      <c r="G1832" s="1">
        <f t="shared" si="5"/>
        <v>58501.13525</v>
      </c>
      <c r="H1832" s="1">
        <f t="shared" si="6"/>
        <v>107252.0813</v>
      </c>
      <c r="I1832" s="1">
        <f t="shared" si="7"/>
        <v>175503.4058</v>
      </c>
    </row>
    <row r="1833" hidden="1">
      <c r="A1833" s="266">
        <f>IFERROR(__xludf.DUMMYFUNCTION("""COMPUTED_VALUE"""),44471.99861111111)</f>
        <v>44471.99861</v>
      </c>
      <c r="B1833" s="1">
        <f>IFERROR(__xludf.DUMMYFUNCTION("""COMPUTED_VALUE"""),47675.17)</f>
        <v>47675.17</v>
      </c>
      <c r="C1833" s="58">
        <f t="shared" si="1"/>
        <v>4655.998611</v>
      </c>
      <c r="D1833" s="1">
        <f t="shared" si="2"/>
        <v>9762.343941</v>
      </c>
      <c r="E1833" s="1">
        <f t="shared" si="3"/>
        <v>17572.21909</v>
      </c>
      <c r="F1833" s="1">
        <f t="shared" si="4"/>
        <v>33191.9694</v>
      </c>
      <c r="G1833" s="1">
        <f t="shared" si="5"/>
        <v>58574.06364</v>
      </c>
      <c r="H1833" s="1">
        <f t="shared" si="6"/>
        <v>107385.7833</v>
      </c>
      <c r="I1833" s="1">
        <f t="shared" si="7"/>
        <v>175722.1909</v>
      </c>
    </row>
    <row r="1834" hidden="1">
      <c r="A1834" s="266">
        <f>IFERROR(__xludf.DUMMYFUNCTION("""COMPUTED_VALUE"""),44472.99861111111)</f>
        <v>44472.99861</v>
      </c>
      <c r="B1834" s="1">
        <f>IFERROR(__xludf.DUMMYFUNCTION("""COMPUTED_VALUE"""),48228.48)</f>
        <v>48228.48</v>
      </c>
      <c r="C1834" s="58">
        <f t="shared" si="1"/>
        <v>4656.998611</v>
      </c>
      <c r="D1834" s="1">
        <f t="shared" si="2"/>
        <v>9774.51121</v>
      </c>
      <c r="E1834" s="1">
        <f t="shared" si="3"/>
        <v>17594.12018</v>
      </c>
      <c r="F1834" s="1">
        <f t="shared" si="4"/>
        <v>33233.33811</v>
      </c>
      <c r="G1834" s="1">
        <f t="shared" si="5"/>
        <v>58647.06726</v>
      </c>
      <c r="H1834" s="1">
        <f t="shared" si="6"/>
        <v>107519.6233</v>
      </c>
      <c r="I1834" s="1">
        <f t="shared" si="7"/>
        <v>175941.2018</v>
      </c>
    </row>
    <row r="1835" hidden="1">
      <c r="A1835" s="266">
        <f>IFERROR(__xludf.DUMMYFUNCTION("""COMPUTED_VALUE"""),44473.99861111111)</f>
        <v>44473.99861</v>
      </c>
      <c r="B1835" s="1">
        <f>IFERROR(__xludf.DUMMYFUNCTION("""COMPUTED_VALUE"""),49264.18)</f>
        <v>49264.18</v>
      </c>
      <c r="C1835" s="58">
        <f t="shared" si="1"/>
        <v>4657.998611</v>
      </c>
      <c r="D1835" s="1">
        <f t="shared" si="2"/>
        <v>9786.691027</v>
      </c>
      <c r="E1835" s="1">
        <f t="shared" si="3"/>
        <v>17616.04385</v>
      </c>
      <c r="F1835" s="1">
        <f t="shared" si="4"/>
        <v>33274.74949</v>
      </c>
      <c r="G1835" s="1">
        <f t="shared" si="5"/>
        <v>58720.14616</v>
      </c>
      <c r="H1835" s="1">
        <f t="shared" si="6"/>
        <v>107653.6013</v>
      </c>
      <c r="I1835" s="1">
        <f t="shared" si="7"/>
        <v>176160.4385</v>
      </c>
    </row>
    <row r="1836" hidden="1">
      <c r="A1836" s="266">
        <f>IFERROR(__xludf.DUMMYFUNCTION("""COMPUTED_VALUE"""),44474.99861111111)</f>
        <v>44474.99861</v>
      </c>
      <c r="B1836" s="1">
        <f>IFERROR(__xludf.DUMMYFUNCTION("""COMPUTED_VALUE"""),51490.58)</f>
        <v>51490.58</v>
      </c>
      <c r="C1836" s="58">
        <f t="shared" si="1"/>
        <v>4658.998611</v>
      </c>
      <c r="D1836" s="1">
        <f t="shared" si="2"/>
        <v>9798.883401</v>
      </c>
      <c r="E1836" s="1">
        <f t="shared" si="3"/>
        <v>17637.99012</v>
      </c>
      <c r="F1836" s="1">
        <f t="shared" si="4"/>
        <v>33316.20356</v>
      </c>
      <c r="G1836" s="1">
        <f t="shared" si="5"/>
        <v>58793.30041</v>
      </c>
      <c r="H1836" s="1">
        <f t="shared" si="6"/>
        <v>107787.7174</v>
      </c>
      <c r="I1836" s="1">
        <f t="shared" si="7"/>
        <v>176379.9012</v>
      </c>
    </row>
    <row r="1837" hidden="1">
      <c r="A1837" s="266">
        <f>IFERROR(__xludf.DUMMYFUNCTION("""COMPUTED_VALUE"""),44475.99861111111)</f>
        <v>44475.99861</v>
      </c>
      <c r="B1837" s="1">
        <f>IFERROR(__xludf.DUMMYFUNCTION("""COMPUTED_VALUE"""),55338.91)</f>
        <v>55338.91</v>
      </c>
      <c r="C1837" s="58">
        <f t="shared" si="1"/>
        <v>4659.998611</v>
      </c>
      <c r="D1837" s="1">
        <f t="shared" si="2"/>
        <v>9811.088343</v>
      </c>
      <c r="E1837" s="1">
        <f t="shared" si="3"/>
        <v>17659.95902</v>
      </c>
      <c r="F1837" s="1">
        <f t="shared" si="4"/>
        <v>33357.70037</v>
      </c>
      <c r="G1837" s="1">
        <f t="shared" si="5"/>
        <v>58866.53006</v>
      </c>
      <c r="H1837" s="1">
        <f t="shared" si="6"/>
        <v>107921.9718</v>
      </c>
      <c r="I1837" s="1">
        <f t="shared" si="7"/>
        <v>176599.5902</v>
      </c>
    </row>
    <row r="1838" hidden="1">
      <c r="A1838" s="266">
        <f>IFERROR(__xludf.DUMMYFUNCTION("""COMPUTED_VALUE"""),44476.99861111111)</f>
        <v>44476.99861</v>
      </c>
      <c r="B1838" s="1">
        <f>IFERROR(__xludf.DUMMYFUNCTION("""COMPUTED_VALUE"""),53781.91)</f>
        <v>53781.91</v>
      </c>
      <c r="C1838" s="58">
        <f t="shared" si="1"/>
        <v>4660.998611</v>
      </c>
      <c r="D1838" s="1">
        <f t="shared" si="2"/>
        <v>9823.305863</v>
      </c>
      <c r="E1838" s="1">
        <f t="shared" si="3"/>
        <v>17681.95055</v>
      </c>
      <c r="F1838" s="1">
        <f t="shared" si="4"/>
        <v>33399.23994</v>
      </c>
      <c r="G1838" s="1">
        <f t="shared" si="5"/>
        <v>58939.83518</v>
      </c>
      <c r="H1838" s="1">
        <f t="shared" si="6"/>
        <v>108056.3645</v>
      </c>
      <c r="I1838" s="1">
        <f t="shared" si="7"/>
        <v>176819.5055</v>
      </c>
    </row>
    <row r="1839" hidden="1">
      <c r="A1839" s="266">
        <f>IFERROR(__xludf.DUMMYFUNCTION("""COMPUTED_VALUE"""),44477.99861111111)</f>
        <v>44477.99861</v>
      </c>
      <c r="B1839" s="1">
        <f>IFERROR(__xludf.DUMMYFUNCTION("""COMPUTED_VALUE"""),53941.22)</f>
        <v>53941.22</v>
      </c>
      <c r="C1839" s="58">
        <f t="shared" si="1"/>
        <v>4661.998611</v>
      </c>
      <c r="D1839" s="1">
        <f t="shared" si="2"/>
        <v>9835.535972</v>
      </c>
      <c r="E1839" s="1">
        <f t="shared" si="3"/>
        <v>17703.96475</v>
      </c>
      <c r="F1839" s="1">
        <f t="shared" si="4"/>
        <v>33440.82231</v>
      </c>
      <c r="G1839" s="1">
        <f t="shared" si="5"/>
        <v>59013.21583</v>
      </c>
      <c r="H1839" s="1">
        <f t="shared" si="6"/>
        <v>108190.8957</v>
      </c>
      <c r="I1839" s="1">
        <f t="shared" si="7"/>
        <v>177039.6475</v>
      </c>
    </row>
    <row r="1840" hidden="1">
      <c r="A1840" s="266">
        <f>IFERROR(__xludf.DUMMYFUNCTION("""COMPUTED_VALUE"""),44478.99861111111)</f>
        <v>44478.99861</v>
      </c>
      <c r="B1840" s="1">
        <f>IFERROR(__xludf.DUMMYFUNCTION("""COMPUTED_VALUE"""),54963.55)</f>
        <v>54963.55</v>
      </c>
      <c r="C1840" s="58">
        <f t="shared" si="1"/>
        <v>4662.998611</v>
      </c>
      <c r="D1840" s="1">
        <f t="shared" si="2"/>
        <v>9847.778679</v>
      </c>
      <c r="E1840" s="1">
        <f t="shared" si="3"/>
        <v>17726.00162</v>
      </c>
      <c r="F1840" s="1">
        <f t="shared" si="4"/>
        <v>33482.44751</v>
      </c>
      <c r="G1840" s="1">
        <f t="shared" si="5"/>
        <v>59086.67208</v>
      </c>
      <c r="H1840" s="1">
        <f t="shared" si="6"/>
        <v>108325.5655</v>
      </c>
      <c r="I1840" s="1">
        <f t="shared" si="7"/>
        <v>177260.0162</v>
      </c>
    </row>
    <row r="1841" hidden="1">
      <c r="A1841" s="266">
        <f>IFERROR(__xludf.DUMMYFUNCTION("""COMPUTED_VALUE"""),44479.99861111111)</f>
        <v>44479.99861</v>
      </c>
      <c r="B1841" s="1">
        <f>IFERROR(__xludf.DUMMYFUNCTION("""COMPUTED_VALUE"""),54701.61)</f>
        <v>54701.61</v>
      </c>
      <c r="C1841" s="58">
        <f t="shared" si="1"/>
        <v>4663.998611</v>
      </c>
      <c r="D1841" s="1">
        <f t="shared" si="2"/>
        <v>9860.033995</v>
      </c>
      <c r="E1841" s="1">
        <f t="shared" si="3"/>
        <v>17748.06119</v>
      </c>
      <c r="F1841" s="1">
        <f t="shared" si="4"/>
        <v>33524.11558</v>
      </c>
      <c r="G1841" s="1">
        <f t="shared" si="5"/>
        <v>59160.20397</v>
      </c>
      <c r="H1841" s="1">
        <f t="shared" si="6"/>
        <v>108460.3739</v>
      </c>
      <c r="I1841" s="1">
        <f t="shared" si="7"/>
        <v>177480.6119</v>
      </c>
    </row>
    <row r="1842" hidden="1">
      <c r="A1842" s="266">
        <f>IFERROR(__xludf.DUMMYFUNCTION("""COMPUTED_VALUE"""),44480.99861111111)</f>
        <v>44480.99861</v>
      </c>
      <c r="B1842" s="1">
        <f>IFERROR(__xludf.DUMMYFUNCTION("""COMPUTED_VALUE"""),57489.84)</f>
        <v>57489.84</v>
      </c>
      <c r="C1842" s="58">
        <f t="shared" si="1"/>
        <v>4664.998611</v>
      </c>
      <c r="D1842" s="1">
        <f t="shared" si="2"/>
        <v>9872.301931</v>
      </c>
      <c r="E1842" s="1">
        <f t="shared" si="3"/>
        <v>17770.14348</v>
      </c>
      <c r="F1842" s="1">
        <f t="shared" si="4"/>
        <v>33565.82656</v>
      </c>
      <c r="G1842" s="1">
        <f t="shared" si="5"/>
        <v>59233.81158</v>
      </c>
      <c r="H1842" s="1">
        <f t="shared" si="6"/>
        <v>108595.3212</v>
      </c>
      <c r="I1842" s="1">
        <f t="shared" si="7"/>
        <v>177701.4348</v>
      </c>
    </row>
    <row r="1843" hidden="1">
      <c r="A1843" s="266">
        <f>IFERROR(__xludf.DUMMYFUNCTION("""COMPUTED_VALUE"""),44481.99861111111)</f>
        <v>44481.99861</v>
      </c>
      <c r="B1843" s="1">
        <f>IFERROR(__xludf.DUMMYFUNCTION("""COMPUTED_VALUE"""),56008.42)</f>
        <v>56008.42</v>
      </c>
      <c r="C1843" s="58">
        <f t="shared" si="1"/>
        <v>4665.998611</v>
      </c>
      <c r="D1843" s="1">
        <f t="shared" si="2"/>
        <v>9884.582495</v>
      </c>
      <c r="E1843" s="1">
        <f t="shared" si="3"/>
        <v>17792.24849</v>
      </c>
      <c r="F1843" s="1">
        <f t="shared" si="4"/>
        <v>33607.58048</v>
      </c>
      <c r="G1843" s="1">
        <f t="shared" si="5"/>
        <v>59307.49497</v>
      </c>
      <c r="H1843" s="1">
        <f t="shared" si="6"/>
        <v>108730.4074</v>
      </c>
      <c r="I1843" s="1">
        <f t="shared" si="7"/>
        <v>177922.4849</v>
      </c>
    </row>
    <row r="1844" hidden="1">
      <c r="A1844" s="266">
        <f>IFERROR(__xludf.DUMMYFUNCTION("""COMPUTED_VALUE"""),44482.99861111111)</f>
        <v>44482.99861</v>
      </c>
      <c r="B1844" s="1">
        <f>IFERROR(__xludf.DUMMYFUNCTION("""COMPUTED_VALUE"""),57383.79)</f>
        <v>57383.79</v>
      </c>
      <c r="C1844" s="58">
        <f t="shared" si="1"/>
        <v>4666.998611</v>
      </c>
      <c r="D1844" s="1">
        <f t="shared" si="2"/>
        <v>9896.8757</v>
      </c>
      <c r="E1844" s="1">
        <f t="shared" si="3"/>
        <v>17814.37626</v>
      </c>
      <c r="F1844" s="1">
        <f t="shared" si="4"/>
        <v>33649.37738</v>
      </c>
      <c r="G1844" s="1">
        <f t="shared" si="5"/>
        <v>59381.2542</v>
      </c>
      <c r="H1844" s="1">
        <f t="shared" si="6"/>
        <v>108865.6327</v>
      </c>
      <c r="I1844" s="1">
        <f t="shared" si="7"/>
        <v>178143.7626</v>
      </c>
    </row>
    <row r="1845" hidden="1">
      <c r="A1845" s="266">
        <f>IFERROR(__xludf.DUMMYFUNCTION("""COMPUTED_VALUE"""),44483.99861111111)</f>
        <v>44483.99861</v>
      </c>
      <c r="B1845" s="1">
        <f>IFERROR(__xludf.DUMMYFUNCTION("""COMPUTED_VALUE"""),57351.45)</f>
        <v>57351.45</v>
      </c>
      <c r="C1845" s="58">
        <f t="shared" si="1"/>
        <v>4667.998611</v>
      </c>
      <c r="D1845" s="1">
        <f t="shared" si="2"/>
        <v>9909.181554</v>
      </c>
      <c r="E1845" s="1">
        <f t="shared" si="3"/>
        <v>17836.5268</v>
      </c>
      <c r="F1845" s="1">
        <f t="shared" si="4"/>
        <v>33691.21728</v>
      </c>
      <c r="G1845" s="1">
        <f t="shared" si="5"/>
        <v>59455.08933</v>
      </c>
      <c r="H1845" s="1">
        <f t="shared" si="6"/>
        <v>109000.9971</v>
      </c>
      <c r="I1845" s="1">
        <f t="shared" si="7"/>
        <v>178365.268</v>
      </c>
    </row>
    <row r="1846" hidden="1">
      <c r="A1846" s="266">
        <f>IFERROR(__xludf.DUMMYFUNCTION("""COMPUTED_VALUE"""),44484.99861111111)</f>
        <v>44484.99861</v>
      </c>
      <c r="B1846" s="1">
        <f>IFERROR(__xludf.DUMMYFUNCTION("""COMPUTED_VALUE"""),61663.95)</f>
        <v>61663.95</v>
      </c>
      <c r="C1846" s="58">
        <f t="shared" si="1"/>
        <v>4668.998611</v>
      </c>
      <c r="D1846" s="1">
        <f t="shared" si="2"/>
        <v>9921.500069</v>
      </c>
      <c r="E1846" s="1">
        <f t="shared" si="3"/>
        <v>17858.70012</v>
      </c>
      <c r="F1846" s="1">
        <f t="shared" si="4"/>
        <v>33733.10024</v>
      </c>
      <c r="G1846" s="1">
        <f t="shared" si="5"/>
        <v>59529.00042</v>
      </c>
      <c r="H1846" s="1">
        <f t="shared" si="6"/>
        <v>109136.5008</v>
      </c>
      <c r="I1846" s="1">
        <f t="shared" si="7"/>
        <v>178587.0012</v>
      </c>
    </row>
    <row r="1847" hidden="1">
      <c r="A1847" s="266">
        <f>IFERROR(__xludf.DUMMYFUNCTION("""COMPUTED_VALUE"""),44485.99861111111)</f>
        <v>44485.99861</v>
      </c>
      <c r="B1847" s="1">
        <f>IFERROR(__xludf.DUMMYFUNCTION("""COMPUTED_VALUE"""),60863.94)</f>
        <v>60863.94</v>
      </c>
      <c r="C1847" s="58">
        <f t="shared" si="1"/>
        <v>4669.998611</v>
      </c>
      <c r="D1847" s="1">
        <f t="shared" si="2"/>
        <v>9933.831255</v>
      </c>
      <c r="E1847" s="1">
        <f t="shared" si="3"/>
        <v>17880.89626</v>
      </c>
      <c r="F1847" s="1">
        <f t="shared" si="4"/>
        <v>33775.02627</v>
      </c>
      <c r="G1847" s="1">
        <f t="shared" si="5"/>
        <v>59602.98753</v>
      </c>
      <c r="H1847" s="1">
        <f t="shared" si="6"/>
        <v>109272.1438</v>
      </c>
      <c r="I1847" s="1">
        <f t="shared" si="7"/>
        <v>178808.9626</v>
      </c>
    </row>
    <row r="1848" hidden="1">
      <c r="A1848" s="266">
        <f>IFERROR(__xludf.DUMMYFUNCTION("""COMPUTED_VALUE"""),44486.99861111111)</f>
        <v>44486.99861</v>
      </c>
      <c r="B1848" s="1">
        <f>IFERROR(__xludf.DUMMYFUNCTION("""COMPUTED_VALUE"""),61522.43)</f>
        <v>61522.43</v>
      </c>
      <c r="C1848" s="58">
        <f t="shared" si="1"/>
        <v>4670.998611</v>
      </c>
      <c r="D1848" s="1">
        <f t="shared" si="2"/>
        <v>9946.175121</v>
      </c>
      <c r="E1848" s="1">
        <f t="shared" si="3"/>
        <v>17903.11522</v>
      </c>
      <c r="F1848" s="1">
        <f t="shared" si="4"/>
        <v>33816.99541</v>
      </c>
      <c r="G1848" s="1">
        <f t="shared" si="5"/>
        <v>59677.05073</v>
      </c>
      <c r="H1848" s="1">
        <f t="shared" si="6"/>
        <v>109407.9263</v>
      </c>
      <c r="I1848" s="1">
        <f t="shared" si="7"/>
        <v>179031.1522</v>
      </c>
    </row>
    <row r="1849" hidden="1">
      <c r="A1849" s="266">
        <f>IFERROR(__xludf.DUMMYFUNCTION("""COMPUTED_VALUE"""),44487.99861111111)</f>
        <v>44487.99861</v>
      </c>
      <c r="B1849" s="1">
        <f>IFERROR(__xludf.DUMMYFUNCTION("""COMPUTED_VALUE"""),62038.73)</f>
        <v>62038.73</v>
      </c>
      <c r="C1849" s="58">
        <f t="shared" si="1"/>
        <v>4671.998611</v>
      </c>
      <c r="D1849" s="1">
        <f t="shared" si="2"/>
        <v>9958.531679</v>
      </c>
      <c r="E1849" s="1">
        <f t="shared" si="3"/>
        <v>17925.35702</v>
      </c>
      <c r="F1849" s="1">
        <f t="shared" si="4"/>
        <v>33859.00771</v>
      </c>
      <c r="G1849" s="1">
        <f t="shared" si="5"/>
        <v>59751.19007</v>
      </c>
      <c r="H1849" s="1">
        <f t="shared" si="6"/>
        <v>109543.8485</v>
      </c>
      <c r="I1849" s="1">
        <f t="shared" si="7"/>
        <v>179253.5702</v>
      </c>
    </row>
    <row r="1850" hidden="1">
      <c r="A1850" s="266">
        <f>IFERROR(__xludf.DUMMYFUNCTION("""COMPUTED_VALUE"""),44488.99861111111)</f>
        <v>44488.99861</v>
      </c>
      <c r="B1850" s="1">
        <f>IFERROR(__xludf.DUMMYFUNCTION("""COMPUTED_VALUE"""),64244.74)</f>
        <v>64244.74</v>
      </c>
      <c r="C1850" s="58">
        <f t="shared" si="1"/>
        <v>4672.998611</v>
      </c>
      <c r="D1850" s="1">
        <f t="shared" si="2"/>
        <v>9970.900938</v>
      </c>
      <c r="E1850" s="1">
        <f t="shared" si="3"/>
        <v>17947.62169</v>
      </c>
      <c r="F1850" s="1">
        <f t="shared" si="4"/>
        <v>33901.06319</v>
      </c>
      <c r="G1850" s="1">
        <f t="shared" si="5"/>
        <v>59825.40563</v>
      </c>
      <c r="H1850" s="1">
        <f t="shared" si="6"/>
        <v>109679.9103</v>
      </c>
      <c r="I1850" s="1">
        <f t="shared" si="7"/>
        <v>179476.2169</v>
      </c>
    </row>
    <row r="1851" hidden="1">
      <c r="A1851" s="266">
        <f>IFERROR(__xludf.DUMMYFUNCTION("""COMPUTED_VALUE"""),44489.99861111111)</f>
        <v>44489.99861</v>
      </c>
      <c r="B1851" s="1">
        <f>IFERROR(__xludf.DUMMYFUNCTION("""COMPUTED_VALUE"""),65991.54)</f>
        <v>65991.54</v>
      </c>
      <c r="C1851" s="58">
        <f t="shared" si="1"/>
        <v>4673.998611</v>
      </c>
      <c r="D1851" s="1">
        <f t="shared" si="2"/>
        <v>9983.28291</v>
      </c>
      <c r="E1851" s="1">
        <f t="shared" si="3"/>
        <v>17969.90924</v>
      </c>
      <c r="F1851" s="1">
        <f t="shared" si="4"/>
        <v>33943.16189</v>
      </c>
      <c r="G1851" s="1">
        <f t="shared" si="5"/>
        <v>59899.69746</v>
      </c>
      <c r="H1851" s="1">
        <f t="shared" si="6"/>
        <v>109816.112</v>
      </c>
      <c r="I1851" s="1">
        <f t="shared" si="7"/>
        <v>179699.0924</v>
      </c>
    </row>
    <row r="1852" hidden="1">
      <c r="A1852" s="266">
        <f>IFERROR(__xludf.DUMMYFUNCTION("""COMPUTED_VALUE"""),44490.99861111111)</f>
        <v>44490.99861</v>
      </c>
      <c r="B1852" s="1">
        <f>IFERROR(__xludf.DUMMYFUNCTION("""COMPUTED_VALUE"""),62199.87)</f>
        <v>62199.87</v>
      </c>
      <c r="C1852" s="58">
        <f t="shared" si="1"/>
        <v>4674.998611</v>
      </c>
      <c r="D1852" s="1">
        <f t="shared" si="2"/>
        <v>9995.677603</v>
      </c>
      <c r="E1852" s="1">
        <f t="shared" si="3"/>
        <v>17992.21969</v>
      </c>
      <c r="F1852" s="1">
        <f t="shared" si="4"/>
        <v>33985.30385</v>
      </c>
      <c r="G1852" s="1">
        <f t="shared" si="5"/>
        <v>59974.06562</v>
      </c>
      <c r="H1852" s="1">
        <f t="shared" si="6"/>
        <v>109952.4536</v>
      </c>
      <c r="I1852" s="1">
        <f t="shared" si="7"/>
        <v>179922.1969</v>
      </c>
    </row>
    <row r="1853" hidden="1">
      <c r="A1853" s="266">
        <f>IFERROR(__xludf.DUMMYFUNCTION("""COMPUTED_VALUE"""),44491.99861111111)</f>
        <v>44491.99861</v>
      </c>
      <c r="B1853" s="1">
        <f>IFERROR(__xludf.DUMMYFUNCTION("""COMPUTED_VALUE"""),60693.99)</f>
        <v>60693.99</v>
      </c>
      <c r="C1853" s="58">
        <f t="shared" si="1"/>
        <v>4675.998611</v>
      </c>
      <c r="D1853" s="1">
        <f t="shared" si="2"/>
        <v>10008.08503</v>
      </c>
      <c r="E1853" s="1">
        <f t="shared" si="3"/>
        <v>18014.55305</v>
      </c>
      <c r="F1853" s="1">
        <f t="shared" si="4"/>
        <v>34027.4891</v>
      </c>
      <c r="G1853" s="1">
        <f t="shared" si="5"/>
        <v>60048.51018</v>
      </c>
      <c r="H1853" s="1">
        <f t="shared" si="6"/>
        <v>110088.9353</v>
      </c>
      <c r="I1853" s="1">
        <f t="shared" si="7"/>
        <v>180145.5305</v>
      </c>
    </row>
    <row r="1854" hidden="1">
      <c r="A1854" s="266">
        <f>IFERROR(__xludf.DUMMYFUNCTION("""COMPUTED_VALUE"""),44492.99861111111)</f>
        <v>44492.99861</v>
      </c>
      <c r="B1854" s="1">
        <f>IFERROR(__xludf.DUMMYFUNCTION("""COMPUTED_VALUE"""),61334.3)</f>
        <v>61334.3</v>
      </c>
      <c r="C1854" s="58">
        <f t="shared" si="1"/>
        <v>4676.998611</v>
      </c>
      <c r="D1854" s="1">
        <f t="shared" si="2"/>
        <v>10020.5052</v>
      </c>
      <c r="E1854" s="1">
        <f t="shared" si="3"/>
        <v>18036.90936</v>
      </c>
      <c r="F1854" s="1">
        <f t="shared" si="4"/>
        <v>34069.71768</v>
      </c>
      <c r="G1854" s="1">
        <f t="shared" si="5"/>
        <v>60123.03119</v>
      </c>
      <c r="H1854" s="1">
        <f t="shared" si="6"/>
        <v>110225.5572</v>
      </c>
      <c r="I1854" s="1">
        <f t="shared" si="7"/>
        <v>180369.0936</v>
      </c>
    </row>
    <row r="1855" hidden="1">
      <c r="A1855" s="266">
        <f>IFERROR(__xludf.DUMMYFUNCTION("""COMPUTED_VALUE"""),44493.99861111111)</f>
        <v>44493.99861</v>
      </c>
      <c r="B1855" s="1">
        <f>IFERROR(__xludf.DUMMYFUNCTION("""COMPUTED_VALUE"""),60857.58)</f>
        <v>60857.58</v>
      </c>
      <c r="C1855" s="58">
        <f t="shared" si="1"/>
        <v>4677.998611</v>
      </c>
      <c r="D1855" s="1">
        <f t="shared" si="2"/>
        <v>10032.93812</v>
      </c>
      <c r="E1855" s="1">
        <f t="shared" si="3"/>
        <v>18059.28862</v>
      </c>
      <c r="F1855" s="1">
        <f t="shared" si="4"/>
        <v>34111.98961</v>
      </c>
      <c r="G1855" s="1">
        <f t="shared" si="5"/>
        <v>60197.62873</v>
      </c>
      <c r="H1855" s="1">
        <f t="shared" si="6"/>
        <v>110362.3193</v>
      </c>
      <c r="I1855" s="1">
        <f t="shared" si="7"/>
        <v>180592.8862</v>
      </c>
    </row>
    <row r="1856" hidden="1">
      <c r="A1856" s="266">
        <f>IFERROR(__xludf.DUMMYFUNCTION("""COMPUTED_VALUE"""),44494.99861111111)</f>
        <v>44494.99861</v>
      </c>
      <c r="B1856" s="1">
        <f>IFERROR(__xludf.DUMMYFUNCTION("""COMPUTED_VALUE"""),63069.98)</f>
        <v>63069.98</v>
      </c>
      <c r="C1856" s="58">
        <f t="shared" si="1"/>
        <v>4678.998611</v>
      </c>
      <c r="D1856" s="1">
        <f t="shared" si="2"/>
        <v>10045.38381</v>
      </c>
      <c r="E1856" s="1">
        <f t="shared" si="3"/>
        <v>18081.69085</v>
      </c>
      <c r="F1856" s="1">
        <f t="shared" si="4"/>
        <v>34154.30495</v>
      </c>
      <c r="G1856" s="1">
        <f t="shared" si="5"/>
        <v>60272.30285</v>
      </c>
      <c r="H1856" s="1">
        <f t="shared" si="6"/>
        <v>110499.2219</v>
      </c>
      <c r="I1856" s="1">
        <f t="shared" si="7"/>
        <v>180816.9085</v>
      </c>
    </row>
    <row r="1857" hidden="1">
      <c r="A1857" s="266">
        <f>IFERROR(__xludf.DUMMYFUNCTION("""COMPUTED_VALUE"""),44495.99861111111)</f>
        <v>44495.99861</v>
      </c>
      <c r="B1857" s="1">
        <f>IFERROR(__xludf.DUMMYFUNCTION("""COMPUTED_VALUE"""),60310.41)</f>
        <v>60310.41</v>
      </c>
      <c r="C1857" s="58">
        <f t="shared" si="1"/>
        <v>4679.998611</v>
      </c>
      <c r="D1857" s="1">
        <f t="shared" si="2"/>
        <v>10057.84227</v>
      </c>
      <c r="E1857" s="1">
        <f t="shared" si="3"/>
        <v>18104.11608</v>
      </c>
      <c r="F1857" s="1">
        <f t="shared" si="4"/>
        <v>34196.66371</v>
      </c>
      <c r="G1857" s="1">
        <f t="shared" si="5"/>
        <v>60347.05361</v>
      </c>
      <c r="H1857" s="1">
        <f t="shared" si="6"/>
        <v>110636.265</v>
      </c>
      <c r="I1857" s="1">
        <f t="shared" si="7"/>
        <v>181041.1608</v>
      </c>
    </row>
    <row r="1858" hidden="1">
      <c r="A1858" s="266">
        <f>IFERROR(__xludf.DUMMYFUNCTION("""COMPUTED_VALUE"""),44496.99861111111)</f>
        <v>44496.99861</v>
      </c>
      <c r="B1858" s="1">
        <f>IFERROR(__xludf.DUMMYFUNCTION("""COMPUTED_VALUE"""),58446.06)</f>
        <v>58446.06</v>
      </c>
      <c r="C1858" s="58">
        <f t="shared" si="1"/>
        <v>4680.998611</v>
      </c>
      <c r="D1858" s="1">
        <f t="shared" si="2"/>
        <v>10070.31351</v>
      </c>
      <c r="E1858" s="1">
        <f t="shared" si="3"/>
        <v>18126.56432</v>
      </c>
      <c r="F1858" s="1">
        <f t="shared" si="4"/>
        <v>34239.06595</v>
      </c>
      <c r="G1858" s="1">
        <f t="shared" si="5"/>
        <v>60421.88108</v>
      </c>
      <c r="H1858" s="1">
        <f t="shared" si="6"/>
        <v>110773.4486</v>
      </c>
      <c r="I1858" s="1">
        <f t="shared" si="7"/>
        <v>181265.6432</v>
      </c>
    </row>
    <row r="1859" hidden="1">
      <c r="A1859" s="266">
        <f>IFERROR(__xludf.DUMMYFUNCTION("""COMPUTED_VALUE"""),44497.99861111111)</f>
        <v>44497.99861</v>
      </c>
      <c r="B1859" s="1">
        <f>IFERROR(__xludf.DUMMYFUNCTION("""COMPUTED_VALUE"""),60596.31)</f>
        <v>60596.31</v>
      </c>
      <c r="C1859" s="58">
        <f t="shared" si="1"/>
        <v>4681.998611</v>
      </c>
      <c r="D1859" s="1">
        <f t="shared" si="2"/>
        <v>10082.79755</v>
      </c>
      <c r="E1859" s="1">
        <f t="shared" si="3"/>
        <v>18149.0356</v>
      </c>
      <c r="F1859" s="1">
        <f t="shared" si="4"/>
        <v>34281.51168</v>
      </c>
      <c r="G1859" s="1">
        <f t="shared" si="5"/>
        <v>60496.78532</v>
      </c>
      <c r="H1859" s="1">
        <f t="shared" si="6"/>
        <v>110910.7731</v>
      </c>
      <c r="I1859" s="1">
        <f t="shared" si="7"/>
        <v>181490.356</v>
      </c>
    </row>
    <row r="1860" hidden="1">
      <c r="A1860" s="266">
        <f>IFERROR(__xludf.DUMMYFUNCTION("""COMPUTED_VALUE"""),44498.99861111111)</f>
        <v>44498.99861</v>
      </c>
      <c r="B1860" s="1">
        <f>IFERROR(__xludf.DUMMYFUNCTION("""COMPUTED_VALUE"""),62247.62)</f>
        <v>62247.62</v>
      </c>
      <c r="C1860" s="58">
        <f t="shared" si="1"/>
        <v>4682.998611</v>
      </c>
      <c r="D1860" s="1">
        <f t="shared" si="2"/>
        <v>10095.2944</v>
      </c>
      <c r="E1860" s="1">
        <f t="shared" si="3"/>
        <v>18171.52992</v>
      </c>
      <c r="F1860" s="1">
        <f t="shared" si="4"/>
        <v>34324.00095</v>
      </c>
      <c r="G1860" s="1">
        <f t="shared" si="5"/>
        <v>60571.76639</v>
      </c>
      <c r="H1860" s="1">
        <f t="shared" si="6"/>
        <v>111048.2384</v>
      </c>
      <c r="I1860" s="1">
        <f t="shared" si="7"/>
        <v>181715.2992</v>
      </c>
    </row>
    <row r="1861" hidden="1">
      <c r="A1861" s="266">
        <f>IFERROR(__xludf.DUMMYFUNCTION("""COMPUTED_VALUE"""),44499.99861111111)</f>
        <v>44499.99861</v>
      </c>
      <c r="B1861" s="1">
        <f>IFERROR(__xludf.DUMMYFUNCTION("""COMPUTED_VALUE"""),61855.9)</f>
        <v>61855.9</v>
      </c>
      <c r="C1861" s="58">
        <f t="shared" si="1"/>
        <v>4683.998611</v>
      </c>
      <c r="D1861" s="1">
        <f t="shared" si="2"/>
        <v>10107.80406</v>
      </c>
      <c r="E1861" s="1">
        <f t="shared" si="3"/>
        <v>18194.04731</v>
      </c>
      <c r="F1861" s="1">
        <f t="shared" si="4"/>
        <v>34366.5338</v>
      </c>
      <c r="G1861" s="1">
        <f t="shared" si="5"/>
        <v>60646.82435</v>
      </c>
      <c r="H1861" s="1">
        <f t="shared" si="6"/>
        <v>111185.8446</v>
      </c>
      <c r="I1861" s="1">
        <f t="shared" si="7"/>
        <v>181940.4731</v>
      </c>
    </row>
    <row r="1862" hidden="1">
      <c r="A1862" s="266">
        <f>IFERROR(__xludf.DUMMYFUNCTION("""COMPUTED_VALUE"""),44500.99861111111)</f>
        <v>44500.99861</v>
      </c>
      <c r="B1862" s="1">
        <f>IFERROR(__xludf.DUMMYFUNCTION("""COMPUTED_VALUE"""),61340.66)</f>
        <v>61340.66</v>
      </c>
      <c r="C1862" s="58">
        <f t="shared" si="1"/>
        <v>4684.998611</v>
      </c>
      <c r="D1862" s="1">
        <f t="shared" si="2"/>
        <v>10120.32655</v>
      </c>
      <c r="E1862" s="1">
        <f t="shared" si="3"/>
        <v>18216.58778</v>
      </c>
      <c r="F1862" s="1">
        <f t="shared" si="4"/>
        <v>34409.11025</v>
      </c>
      <c r="G1862" s="1">
        <f t="shared" si="5"/>
        <v>60721.95927</v>
      </c>
      <c r="H1862" s="1">
        <f t="shared" si="6"/>
        <v>111323.592</v>
      </c>
      <c r="I1862" s="1">
        <f t="shared" si="7"/>
        <v>182165.8778</v>
      </c>
    </row>
    <row r="1863" hidden="1">
      <c r="A1863" s="266">
        <f>IFERROR(__xludf.DUMMYFUNCTION("""COMPUTED_VALUE"""),44501.99861111111)</f>
        <v>44501.99861</v>
      </c>
      <c r="B1863" s="1">
        <f>IFERROR(__xludf.DUMMYFUNCTION("""COMPUTED_VALUE"""),60951.52)</f>
        <v>60951.52</v>
      </c>
      <c r="C1863" s="58">
        <f t="shared" si="1"/>
        <v>4685.998611</v>
      </c>
      <c r="D1863" s="1">
        <f t="shared" si="2"/>
        <v>10132.86187</v>
      </c>
      <c r="E1863" s="1">
        <f t="shared" si="3"/>
        <v>18239.15136</v>
      </c>
      <c r="F1863" s="1">
        <f t="shared" si="4"/>
        <v>34451.73035</v>
      </c>
      <c r="G1863" s="1">
        <f t="shared" si="5"/>
        <v>60797.17121</v>
      </c>
      <c r="H1863" s="1">
        <f t="shared" si="6"/>
        <v>111461.4806</v>
      </c>
      <c r="I1863" s="1">
        <f t="shared" si="7"/>
        <v>182391.5136</v>
      </c>
    </row>
    <row r="1864" hidden="1">
      <c r="A1864" s="266">
        <f>IFERROR(__xludf.DUMMYFUNCTION("""COMPUTED_VALUE"""),44502.99861111111)</f>
        <v>44502.99861</v>
      </c>
      <c r="B1864" s="1">
        <f>IFERROR(__xludf.DUMMYFUNCTION("""COMPUTED_VALUE"""),63234.6)</f>
        <v>63234.6</v>
      </c>
      <c r="C1864" s="58">
        <f t="shared" si="1"/>
        <v>4686.998611</v>
      </c>
      <c r="D1864" s="1">
        <f t="shared" si="2"/>
        <v>10145.41004</v>
      </c>
      <c r="E1864" s="1">
        <f t="shared" si="3"/>
        <v>18261.73807</v>
      </c>
      <c r="F1864" s="1">
        <f t="shared" si="4"/>
        <v>34494.39413</v>
      </c>
      <c r="G1864" s="1">
        <f t="shared" si="5"/>
        <v>60872.46023</v>
      </c>
      <c r="H1864" s="1">
        <f t="shared" si="6"/>
        <v>111599.5104</v>
      </c>
      <c r="I1864" s="1">
        <f t="shared" si="7"/>
        <v>182617.3807</v>
      </c>
    </row>
    <row r="1865" hidden="1">
      <c r="A1865" s="266">
        <f>IFERROR(__xludf.DUMMYFUNCTION("""COMPUTED_VALUE"""),44503.99861111111)</f>
        <v>44503.99861</v>
      </c>
      <c r="B1865" s="1">
        <f>IFERROR(__xludf.DUMMYFUNCTION("""COMPUTED_VALUE"""),62920.18)</f>
        <v>62920.18</v>
      </c>
      <c r="C1865" s="58">
        <f t="shared" si="1"/>
        <v>4687.998611</v>
      </c>
      <c r="D1865" s="1">
        <f t="shared" si="2"/>
        <v>10157.97107</v>
      </c>
      <c r="E1865" s="1">
        <f t="shared" si="3"/>
        <v>18284.34792</v>
      </c>
      <c r="F1865" s="1">
        <f t="shared" si="4"/>
        <v>34537.10162</v>
      </c>
      <c r="G1865" s="1">
        <f t="shared" si="5"/>
        <v>60947.8264</v>
      </c>
      <c r="H1865" s="1">
        <f t="shared" si="6"/>
        <v>111737.6817</v>
      </c>
      <c r="I1865" s="1">
        <f t="shared" si="7"/>
        <v>182843.4792</v>
      </c>
    </row>
    <row r="1866" hidden="1">
      <c r="A1866" s="266">
        <f>IFERROR(__xludf.DUMMYFUNCTION("""COMPUTED_VALUE"""),44504.99861111111)</f>
        <v>44504.99861</v>
      </c>
      <c r="B1866" s="1">
        <f>IFERROR(__xludf.DUMMYFUNCTION("""COMPUTED_VALUE"""),61440.53)</f>
        <v>61440.53</v>
      </c>
      <c r="C1866" s="58">
        <f t="shared" si="1"/>
        <v>4688.998611</v>
      </c>
      <c r="D1866" s="1">
        <f t="shared" si="2"/>
        <v>10170.54496</v>
      </c>
      <c r="E1866" s="1">
        <f t="shared" si="3"/>
        <v>18306.98093</v>
      </c>
      <c r="F1866" s="1">
        <f t="shared" si="4"/>
        <v>34579.85287</v>
      </c>
      <c r="G1866" s="1">
        <f t="shared" si="5"/>
        <v>61023.26977</v>
      </c>
      <c r="H1866" s="1">
        <f t="shared" si="6"/>
        <v>111875.9946</v>
      </c>
      <c r="I1866" s="1">
        <f t="shared" si="7"/>
        <v>183069.8093</v>
      </c>
    </row>
    <row r="1867" hidden="1">
      <c r="A1867" s="266">
        <f>IFERROR(__xludf.DUMMYFUNCTION("""COMPUTED_VALUE"""),44505.99861111111)</f>
        <v>44505.99861</v>
      </c>
      <c r="B1867" s="1">
        <f>IFERROR(__xludf.DUMMYFUNCTION("""COMPUTED_VALUE"""),60997.62)</f>
        <v>60997.62</v>
      </c>
      <c r="C1867" s="58">
        <f t="shared" si="1"/>
        <v>4689.998611</v>
      </c>
      <c r="D1867" s="1">
        <f t="shared" si="2"/>
        <v>10183.13173</v>
      </c>
      <c r="E1867" s="1">
        <f t="shared" si="3"/>
        <v>18329.63712</v>
      </c>
      <c r="F1867" s="1">
        <f t="shared" si="4"/>
        <v>34622.6479</v>
      </c>
      <c r="G1867" s="1">
        <f t="shared" si="5"/>
        <v>61098.7904</v>
      </c>
      <c r="H1867" s="1">
        <f t="shared" si="6"/>
        <v>112014.4491</v>
      </c>
      <c r="I1867" s="1">
        <f t="shared" si="7"/>
        <v>183296.3712</v>
      </c>
    </row>
    <row r="1868" hidden="1">
      <c r="A1868" s="266">
        <f>IFERROR(__xludf.DUMMYFUNCTION("""COMPUTED_VALUE"""),44506.99861111111)</f>
        <v>44506.99861</v>
      </c>
      <c r="B1868" s="1">
        <f>IFERROR(__xludf.DUMMYFUNCTION("""COMPUTED_VALUE"""),61517.57)</f>
        <v>61517.57</v>
      </c>
      <c r="C1868" s="58">
        <f t="shared" si="1"/>
        <v>4690.998611</v>
      </c>
      <c r="D1868" s="1">
        <f t="shared" si="2"/>
        <v>10195.7314</v>
      </c>
      <c r="E1868" s="1">
        <f t="shared" si="3"/>
        <v>18352.31651</v>
      </c>
      <c r="F1868" s="1">
        <f t="shared" si="4"/>
        <v>34665.48675</v>
      </c>
      <c r="G1868" s="1">
        <f t="shared" si="5"/>
        <v>61174.38837</v>
      </c>
      <c r="H1868" s="1">
        <f t="shared" si="6"/>
        <v>112153.0454</v>
      </c>
      <c r="I1868" s="1">
        <f t="shared" si="7"/>
        <v>183523.1651</v>
      </c>
    </row>
    <row r="1869" hidden="1">
      <c r="A1869" s="266">
        <f>IFERROR(__xludf.DUMMYFUNCTION("""COMPUTED_VALUE"""),44507.99861111111)</f>
        <v>44507.99861</v>
      </c>
      <c r="B1869" s="1">
        <f>IFERROR(__xludf.DUMMYFUNCTION("""COMPUTED_VALUE"""),63294.9)</f>
        <v>63294.9</v>
      </c>
      <c r="C1869" s="58">
        <f t="shared" si="1"/>
        <v>4691.998611</v>
      </c>
      <c r="D1869" s="1">
        <f t="shared" si="2"/>
        <v>10208.34396</v>
      </c>
      <c r="E1869" s="1">
        <f t="shared" si="3"/>
        <v>18375.01912</v>
      </c>
      <c r="F1869" s="1">
        <f t="shared" si="4"/>
        <v>34708.36945</v>
      </c>
      <c r="G1869" s="1">
        <f t="shared" si="5"/>
        <v>61250.06374</v>
      </c>
      <c r="H1869" s="1">
        <f t="shared" si="6"/>
        <v>112291.7835</v>
      </c>
      <c r="I1869" s="1">
        <f t="shared" si="7"/>
        <v>183750.1912</v>
      </c>
    </row>
    <row r="1870" hidden="1">
      <c r="A1870" s="266">
        <f>IFERROR(__xludf.DUMMYFUNCTION("""COMPUTED_VALUE"""),44508.99861111111)</f>
        <v>44508.99861</v>
      </c>
      <c r="B1870" s="1">
        <f>IFERROR(__xludf.DUMMYFUNCTION("""COMPUTED_VALUE"""),67544.06)</f>
        <v>67544.06</v>
      </c>
      <c r="C1870" s="58">
        <f t="shared" si="1"/>
        <v>4692.998611</v>
      </c>
      <c r="D1870" s="1">
        <f t="shared" si="2"/>
        <v>10220.96943</v>
      </c>
      <c r="E1870" s="1">
        <f t="shared" si="3"/>
        <v>18397.74497</v>
      </c>
      <c r="F1870" s="1">
        <f t="shared" si="4"/>
        <v>34751.29605</v>
      </c>
      <c r="G1870" s="1">
        <f t="shared" si="5"/>
        <v>61325.81656</v>
      </c>
      <c r="H1870" s="1">
        <f t="shared" si="6"/>
        <v>112430.6637</v>
      </c>
      <c r="I1870" s="1">
        <f t="shared" si="7"/>
        <v>183977.4497</v>
      </c>
    </row>
    <row r="1871" hidden="1">
      <c r="A1871" s="266">
        <f>IFERROR(__xludf.DUMMYFUNCTION("""COMPUTED_VALUE"""),44509.99861111111)</f>
        <v>44509.99861</v>
      </c>
      <c r="B1871" s="1">
        <f>IFERROR(__xludf.DUMMYFUNCTION("""COMPUTED_VALUE"""),66931.48)</f>
        <v>66931.48</v>
      </c>
      <c r="C1871" s="58">
        <f t="shared" si="1"/>
        <v>4693.998611</v>
      </c>
      <c r="D1871" s="1">
        <f t="shared" si="2"/>
        <v>10233.60782</v>
      </c>
      <c r="E1871" s="1">
        <f t="shared" si="3"/>
        <v>18420.49407</v>
      </c>
      <c r="F1871" s="1">
        <f t="shared" si="4"/>
        <v>34794.26658</v>
      </c>
      <c r="G1871" s="1">
        <f t="shared" si="5"/>
        <v>61401.6469</v>
      </c>
      <c r="H1871" s="1">
        <f t="shared" si="6"/>
        <v>112569.686</v>
      </c>
      <c r="I1871" s="1">
        <f t="shared" si="7"/>
        <v>184204.9407</v>
      </c>
    </row>
    <row r="1872" hidden="1">
      <c r="A1872" s="266">
        <f>IFERROR(__xludf.DUMMYFUNCTION("""COMPUTED_VALUE"""),44510.99861111111)</f>
        <v>44510.99861</v>
      </c>
      <c r="B1872" s="1">
        <f>IFERROR(__xludf.DUMMYFUNCTION("""COMPUTED_VALUE"""),64966.11)</f>
        <v>64966.11</v>
      </c>
      <c r="C1872" s="58">
        <f t="shared" si="1"/>
        <v>4694.998611</v>
      </c>
      <c r="D1872" s="1">
        <f t="shared" si="2"/>
        <v>10246.25914</v>
      </c>
      <c r="E1872" s="1">
        <f t="shared" si="3"/>
        <v>18443.26645</v>
      </c>
      <c r="F1872" s="1">
        <f t="shared" si="4"/>
        <v>34837.28107</v>
      </c>
      <c r="G1872" s="1">
        <f t="shared" si="5"/>
        <v>61477.55482</v>
      </c>
      <c r="H1872" s="1">
        <f t="shared" si="6"/>
        <v>112708.8505</v>
      </c>
      <c r="I1872" s="1">
        <f t="shared" si="7"/>
        <v>184432.6645</v>
      </c>
    </row>
    <row r="1873" hidden="1">
      <c r="A1873" s="266">
        <f>IFERROR(__xludf.DUMMYFUNCTION("""COMPUTED_VALUE"""),44511.99861111111)</f>
        <v>44511.99861</v>
      </c>
      <c r="B1873" s="1">
        <f>IFERROR(__xludf.DUMMYFUNCTION("""COMPUTED_VALUE"""),64832.29)</f>
        <v>64832.29</v>
      </c>
      <c r="C1873" s="58">
        <f t="shared" si="1"/>
        <v>4695.998611</v>
      </c>
      <c r="D1873" s="1">
        <f t="shared" si="2"/>
        <v>10258.9234</v>
      </c>
      <c r="E1873" s="1">
        <f t="shared" si="3"/>
        <v>18466.06212</v>
      </c>
      <c r="F1873" s="1">
        <f t="shared" si="4"/>
        <v>34880.33956</v>
      </c>
      <c r="G1873" s="1">
        <f t="shared" si="5"/>
        <v>61553.54039</v>
      </c>
      <c r="H1873" s="1">
        <f t="shared" si="6"/>
        <v>112848.1574</v>
      </c>
      <c r="I1873" s="1">
        <f t="shared" si="7"/>
        <v>184660.6212</v>
      </c>
    </row>
    <row r="1874" hidden="1">
      <c r="A1874" s="266">
        <f>IFERROR(__xludf.DUMMYFUNCTION("""COMPUTED_VALUE"""),44512.99861111111)</f>
        <v>44512.99861</v>
      </c>
      <c r="B1874" s="1">
        <f>IFERROR(__xludf.DUMMYFUNCTION("""COMPUTED_VALUE"""),64186.21)</f>
        <v>64186.21</v>
      </c>
      <c r="C1874" s="58">
        <f t="shared" si="1"/>
        <v>4696.998611</v>
      </c>
      <c r="D1874" s="1">
        <f t="shared" si="2"/>
        <v>10271.60061</v>
      </c>
      <c r="E1874" s="1">
        <f t="shared" si="3"/>
        <v>18488.8811</v>
      </c>
      <c r="F1874" s="1">
        <f t="shared" si="4"/>
        <v>34923.44208</v>
      </c>
      <c r="G1874" s="1">
        <f t="shared" si="5"/>
        <v>61629.60367</v>
      </c>
      <c r="H1874" s="1">
        <f t="shared" si="6"/>
        <v>112987.6067</v>
      </c>
      <c r="I1874" s="1">
        <f t="shared" si="7"/>
        <v>184888.811</v>
      </c>
    </row>
    <row r="1875" hidden="1">
      <c r="A1875" s="266">
        <f>IFERROR(__xludf.DUMMYFUNCTION("""COMPUTED_VALUE"""),44513.99861111111)</f>
        <v>44513.99861</v>
      </c>
      <c r="B1875" s="1">
        <f>IFERROR(__xludf.DUMMYFUNCTION("""COMPUTED_VALUE"""),64402.5)</f>
        <v>64402.5</v>
      </c>
      <c r="C1875" s="58">
        <f t="shared" si="1"/>
        <v>4697.998611</v>
      </c>
      <c r="D1875" s="1">
        <f t="shared" si="2"/>
        <v>10284.29079</v>
      </c>
      <c r="E1875" s="1">
        <f t="shared" si="3"/>
        <v>18511.72342</v>
      </c>
      <c r="F1875" s="1">
        <f t="shared" si="4"/>
        <v>34966.58867</v>
      </c>
      <c r="G1875" s="1">
        <f t="shared" si="5"/>
        <v>61705.74472</v>
      </c>
      <c r="H1875" s="1">
        <f t="shared" si="6"/>
        <v>113127.1986</v>
      </c>
      <c r="I1875" s="1">
        <f t="shared" si="7"/>
        <v>185117.2342</v>
      </c>
    </row>
    <row r="1876" hidden="1">
      <c r="A1876" s="266">
        <f>IFERROR(__xludf.DUMMYFUNCTION("""COMPUTED_VALUE"""),44514.99861111111)</f>
        <v>44514.99861</v>
      </c>
      <c r="B1876" s="1">
        <f>IFERROR(__xludf.DUMMYFUNCTION("""COMPUTED_VALUE"""),65476.68)</f>
        <v>65476.68</v>
      </c>
      <c r="C1876" s="58">
        <f t="shared" si="1"/>
        <v>4698.998611</v>
      </c>
      <c r="D1876" s="1">
        <f t="shared" si="2"/>
        <v>10296.99393</v>
      </c>
      <c r="E1876" s="1">
        <f t="shared" si="3"/>
        <v>18534.58908</v>
      </c>
      <c r="F1876" s="1">
        <f t="shared" si="4"/>
        <v>35009.77937</v>
      </c>
      <c r="G1876" s="1">
        <f t="shared" si="5"/>
        <v>61781.9636</v>
      </c>
      <c r="H1876" s="1">
        <f t="shared" si="6"/>
        <v>113266.9333</v>
      </c>
      <c r="I1876" s="1">
        <f t="shared" si="7"/>
        <v>185345.8908</v>
      </c>
    </row>
    <row r="1877" hidden="1">
      <c r="A1877" s="266">
        <f>IFERROR(__xludf.DUMMYFUNCTION("""COMPUTED_VALUE"""),44515.99861111111)</f>
        <v>44515.99861</v>
      </c>
      <c r="B1877" s="1">
        <f>IFERROR(__xludf.DUMMYFUNCTION("""COMPUTED_VALUE"""),63573.76)</f>
        <v>63573.76</v>
      </c>
      <c r="C1877" s="58">
        <f t="shared" si="1"/>
        <v>4699.998611</v>
      </c>
      <c r="D1877" s="1">
        <f t="shared" si="2"/>
        <v>10309.71006</v>
      </c>
      <c r="E1877" s="1">
        <f t="shared" si="3"/>
        <v>18557.47811</v>
      </c>
      <c r="F1877" s="1">
        <f t="shared" si="4"/>
        <v>35053.01421</v>
      </c>
      <c r="G1877" s="1">
        <f t="shared" si="5"/>
        <v>61858.26038</v>
      </c>
      <c r="H1877" s="1">
        <f t="shared" si="6"/>
        <v>113406.8107</v>
      </c>
      <c r="I1877" s="1">
        <f t="shared" si="7"/>
        <v>185574.7811</v>
      </c>
    </row>
    <row r="1878" hidden="1">
      <c r="A1878" s="266">
        <f>IFERROR(__xludf.DUMMYFUNCTION("""COMPUTED_VALUE"""),44516.99861111111)</f>
        <v>44516.99861</v>
      </c>
      <c r="B1878" s="1">
        <f>IFERROR(__xludf.DUMMYFUNCTION("""COMPUTED_VALUE"""),60137.48)</f>
        <v>60137.48</v>
      </c>
      <c r="C1878" s="58">
        <f t="shared" si="1"/>
        <v>4700.998611</v>
      </c>
      <c r="D1878" s="1">
        <f t="shared" si="2"/>
        <v>10322.43919</v>
      </c>
      <c r="E1878" s="1">
        <f t="shared" si="3"/>
        <v>18580.39054</v>
      </c>
      <c r="F1878" s="1">
        <f t="shared" si="4"/>
        <v>35096.29323</v>
      </c>
      <c r="G1878" s="1">
        <f t="shared" si="5"/>
        <v>61934.63512</v>
      </c>
      <c r="H1878" s="1">
        <f t="shared" si="6"/>
        <v>113546.831</v>
      </c>
      <c r="I1878" s="1">
        <f t="shared" si="7"/>
        <v>185803.9054</v>
      </c>
    </row>
    <row r="1879" hidden="1">
      <c r="A1879" s="266">
        <f>IFERROR(__xludf.DUMMYFUNCTION("""COMPUTED_VALUE"""),44517.99861111111)</f>
        <v>44517.99861</v>
      </c>
      <c r="B1879" s="1">
        <f>IFERROR(__xludf.DUMMYFUNCTION("""COMPUTED_VALUE"""),60369.67)</f>
        <v>60369.67</v>
      </c>
      <c r="C1879" s="58">
        <f t="shared" si="1"/>
        <v>4701.998611</v>
      </c>
      <c r="D1879" s="1">
        <f t="shared" si="2"/>
        <v>10335.18131</v>
      </c>
      <c r="E1879" s="1">
        <f t="shared" si="3"/>
        <v>18603.32636</v>
      </c>
      <c r="F1879" s="1">
        <f t="shared" si="4"/>
        <v>35139.61646</v>
      </c>
      <c r="G1879" s="1">
        <f t="shared" si="5"/>
        <v>62011.08788</v>
      </c>
      <c r="H1879" s="1">
        <f t="shared" si="6"/>
        <v>113686.9944</v>
      </c>
      <c r="I1879" s="1">
        <f t="shared" si="7"/>
        <v>186033.2636</v>
      </c>
    </row>
    <row r="1880" hidden="1">
      <c r="A1880" s="266">
        <f>IFERROR(__xludf.DUMMYFUNCTION("""COMPUTED_VALUE"""),44518.99861111111)</f>
        <v>44518.99861</v>
      </c>
      <c r="B1880" s="1">
        <f>IFERROR(__xludf.DUMMYFUNCTION("""COMPUTED_VALUE"""),56908.25)</f>
        <v>56908.25</v>
      </c>
      <c r="C1880" s="58">
        <f t="shared" si="1"/>
        <v>4702.998611</v>
      </c>
      <c r="D1880" s="1">
        <f t="shared" si="2"/>
        <v>10347.93645</v>
      </c>
      <c r="E1880" s="1">
        <f t="shared" si="3"/>
        <v>18626.28562</v>
      </c>
      <c r="F1880" s="1">
        <f t="shared" si="4"/>
        <v>35182.98394</v>
      </c>
      <c r="G1880" s="1">
        <f t="shared" si="5"/>
        <v>62087.61873</v>
      </c>
      <c r="H1880" s="1">
        <f t="shared" si="6"/>
        <v>113827.301</v>
      </c>
      <c r="I1880" s="1">
        <f t="shared" si="7"/>
        <v>186262.8562</v>
      </c>
    </row>
    <row r="1881" hidden="1">
      <c r="A1881" s="266">
        <f>IFERROR(__xludf.DUMMYFUNCTION("""COMPUTED_VALUE"""),44519.99861111111)</f>
        <v>44519.99861</v>
      </c>
      <c r="B1881" s="1">
        <f>IFERROR(__xludf.DUMMYFUNCTION("""COMPUTED_VALUE"""),58125.86)</f>
        <v>58125.86</v>
      </c>
      <c r="C1881" s="58">
        <f t="shared" si="1"/>
        <v>4703.998611</v>
      </c>
      <c r="D1881" s="1">
        <f t="shared" si="2"/>
        <v>10360.70462</v>
      </c>
      <c r="E1881" s="1">
        <f t="shared" si="3"/>
        <v>18649.26832</v>
      </c>
      <c r="F1881" s="1">
        <f t="shared" si="4"/>
        <v>35226.39571</v>
      </c>
      <c r="G1881" s="1">
        <f t="shared" si="5"/>
        <v>62164.22772</v>
      </c>
      <c r="H1881" s="1">
        <f t="shared" si="6"/>
        <v>113967.7508</v>
      </c>
      <c r="I1881" s="1">
        <f t="shared" si="7"/>
        <v>186492.6832</v>
      </c>
    </row>
    <row r="1882" hidden="1">
      <c r="A1882" s="266">
        <f>IFERROR(__xludf.DUMMYFUNCTION("""COMPUTED_VALUE"""),44520.99861111111)</f>
        <v>44520.99861</v>
      </c>
      <c r="B1882" s="1">
        <f>IFERROR(__xludf.DUMMYFUNCTION("""COMPUTED_VALUE"""),59747.74)</f>
        <v>59747.74</v>
      </c>
      <c r="C1882" s="58">
        <f t="shared" si="1"/>
        <v>4704.998611</v>
      </c>
      <c r="D1882" s="1">
        <f t="shared" si="2"/>
        <v>10373.48582</v>
      </c>
      <c r="E1882" s="1">
        <f t="shared" si="3"/>
        <v>18672.27448</v>
      </c>
      <c r="F1882" s="1">
        <f t="shared" si="4"/>
        <v>35269.8518</v>
      </c>
      <c r="G1882" s="1">
        <f t="shared" si="5"/>
        <v>62240.91493</v>
      </c>
      <c r="H1882" s="1">
        <f t="shared" si="6"/>
        <v>114108.344</v>
      </c>
      <c r="I1882" s="1">
        <f t="shared" si="7"/>
        <v>186722.7448</v>
      </c>
    </row>
    <row r="1883" hidden="1">
      <c r="A1883" s="266">
        <f>IFERROR(__xludf.DUMMYFUNCTION("""COMPUTED_VALUE"""),44521.99861111111)</f>
        <v>44521.99861</v>
      </c>
      <c r="B1883" s="1">
        <f>IFERROR(__xludf.DUMMYFUNCTION("""COMPUTED_VALUE"""),58770.96)</f>
        <v>58770.96</v>
      </c>
      <c r="C1883" s="58">
        <f t="shared" si="1"/>
        <v>4705.998611</v>
      </c>
      <c r="D1883" s="1">
        <f t="shared" si="2"/>
        <v>10386.28007</v>
      </c>
      <c r="E1883" s="1">
        <f t="shared" si="3"/>
        <v>18695.30413</v>
      </c>
      <c r="F1883" s="1">
        <f t="shared" si="4"/>
        <v>35313.35224</v>
      </c>
      <c r="G1883" s="1">
        <f t="shared" si="5"/>
        <v>62317.68042</v>
      </c>
      <c r="H1883" s="1">
        <f t="shared" si="6"/>
        <v>114249.0808</v>
      </c>
      <c r="I1883" s="1">
        <f t="shared" si="7"/>
        <v>186953.0413</v>
      </c>
    </row>
    <row r="1884" hidden="1">
      <c r="A1884" s="266">
        <f>IFERROR(__xludf.DUMMYFUNCTION("""COMPUTED_VALUE"""),44522.99861111111)</f>
        <v>44522.99861</v>
      </c>
      <c r="B1884" s="1">
        <f>IFERROR(__xludf.DUMMYFUNCTION("""COMPUTED_VALUE"""),56293.69)</f>
        <v>56293.69</v>
      </c>
      <c r="C1884" s="58">
        <f t="shared" si="1"/>
        <v>4706.998611</v>
      </c>
      <c r="D1884" s="1">
        <f t="shared" si="2"/>
        <v>10399.08737</v>
      </c>
      <c r="E1884" s="1">
        <f t="shared" si="3"/>
        <v>18718.35727</v>
      </c>
      <c r="F1884" s="1">
        <f t="shared" si="4"/>
        <v>35356.89707</v>
      </c>
      <c r="G1884" s="1">
        <f t="shared" si="5"/>
        <v>62394.52424</v>
      </c>
      <c r="H1884" s="1">
        <f t="shared" si="6"/>
        <v>114389.9611</v>
      </c>
      <c r="I1884" s="1">
        <f t="shared" si="7"/>
        <v>187183.5727</v>
      </c>
    </row>
    <row r="1885" hidden="1">
      <c r="A1885" s="266">
        <f>IFERROR(__xludf.DUMMYFUNCTION("""COMPUTED_VALUE"""),44523.99861111111)</f>
        <v>44523.99861</v>
      </c>
      <c r="B1885" s="1">
        <f>IFERROR(__xludf.DUMMYFUNCTION("""COMPUTED_VALUE"""),57576.93)</f>
        <v>57576.93</v>
      </c>
      <c r="C1885" s="58">
        <f t="shared" si="1"/>
        <v>4707.998611</v>
      </c>
      <c r="D1885" s="1">
        <f t="shared" si="2"/>
        <v>10411.90774</v>
      </c>
      <c r="E1885" s="1">
        <f t="shared" si="3"/>
        <v>18741.43394</v>
      </c>
      <c r="F1885" s="1">
        <f t="shared" si="4"/>
        <v>35400.48633</v>
      </c>
      <c r="G1885" s="1">
        <f t="shared" si="5"/>
        <v>62471.44647</v>
      </c>
      <c r="H1885" s="1">
        <f t="shared" si="6"/>
        <v>114530.9852</v>
      </c>
      <c r="I1885" s="1">
        <f t="shared" si="7"/>
        <v>187414.3394</v>
      </c>
    </row>
    <row r="1886" hidden="1">
      <c r="A1886" s="266">
        <f>IFERROR(__xludf.DUMMYFUNCTION("""COMPUTED_VALUE"""),44524.99861111111)</f>
        <v>44524.99861</v>
      </c>
      <c r="B1886" s="1">
        <f>IFERROR(__xludf.DUMMYFUNCTION("""COMPUTED_VALUE"""),57191.11)</f>
        <v>57191.11</v>
      </c>
      <c r="C1886" s="58">
        <f t="shared" si="1"/>
        <v>4708.998611</v>
      </c>
      <c r="D1886" s="1">
        <f t="shared" si="2"/>
        <v>10424.74119</v>
      </c>
      <c r="E1886" s="1">
        <f t="shared" si="3"/>
        <v>18764.53415</v>
      </c>
      <c r="F1886" s="1">
        <f t="shared" si="4"/>
        <v>35444.12006</v>
      </c>
      <c r="G1886" s="1">
        <f t="shared" si="5"/>
        <v>62548.44716</v>
      </c>
      <c r="H1886" s="1">
        <f t="shared" si="6"/>
        <v>114672.1531</v>
      </c>
      <c r="I1886" s="1">
        <f t="shared" si="7"/>
        <v>187645.3415</v>
      </c>
    </row>
    <row r="1887" hidden="1">
      <c r="A1887" s="266">
        <f>IFERROR(__xludf.DUMMYFUNCTION("""COMPUTED_VALUE"""),44525.99861111111)</f>
        <v>44525.99861</v>
      </c>
      <c r="B1887" s="1">
        <f>IFERROR(__xludf.DUMMYFUNCTION("""COMPUTED_VALUE"""),58957.91)</f>
        <v>58957.91</v>
      </c>
      <c r="C1887" s="58">
        <f t="shared" si="1"/>
        <v>4709.998611</v>
      </c>
      <c r="D1887" s="1">
        <f t="shared" si="2"/>
        <v>10437.58773</v>
      </c>
      <c r="E1887" s="1">
        <f t="shared" si="3"/>
        <v>18787.65791</v>
      </c>
      <c r="F1887" s="1">
        <f t="shared" si="4"/>
        <v>35487.79828</v>
      </c>
      <c r="G1887" s="1">
        <f t="shared" si="5"/>
        <v>62625.52638</v>
      </c>
      <c r="H1887" s="1">
        <f t="shared" si="6"/>
        <v>114813.465</v>
      </c>
      <c r="I1887" s="1">
        <f t="shared" si="7"/>
        <v>187876.5791</v>
      </c>
    </row>
    <row r="1888" hidden="1">
      <c r="A1888" s="266">
        <f>IFERROR(__xludf.DUMMYFUNCTION("""COMPUTED_VALUE"""),44526.99861111111)</f>
        <v>44526.99861</v>
      </c>
      <c r="B1888" s="1">
        <f>IFERROR(__xludf.DUMMYFUNCTION("""COMPUTED_VALUE"""),53634.31)</f>
        <v>53634.31</v>
      </c>
      <c r="C1888" s="58">
        <f t="shared" si="1"/>
        <v>4710.998611</v>
      </c>
      <c r="D1888" s="1">
        <f t="shared" si="2"/>
        <v>10450.44736</v>
      </c>
      <c r="E1888" s="1">
        <f t="shared" si="3"/>
        <v>18810.80526</v>
      </c>
      <c r="F1888" s="1">
        <f t="shared" si="4"/>
        <v>35531.52104</v>
      </c>
      <c r="G1888" s="1">
        <f t="shared" si="5"/>
        <v>62702.68419</v>
      </c>
      <c r="H1888" s="1">
        <f t="shared" si="6"/>
        <v>114954.921</v>
      </c>
      <c r="I1888" s="1">
        <f t="shared" si="7"/>
        <v>188108.0526</v>
      </c>
    </row>
    <row r="1889" hidden="1">
      <c r="A1889" s="266">
        <f>IFERROR(__xludf.DUMMYFUNCTION("""COMPUTED_VALUE"""),44527.99861111111)</f>
        <v>44527.99861</v>
      </c>
      <c r="B1889" s="1">
        <f>IFERROR(__xludf.DUMMYFUNCTION("""COMPUTED_VALUE"""),54809.76)</f>
        <v>54809.76</v>
      </c>
      <c r="C1889" s="58">
        <f t="shared" si="1"/>
        <v>4711.998611</v>
      </c>
      <c r="D1889" s="1">
        <f t="shared" si="2"/>
        <v>10463.32011</v>
      </c>
      <c r="E1889" s="1">
        <f t="shared" si="3"/>
        <v>18833.9762</v>
      </c>
      <c r="F1889" s="1">
        <f t="shared" si="4"/>
        <v>35575.28837</v>
      </c>
      <c r="G1889" s="1">
        <f t="shared" si="5"/>
        <v>62779.92066</v>
      </c>
      <c r="H1889" s="1">
        <f t="shared" si="6"/>
        <v>115096.5212</v>
      </c>
      <c r="I1889" s="1">
        <f t="shared" si="7"/>
        <v>188339.762</v>
      </c>
    </row>
    <row r="1890" hidden="1">
      <c r="A1890" s="266">
        <f>IFERROR(__xludf.DUMMYFUNCTION("""COMPUTED_VALUE"""),44528.99861111111)</f>
        <v>44528.99861</v>
      </c>
      <c r="B1890" s="1">
        <f>IFERROR(__xludf.DUMMYFUNCTION("""COMPUTED_VALUE"""),57270.1)</f>
        <v>57270.1</v>
      </c>
      <c r="C1890" s="58">
        <f t="shared" si="1"/>
        <v>4712.998611</v>
      </c>
      <c r="D1890" s="1">
        <f t="shared" si="2"/>
        <v>10476.20597</v>
      </c>
      <c r="E1890" s="1">
        <f t="shared" si="3"/>
        <v>18857.17075</v>
      </c>
      <c r="F1890" s="1">
        <f t="shared" si="4"/>
        <v>35619.10031</v>
      </c>
      <c r="G1890" s="1">
        <f t="shared" si="5"/>
        <v>62857.23584</v>
      </c>
      <c r="H1890" s="1">
        <f t="shared" si="6"/>
        <v>115238.2657</v>
      </c>
      <c r="I1890" s="1">
        <f t="shared" si="7"/>
        <v>188571.7075</v>
      </c>
    </row>
    <row r="1891" hidden="1">
      <c r="A1891" s="266">
        <f>IFERROR(__xludf.DUMMYFUNCTION("""COMPUTED_VALUE"""),44529.99861111111)</f>
        <v>44529.99861</v>
      </c>
      <c r="B1891" s="1">
        <f>IFERROR(__xludf.DUMMYFUNCTION("""COMPUTED_VALUE"""),57837.01)</f>
        <v>57837.01</v>
      </c>
      <c r="C1891" s="58">
        <f t="shared" si="1"/>
        <v>4713.998611</v>
      </c>
      <c r="D1891" s="1">
        <f t="shared" si="2"/>
        <v>10489.10497</v>
      </c>
      <c r="E1891" s="1">
        <f t="shared" si="3"/>
        <v>18880.38894</v>
      </c>
      <c r="F1891" s="1">
        <f t="shared" si="4"/>
        <v>35662.95689</v>
      </c>
      <c r="G1891" s="1">
        <f t="shared" si="5"/>
        <v>62934.62981</v>
      </c>
      <c r="H1891" s="1">
        <f t="shared" si="6"/>
        <v>115380.1547</v>
      </c>
      <c r="I1891" s="1">
        <f t="shared" si="7"/>
        <v>188803.8894</v>
      </c>
    </row>
    <row r="1892" hidden="1">
      <c r="A1892" s="266">
        <f>IFERROR(__xludf.DUMMYFUNCTION("""COMPUTED_VALUE"""),44530.99861111111)</f>
        <v>44530.99861</v>
      </c>
      <c r="B1892" s="1">
        <f>IFERROR(__xludf.DUMMYFUNCTION("""COMPUTED_VALUE"""),56959.33)</f>
        <v>56959.33</v>
      </c>
      <c r="C1892" s="58">
        <f t="shared" si="1"/>
        <v>4714.998611</v>
      </c>
      <c r="D1892" s="1">
        <f t="shared" si="2"/>
        <v>10502.0171</v>
      </c>
      <c r="E1892" s="1">
        <f t="shared" si="3"/>
        <v>18903.63079</v>
      </c>
      <c r="F1892" s="1">
        <f t="shared" si="4"/>
        <v>35706.85816</v>
      </c>
      <c r="G1892" s="1">
        <f t="shared" si="5"/>
        <v>63012.10263</v>
      </c>
      <c r="H1892" s="1">
        <f t="shared" si="6"/>
        <v>115522.1882</v>
      </c>
      <c r="I1892" s="1">
        <f t="shared" si="7"/>
        <v>189036.3079</v>
      </c>
    </row>
    <row r="1893" hidden="1">
      <c r="A1893" s="266">
        <f>IFERROR(__xludf.DUMMYFUNCTION("""COMPUTED_VALUE"""),44531.99861111111)</f>
        <v>44531.99861</v>
      </c>
      <c r="B1893" s="1">
        <f>IFERROR(__xludf.DUMMYFUNCTION("""COMPUTED_VALUE"""),57228.96)</f>
        <v>57228.96</v>
      </c>
      <c r="C1893" s="58">
        <f t="shared" si="1"/>
        <v>4715.998611</v>
      </c>
      <c r="D1893" s="1">
        <f t="shared" si="2"/>
        <v>10514.94239</v>
      </c>
      <c r="E1893" s="1">
        <f t="shared" si="3"/>
        <v>18926.89631</v>
      </c>
      <c r="F1893" s="1">
        <f t="shared" si="4"/>
        <v>35750.80413</v>
      </c>
      <c r="G1893" s="1">
        <f t="shared" si="5"/>
        <v>63089.65435</v>
      </c>
      <c r="H1893" s="1">
        <f t="shared" si="6"/>
        <v>115664.3663</v>
      </c>
      <c r="I1893" s="1">
        <f t="shared" si="7"/>
        <v>189268.9631</v>
      </c>
    </row>
    <row r="1894" hidden="1">
      <c r="A1894" s="266">
        <f>IFERROR(__xludf.DUMMYFUNCTION("""COMPUTED_VALUE"""),44532.99861111111)</f>
        <v>44532.99861</v>
      </c>
      <c r="B1894" s="1">
        <f>IFERROR(__xludf.DUMMYFUNCTION("""COMPUTED_VALUE"""),56518.51)</f>
        <v>56518.51</v>
      </c>
      <c r="C1894" s="58">
        <f t="shared" si="1"/>
        <v>4716.998611</v>
      </c>
      <c r="D1894" s="1">
        <f t="shared" si="2"/>
        <v>10527.88084</v>
      </c>
      <c r="E1894" s="1">
        <f t="shared" si="3"/>
        <v>18950.18552</v>
      </c>
      <c r="F1894" s="1">
        <f t="shared" si="4"/>
        <v>35794.79486</v>
      </c>
      <c r="G1894" s="1">
        <f t="shared" si="5"/>
        <v>63167.28505</v>
      </c>
      <c r="H1894" s="1">
        <f t="shared" si="6"/>
        <v>115806.6893</v>
      </c>
      <c r="I1894" s="1">
        <f t="shared" si="7"/>
        <v>189501.8552</v>
      </c>
    </row>
    <row r="1895" hidden="1">
      <c r="A1895" s="266">
        <f>IFERROR(__xludf.DUMMYFUNCTION("""COMPUTED_VALUE"""),44533.99861111111)</f>
        <v>44533.99861</v>
      </c>
      <c r="B1895" s="1">
        <f>IFERROR(__xludf.DUMMYFUNCTION("""COMPUTED_VALUE"""),53662.35)</f>
        <v>53662.35</v>
      </c>
      <c r="C1895" s="58">
        <f t="shared" si="1"/>
        <v>4717.998611</v>
      </c>
      <c r="D1895" s="1">
        <f t="shared" si="2"/>
        <v>10540.83246</v>
      </c>
      <c r="E1895" s="1">
        <f t="shared" si="3"/>
        <v>18973.49844</v>
      </c>
      <c r="F1895" s="1">
        <f t="shared" si="4"/>
        <v>35838.83038</v>
      </c>
      <c r="G1895" s="1">
        <f t="shared" si="5"/>
        <v>63244.99479</v>
      </c>
      <c r="H1895" s="1">
        <f t="shared" si="6"/>
        <v>115949.1571</v>
      </c>
      <c r="I1895" s="1">
        <f t="shared" si="7"/>
        <v>189734.9844</v>
      </c>
    </row>
    <row r="1896" hidden="1">
      <c r="A1896" s="266">
        <f>IFERROR(__xludf.DUMMYFUNCTION("""COMPUTED_VALUE"""),44534.99861111111)</f>
        <v>44534.99861</v>
      </c>
      <c r="B1896" s="1">
        <f>IFERROR(__xludf.DUMMYFUNCTION("""COMPUTED_VALUE"""),49258.04)</f>
        <v>49258.04</v>
      </c>
      <c r="C1896" s="58">
        <f t="shared" si="1"/>
        <v>4718.998611</v>
      </c>
      <c r="D1896" s="1">
        <f t="shared" si="2"/>
        <v>10553.79727</v>
      </c>
      <c r="E1896" s="1">
        <f t="shared" si="3"/>
        <v>18996.83509</v>
      </c>
      <c r="F1896" s="1">
        <f t="shared" si="4"/>
        <v>35882.91072</v>
      </c>
      <c r="G1896" s="1">
        <f t="shared" si="5"/>
        <v>63322.78362</v>
      </c>
      <c r="H1896" s="1">
        <f t="shared" si="6"/>
        <v>116091.77</v>
      </c>
      <c r="I1896" s="1">
        <f t="shared" si="7"/>
        <v>189968.3509</v>
      </c>
    </row>
    <row r="1897" hidden="1">
      <c r="A1897" s="266">
        <f>IFERROR(__xludf.DUMMYFUNCTION("""COMPUTED_VALUE"""),44535.99861111111)</f>
        <v>44535.99861</v>
      </c>
      <c r="B1897" s="1">
        <f>IFERROR(__xludf.DUMMYFUNCTION("""COMPUTED_VALUE"""),49453.48)</f>
        <v>49453.48</v>
      </c>
      <c r="C1897" s="58">
        <f t="shared" si="1"/>
        <v>4719.998611</v>
      </c>
      <c r="D1897" s="1">
        <f t="shared" si="2"/>
        <v>10566.77527</v>
      </c>
      <c r="E1897" s="1">
        <f t="shared" si="3"/>
        <v>19020.19549</v>
      </c>
      <c r="F1897" s="1">
        <f t="shared" si="4"/>
        <v>35927.03592</v>
      </c>
      <c r="G1897" s="1">
        <f t="shared" si="5"/>
        <v>63400.65162</v>
      </c>
      <c r="H1897" s="1">
        <f t="shared" si="6"/>
        <v>116234.528</v>
      </c>
      <c r="I1897" s="1">
        <f t="shared" si="7"/>
        <v>190201.9549</v>
      </c>
    </row>
    <row r="1898" hidden="1">
      <c r="A1898" s="266">
        <f>IFERROR(__xludf.DUMMYFUNCTION("""COMPUTED_VALUE"""),44536.99861111111)</f>
        <v>44536.99861</v>
      </c>
      <c r="B1898" s="1">
        <f>IFERROR(__xludf.DUMMYFUNCTION("""COMPUTED_VALUE"""),50594.02)</f>
        <v>50594.02</v>
      </c>
      <c r="C1898" s="58">
        <f t="shared" si="1"/>
        <v>4720.998611</v>
      </c>
      <c r="D1898" s="1">
        <f t="shared" si="2"/>
        <v>10579.76647</v>
      </c>
      <c r="E1898" s="1">
        <f t="shared" si="3"/>
        <v>19043.57965</v>
      </c>
      <c r="F1898" s="1">
        <f t="shared" si="4"/>
        <v>35971.20601</v>
      </c>
      <c r="G1898" s="1">
        <f t="shared" si="5"/>
        <v>63478.59885</v>
      </c>
      <c r="H1898" s="1">
        <f t="shared" si="6"/>
        <v>116377.4312</v>
      </c>
      <c r="I1898" s="1">
        <f t="shared" si="7"/>
        <v>190435.7965</v>
      </c>
    </row>
    <row r="1899" hidden="1">
      <c r="A1899" s="266">
        <f>IFERROR(__xludf.DUMMYFUNCTION("""COMPUTED_VALUE"""),44537.99861111111)</f>
        <v>44537.99861</v>
      </c>
      <c r="B1899" s="1">
        <f>IFERROR(__xludf.DUMMYFUNCTION("""COMPUTED_VALUE"""),50631.88)</f>
        <v>50631.88</v>
      </c>
      <c r="C1899" s="58">
        <f t="shared" si="1"/>
        <v>4721.998611</v>
      </c>
      <c r="D1899" s="1">
        <f t="shared" si="2"/>
        <v>10592.77089</v>
      </c>
      <c r="E1899" s="1">
        <f t="shared" si="3"/>
        <v>19066.98761</v>
      </c>
      <c r="F1899" s="1">
        <f t="shared" si="4"/>
        <v>36015.42104</v>
      </c>
      <c r="G1899" s="1">
        <f t="shared" si="5"/>
        <v>63556.62537</v>
      </c>
      <c r="H1899" s="1">
        <f t="shared" si="6"/>
        <v>116520.4798</v>
      </c>
      <c r="I1899" s="1">
        <f t="shared" si="7"/>
        <v>190669.8761</v>
      </c>
    </row>
    <row r="1900" hidden="1">
      <c r="A1900" s="266">
        <f>IFERROR(__xludf.DUMMYFUNCTION("""COMPUTED_VALUE"""),44538.99861111111)</f>
        <v>44538.99861</v>
      </c>
      <c r="B1900" s="1">
        <f>IFERROR(__xludf.DUMMYFUNCTION("""COMPUTED_VALUE"""),50495.16)</f>
        <v>50495.16</v>
      </c>
      <c r="C1900" s="58">
        <f t="shared" si="1"/>
        <v>4722.998611</v>
      </c>
      <c r="D1900" s="1">
        <f t="shared" si="2"/>
        <v>10605.78854</v>
      </c>
      <c r="E1900" s="1">
        <f t="shared" si="3"/>
        <v>19090.41937</v>
      </c>
      <c r="F1900" s="1">
        <f t="shared" si="4"/>
        <v>36059.68104</v>
      </c>
      <c r="G1900" s="1">
        <f t="shared" si="5"/>
        <v>63634.73124</v>
      </c>
      <c r="H1900" s="1">
        <f t="shared" si="6"/>
        <v>116663.6739</v>
      </c>
      <c r="I1900" s="1">
        <f t="shared" si="7"/>
        <v>190904.1937</v>
      </c>
    </row>
    <row r="1901" hidden="1">
      <c r="A1901" s="266">
        <f>IFERROR(__xludf.DUMMYFUNCTION("""COMPUTED_VALUE"""),44539.99861111111)</f>
        <v>44539.99861</v>
      </c>
      <c r="B1901" s="1">
        <f>IFERROR(__xludf.DUMMYFUNCTION("""COMPUTED_VALUE"""),47605.4)</f>
        <v>47605.4</v>
      </c>
      <c r="C1901" s="58">
        <f t="shared" si="1"/>
        <v>4723.998611</v>
      </c>
      <c r="D1901" s="1">
        <f t="shared" si="2"/>
        <v>10618.81942</v>
      </c>
      <c r="E1901" s="1">
        <f t="shared" si="3"/>
        <v>19113.87496</v>
      </c>
      <c r="F1901" s="1">
        <f t="shared" si="4"/>
        <v>36103.98604</v>
      </c>
      <c r="G1901" s="1">
        <f t="shared" si="5"/>
        <v>63712.91654</v>
      </c>
      <c r="H1901" s="1">
        <f t="shared" si="6"/>
        <v>116807.0137</v>
      </c>
      <c r="I1901" s="1">
        <f t="shared" si="7"/>
        <v>191138.7496</v>
      </c>
    </row>
    <row r="1902" hidden="1">
      <c r="A1902" s="266">
        <f>IFERROR(__xludf.DUMMYFUNCTION("""COMPUTED_VALUE"""),44540.99861111111)</f>
        <v>44540.99861</v>
      </c>
      <c r="B1902" s="1">
        <f>IFERROR(__xludf.DUMMYFUNCTION("""COMPUTED_VALUE"""),47157.46)</f>
        <v>47157.46</v>
      </c>
      <c r="C1902" s="58">
        <f t="shared" si="1"/>
        <v>4724.998611</v>
      </c>
      <c r="D1902" s="1">
        <f t="shared" si="2"/>
        <v>10631.86355</v>
      </c>
      <c r="E1902" s="1">
        <f t="shared" si="3"/>
        <v>19137.3544</v>
      </c>
      <c r="F1902" s="1">
        <f t="shared" si="4"/>
        <v>36148.33608</v>
      </c>
      <c r="G1902" s="1">
        <f t="shared" si="5"/>
        <v>63791.18132</v>
      </c>
      <c r="H1902" s="1">
        <f t="shared" si="6"/>
        <v>116950.4991</v>
      </c>
      <c r="I1902" s="1">
        <f t="shared" si="7"/>
        <v>191373.544</v>
      </c>
    </row>
    <row r="1903" hidden="1">
      <c r="A1903" s="266">
        <f>IFERROR(__xludf.DUMMYFUNCTION("""COMPUTED_VALUE"""),44541.99861111111)</f>
        <v>44541.99861</v>
      </c>
      <c r="B1903" s="1">
        <f>IFERROR(__xludf.DUMMYFUNCTION("""COMPUTED_VALUE"""),49340.38)</f>
        <v>49340.38</v>
      </c>
      <c r="C1903" s="58">
        <f t="shared" si="1"/>
        <v>4725.998611</v>
      </c>
      <c r="D1903" s="1">
        <f t="shared" si="2"/>
        <v>10644.92094</v>
      </c>
      <c r="E1903" s="1">
        <f t="shared" si="3"/>
        <v>19160.85769</v>
      </c>
      <c r="F1903" s="1">
        <f t="shared" si="4"/>
        <v>36192.7312</v>
      </c>
      <c r="G1903" s="1">
        <f t="shared" si="5"/>
        <v>63869.52564</v>
      </c>
      <c r="H1903" s="1">
        <f t="shared" si="6"/>
        <v>117094.1303</v>
      </c>
      <c r="I1903" s="1">
        <f t="shared" si="7"/>
        <v>191608.5769</v>
      </c>
    </row>
    <row r="1904" hidden="1">
      <c r="A1904" s="266">
        <f>IFERROR(__xludf.DUMMYFUNCTION("""COMPUTED_VALUE"""),44542.99861111111)</f>
        <v>44542.99861</v>
      </c>
      <c r="B1904" s="1">
        <f>IFERROR(__xludf.DUMMYFUNCTION("""COMPUTED_VALUE"""),50096.77)</f>
        <v>50096.77</v>
      </c>
      <c r="C1904" s="58">
        <f t="shared" si="1"/>
        <v>4726.998611</v>
      </c>
      <c r="D1904" s="1">
        <f t="shared" si="2"/>
        <v>10657.9916</v>
      </c>
      <c r="E1904" s="1">
        <f t="shared" si="3"/>
        <v>19184.38487</v>
      </c>
      <c r="F1904" s="1">
        <f t="shared" si="4"/>
        <v>36237.17143</v>
      </c>
      <c r="G1904" s="1">
        <f t="shared" si="5"/>
        <v>63947.94958</v>
      </c>
      <c r="H1904" s="1">
        <f t="shared" si="6"/>
        <v>117237.9076</v>
      </c>
      <c r="I1904" s="1">
        <f t="shared" si="7"/>
        <v>191843.8487</v>
      </c>
    </row>
    <row r="1905" hidden="1">
      <c r="A1905" s="266">
        <f>IFERROR(__xludf.DUMMYFUNCTION("""COMPUTED_VALUE"""),44543.99861111111)</f>
        <v>44543.99861</v>
      </c>
      <c r="B1905" s="1">
        <f>IFERROR(__xludf.DUMMYFUNCTION("""COMPUTED_VALUE"""),46725.26)</f>
        <v>46725.26</v>
      </c>
      <c r="C1905" s="58">
        <f t="shared" si="1"/>
        <v>4727.998611</v>
      </c>
      <c r="D1905" s="1">
        <f t="shared" si="2"/>
        <v>10671.07553</v>
      </c>
      <c r="E1905" s="1">
        <f t="shared" si="3"/>
        <v>19207.93596</v>
      </c>
      <c r="F1905" s="1">
        <f t="shared" si="4"/>
        <v>36281.65681</v>
      </c>
      <c r="G1905" s="1">
        <f t="shared" si="5"/>
        <v>64026.4532</v>
      </c>
      <c r="H1905" s="1">
        <f t="shared" si="6"/>
        <v>117381.8309</v>
      </c>
      <c r="I1905" s="1">
        <f t="shared" si="7"/>
        <v>192079.3596</v>
      </c>
    </row>
    <row r="1906" hidden="1">
      <c r="A1906" s="266">
        <f>IFERROR(__xludf.DUMMYFUNCTION("""COMPUTED_VALUE"""),44544.99861111111)</f>
        <v>44544.99861</v>
      </c>
      <c r="B1906" s="1">
        <f>IFERROR(__xludf.DUMMYFUNCTION("""COMPUTED_VALUE"""),48387.72)</f>
        <v>48387.72</v>
      </c>
      <c r="C1906" s="58">
        <f t="shared" si="1"/>
        <v>4728.998611</v>
      </c>
      <c r="D1906" s="1">
        <f t="shared" si="2"/>
        <v>10684.17276</v>
      </c>
      <c r="E1906" s="1">
        <f t="shared" si="3"/>
        <v>19231.51096</v>
      </c>
      <c r="F1906" s="1">
        <f t="shared" si="4"/>
        <v>36326.18738</v>
      </c>
      <c r="G1906" s="1">
        <f t="shared" si="5"/>
        <v>64105.03655</v>
      </c>
      <c r="H1906" s="1">
        <f t="shared" si="6"/>
        <v>117525.9003</v>
      </c>
      <c r="I1906" s="1">
        <f t="shared" si="7"/>
        <v>192315.1096</v>
      </c>
    </row>
    <row r="1907" hidden="1">
      <c r="A1907" s="266">
        <f>IFERROR(__xludf.DUMMYFUNCTION("""COMPUTED_VALUE"""),44545.99861111111)</f>
        <v>44545.99861</v>
      </c>
      <c r="B1907" s="1">
        <f>IFERROR(__xludf.DUMMYFUNCTION("""COMPUTED_VALUE"""),48874.04)</f>
        <v>48874.04</v>
      </c>
      <c r="C1907" s="58">
        <f t="shared" si="1"/>
        <v>4729.998611</v>
      </c>
      <c r="D1907" s="1">
        <f t="shared" si="2"/>
        <v>10697.28328</v>
      </c>
      <c r="E1907" s="1">
        <f t="shared" si="3"/>
        <v>19255.10991</v>
      </c>
      <c r="F1907" s="1">
        <f t="shared" si="4"/>
        <v>36370.76317</v>
      </c>
      <c r="G1907" s="1">
        <f t="shared" si="5"/>
        <v>64183.69971</v>
      </c>
      <c r="H1907" s="1">
        <f t="shared" si="6"/>
        <v>117670.1161</v>
      </c>
      <c r="I1907" s="1">
        <f t="shared" si="7"/>
        <v>192551.0991</v>
      </c>
    </row>
    <row r="1908" hidden="1">
      <c r="A1908" s="266">
        <f>IFERROR(__xludf.DUMMYFUNCTION("""COMPUTED_VALUE"""),44546.99861111111)</f>
        <v>44546.99861</v>
      </c>
      <c r="B1908" s="1">
        <f>IFERROR(__xludf.DUMMYFUNCTION("""COMPUTED_VALUE"""),47619.86)</f>
        <v>47619.86</v>
      </c>
      <c r="C1908" s="58">
        <f t="shared" si="1"/>
        <v>4730.998611</v>
      </c>
      <c r="D1908" s="1">
        <f t="shared" si="2"/>
        <v>10710.40712</v>
      </c>
      <c r="E1908" s="1">
        <f t="shared" si="3"/>
        <v>19278.73282</v>
      </c>
      <c r="F1908" s="1">
        <f t="shared" si="4"/>
        <v>36415.38421</v>
      </c>
      <c r="G1908" s="1">
        <f t="shared" si="5"/>
        <v>64262.44273</v>
      </c>
      <c r="H1908" s="1">
        <f t="shared" si="6"/>
        <v>117814.4783</v>
      </c>
      <c r="I1908" s="1">
        <f t="shared" si="7"/>
        <v>192787.3282</v>
      </c>
    </row>
    <row r="1909" hidden="1">
      <c r="A1909" s="266">
        <f>IFERROR(__xludf.DUMMYFUNCTION("""COMPUTED_VALUE"""),44547.99861111111)</f>
        <v>44547.99861</v>
      </c>
      <c r="B1909" s="1">
        <f>IFERROR(__xludf.DUMMYFUNCTION("""COMPUTED_VALUE"""),46180.0)</f>
        <v>46180</v>
      </c>
      <c r="C1909" s="58">
        <f t="shared" si="1"/>
        <v>4731.998611</v>
      </c>
      <c r="D1909" s="1">
        <f t="shared" si="2"/>
        <v>10723.54428</v>
      </c>
      <c r="E1909" s="1">
        <f t="shared" si="3"/>
        <v>19302.37971</v>
      </c>
      <c r="F1909" s="1">
        <f t="shared" si="4"/>
        <v>36460.05056</v>
      </c>
      <c r="G1909" s="1">
        <f t="shared" si="5"/>
        <v>64341.26569</v>
      </c>
      <c r="H1909" s="1">
        <f t="shared" si="6"/>
        <v>117958.9871</v>
      </c>
      <c r="I1909" s="1">
        <f t="shared" si="7"/>
        <v>193023.7971</v>
      </c>
    </row>
    <row r="1910" hidden="1">
      <c r="A1910" s="266">
        <f>IFERROR(__xludf.DUMMYFUNCTION("""COMPUTED_VALUE"""),44548.99861111111)</f>
        <v>44548.99861</v>
      </c>
      <c r="B1910" s="1">
        <f>IFERROR(__xludf.DUMMYFUNCTION("""COMPUTED_VALUE"""),46862.54)</f>
        <v>46862.54</v>
      </c>
      <c r="C1910" s="58">
        <f t="shared" si="1"/>
        <v>4732.998611</v>
      </c>
      <c r="D1910" s="1">
        <f t="shared" si="2"/>
        <v>10736.69477</v>
      </c>
      <c r="E1910" s="1">
        <f t="shared" si="3"/>
        <v>19326.05059</v>
      </c>
      <c r="F1910" s="1">
        <f t="shared" si="4"/>
        <v>36504.76223</v>
      </c>
      <c r="G1910" s="1">
        <f t="shared" si="5"/>
        <v>64420.16864</v>
      </c>
      <c r="H1910" s="1">
        <f t="shared" si="6"/>
        <v>118103.6425</v>
      </c>
      <c r="I1910" s="1">
        <f t="shared" si="7"/>
        <v>193260.5059</v>
      </c>
    </row>
    <row r="1911" hidden="1">
      <c r="A1911" s="266">
        <f>IFERROR(__xludf.DUMMYFUNCTION("""COMPUTED_VALUE"""),44549.99861111111)</f>
        <v>44549.99861</v>
      </c>
      <c r="B1911" s="1">
        <f>IFERROR(__xludf.DUMMYFUNCTION("""COMPUTED_VALUE"""),46697.18)</f>
        <v>46697.18</v>
      </c>
      <c r="C1911" s="58">
        <f t="shared" si="1"/>
        <v>4733.998611</v>
      </c>
      <c r="D1911" s="1">
        <f t="shared" si="2"/>
        <v>10749.85861</v>
      </c>
      <c r="E1911" s="1">
        <f t="shared" si="3"/>
        <v>19349.7455</v>
      </c>
      <c r="F1911" s="1">
        <f t="shared" si="4"/>
        <v>36549.51927</v>
      </c>
      <c r="G1911" s="1">
        <f t="shared" si="5"/>
        <v>64499.15165</v>
      </c>
      <c r="H1911" s="1">
        <f t="shared" si="6"/>
        <v>118248.4447</v>
      </c>
      <c r="I1911" s="1">
        <f t="shared" si="7"/>
        <v>193497.455</v>
      </c>
    </row>
    <row r="1912" hidden="1">
      <c r="A1912" s="266">
        <f>IFERROR(__xludf.DUMMYFUNCTION("""COMPUTED_VALUE"""),44550.99861111111)</f>
        <v>44550.99861</v>
      </c>
      <c r="B1912" s="1">
        <f>IFERROR(__xludf.DUMMYFUNCTION("""COMPUTED_VALUE"""),46900.94)</f>
        <v>46900.94</v>
      </c>
      <c r="C1912" s="58">
        <f t="shared" si="1"/>
        <v>4734.998611</v>
      </c>
      <c r="D1912" s="1">
        <f t="shared" si="2"/>
        <v>10763.0358</v>
      </c>
      <c r="E1912" s="1">
        <f t="shared" si="3"/>
        <v>19373.46444</v>
      </c>
      <c r="F1912" s="1">
        <f t="shared" si="4"/>
        <v>36594.32171</v>
      </c>
      <c r="G1912" s="1">
        <f t="shared" si="5"/>
        <v>64578.21479</v>
      </c>
      <c r="H1912" s="1">
        <f t="shared" si="6"/>
        <v>118393.3938</v>
      </c>
      <c r="I1912" s="1">
        <f t="shared" si="7"/>
        <v>193734.6444</v>
      </c>
    </row>
    <row r="1913" hidden="1">
      <c r="A1913" s="266">
        <f>IFERROR(__xludf.DUMMYFUNCTION("""COMPUTED_VALUE"""),44551.99861111111)</f>
        <v>44551.99861</v>
      </c>
      <c r="B1913" s="1">
        <f>IFERROR(__xludf.DUMMYFUNCTION("""COMPUTED_VALUE"""),48903.38)</f>
        <v>48903.38</v>
      </c>
      <c r="C1913" s="58">
        <f t="shared" si="1"/>
        <v>4735.998611</v>
      </c>
      <c r="D1913" s="1">
        <f t="shared" si="2"/>
        <v>10776.22635</v>
      </c>
      <c r="E1913" s="1">
        <f t="shared" si="3"/>
        <v>19397.20744</v>
      </c>
      <c r="F1913" s="1">
        <f t="shared" si="4"/>
        <v>36639.1696</v>
      </c>
      <c r="G1913" s="1">
        <f t="shared" si="5"/>
        <v>64657.35812</v>
      </c>
      <c r="H1913" s="1">
        <f t="shared" si="6"/>
        <v>118538.4899</v>
      </c>
      <c r="I1913" s="1">
        <f t="shared" si="7"/>
        <v>193972.0744</v>
      </c>
    </row>
    <row r="1914" hidden="1">
      <c r="A1914" s="266">
        <f>IFERROR(__xludf.DUMMYFUNCTION("""COMPUTED_VALUE"""),44552.99861111111)</f>
        <v>44552.99861</v>
      </c>
      <c r="B1914" s="1">
        <f>IFERROR(__xludf.DUMMYFUNCTION("""COMPUTED_VALUE"""),48603.92)</f>
        <v>48603.92</v>
      </c>
      <c r="C1914" s="58">
        <f t="shared" si="1"/>
        <v>4736.998611</v>
      </c>
      <c r="D1914" s="1">
        <f t="shared" si="2"/>
        <v>10789.43028</v>
      </c>
      <c r="E1914" s="1">
        <f t="shared" si="3"/>
        <v>19420.97451</v>
      </c>
      <c r="F1914" s="1">
        <f t="shared" si="4"/>
        <v>36684.06296</v>
      </c>
      <c r="G1914" s="1">
        <f t="shared" si="5"/>
        <v>64736.5817</v>
      </c>
      <c r="H1914" s="1">
        <f t="shared" si="6"/>
        <v>118683.7331</v>
      </c>
      <c r="I1914" s="1">
        <f t="shared" si="7"/>
        <v>194209.7451</v>
      </c>
    </row>
    <row r="1915" hidden="1">
      <c r="A1915" s="266">
        <f>IFERROR(__xludf.DUMMYFUNCTION("""COMPUTED_VALUE"""),44553.99861111111)</f>
        <v>44553.99861</v>
      </c>
      <c r="B1915" s="1">
        <f>IFERROR(__xludf.DUMMYFUNCTION("""COMPUTED_VALUE"""),50798.09)</f>
        <v>50798.09</v>
      </c>
      <c r="C1915" s="58">
        <f t="shared" si="1"/>
        <v>4737.998611</v>
      </c>
      <c r="D1915" s="1">
        <f t="shared" si="2"/>
        <v>10802.6476</v>
      </c>
      <c r="E1915" s="1">
        <f t="shared" si="3"/>
        <v>19444.76568</v>
      </c>
      <c r="F1915" s="1">
        <f t="shared" si="4"/>
        <v>36729.00184</v>
      </c>
      <c r="G1915" s="1">
        <f t="shared" si="5"/>
        <v>64815.8856</v>
      </c>
      <c r="H1915" s="1">
        <f t="shared" si="6"/>
        <v>118829.1236</v>
      </c>
      <c r="I1915" s="1">
        <f t="shared" si="7"/>
        <v>194447.6568</v>
      </c>
    </row>
    <row r="1916" hidden="1">
      <c r="A1916" s="266">
        <f>IFERROR(__xludf.DUMMYFUNCTION("""COMPUTED_VALUE"""),44554.99861111111)</f>
        <v>44554.99861</v>
      </c>
      <c r="B1916" s="1">
        <f>IFERROR(__xludf.DUMMYFUNCTION("""COMPUTED_VALUE"""),50802.95)</f>
        <v>50802.95</v>
      </c>
      <c r="C1916" s="58">
        <f t="shared" si="1"/>
        <v>4738.998611</v>
      </c>
      <c r="D1916" s="1">
        <f t="shared" si="2"/>
        <v>10815.87831</v>
      </c>
      <c r="E1916" s="1">
        <f t="shared" si="3"/>
        <v>19468.58096</v>
      </c>
      <c r="F1916" s="1">
        <f t="shared" si="4"/>
        <v>36773.98626</v>
      </c>
      <c r="G1916" s="1">
        <f t="shared" si="5"/>
        <v>64895.26988</v>
      </c>
      <c r="H1916" s="1">
        <f t="shared" si="6"/>
        <v>118974.6614</v>
      </c>
      <c r="I1916" s="1">
        <f t="shared" si="7"/>
        <v>194685.8096</v>
      </c>
    </row>
    <row r="1917" hidden="1">
      <c r="A1917" s="266">
        <f>IFERROR(__xludf.DUMMYFUNCTION("""COMPUTED_VALUE"""),44555.99861111111)</f>
        <v>44555.99861</v>
      </c>
      <c r="B1917" s="1">
        <f>IFERROR(__xludf.DUMMYFUNCTION("""COMPUTED_VALUE"""),50441.71)</f>
        <v>50441.71</v>
      </c>
      <c r="C1917" s="58">
        <f t="shared" si="1"/>
        <v>4739.998611</v>
      </c>
      <c r="D1917" s="1">
        <f t="shared" si="2"/>
        <v>10829.12243</v>
      </c>
      <c r="E1917" s="1">
        <f t="shared" si="3"/>
        <v>19492.42038</v>
      </c>
      <c r="F1917" s="1">
        <f t="shared" si="4"/>
        <v>36819.01628</v>
      </c>
      <c r="G1917" s="1">
        <f t="shared" si="5"/>
        <v>64974.73461</v>
      </c>
      <c r="H1917" s="1">
        <f t="shared" si="6"/>
        <v>119120.3468</v>
      </c>
      <c r="I1917" s="1">
        <f t="shared" si="7"/>
        <v>194924.2038</v>
      </c>
    </row>
    <row r="1918" hidden="1">
      <c r="A1918" s="266">
        <f>IFERROR(__xludf.DUMMYFUNCTION("""COMPUTED_VALUE"""),44556.99861111111)</f>
        <v>44556.99861</v>
      </c>
      <c r="B1918" s="1">
        <f>IFERROR(__xludf.DUMMYFUNCTION("""COMPUTED_VALUE"""),50789.87)</f>
        <v>50789.87</v>
      </c>
      <c r="C1918" s="58">
        <f t="shared" si="1"/>
        <v>4740.998611</v>
      </c>
      <c r="D1918" s="1">
        <f t="shared" si="2"/>
        <v>10842.37997</v>
      </c>
      <c r="E1918" s="1">
        <f t="shared" si="3"/>
        <v>19516.28395</v>
      </c>
      <c r="F1918" s="1">
        <f t="shared" si="4"/>
        <v>36864.09191</v>
      </c>
      <c r="G1918" s="1">
        <f t="shared" si="5"/>
        <v>65054.27984</v>
      </c>
      <c r="H1918" s="1">
        <f t="shared" si="6"/>
        <v>119266.1797</v>
      </c>
      <c r="I1918" s="1">
        <f t="shared" si="7"/>
        <v>195162.8395</v>
      </c>
    </row>
    <row r="1919" hidden="1">
      <c r="A1919" s="266">
        <f>IFERROR(__xludf.DUMMYFUNCTION("""COMPUTED_VALUE"""),44557.99861111111)</f>
        <v>44557.99861</v>
      </c>
      <c r="B1919" s="1">
        <f>IFERROR(__xludf.DUMMYFUNCTION("""COMPUTED_VALUE"""),50681.65)</f>
        <v>50681.65</v>
      </c>
      <c r="C1919" s="58">
        <f t="shared" si="1"/>
        <v>4741.998611</v>
      </c>
      <c r="D1919" s="1">
        <f t="shared" si="2"/>
        <v>10855.65094</v>
      </c>
      <c r="E1919" s="1">
        <f t="shared" si="3"/>
        <v>19540.1717</v>
      </c>
      <c r="F1919" s="1">
        <f t="shared" si="4"/>
        <v>36909.21321</v>
      </c>
      <c r="G1919" s="1">
        <f t="shared" si="5"/>
        <v>65133.90566</v>
      </c>
      <c r="H1919" s="1">
        <f t="shared" si="6"/>
        <v>119412.1604</v>
      </c>
      <c r="I1919" s="1">
        <f t="shared" si="7"/>
        <v>195401.717</v>
      </c>
    </row>
    <row r="1920" hidden="1">
      <c r="A1920" s="266">
        <f>IFERROR(__xludf.DUMMYFUNCTION("""COMPUTED_VALUE"""),44558.99861111111)</f>
        <v>44558.99861</v>
      </c>
      <c r="B1920" s="1">
        <f>IFERROR(__xludf.DUMMYFUNCTION("""COMPUTED_VALUE"""),47538.2)</f>
        <v>47538.2</v>
      </c>
      <c r="C1920" s="58">
        <f t="shared" si="1"/>
        <v>4742.998611</v>
      </c>
      <c r="D1920" s="1">
        <f t="shared" si="2"/>
        <v>10868.93535</v>
      </c>
      <c r="E1920" s="1">
        <f t="shared" si="3"/>
        <v>19564.08363</v>
      </c>
      <c r="F1920" s="1">
        <f t="shared" si="4"/>
        <v>36954.3802</v>
      </c>
      <c r="G1920" s="1">
        <f t="shared" si="5"/>
        <v>65213.61212</v>
      </c>
      <c r="H1920" s="1">
        <f t="shared" si="6"/>
        <v>119558.2889</v>
      </c>
      <c r="I1920" s="1">
        <f t="shared" si="7"/>
        <v>195640.8363</v>
      </c>
    </row>
    <row r="1921" hidden="1">
      <c r="A1921" s="266">
        <f>IFERROR(__xludf.DUMMYFUNCTION("""COMPUTED_VALUE"""),44559.99861111111)</f>
        <v>44559.99861</v>
      </c>
      <c r="B1921" s="1">
        <f>IFERROR(__xludf.DUMMYFUNCTION("""COMPUTED_VALUE"""),46438.42)</f>
        <v>46438.42</v>
      </c>
      <c r="C1921" s="58">
        <f t="shared" si="1"/>
        <v>4743.998611</v>
      </c>
      <c r="D1921" s="1">
        <f t="shared" si="2"/>
        <v>10882.23321</v>
      </c>
      <c r="E1921" s="1">
        <f t="shared" si="3"/>
        <v>19588.01978</v>
      </c>
      <c r="F1921" s="1">
        <f t="shared" si="4"/>
        <v>36999.59292</v>
      </c>
      <c r="G1921" s="1">
        <f t="shared" si="5"/>
        <v>65293.39928</v>
      </c>
      <c r="H1921" s="1">
        <f t="shared" si="6"/>
        <v>119704.5653</v>
      </c>
      <c r="I1921" s="1">
        <f t="shared" si="7"/>
        <v>195880.1978</v>
      </c>
    </row>
    <row r="1922" hidden="1">
      <c r="A1922" s="266">
        <f>IFERROR(__xludf.DUMMYFUNCTION("""COMPUTED_VALUE"""),44560.99861111111)</f>
        <v>44560.99861</v>
      </c>
      <c r="B1922" s="1">
        <f>IFERROR(__xludf.DUMMYFUNCTION("""COMPUTED_VALUE"""),47129.15)</f>
        <v>47129.15</v>
      </c>
      <c r="C1922" s="58">
        <f t="shared" si="1"/>
        <v>4744.998611</v>
      </c>
      <c r="D1922" s="1">
        <f t="shared" si="2"/>
        <v>10895.54453</v>
      </c>
      <c r="E1922" s="1">
        <f t="shared" si="3"/>
        <v>19611.98016</v>
      </c>
      <c r="F1922" s="1">
        <f t="shared" si="4"/>
        <v>37044.85142</v>
      </c>
      <c r="G1922" s="1">
        <f t="shared" si="5"/>
        <v>65373.26721</v>
      </c>
      <c r="H1922" s="1">
        <f t="shared" si="6"/>
        <v>119850.9899</v>
      </c>
      <c r="I1922" s="1">
        <f t="shared" si="7"/>
        <v>196119.8016</v>
      </c>
    </row>
    <row r="1923" hidden="1">
      <c r="A1923" s="266">
        <f>IFERROR(__xludf.DUMMYFUNCTION("""COMPUTED_VALUE"""),44561.99861111111)</f>
        <v>44561.99861</v>
      </c>
      <c r="B1923" s="1">
        <f>IFERROR(__xludf.DUMMYFUNCTION("""COMPUTED_VALUE"""),46203.3)</f>
        <v>46203.3</v>
      </c>
      <c r="C1923" s="58">
        <f t="shared" si="1"/>
        <v>4745.998611</v>
      </c>
      <c r="D1923" s="1">
        <f t="shared" si="2"/>
        <v>10908.86933</v>
      </c>
      <c r="E1923" s="1">
        <f t="shared" si="3"/>
        <v>19635.96479</v>
      </c>
      <c r="F1923" s="1">
        <f t="shared" si="4"/>
        <v>37090.15572</v>
      </c>
      <c r="G1923" s="1">
        <f t="shared" si="5"/>
        <v>65453.21597</v>
      </c>
      <c r="H1923" s="1">
        <f t="shared" si="6"/>
        <v>119997.5626</v>
      </c>
      <c r="I1923" s="1">
        <f t="shared" si="7"/>
        <v>196359.6479</v>
      </c>
    </row>
    <row r="1924" hidden="1">
      <c r="A1924" s="266">
        <f>IFERROR(__xludf.DUMMYFUNCTION("""COMPUTED_VALUE"""),44562.99861111111)</f>
        <v>44562.99861</v>
      </c>
      <c r="B1924" s="1">
        <f>IFERROR(__xludf.DUMMYFUNCTION("""COMPUTED_VALUE"""),47740.14)</f>
        <v>47740.14</v>
      </c>
      <c r="C1924" s="58">
        <f t="shared" si="1"/>
        <v>4746.998611</v>
      </c>
      <c r="D1924" s="1">
        <f t="shared" si="2"/>
        <v>10922.20761</v>
      </c>
      <c r="E1924" s="1">
        <f t="shared" si="3"/>
        <v>19659.97369</v>
      </c>
      <c r="F1924" s="1">
        <f t="shared" si="4"/>
        <v>37135.50586</v>
      </c>
      <c r="G1924" s="1">
        <f t="shared" si="5"/>
        <v>65533.24564</v>
      </c>
      <c r="H1924" s="1">
        <f t="shared" si="6"/>
        <v>120144.2837</v>
      </c>
      <c r="I1924" s="1">
        <f t="shared" si="7"/>
        <v>196599.7369</v>
      </c>
    </row>
    <row r="1925" hidden="1">
      <c r="A1925" s="266">
        <f>IFERROR(__xludf.DUMMYFUNCTION("""COMPUTED_VALUE"""),44563.99861111111)</f>
        <v>44563.99861</v>
      </c>
      <c r="B1925" s="1">
        <f>IFERROR(__xludf.DUMMYFUNCTION("""COMPUTED_VALUE"""),47311.28)</f>
        <v>47311.28</v>
      </c>
      <c r="C1925" s="58">
        <f t="shared" si="1"/>
        <v>4747.998611</v>
      </c>
      <c r="D1925" s="1">
        <f t="shared" si="2"/>
        <v>10935.55938</v>
      </c>
      <c r="E1925" s="1">
        <f t="shared" si="3"/>
        <v>19684.00688</v>
      </c>
      <c r="F1925" s="1">
        <f t="shared" si="4"/>
        <v>37180.90188</v>
      </c>
      <c r="G1925" s="1">
        <f t="shared" si="5"/>
        <v>65613.35627</v>
      </c>
      <c r="H1925" s="1">
        <f t="shared" si="6"/>
        <v>120291.1532</v>
      </c>
      <c r="I1925" s="1">
        <f t="shared" si="7"/>
        <v>196840.0688</v>
      </c>
    </row>
    <row r="1926" hidden="1">
      <c r="A1926" s="266">
        <f>IFERROR(__xludf.DUMMYFUNCTION("""COMPUTED_VALUE"""),44564.99861111111)</f>
        <v>44564.99861</v>
      </c>
      <c r="B1926" s="1">
        <f>IFERROR(__xludf.DUMMYFUNCTION("""COMPUTED_VALUE"""),46428.77)</f>
        <v>46428.77</v>
      </c>
      <c r="C1926" s="58">
        <f t="shared" si="1"/>
        <v>4748.998611</v>
      </c>
      <c r="D1926" s="1">
        <f t="shared" si="2"/>
        <v>10948.92465</v>
      </c>
      <c r="E1926" s="1">
        <f t="shared" si="3"/>
        <v>19708.06438</v>
      </c>
      <c r="F1926" s="1">
        <f t="shared" si="4"/>
        <v>37226.34382</v>
      </c>
      <c r="G1926" s="1">
        <f t="shared" si="5"/>
        <v>65693.54792</v>
      </c>
      <c r="H1926" s="1">
        <f t="shared" si="6"/>
        <v>120438.1712</v>
      </c>
      <c r="I1926" s="1">
        <f t="shared" si="7"/>
        <v>197080.6438</v>
      </c>
    </row>
    <row r="1927" hidden="1">
      <c r="A1927" s="266">
        <f>IFERROR(__xludf.DUMMYFUNCTION("""COMPUTED_VALUE"""),44565.99861111111)</f>
        <v>44565.99861</v>
      </c>
      <c r="B1927" s="1">
        <f>IFERROR(__xludf.DUMMYFUNCTION("""COMPUTED_VALUE"""),45843.78)</f>
        <v>45843.78</v>
      </c>
      <c r="C1927" s="58">
        <f t="shared" si="1"/>
        <v>4749.998611</v>
      </c>
      <c r="D1927" s="1">
        <f t="shared" si="2"/>
        <v>10962.30345</v>
      </c>
      <c r="E1927" s="1">
        <f t="shared" si="3"/>
        <v>19732.1462</v>
      </c>
      <c r="F1927" s="1">
        <f t="shared" si="4"/>
        <v>37271.83172</v>
      </c>
      <c r="G1927" s="1">
        <f t="shared" si="5"/>
        <v>65773.82068</v>
      </c>
      <c r="H1927" s="1">
        <f t="shared" si="6"/>
        <v>120585.3379</v>
      </c>
      <c r="I1927" s="1">
        <f t="shared" si="7"/>
        <v>197321.462</v>
      </c>
    </row>
    <row r="1928" hidden="1">
      <c r="A1928" s="266">
        <f>IFERROR(__xludf.DUMMYFUNCTION("""COMPUTED_VALUE"""),44566.99861111111)</f>
        <v>44566.99861</v>
      </c>
      <c r="B1928" s="1">
        <f>IFERROR(__xludf.DUMMYFUNCTION("""COMPUTED_VALUE"""),43443.79)</f>
        <v>43443.79</v>
      </c>
      <c r="C1928" s="58">
        <f t="shared" si="1"/>
        <v>4750.998611</v>
      </c>
      <c r="D1928" s="1">
        <f t="shared" si="2"/>
        <v>10975.69576</v>
      </c>
      <c r="E1928" s="1">
        <f t="shared" si="3"/>
        <v>19756.25238</v>
      </c>
      <c r="F1928" s="1">
        <f t="shared" si="4"/>
        <v>37317.3656</v>
      </c>
      <c r="G1928" s="1">
        <f t="shared" si="5"/>
        <v>65854.17459</v>
      </c>
      <c r="H1928" s="1">
        <f t="shared" si="6"/>
        <v>120732.6534</v>
      </c>
      <c r="I1928" s="1">
        <f t="shared" si="7"/>
        <v>197562.5238</v>
      </c>
    </row>
    <row r="1929" hidden="1">
      <c r="A1929" s="266">
        <f>IFERROR(__xludf.DUMMYFUNCTION("""COMPUTED_VALUE"""),44567.99861111111)</f>
        <v>44567.99861</v>
      </c>
      <c r="B1929" s="1">
        <f>IFERROR(__xludf.DUMMYFUNCTION("""COMPUTED_VALUE"""),43108.58)</f>
        <v>43108.58</v>
      </c>
      <c r="C1929" s="58">
        <f t="shared" si="1"/>
        <v>4751.998611</v>
      </c>
      <c r="D1929" s="1">
        <f t="shared" si="2"/>
        <v>10989.10162</v>
      </c>
      <c r="E1929" s="1">
        <f t="shared" si="3"/>
        <v>19780.38292</v>
      </c>
      <c r="F1929" s="1">
        <f t="shared" si="4"/>
        <v>37362.94551</v>
      </c>
      <c r="G1929" s="1">
        <f t="shared" si="5"/>
        <v>65934.60972</v>
      </c>
      <c r="H1929" s="1">
        <f t="shared" si="6"/>
        <v>120880.1178</v>
      </c>
      <c r="I1929" s="1">
        <f t="shared" si="7"/>
        <v>197803.8292</v>
      </c>
    </row>
    <row r="1930" hidden="1">
      <c r="A1930" s="266">
        <f>IFERROR(__xludf.DUMMYFUNCTION("""COMPUTED_VALUE"""),44568.99861111111)</f>
        <v>44568.99861</v>
      </c>
      <c r="B1930" s="1">
        <f>IFERROR(__xludf.DUMMYFUNCTION("""COMPUTED_VALUE"""),41535.77)</f>
        <v>41535.77</v>
      </c>
      <c r="C1930" s="58">
        <f t="shared" si="1"/>
        <v>4752.998611</v>
      </c>
      <c r="D1930" s="1">
        <f t="shared" si="2"/>
        <v>11002.52102</v>
      </c>
      <c r="E1930" s="1">
        <f t="shared" si="3"/>
        <v>19804.53784</v>
      </c>
      <c r="F1930" s="1">
        <f t="shared" si="4"/>
        <v>37408.57148</v>
      </c>
      <c r="G1930" s="1">
        <f t="shared" si="5"/>
        <v>66015.12614</v>
      </c>
      <c r="H1930" s="1">
        <f t="shared" si="6"/>
        <v>121027.7313</v>
      </c>
      <c r="I1930" s="1">
        <f t="shared" si="7"/>
        <v>198045.3784</v>
      </c>
    </row>
    <row r="1931" hidden="1">
      <c r="A1931" s="266">
        <f>IFERROR(__xludf.DUMMYFUNCTION("""COMPUTED_VALUE"""),44569.99861111111)</f>
        <v>44569.99861</v>
      </c>
      <c r="B1931" s="1">
        <f>IFERROR(__xludf.DUMMYFUNCTION("""COMPUTED_VALUE"""),41678.56)</f>
        <v>41678.56</v>
      </c>
      <c r="C1931" s="58">
        <f t="shared" si="1"/>
        <v>4753.998611</v>
      </c>
      <c r="D1931" s="1">
        <f t="shared" si="2"/>
        <v>11015.95399</v>
      </c>
      <c r="E1931" s="1">
        <f t="shared" si="3"/>
        <v>19828.71718</v>
      </c>
      <c r="F1931" s="1">
        <f t="shared" si="4"/>
        <v>37454.24356</v>
      </c>
      <c r="G1931" s="1">
        <f t="shared" si="5"/>
        <v>66095.72392</v>
      </c>
      <c r="H1931" s="1">
        <f t="shared" si="6"/>
        <v>121175.4939</v>
      </c>
      <c r="I1931" s="1">
        <f t="shared" si="7"/>
        <v>198287.1718</v>
      </c>
    </row>
    <row r="1932" hidden="1">
      <c r="A1932" s="266">
        <f>IFERROR(__xludf.DUMMYFUNCTION("""COMPUTED_VALUE"""),44570.99861111111)</f>
        <v>44570.99861</v>
      </c>
      <c r="B1932" s="1">
        <f>IFERROR(__xludf.DUMMYFUNCTION("""COMPUTED_VALUE"""),41857.12)</f>
        <v>41857.12</v>
      </c>
      <c r="C1932" s="58">
        <f t="shared" si="1"/>
        <v>4754.998611</v>
      </c>
      <c r="D1932" s="1">
        <f t="shared" si="2"/>
        <v>11029.40052</v>
      </c>
      <c r="E1932" s="1">
        <f t="shared" si="3"/>
        <v>19852.92093</v>
      </c>
      <c r="F1932" s="1">
        <f t="shared" si="4"/>
        <v>37499.96177</v>
      </c>
      <c r="G1932" s="1">
        <f t="shared" si="5"/>
        <v>66176.40312</v>
      </c>
      <c r="H1932" s="1">
        <f t="shared" si="6"/>
        <v>121323.4057</v>
      </c>
      <c r="I1932" s="1">
        <f t="shared" si="7"/>
        <v>198529.2093</v>
      </c>
    </row>
    <row r="1933" hidden="1">
      <c r="A1933" s="266">
        <f>IFERROR(__xludf.DUMMYFUNCTION("""COMPUTED_VALUE"""),44571.99861111111)</f>
        <v>44571.99861</v>
      </c>
      <c r="B1933" s="1">
        <f>IFERROR(__xludf.DUMMYFUNCTION("""COMPUTED_VALUE"""),41827.6)</f>
        <v>41827.6</v>
      </c>
      <c r="C1933" s="58">
        <f t="shared" si="1"/>
        <v>4755.998611</v>
      </c>
      <c r="D1933" s="1">
        <f t="shared" si="2"/>
        <v>11042.86063</v>
      </c>
      <c r="E1933" s="1">
        <f t="shared" si="3"/>
        <v>19877.14914</v>
      </c>
      <c r="F1933" s="1">
        <f t="shared" si="4"/>
        <v>37545.72615</v>
      </c>
      <c r="G1933" s="1">
        <f t="shared" si="5"/>
        <v>66257.1638</v>
      </c>
      <c r="H1933" s="1">
        <f t="shared" si="6"/>
        <v>121471.467</v>
      </c>
      <c r="I1933" s="1">
        <f t="shared" si="7"/>
        <v>198771.4914</v>
      </c>
    </row>
    <row r="1934" hidden="1">
      <c r="A1934" s="266">
        <f>IFERROR(__xludf.DUMMYFUNCTION("""COMPUTED_VALUE"""),44572.99861111111)</f>
        <v>44572.99861</v>
      </c>
      <c r="B1934" s="1">
        <f>IFERROR(__xludf.DUMMYFUNCTION("""COMPUTED_VALUE"""),42730.86)</f>
        <v>42730.86</v>
      </c>
      <c r="C1934" s="58">
        <f t="shared" si="1"/>
        <v>4756.998611</v>
      </c>
      <c r="D1934" s="1">
        <f t="shared" si="2"/>
        <v>11056.33434</v>
      </c>
      <c r="E1934" s="1">
        <f t="shared" si="3"/>
        <v>19901.40181</v>
      </c>
      <c r="F1934" s="1">
        <f t="shared" si="4"/>
        <v>37591.53675</v>
      </c>
      <c r="G1934" s="1">
        <f t="shared" si="5"/>
        <v>66338.00602</v>
      </c>
      <c r="H1934" s="1">
        <f t="shared" si="6"/>
        <v>121619.6777</v>
      </c>
      <c r="I1934" s="1">
        <f t="shared" si="7"/>
        <v>199014.0181</v>
      </c>
    </row>
    <row r="1935" hidden="1">
      <c r="A1935" s="266">
        <f>IFERROR(__xludf.DUMMYFUNCTION("""COMPUTED_VALUE"""),44573.99861111111)</f>
        <v>44573.99861</v>
      </c>
      <c r="B1935" s="1">
        <f>IFERROR(__xludf.DUMMYFUNCTION("""COMPUTED_VALUE"""),43901.55)</f>
        <v>43901.55</v>
      </c>
      <c r="C1935" s="58">
        <f t="shared" si="1"/>
        <v>4757.998611</v>
      </c>
      <c r="D1935" s="1">
        <f t="shared" si="2"/>
        <v>11069.82164</v>
      </c>
      <c r="E1935" s="1">
        <f t="shared" si="3"/>
        <v>19925.67896</v>
      </c>
      <c r="F1935" s="1">
        <f t="shared" si="4"/>
        <v>37637.39359</v>
      </c>
      <c r="G1935" s="1">
        <f t="shared" si="5"/>
        <v>66418.92987</v>
      </c>
      <c r="H1935" s="1">
        <f t="shared" si="6"/>
        <v>121768.0381</v>
      </c>
      <c r="I1935" s="1">
        <f t="shared" si="7"/>
        <v>199256.7896</v>
      </c>
    </row>
    <row r="1936" hidden="1">
      <c r="A1936" s="266">
        <f>IFERROR(__xludf.DUMMYFUNCTION("""COMPUTED_VALUE"""),44574.99861111111)</f>
        <v>44574.99861</v>
      </c>
      <c r="B1936" s="1">
        <f>IFERROR(__xludf.DUMMYFUNCTION("""COMPUTED_VALUE"""),42537.42)</f>
        <v>42537.42</v>
      </c>
      <c r="C1936" s="58">
        <f t="shared" si="1"/>
        <v>4758.998611</v>
      </c>
      <c r="D1936" s="1">
        <f t="shared" si="2"/>
        <v>11083.32256</v>
      </c>
      <c r="E1936" s="1">
        <f t="shared" si="3"/>
        <v>19949.98062</v>
      </c>
      <c r="F1936" s="1">
        <f t="shared" si="4"/>
        <v>37683.29672</v>
      </c>
      <c r="G1936" s="1">
        <f t="shared" si="5"/>
        <v>66499.93539</v>
      </c>
      <c r="H1936" s="1">
        <f t="shared" si="6"/>
        <v>121916.5482</v>
      </c>
      <c r="I1936" s="1">
        <f t="shared" si="7"/>
        <v>199499.8062</v>
      </c>
    </row>
    <row r="1937" hidden="1">
      <c r="A1937" s="266">
        <f>IFERROR(__xludf.DUMMYFUNCTION("""COMPUTED_VALUE"""),44575.99861111111)</f>
        <v>44575.99861</v>
      </c>
      <c r="B1937" s="1">
        <f>IFERROR(__xludf.DUMMYFUNCTION("""COMPUTED_VALUE"""),43083.03)</f>
        <v>43083.03</v>
      </c>
      <c r="C1937" s="58">
        <f t="shared" si="1"/>
        <v>4759.998611</v>
      </c>
      <c r="D1937" s="1">
        <f t="shared" si="2"/>
        <v>11096.83711</v>
      </c>
      <c r="E1937" s="1">
        <f t="shared" si="3"/>
        <v>19974.3068</v>
      </c>
      <c r="F1937" s="1">
        <f t="shared" si="4"/>
        <v>37729.24617</v>
      </c>
      <c r="G1937" s="1">
        <f t="shared" si="5"/>
        <v>66581.02265</v>
      </c>
      <c r="H1937" s="1">
        <f t="shared" si="6"/>
        <v>122065.2082</v>
      </c>
      <c r="I1937" s="1">
        <f t="shared" si="7"/>
        <v>199743.068</v>
      </c>
    </row>
    <row r="1938" hidden="1">
      <c r="A1938" s="266">
        <f>IFERROR(__xludf.DUMMYFUNCTION("""COMPUTED_VALUE"""),44576.99861111111)</f>
        <v>44576.99861</v>
      </c>
      <c r="B1938" s="1">
        <f>IFERROR(__xludf.DUMMYFUNCTION("""COMPUTED_VALUE"""),43093.38)</f>
        <v>43093.38</v>
      </c>
      <c r="C1938" s="58">
        <f t="shared" si="1"/>
        <v>4760.998611</v>
      </c>
      <c r="D1938" s="1">
        <f t="shared" si="2"/>
        <v>11110.36529</v>
      </c>
      <c r="E1938" s="1">
        <f t="shared" si="3"/>
        <v>19998.65752</v>
      </c>
      <c r="F1938" s="1">
        <f t="shared" si="4"/>
        <v>37775.24198</v>
      </c>
      <c r="G1938" s="1">
        <f t="shared" si="5"/>
        <v>66662.19173</v>
      </c>
      <c r="H1938" s="1">
        <f t="shared" si="6"/>
        <v>122214.0182</v>
      </c>
      <c r="I1938" s="1">
        <f t="shared" si="7"/>
        <v>199986.5752</v>
      </c>
    </row>
    <row r="1939" hidden="1">
      <c r="A1939" s="266">
        <f>IFERROR(__xludf.DUMMYFUNCTION("""COMPUTED_VALUE"""),44577.99861111111)</f>
        <v>44577.99861</v>
      </c>
      <c r="B1939" s="1">
        <f>IFERROR(__xludf.DUMMYFUNCTION("""COMPUTED_VALUE"""),43086.08)</f>
        <v>43086.08</v>
      </c>
      <c r="C1939" s="58">
        <f t="shared" si="1"/>
        <v>4761.998611</v>
      </c>
      <c r="D1939" s="1">
        <f t="shared" si="2"/>
        <v>11123.90711</v>
      </c>
      <c r="E1939" s="1">
        <f t="shared" si="3"/>
        <v>20023.0328</v>
      </c>
      <c r="F1939" s="1">
        <f t="shared" si="4"/>
        <v>37821.28419</v>
      </c>
      <c r="G1939" s="1">
        <f t="shared" si="5"/>
        <v>66743.44268</v>
      </c>
      <c r="H1939" s="1">
        <f t="shared" si="6"/>
        <v>122362.9783</v>
      </c>
      <c r="I1939" s="1">
        <f t="shared" si="7"/>
        <v>200230.328</v>
      </c>
    </row>
    <row r="1940" hidden="1">
      <c r="A1940" s="266">
        <f>IFERROR(__xludf.DUMMYFUNCTION("""COMPUTED_VALUE"""),44578.99861111111)</f>
        <v>44578.99861</v>
      </c>
      <c r="B1940" s="1">
        <f>IFERROR(__xludf.DUMMYFUNCTION("""COMPUTED_VALUE"""),42237.48)</f>
        <v>42237.48</v>
      </c>
      <c r="C1940" s="58">
        <f t="shared" si="1"/>
        <v>4762.998611</v>
      </c>
      <c r="D1940" s="1">
        <f t="shared" si="2"/>
        <v>11137.4626</v>
      </c>
      <c r="E1940" s="1">
        <f t="shared" si="3"/>
        <v>20047.43267</v>
      </c>
      <c r="F1940" s="1">
        <f t="shared" si="4"/>
        <v>37867.37283</v>
      </c>
      <c r="G1940" s="1">
        <f t="shared" si="5"/>
        <v>66824.77557</v>
      </c>
      <c r="H1940" s="1">
        <f t="shared" si="6"/>
        <v>122512.0886</v>
      </c>
      <c r="I1940" s="1">
        <f t="shared" si="7"/>
        <v>200474.3267</v>
      </c>
    </row>
    <row r="1941" hidden="1">
      <c r="A1941" s="266">
        <f>IFERROR(__xludf.DUMMYFUNCTION("""COMPUTED_VALUE"""),44579.99861111111)</f>
        <v>44579.99861</v>
      </c>
      <c r="B1941" s="1">
        <f>IFERROR(__xludf.DUMMYFUNCTION("""COMPUTED_VALUE"""),42367.78)</f>
        <v>42367.78</v>
      </c>
      <c r="C1941" s="58">
        <f t="shared" si="1"/>
        <v>4763.998611</v>
      </c>
      <c r="D1941" s="1">
        <f t="shared" si="2"/>
        <v>11151.03175</v>
      </c>
      <c r="E1941" s="1">
        <f t="shared" si="3"/>
        <v>20071.85714</v>
      </c>
      <c r="F1941" s="1">
        <f t="shared" si="4"/>
        <v>37913.50793</v>
      </c>
      <c r="G1941" s="1">
        <f t="shared" si="5"/>
        <v>66906.19047</v>
      </c>
      <c r="H1941" s="1">
        <f t="shared" si="6"/>
        <v>122661.3492</v>
      </c>
      <c r="I1941" s="1">
        <f t="shared" si="7"/>
        <v>200718.5714</v>
      </c>
    </row>
    <row r="1942" hidden="1">
      <c r="A1942" s="266">
        <f>IFERROR(__xludf.DUMMYFUNCTION("""COMPUTED_VALUE"""),44580.99861111111)</f>
        <v>44580.99861</v>
      </c>
      <c r="B1942" s="1">
        <f>IFERROR(__xludf.DUMMYFUNCTION("""COMPUTED_VALUE"""),41690.65)</f>
        <v>41690.65</v>
      </c>
      <c r="C1942" s="58">
        <f t="shared" si="1"/>
        <v>4764.998611</v>
      </c>
      <c r="D1942" s="1">
        <f t="shared" si="2"/>
        <v>11164.61457</v>
      </c>
      <c r="E1942" s="1">
        <f t="shared" si="3"/>
        <v>20096.30623</v>
      </c>
      <c r="F1942" s="1">
        <f t="shared" si="4"/>
        <v>37959.68955</v>
      </c>
      <c r="G1942" s="1">
        <f t="shared" si="5"/>
        <v>66987.68744</v>
      </c>
      <c r="H1942" s="1">
        <f t="shared" si="6"/>
        <v>122810.7603</v>
      </c>
      <c r="I1942" s="1">
        <f t="shared" si="7"/>
        <v>200963.0623</v>
      </c>
    </row>
    <row r="1943" hidden="1">
      <c r="A1943" s="266">
        <f>IFERROR(__xludf.DUMMYFUNCTION("""COMPUTED_VALUE"""),44581.99861111111)</f>
        <v>44581.99861</v>
      </c>
      <c r="B1943" s="1">
        <f>IFERROR(__xludf.DUMMYFUNCTION("""COMPUTED_VALUE"""),40726.07)</f>
        <v>40726.07</v>
      </c>
      <c r="C1943" s="58">
        <f t="shared" si="1"/>
        <v>4765.998611</v>
      </c>
      <c r="D1943" s="1">
        <f t="shared" si="2"/>
        <v>11178.21109</v>
      </c>
      <c r="E1943" s="1">
        <f t="shared" si="3"/>
        <v>20120.77996</v>
      </c>
      <c r="F1943" s="1">
        <f t="shared" si="4"/>
        <v>38005.91771</v>
      </c>
      <c r="G1943" s="1">
        <f t="shared" si="5"/>
        <v>67069.26655</v>
      </c>
      <c r="H1943" s="1">
        <f t="shared" si="6"/>
        <v>122960.322</v>
      </c>
      <c r="I1943" s="1">
        <f t="shared" si="7"/>
        <v>201207.7996</v>
      </c>
    </row>
    <row r="1944" hidden="1">
      <c r="A1944" s="266">
        <f>IFERROR(__xludf.DUMMYFUNCTION("""COMPUTED_VALUE"""),44582.99861111111)</f>
        <v>44582.99861</v>
      </c>
      <c r="B1944" s="1">
        <f>IFERROR(__xludf.DUMMYFUNCTION("""COMPUTED_VALUE"""),36493.02)</f>
        <v>36493.02</v>
      </c>
      <c r="C1944" s="58">
        <f t="shared" si="1"/>
        <v>4766.998611</v>
      </c>
      <c r="D1944" s="1">
        <f t="shared" si="2"/>
        <v>11191.82131</v>
      </c>
      <c r="E1944" s="1">
        <f t="shared" si="3"/>
        <v>20145.27836</v>
      </c>
      <c r="F1944" s="1">
        <f t="shared" si="4"/>
        <v>38052.19245</v>
      </c>
      <c r="G1944" s="1">
        <f t="shared" si="5"/>
        <v>67150.92786</v>
      </c>
      <c r="H1944" s="1">
        <f t="shared" si="6"/>
        <v>123110.0344</v>
      </c>
      <c r="I1944" s="1">
        <f t="shared" si="7"/>
        <v>201452.7836</v>
      </c>
    </row>
    <row r="1945" hidden="1">
      <c r="A1945" s="266">
        <f>IFERROR(__xludf.DUMMYFUNCTION("""COMPUTED_VALUE"""),44583.99861111111)</f>
        <v>44583.99861</v>
      </c>
      <c r="B1945" s="1">
        <f>IFERROR(__xludf.DUMMYFUNCTION("""COMPUTED_VALUE"""),35058.68)</f>
        <v>35058.68</v>
      </c>
      <c r="C1945" s="58">
        <f t="shared" si="1"/>
        <v>4767.998611</v>
      </c>
      <c r="D1945" s="1">
        <f t="shared" si="2"/>
        <v>11205.44524</v>
      </c>
      <c r="E1945" s="1">
        <f t="shared" si="3"/>
        <v>20169.80143</v>
      </c>
      <c r="F1945" s="1">
        <f t="shared" si="4"/>
        <v>38098.51381</v>
      </c>
      <c r="G1945" s="1">
        <f t="shared" si="5"/>
        <v>67232.67144</v>
      </c>
      <c r="H1945" s="1">
        <f t="shared" si="6"/>
        <v>123259.8976</v>
      </c>
      <c r="I1945" s="1">
        <f t="shared" si="7"/>
        <v>201698.0143</v>
      </c>
    </row>
    <row r="1946" hidden="1">
      <c r="A1946" s="266">
        <f>IFERROR(__xludf.DUMMYFUNCTION("""COMPUTED_VALUE"""),44584.99861111111)</f>
        <v>44584.99861</v>
      </c>
      <c r="B1946" s="1">
        <f>IFERROR(__xludf.DUMMYFUNCTION("""COMPUTED_VALUE"""),36269.66)</f>
        <v>36269.66</v>
      </c>
      <c r="C1946" s="58">
        <f t="shared" si="1"/>
        <v>4768.998611</v>
      </c>
      <c r="D1946" s="1">
        <f t="shared" si="2"/>
        <v>11219.08289</v>
      </c>
      <c r="E1946" s="1">
        <f t="shared" si="3"/>
        <v>20194.3492</v>
      </c>
      <c r="F1946" s="1">
        <f t="shared" si="4"/>
        <v>38144.88183</v>
      </c>
      <c r="G1946" s="1">
        <f t="shared" si="5"/>
        <v>67314.49735</v>
      </c>
      <c r="H1946" s="1">
        <f t="shared" si="6"/>
        <v>123409.9118</v>
      </c>
      <c r="I1946" s="1">
        <f t="shared" si="7"/>
        <v>201943.492</v>
      </c>
    </row>
    <row r="1947" hidden="1">
      <c r="A1947" s="266">
        <f>IFERROR(__xludf.DUMMYFUNCTION("""COMPUTED_VALUE"""),44585.99861111111)</f>
        <v>44585.99861</v>
      </c>
      <c r="B1947" s="1">
        <f>IFERROR(__xludf.DUMMYFUNCTION("""COMPUTED_VALUE"""),36686.15)</f>
        <v>36686.15</v>
      </c>
      <c r="C1947" s="58">
        <f t="shared" si="1"/>
        <v>4769.998611</v>
      </c>
      <c r="D1947" s="1">
        <f t="shared" si="2"/>
        <v>11232.73428</v>
      </c>
      <c r="E1947" s="1">
        <f t="shared" si="3"/>
        <v>20218.9217</v>
      </c>
      <c r="F1947" s="1">
        <f t="shared" si="4"/>
        <v>38191.29654</v>
      </c>
      <c r="G1947" s="1">
        <f t="shared" si="5"/>
        <v>67396.40566</v>
      </c>
      <c r="H1947" s="1">
        <f t="shared" si="6"/>
        <v>123560.077</v>
      </c>
      <c r="I1947" s="1">
        <f t="shared" si="7"/>
        <v>202189.217</v>
      </c>
    </row>
    <row r="1948" hidden="1">
      <c r="A1948" s="266">
        <f>IFERROR(__xludf.DUMMYFUNCTION("""COMPUTED_VALUE"""),44586.99861111111)</f>
        <v>44586.99861</v>
      </c>
      <c r="B1948" s="1">
        <f>IFERROR(__xludf.DUMMYFUNCTION("""COMPUTED_VALUE"""),36954.33)</f>
        <v>36954.33</v>
      </c>
      <c r="C1948" s="58">
        <f t="shared" si="1"/>
        <v>4770.998611</v>
      </c>
      <c r="D1948" s="1">
        <f t="shared" si="2"/>
        <v>11246.39941</v>
      </c>
      <c r="E1948" s="1">
        <f t="shared" si="3"/>
        <v>20243.51893</v>
      </c>
      <c r="F1948" s="1">
        <f t="shared" si="4"/>
        <v>38237.75798</v>
      </c>
      <c r="G1948" s="1">
        <f t="shared" si="5"/>
        <v>67478.39643</v>
      </c>
      <c r="H1948" s="1">
        <f t="shared" si="6"/>
        <v>123710.3935</v>
      </c>
      <c r="I1948" s="1">
        <f t="shared" si="7"/>
        <v>202435.1893</v>
      </c>
    </row>
    <row r="1949" hidden="1">
      <c r="A1949" s="266">
        <f>IFERROR(__xludf.DUMMYFUNCTION("""COMPUTED_VALUE"""),44587.99861111111)</f>
        <v>44587.99861</v>
      </c>
      <c r="B1949" s="1">
        <f>IFERROR(__xludf.DUMMYFUNCTION("""COMPUTED_VALUE"""),36820.86)</f>
        <v>36820.86</v>
      </c>
      <c r="C1949" s="58">
        <f t="shared" si="1"/>
        <v>4771.998611</v>
      </c>
      <c r="D1949" s="1">
        <f t="shared" si="2"/>
        <v>11260.07829</v>
      </c>
      <c r="E1949" s="1">
        <f t="shared" si="3"/>
        <v>20268.14092</v>
      </c>
      <c r="F1949" s="1">
        <f t="shared" si="4"/>
        <v>38284.26619</v>
      </c>
      <c r="G1949" s="1">
        <f t="shared" si="5"/>
        <v>67560.46974</v>
      </c>
      <c r="H1949" s="1">
        <f t="shared" si="6"/>
        <v>123860.8612</v>
      </c>
      <c r="I1949" s="1">
        <f t="shared" si="7"/>
        <v>202681.4092</v>
      </c>
    </row>
    <row r="1950" hidden="1">
      <c r="A1950" s="266">
        <f>IFERROR(__xludf.DUMMYFUNCTION("""COMPUTED_VALUE"""),44588.99861111111)</f>
        <v>44588.99861</v>
      </c>
      <c r="B1950" s="1">
        <f>IFERROR(__xludf.DUMMYFUNCTION("""COMPUTED_VALUE"""),37121.69)</f>
        <v>37121.69</v>
      </c>
      <c r="C1950" s="58">
        <f t="shared" si="1"/>
        <v>4772.998611</v>
      </c>
      <c r="D1950" s="1">
        <f t="shared" si="2"/>
        <v>11273.77094</v>
      </c>
      <c r="E1950" s="1">
        <f t="shared" si="3"/>
        <v>20292.78769</v>
      </c>
      <c r="F1950" s="1">
        <f t="shared" si="4"/>
        <v>38330.8212</v>
      </c>
      <c r="G1950" s="1">
        <f t="shared" si="5"/>
        <v>67642.62564</v>
      </c>
      <c r="H1950" s="1">
        <f t="shared" si="6"/>
        <v>124011.4803</v>
      </c>
      <c r="I1950" s="1">
        <f t="shared" si="7"/>
        <v>202927.8769</v>
      </c>
    </row>
    <row r="1951" hidden="1">
      <c r="A1951" s="266">
        <f>IFERROR(__xludf.DUMMYFUNCTION("""COMPUTED_VALUE"""),44589.99861111111)</f>
        <v>44589.99861</v>
      </c>
      <c r="B1951" s="1">
        <f>IFERROR(__xludf.DUMMYFUNCTION("""COMPUTED_VALUE"""),37739.55)</f>
        <v>37739.55</v>
      </c>
      <c r="C1951" s="58">
        <f t="shared" si="1"/>
        <v>4773.998611</v>
      </c>
      <c r="D1951" s="1">
        <f t="shared" si="2"/>
        <v>11287.47737</v>
      </c>
      <c r="E1951" s="1">
        <f t="shared" si="3"/>
        <v>20317.45926</v>
      </c>
      <c r="F1951" s="1">
        <f t="shared" si="4"/>
        <v>38377.42305</v>
      </c>
      <c r="G1951" s="1">
        <f t="shared" si="5"/>
        <v>67724.86421</v>
      </c>
      <c r="H1951" s="1">
        <f t="shared" si="6"/>
        <v>124162.251</v>
      </c>
      <c r="I1951" s="1">
        <f t="shared" si="7"/>
        <v>203174.5926</v>
      </c>
    </row>
    <row r="1952" hidden="1">
      <c r="A1952" s="266">
        <f>IFERROR(__xludf.DUMMYFUNCTION("""COMPUTED_VALUE"""),44590.99861111111)</f>
        <v>44590.99861</v>
      </c>
      <c r="B1952" s="1">
        <f>IFERROR(__xludf.DUMMYFUNCTION("""COMPUTED_VALUE"""),38172.41)</f>
        <v>38172.41</v>
      </c>
      <c r="C1952" s="58">
        <f t="shared" si="1"/>
        <v>4774.998611</v>
      </c>
      <c r="D1952" s="1">
        <f t="shared" si="2"/>
        <v>11301.19758</v>
      </c>
      <c r="E1952" s="1">
        <f t="shared" si="3"/>
        <v>20342.15565</v>
      </c>
      <c r="F1952" s="1">
        <f t="shared" si="4"/>
        <v>38424.07178</v>
      </c>
      <c r="G1952" s="1">
        <f t="shared" si="5"/>
        <v>67807.1855</v>
      </c>
      <c r="H1952" s="1">
        <f t="shared" si="6"/>
        <v>124313.1734</v>
      </c>
      <c r="I1952" s="1">
        <f t="shared" si="7"/>
        <v>203421.5565</v>
      </c>
    </row>
    <row r="1953" hidden="1">
      <c r="A1953" s="266">
        <f>IFERROR(__xludf.DUMMYFUNCTION("""COMPUTED_VALUE"""),44591.99861111111)</f>
        <v>44591.99861</v>
      </c>
      <c r="B1953" s="1">
        <f>IFERROR(__xludf.DUMMYFUNCTION("""COMPUTED_VALUE"""),37911.92)</f>
        <v>37911.92</v>
      </c>
      <c r="C1953" s="58">
        <f t="shared" si="1"/>
        <v>4775.998611</v>
      </c>
      <c r="D1953" s="1">
        <f t="shared" si="2"/>
        <v>11314.9316</v>
      </c>
      <c r="E1953" s="1">
        <f t="shared" si="3"/>
        <v>20366.87688</v>
      </c>
      <c r="F1953" s="1">
        <f t="shared" si="4"/>
        <v>38470.76743</v>
      </c>
      <c r="G1953" s="1">
        <f t="shared" si="5"/>
        <v>67889.58958</v>
      </c>
      <c r="H1953" s="1">
        <f t="shared" si="6"/>
        <v>124464.2476</v>
      </c>
      <c r="I1953" s="1">
        <f t="shared" si="7"/>
        <v>203668.7688</v>
      </c>
    </row>
    <row r="1954" hidden="1">
      <c r="A1954" s="266">
        <f>IFERROR(__xludf.DUMMYFUNCTION("""COMPUTED_VALUE"""),44592.99861111111)</f>
        <v>44592.99861</v>
      </c>
      <c r="B1954" s="1">
        <f>IFERROR(__xludf.DUMMYFUNCTION("""COMPUTED_VALUE"""),38494.39)</f>
        <v>38494.39</v>
      </c>
      <c r="C1954" s="58">
        <f t="shared" si="1"/>
        <v>4776.998611</v>
      </c>
      <c r="D1954" s="1">
        <f t="shared" si="2"/>
        <v>11328.67942</v>
      </c>
      <c r="E1954" s="1">
        <f t="shared" si="3"/>
        <v>20391.62296</v>
      </c>
      <c r="F1954" s="1">
        <f t="shared" si="4"/>
        <v>38517.51003</v>
      </c>
      <c r="G1954" s="1">
        <f t="shared" si="5"/>
        <v>67972.07653</v>
      </c>
      <c r="H1954" s="1">
        <f t="shared" si="6"/>
        <v>124615.4736</v>
      </c>
      <c r="I1954" s="1">
        <f t="shared" si="7"/>
        <v>203916.2296</v>
      </c>
    </row>
    <row r="1955" hidden="1">
      <c r="A1955" s="266">
        <f>IFERROR(__xludf.DUMMYFUNCTION("""COMPUTED_VALUE"""),44593.99861111111)</f>
        <v>44593.99861</v>
      </c>
      <c r="B1955" s="1">
        <f>IFERROR(__xludf.DUMMYFUNCTION("""COMPUTED_VALUE"""),38715.46)</f>
        <v>38715.46</v>
      </c>
      <c r="C1955" s="58">
        <f t="shared" si="1"/>
        <v>4777.998611</v>
      </c>
      <c r="D1955" s="1">
        <f t="shared" si="2"/>
        <v>11342.44107</v>
      </c>
      <c r="E1955" s="1">
        <f t="shared" si="3"/>
        <v>20416.39392</v>
      </c>
      <c r="F1955" s="1">
        <f t="shared" si="4"/>
        <v>38564.29963</v>
      </c>
      <c r="G1955" s="1">
        <f t="shared" si="5"/>
        <v>68054.6464</v>
      </c>
      <c r="H1955" s="1">
        <f t="shared" si="6"/>
        <v>124766.8517</v>
      </c>
      <c r="I1955" s="1">
        <f t="shared" si="7"/>
        <v>204163.9392</v>
      </c>
    </row>
    <row r="1956" hidden="1">
      <c r="A1956" s="266">
        <f>IFERROR(__xludf.DUMMYFUNCTION("""COMPUTED_VALUE"""),44594.99861111111)</f>
        <v>44594.99861</v>
      </c>
      <c r="B1956" s="1">
        <f>IFERROR(__xludf.DUMMYFUNCTION("""COMPUTED_VALUE"""),36908.75)</f>
        <v>36908.75</v>
      </c>
      <c r="C1956" s="58">
        <f t="shared" si="1"/>
        <v>4778.998611</v>
      </c>
      <c r="D1956" s="1">
        <f t="shared" si="2"/>
        <v>11356.21654</v>
      </c>
      <c r="E1956" s="1">
        <f t="shared" si="3"/>
        <v>20441.18978</v>
      </c>
      <c r="F1956" s="1">
        <f t="shared" si="4"/>
        <v>38611.13625</v>
      </c>
      <c r="G1956" s="1">
        <f t="shared" si="5"/>
        <v>68137.29927</v>
      </c>
      <c r="H1956" s="1">
        <f t="shared" si="6"/>
        <v>124918.382</v>
      </c>
      <c r="I1956" s="1">
        <f t="shared" si="7"/>
        <v>204411.8978</v>
      </c>
    </row>
    <row r="1957" hidden="1">
      <c r="A1957" s="266">
        <f>IFERROR(__xludf.DUMMYFUNCTION("""COMPUTED_VALUE"""),44595.99861111111)</f>
        <v>44595.99861</v>
      </c>
      <c r="B1957" s="1">
        <f>IFERROR(__xludf.DUMMYFUNCTION("""COMPUTED_VALUE"""),37283.13)</f>
        <v>37283.13</v>
      </c>
      <c r="C1957" s="58">
        <f t="shared" si="1"/>
        <v>4779.998611</v>
      </c>
      <c r="D1957" s="1">
        <f t="shared" si="2"/>
        <v>11370.00586</v>
      </c>
      <c r="E1957" s="1">
        <f t="shared" si="3"/>
        <v>20466.01056</v>
      </c>
      <c r="F1957" s="1">
        <f t="shared" si="4"/>
        <v>38658.01994</v>
      </c>
      <c r="G1957" s="1">
        <f t="shared" si="5"/>
        <v>68220.03519</v>
      </c>
      <c r="H1957" s="1">
        <f t="shared" si="6"/>
        <v>125070.0645</v>
      </c>
      <c r="I1957" s="1">
        <f t="shared" si="7"/>
        <v>204660.1056</v>
      </c>
    </row>
    <row r="1958" hidden="1">
      <c r="A1958" s="266">
        <f>IFERROR(__xludf.DUMMYFUNCTION("""COMPUTED_VALUE"""),44596.99861111111)</f>
        <v>44596.99861</v>
      </c>
      <c r="B1958" s="1">
        <f>IFERROR(__xludf.DUMMYFUNCTION("""COMPUTED_VALUE"""),41567.76)</f>
        <v>41567.76</v>
      </c>
      <c r="C1958" s="58">
        <f t="shared" si="1"/>
        <v>4780.998611</v>
      </c>
      <c r="D1958" s="1">
        <f t="shared" si="2"/>
        <v>11383.80904</v>
      </c>
      <c r="E1958" s="1">
        <f t="shared" si="3"/>
        <v>20490.85627</v>
      </c>
      <c r="F1958" s="1">
        <f t="shared" si="4"/>
        <v>38704.95073</v>
      </c>
      <c r="G1958" s="1">
        <f t="shared" si="5"/>
        <v>68302.85423</v>
      </c>
      <c r="H1958" s="1">
        <f t="shared" si="6"/>
        <v>125221.8994</v>
      </c>
      <c r="I1958" s="1">
        <f t="shared" si="7"/>
        <v>204908.5627</v>
      </c>
    </row>
    <row r="1959" hidden="1">
      <c r="A1959" s="266">
        <f>IFERROR(__xludf.DUMMYFUNCTION("""COMPUTED_VALUE"""),44597.99861111111)</f>
        <v>44597.99861</v>
      </c>
      <c r="B1959" s="1">
        <f>IFERROR(__xludf.DUMMYFUNCTION("""COMPUTED_VALUE"""),41432.18)</f>
        <v>41432.18</v>
      </c>
      <c r="C1959" s="58">
        <f t="shared" si="1"/>
        <v>4781.998611</v>
      </c>
      <c r="D1959" s="1">
        <f t="shared" si="2"/>
        <v>11397.62608</v>
      </c>
      <c r="E1959" s="1">
        <f t="shared" si="3"/>
        <v>20515.72694</v>
      </c>
      <c r="F1959" s="1">
        <f t="shared" si="4"/>
        <v>38751.92867</v>
      </c>
      <c r="G1959" s="1">
        <f t="shared" si="5"/>
        <v>68385.75647</v>
      </c>
      <c r="H1959" s="1">
        <f t="shared" si="6"/>
        <v>125373.8869</v>
      </c>
      <c r="I1959" s="1">
        <f t="shared" si="7"/>
        <v>205157.2694</v>
      </c>
    </row>
    <row r="1960" hidden="1">
      <c r="A1960" s="266">
        <f>IFERROR(__xludf.DUMMYFUNCTION("""COMPUTED_VALUE"""),44598.99861111111)</f>
        <v>44598.99861</v>
      </c>
      <c r="B1960" s="1">
        <f>IFERROR(__xludf.DUMMYFUNCTION("""COMPUTED_VALUE"""),42397.85)</f>
        <v>42397.85</v>
      </c>
      <c r="C1960" s="58">
        <f t="shared" si="1"/>
        <v>4782.998611</v>
      </c>
      <c r="D1960" s="1">
        <f t="shared" si="2"/>
        <v>11411.45699</v>
      </c>
      <c r="E1960" s="1">
        <f t="shared" si="3"/>
        <v>20540.62259</v>
      </c>
      <c r="F1960" s="1">
        <f t="shared" si="4"/>
        <v>38798.95378</v>
      </c>
      <c r="G1960" s="1">
        <f t="shared" si="5"/>
        <v>68468.74196</v>
      </c>
      <c r="H1960" s="1">
        <f t="shared" si="6"/>
        <v>125526.0269</v>
      </c>
      <c r="I1960" s="1">
        <f t="shared" si="7"/>
        <v>205406.2259</v>
      </c>
    </row>
    <row r="1961" hidden="1">
      <c r="A1961" s="266">
        <f>IFERROR(__xludf.DUMMYFUNCTION("""COMPUTED_VALUE"""),44599.99861111111)</f>
        <v>44599.99861</v>
      </c>
      <c r="B1961" s="1">
        <f>IFERROR(__xludf.DUMMYFUNCTION("""COMPUTED_VALUE"""),43853.76)</f>
        <v>43853.76</v>
      </c>
      <c r="C1961" s="58">
        <f t="shared" si="1"/>
        <v>4783.998611</v>
      </c>
      <c r="D1961" s="1">
        <f t="shared" si="2"/>
        <v>11425.3018</v>
      </c>
      <c r="E1961" s="1">
        <f t="shared" si="3"/>
        <v>20565.54323</v>
      </c>
      <c r="F1961" s="1">
        <f t="shared" si="4"/>
        <v>38846.02611</v>
      </c>
      <c r="G1961" s="1">
        <f t="shared" si="5"/>
        <v>68551.81077</v>
      </c>
      <c r="H1961" s="1">
        <f t="shared" si="6"/>
        <v>125678.3198</v>
      </c>
      <c r="I1961" s="1">
        <f t="shared" si="7"/>
        <v>205655.4323</v>
      </c>
    </row>
    <row r="1962" hidden="1">
      <c r="A1962" s="266">
        <f>IFERROR(__xludf.DUMMYFUNCTION("""COMPUTED_VALUE"""),44600.99861111111)</f>
        <v>44600.99861</v>
      </c>
      <c r="B1962" s="1">
        <f>IFERROR(__xludf.DUMMYFUNCTION("""COMPUTED_VALUE"""),44064.49)</f>
        <v>44064.49</v>
      </c>
      <c r="C1962" s="58">
        <f t="shared" si="1"/>
        <v>4784.998611</v>
      </c>
      <c r="D1962" s="1">
        <f t="shared" si="2"/>
        <v>11439.1605</v>
      </c>
      <c r="E1962" s="1">
        <f t="shared" si="3"/>
        <v>20590.48889</v>
      </c>
      <c r="F1962" s="1">
        <f t="shared" si="4"/>
        <v>38893.14569</v>
      </c>
      <c r="G1962" s="1">
        <f t="shared" si="5"/>
        <v>68634.96298</v>
      </c>
      <c r="H1962" s="1">
        <f t="shared" si="6"/>
        <v>125830.7655</v>
      </c>
      <c r="I1962" s="1">
        <f t="shared" si="7"/>
        <v>205904.8889</v>
      </c>
    </row>
    <row r="1963" hidden="1">
      <c r="A1963" s="266">
        <f>IFERROR(__xludf.DUMMYFUNCTION("""COMPUTED_VALUE"""),44601.99861111111)</f>
        <v>44601.99861</v>
      </c>
      <c r="B1963" s="1">
        <f>IFERROR(__xludf.DUMMYFUNCTION("""COMPUTED_VALUE"""),44404.75)</f>
        <v>44404.75</v>
      </c>
      <c r="C1963" s="58">
        <f t="shared" si="1"/>
        <v>4785.998611</v>
      </c>
      <c r="D1963" s="1">
        <f t="shared" si="2"/>
        <v>11453.03311</v>
      </c>
      <c r="E1963" s="1">
        <f t="shared" si="3"/>
        <v>20615.45959</v>
      </c>
      <c r="F1963" s="1">
        <f t="shared" si="4"/>
        <v>38940.31256</v>
      </c>
      <c r="G1963" s="1">
        <f t="shared" si="5"/>
        <v>68718.19863</v>
      </c>
      <c r="H1963" s="1">
        <f t="shared" si="6"/>
        <v>125983.3642</v>
      </c>
      <c r="I1963" s="1">
        <f t="shared" si="7"/>
        <v>206154.5959</v>
      </c>
    </row>
    <row r="1964" hidden="1">
      <c r="A1964" s="266">
        <f>IFERROR(__xludf.DUMMYFUNCTION("""COMPUTED_VALUE"""),44602.99861111111)</f>
        <v>44602.99861</v>
      </c>
      <c r="B1964" s="1">
        <f>IFERROR(__xludf.DUMMYFUNCTION("""COMPUTED_VALUE"""),43517.06)</f>
        <v>43517.06</v>
      </c>
      <c r="C1964" s="58">
        <f t="shared" si="1"/>
        <v>4786.998611</v>
      </c>
      <c r="D1964" s="1">
        <f t="shared" si="2"/>
        <v>11466.91964</v>
      </c>
      <c r="E1964" s="1">
        <f t="shared" si="3"/>
        <v>20640.45534</v>
      </c>
      <c r="F1964" s="1">
        <f t="shared" si="4"/>
        <v>38987.52676</v>
      </c>
      <c r="G1964" s="1">
        <f t="shared" si="5"/>
        <v>68801.51781</v>
      </c>
      <c r="H1964" s="1">
        <f t="shared" si="6"/>
        <v>126136.116</v>
      </c>
      <c r="I1964" s="1">
        <f t="shared" si="7"/>
        <v>206404.5534</v>
      </c>
    </row>
    <row r="1965" hidden="1">
      <c r="A1965" s="266">
        <f>IFERROR(__xludf.DUMMYFUNCTION("""COMPUTED_VALUE"""),44603.99861111111)</f>
        <v>44603.99861</v>
      </c>
      <c r="B1965" s="1">
        <f>IFERROR(__xludf.DUMMYFUNCTION("""COMPUTED_VALUE"""),42391.13)</f>
        <v>42391.13</v>
      </c>
      <c r="C1965" s="58">
        <f t="shared" si="1"/>
        <v>4787.998611</v>
      </c>
      <c r="D1965" s="1">
        <f t="shared" si="2"/>
        <v>11480.8201</v>
      </c>
      <c r="E1965" s="1">
        <f t="shared" si="3"/>
        <v>20665.47617</v>
      </c>
      <c r="F1965" s="1">
        <f t="shared" si="4"/>
        <v>39034.78833</v>
      </c>
      <c r="G1965" s="1">
        <f t="shared" si="5"/>
        <v>68884.92058</v>
      </c>
      <c r="H1965" s="1">
        <f t="shared" si="6"/>
        <v>126289.0211</v>
      </c>
      <c r="I1965" s="1">
        <f t="shared" si="7"/>
        <v>206654.7617</v>
      </c>
    </row>
    <row r="1966" hidden="1">
      <c r="A1966" s="266">
        <f>IFERROR(__xludf.DUMMYFUNCTION("""COMPUTED_VALUE"""),44604.99861111111)</f>
        <v>44604.99861</v>
      </c>
      <c r="B1966" s="1">
        <f>IFERROR(__xludf.DUMMYFUNCTION("""COMPUTED_VALUE"""),42222.13)</f>
        <v>42222.13</v>
      </c>
      <c r="C1966" s="58">
        <f t="shared" si="1"/>
        <v>4788.998611</v>
      </c>
      <c r="D1966" s="1">
        <f t="shared" si="2"/>
        <v>11494.7345</v>
      </c>
      <c r="E1966" s="1">
        <f t="shared" si="3"/>
        <v>20690.5221</v>
      </c>
      <c r="F1966" s="1">
        <f t="shared" si="4"/>
        <v>39082.0973</v>
      </c>
      <c r="G1966" s="1">
        <f t="shared" si="5"/>
        <v>68968.407</v>
      </c>
      <c r="H1966" s="1">
        <f t="shared" si="6"/>
        <v>126442.0795</v>
      </c>
      <c r="I1966" s="1">
        <f t="shared" si="7"/>
        <v>206905.221</v>
      </c>
    </row>
    <row r="1967" hidden="1">
      <c r="A1967" s="266">
        <f>IFERROR(__xludf.DUMMYFUNCTION("""COMPUTED_VALUE"""),44605.99861111111)</f>
        <v>44605.99861</v>
      </c>
      <c r="B1967" s="1">
        <f>IFERROR(__xludf.DUMMYFUNCTION("""COMPUTED_VALUE"""),42053.36)</f>
        <v>42053.36</v>
      </c>
      <c r="C1967" s="58">
        <f t="shared" si="1"/>
        <v>4789.998611</v>
      </c>
      <c r="D1967" s="1">
        <f t="shared" si="2"/>
        <v>11508.66286</v>
      </c>
      <c r="E1967" s="1">
        <f t="shared" si="3"/>
        <v>20715.59314</v>
      </c>
      <c r="F1967" s="1">
        <f t="shared" si="4"/>
        <v>39129.45371</v>
      </c>
      <c r="G1967" s="1">
        <f t="shared" si="5"/>
        <v>69051.97714</v>
      </c>
      <c r="H1967" s="1">
        <f t="shared" si="6"/>
        <v>126595.2914</v>
      </c>
      <c r="I1967" s="1">
        <f t="shared" si="7"/>
        <v>207155.9314</v>
      </c>
    </row>
    <row r="1968" hidden="1">
      <c r="A1968" s="266">
        <f>IFERROR(__xludf.DUMMYFUNCTION("""COMPUTED_VALUE"""),44606.99861111111)</f>
        <v>44606.99861</v>
      </c>
      <c r="B1968" s="1">
        <f>IFERROR(__xludf.DUMMYFUNCTION("""COMPUTED_VALUE"""),42550.43)</f>
        <v>42550.43</v>
      </c>
      <c r="C1968" s="58">
        <f t="shared" si="1"/>
        <v>4790.998611</v>
      </c>
      <c r="D1968" s="1">
        <f t="shared" si="2"/>
        <v>11522.60518</v>
      </c>
      <c r="E1968" s="1">
        <f t="shared" si="3"/>
        <v>20740.68932</v>
      </c>
      <c r="F1968" s="1">
        <f t="shared" si="4"/>
        <v>39176.8576</v>
      </c>
      <c r="G1968" s="1">
        <f t="shared" si="5"/>
        <v>69135.63106</v>
      </c>
      <c r="H1968" s="1">
        <f t="shared" si="6"/>
        <v>126748.6569</v>
      </c>
      <c r="I1968" s="1">
        <f t="shared" si="7"/>
        <v>207406.8932</v>
      </c>
    </row>
    <row r="1969" hidden="1">
      <c r="A1969" s="266">
        <f>IFERROR(__xludf.DUMMYFUNCTION("""COMPUTED_VALUE"""),44607.99861111111)</f>
        <v>44607.99861</v>
      </c>
      <c r="B1969" s="1">
        <f>IFERROR(__xludf.DUMMYFUNCTION("""COMPUTED_VALUE"""),44542.77)</f>
        <v>44542.77</v>
      </c>
      <c r="C1969" s="58">
        <f t="shared" si="1"/>
        <v>4791.998611</v>
      </c>
      <c r="D1969" s="1">
        <f t="shared" si="2"/>
        <v>11536.56147</v>
      </c>
      <c r="E1969" s="1">
        <f t="shared" si="3"/>
        <v>20765.81065</v>
      </c>
      <c r="F1969" s="1">
        <f t="shared" si="4"/>
        <v>39224.30901</v>
      </c>
      <c r="G1969" s="1">
        <f t="shared" si="5"/>
        <v>69219.36884</v>
      </c>
      <c r="H1969" s="1">
        <f t="shared" si="6"/>
        <v>126902.1762</v>
      </c>
      <c r="I1969" s="1">
        <f t="shared" si="7"/>
        <v>207658.1065</v>
      </c>
    </row>
    <row r="1970" hidden="1">
      <c r="A1970" s="266">
        <f>IFERROR(__xludf.DUMMYFUNCTION("""COMPUTED_VALUE"""),44608.99861111111)</f>
        <v>44608.99861</v>
      </c>
      <c r="B1970" s="1">
        <f>IFERROR(__xludf.DUMMYFUNCTION("""COMPUTED_VALUE"""),43867.82)</f>
        <v>43867.82</v>
      </c>
      <c r="C1970" s="58">
        <f t="shared" si="1"/>
        <v>4792.998611</v>
      </c>
      <c r="D1970" s="1">
        <f t="shared" si="2"/>
        <v>11550.53176</v>
      </c>
      <c r="E1970" s="1">
        <f t="shared" si="3"/>
        <v>20790.95716</v>
      </c>
      <c r="F1970" s="1">
        <f t="shared" si="4"/>
        <v>39271.80797</v>
      </c>
      <c r="G1970" s="1">
        <f t="shared" si="5"/>
        <v>69303.19054</v>
      </c>
      <c r="H1970" s="1">
        <f t="shared" si="6"/>
        <v>127055.8493</v>
      </c>
      <c r="I1970" s="1">
        <f t="shared" si="7"/>
        <v>207909.5716</v>
      </c>
    </row>
    <row r="1971" hidden="1">
      <c r="A1971" s="266">
        <f>IFERROR(__xludf.DUMMYFUNCTION("""COMPUTED_VALUE"""),44609.99861111111)</f>
        <v>44609.99861</v>
      </c>
      <c r="B1971" s="1">
        <f>IFERROR(__xludf.DUMMYFUNCTION("""COMPUTED_VALUE"""),40552.88)</f>
        <v>40552.88</v>
      </c>
      <c r="C1971" s="58">
        <f t="shared" si="1"/>
        <v>4793.998611</v>
      </c>
      <c r="D1971" s="1">
        <f t="shared" si="2"/>
        <v>11564.51604</v>
      </c>
      <c r="E1971" s="1">
        <f t="shared" si="3"/>
        <v>20816.12887</v>
      </c>
      <c r="F1971" s="1">
        <f t="shared" si="4"/>
        <v>39319.35453</v>
      </c>
      <c r="G1971" s="1">
        <f t="shared" si="5"/>
        <v>69387.09623</v>
      </c>
      <c r="H1971" s="1">
        <f t="shared" si="6"/>
        <v>127209.6764</v>
      </c>
      <c r="I1971" s="1">
        <f t="shared" si="7"/>
        <v>208161.2887</v>
      </c>
    </row>
    <row r="1972" hidden="1">
      <c r="A1972" s="266">
        <f>IFERROR(__xludf.DUMMYFUNCTION("""COMPUTED_VALUE"""),44610.99861111111)</f>
        <v>44610.99861</v>
      </c>
      <c r="B1972" s="1">
        <f>IFERROR(__xludf.DUMMYFUNCTION("""COMPUTED_VALUE"""),40003.39)</f>
        <v>40003.39</v>
      </c>
      <c r="C1972" s="58">
        <f t="shared" si="1"/>
        <v>4794.998611</v>
      </c>
      <c r="D1972" s="1">
        <f t="shared" si="2"/>
        <v>11578.51433</v>
      </c>
      <c r="E1972" s="1">
        <f t="shared" si="3"/>
        <v>20841.32579</v>
      </c>
      <c r="F1972" s="1">
        <f t="shared" si="4"/>
        <v>39366.94871</v>
      </c>
      <c r="G1972" s="1">
        <f t="shared" si="5"/>
        <v>69471.08596</v>
      </c>
      <c r="H1972" s="1">
        <f t="shared" si="6"/>
        <v>127363.6576</v>
      </c>
      <c r="I1972" s="1">
        <f t="shared" si="7"/>
        <v>208413.2579</v>
      </c>
    </row>
    <row r="1973" hidden="1">
      <c r="A1973" s="266">
        <f>IFERROR(__xludf.DUMMYFUNCTION("""COMPUTED_VALUE"""),44611.99861111111)</f>
        <v>44611.99861</v>
      </c>
      <c r="B1973" s="1">
        <f>IFERROR(__xludf.DUMMYFUNCTION("""COMPUTED_VALUE"""),40094.09)</f>
        <v>40094.09</v>
      </c>
      <c r="C1973" s="58">
        <f t="shared" si="1"/>
        <v>4795.998611</v>
      </c>
      <c r="D1973" s="1">
        <f t="shared" si="2"/>
        <v>11592.52664</v>
      </c>
      <c r="E1973" s="1">
        <f t="shared" si="3"/>
        <v>20866.54795</v>
      </c>
      <c r="F1973" s="1">
        <f t="shared" si="4"/>
        <v>39414.59056</v>
      </c>
      <c r="G1973" s="1">
        <f t="shared" si="5"/>
        <v>69555.15982</v>
      </c>
      <c r="H1973" s="1">
        <f t="shared" si="6"/>
        <v>127517.793</v>
      </c>
      <c r="I1973" s="1">
        <f t="shared" si="7"/>
        <v>208665.4795</v>
      </c>
    </row>
    <row r="1974" hidden="1">
      <c r="A1974" s="266">
        <f>IFERROR(__xludf.DUMMYFUNCTION("""COMPUTED_VALUE"""),44612.99861111111)</f>
        <v>44612.99861</v>
      </c>
      <c r="B1974" s="1">
        <f>IFERROR(__xludf.DUMMYFUNCTION("""COMPUTED_VALUE"""),38378.47)</f>
        <v>38378.47</v>
      </c>
      <c r="C1974" s="58">
        <f t="shared" si="1"/>
        <v>4796.998611</v>
      </c>
      <c r="D1974" s="1">
        <f t="shared" si="2"/>
        <v>11606.55298</v>
      </c>
      <c r="E1974" s="1">
        <f t="shared" si="3"/>
        <v>20891.79536</v>
      </c>
      <c r="F1974" s="1">
        <f t="shared" si="4"/>
        <v>39462.28012</v>
      </c>
      <c r="G1974" s="1">
        <f t="shared" si="5"/>
        <v>69639.31786</v>
      </c>
      <c r="H1974" s="1">
        <f t="shared" si="6"/>
        <v>127672.0827</v>
      </c>
      <c r="I1974" s="1">
        <f t="shared" si="7"/>
        <v>208917.9536</v>
      </c>
    </row>
    <row r="1975" hidden="1">
      <c r="A1975" s="266">
        <f>IFERROR(__xludf.DUMMYFUNCTION("""COMPUTED_VALUE"""),44613.99861111111)</f>
        <v>44613.99861</v>
      </c>
      <c r="B1975" s="1">
        <f>IFERROR(__xludf.DUMMYFUNCTION("""COMPUTED_VALUE"""),37032.1)</f>
        <v>37032.1</v>
      </c>
      <c r="C1975" s="58">
        <f t="shared" si="1"/>
        <v>4797.998611</v>
      </c>
      <c r="D1975" s="1">
        <f t="shared" si="2"/>
        <v>11620.59336</v>
      </c>
      <c r="E1975" s="1">
        <f t="shared" si="3"/>
        <v>20917.06805</v>
      </c>
      <c r="F1975" s="1">
        <f t="shared" si="4"/>
        <v>39510.01742</v>
      </c>
      <c r="G1975" s="1">
        <f t="shared" si="5"/>
        <v>69723.56016</v>
      </c>
      <c r="H1975" s="1">
        <f t="shared" si="6"/>
        <v>127826.527</v>
      </c>
      <c r="I1975" s="1">
        <f t="shared" si="7"/>
        <v>209170.6805</v>
      </c>
    </row>
    <row r="1976" hidden="1">
      <c r="A1976" s="266">
        <f>IFERROR(__xludf.DUMMYFUNCTION("""COMPUTED_VALUE"""),44614.99861111111)</f>
        <v>44614.99861</v>
      </c>
      <c r="B1976" s="1">
        <f>IFERROR(__xludf.DUMMYFUNCTION("""COMPUTED_VALUE"""),38247.22)</f>
        <v>38247.22</v>
      </c>
      <c r="C1976" s="58">
        <f t="shared" si="1"/>
        <v>4798.998611</v>
      </c>
      <c r="D1976" s="1">
        <f t="shared" si="2"/>
        <v>11634.6478</v>
      </c>
      <c r="E1976" s="1">
        <f t="shared" si="3"/>
        <v>20942.36603</v>
      </c>
      <c r="F1976" s="1">
        <f t="shared" si="4"/>
        <v>39557.80251</v>
      </c>
      <c r="G1976" s="1">
        <f t="shared" si="5"/>
        <v>69807.88678</v>
      </c>
      <c r="H1976" s="1">
        <f t="shared" si="6"/>
        <v>127981.1258</v>
      </c>
      <c r="I1976" s="1">
        <f t="shared" si="7"/>
        <v>209423.6603</v>
      </c>
    </row>
    <row r="1977" hidden="1">
      <c r="A1977" s="266">
        <f>IFERROR(__xludf.DUMMYFUNCTION("""COMPUTED_VALUE"""),44615.99861111111)</f>
        <v>44615.99861</v>
      </c>
      <c r="B1977" s="1">
        <f>IFERROR(__xludf.DUMMYFUNCTION("""COMPUTED_VALUE"""),37242.74)</f>
        <v>37242.74</v>
      </c>
      <c r="C1977" s="58">
        <f t="shared" si="1"/>
        <v>4799.998611</v>
      </c>
      <c r="D1977" s="1">
        <f t="shared" si="2"/>
        <v>11648.7163</v>
      </c>
      <c r="E1977" s="1">
        <f t="shared" si="3"/>
        <v>20967.68933</v>
      </c>
      <c r="F1977" s="1">
        <f t="shared" si="4"/>
        <v>39605.63541</v>
      </c>
      <c r="G1977" s="1">
        <f t="shared" si="5"/>
        <v>69892.29778</v>
      </c>
      <c r="H1977" s="1">
        <f t="shared" si="6"/>
        <v>128135.8793</v>
      </c>
      <c r="I1977" s="1">
        <f t="shared" si="7"/>
        <v>209676.8933</v>
      </c>
    </row>
    <row r="1978" hidden="1">
      <c r="A1978" s="266">
        <f>IFERROR(__xludf.DUMMYFUNCTION("""COMPUTED_VALUE"""),44616.99861111111)</f>
        <v>44616.99861</v>
      </c>
      <c r="B1978" s="1">
        <f>IFERROR(__xludf.DUMMYFUNCTION("""COMPUTED_VALUE"""),38344.11)</f>
        <v>38344.11</v>
      </c>
      <c r="C1978" s="58">
        <f t="shared" si="1"/>
        <v>4800.998611</v>
      </c>
      <c r="D1978" s="1">
        <f t="shared" si="2"/>
        <v>11662.79887</v>
      </c>
      <c r="E1978" s="1">
        <f t="shared" si="3"/>
        <v>20993.03797</v>
      </c>
      <c r="F1978" s="1">
        <f t="shared" si="4"/>
        <v>39653.51617</v>
      </c>
      <c r="G1978" s="1">
        <f t="shared" si="5"/>
        <v>69976.79323</v>
      </c>
      <c r="H1978" s="1">
        <f t="shared" si="6"/>
        <v>128290.7876</v>
      </c>
      <c r="I1978" s="1">
        <f t="shared" si="7"/>
        <v>209930.3797</v>
      </c>
    </row>
    <row r="1979" hidden="1">
      <c r="A1979" s="266">
        <f>IFERROR(__xludf.DUMMYFUNCTION("""COMPUTED_VALUE"""),44617.99861111111)</f>
        <v>44617.99861</v>
      </c>
      <c r="B1979" s="1">
        <f>IFERROR(__xludf.DUMMYFUNCTION("""COMPUTED_VALUE"""),39226.82)</f>
        <v>39226.82</v>
      </c>
      <c r="C1979" s="58">
        <f t="shared" si="1"/>
        <v>4801.998611</v>
      </c>
      <c r="D1979" s="1">
        <f t="shared" si="2"/>
        <v>11676.89553</v>
      </c>
      <c r="E1979" s="1">
        <f t="shared" si="3"/>
        <v>21018.41196</v>
      </c>
      <c r="F1979" s="1">
        <f t="shared" si="4"/>
        <v>39701.44482</v>
      </c>
      <c r="G1979" s="1">
        <f t="shared" si="5"/>
        <v>70061.37321</v>
      </c>
      <c r="H1979" s="1">
        <f t="shared" si="6"/>
        <v>128445.8509</v>
      </c>
      <c r="I1979" s="1">
        <f t="shared" si="7"/>
        <v>210184.1196</v>
      </c>
    </row>
    <row r="1980" hidden="1">
      <c r="A1980" s="266">
        <f>IFERROR(__xludf.DUMMYFUNCTION("""COMPUTED_VALUE"""),44618.99861111111)</f>
        <v>44618.99861</v>
      </c>
      <c r="B1980" s="1">
        <f>IFERROR(__xludf.DUMMYFUNCTION("""COMPUTED_VALUE"""),39115.22)</f>
        <v>39115.22</v>
      </c>
      <c r="C1980" s="58">
        <f t="shared" si="1"/>
        <v>4802.998611</v>
      </c>
      <c r="D1980" s="1">
        <f t="shared" si="2"/>
        <v>11691.0063</v>
      </c>
      <c r="E1980" s="1">
        <f t="shared" si="3"/>
        <v>21043.81133</v>
      </c>
      <c r="F1980" s="1">
        <f t="shared" si="4"/>
        <v>39749.4214</v>
      </c>
      <c r="G1980" s="1">
        <f t="shared" si="5"/>
        <v>70146.03777</v>
      </c>
      <c r="H1980" s="1">
        <f t="shared" si="6"/>
        <v>128601.0692</v>
      </c>
      <c r="I1980" s="1">
        <f t="shared" si="7"/>
        <v>210438.1133</v>
      </c>
    </row>
    <row r="1981" hidden="1">
      <c r="A1981" s="266">
        <f>IFERROR(__xludf.DUMMYFUNCTION("""COMPUTED_VALUE"""),44619.99861111111)</f>
        <v>44619.99861</v>
      </c>
      <c r="B1981" s="1">
        <f>IFERROR(__xludf.DUMMYFUNCTION("""COMPUTED_VALUE"""),37710.46)</f>
        <v>37710.46</v>
      </c>
      <c r="C1981" s="58">
        <f t="shared" si="1"/>
        <v>4803.998611</v>
      </c>
      <c r="D1981" s="1">
        <f t="shared" si="2"/>
        <v>11705.13116</v>
      </c>
      <c r="E1981" s="1">
        <f t="shared" si="3"/>
        <v>21069.2361</v>
      </c>
      <c r="F1981" s="1">
        <f t="shared" si="4"/>
        <v>39797.44596</v>
      </c>
      <c r="G1981" s="1">
        <f t="shared" si="5"/>
        <v>70230.78699</v>
      </c>
      <c r="H1981" s="1">
        <f t="shared" si="6"/>
        <v>128756.4428</v>
      </c>
      <c r="I1981" s="1">
        <f t="shared" si="7"/>
        <v>210692.361</v>
      </c>
    </row>
    <row r="1982" hidden="1">
      <c r="A1982" s="266">
        <f>IFERROR(__xludf.DUMMYFUNCTION("""COMPUTED_VALUE"""),44620.99861111111)</f>
        <v>44620.99861</v>
      </c>
      <c r="B1982" s="1">
        <f>IFERROR(__xludf.DUMMYFUNCTION("""COMPUTED_VALUE"""),43193.8)</f>
        <v>43193.8</v>
      </c>
      <c r="C1982" s="58">
        <f t="shared" si="1"/>
        <v>4804.998611</v>
      </c>
      <c r="D1982" s="1">
        <f t="shared" si="2"/>
        <v>11719.27015</v>
      </c>
      <c r="E1982" s="1">
        <f t="shared" si="3"/>
        <v>21094.68628</v>
      </c>
      <c r="F1982" s="1">
        <f t="shared" si="4"/>
        <v>39845.51852</v>
      </c>
      <c r="G1982" s="1">
        <f t="shared" si="5"/>
        <v>70315.62092</v>
      </c>
      <c r="H1982" s="1">
        <f t="shared" si="6"/>
        <v>128911.9717</v>
      </c>
      <c r="I1982" s="1">
        <f t="shared" si="7"/>
        <v>210946.8628</v>
      </c>
    </row>
    <row r="1983" hidden="1">
      <c r="A1983" s="266">
        <f>IFERROR(__xludf.DUMMYFUNCTION("""COMPUTED_VALUE"""),44621.99861111111)</f>
        <v>44621.99861</v>
      </c>
      <c r="B1983" s="1">
        <f>IFERROR(__xludf.DUMMYFUNCTION("""COMPUTED_VALUE"""),44427.58)</f>
        <v>44427.58</v>
      </c>
      <c r="C1983" s="58">
        <f t="shared" si="1"/>
        <v>4805.998611</v>
      </c>
      <c r="D1983" s="1">
        <f t="shared" si="2"/>
        <v>11733.42328</v>
      </c>
      <c r="E1983" s="1">
        <f t="shared" si="3"/>
        <v>21120.1619</v>
      </c>
      <c r="F1983" s="1">
        <f t="shared" si="4"/>
        <v>39893.63914</v>
      </c>
      <c r="G1983" s="1">
        <f t="shared" si="5"/>
        <v>70400.53965</v>
      </c>
      <c r="H1983" s="1">
        <f t="shared" si="6"/>
        <v>129067.656</v>
      </c>
      <c r="I1983" s="1">
        <f t="shared" si="7"/>
        <v>211201.619</v>
      </c>
    </row>
    <row r="1984" hidden="1">
      <c r="A1984" s="266">
        <f>IFERROR(__xludf.DUMMYFUNCTION("""COMPUTED_VALUE"""),44622.99861111111)</f>
        <v>44622.99861</v>
      </c>
      <c r="B1984" s="1">
        <f>IFERROR(__xludf.DUMMYFUNCTION("""COMPUTED_VALUE"""),43920.23)</f>
        <v>43920.23</v>
      </c>
      <c r="C1984" s="58">
        <f t="shared" si="1"/>
        <v>4806.998611</v>
      </c>
      <c r="D1984" s="1">
        <f t="shared" si="2"/>
        <v>11747.59054</v>
      </c>
      <c r="E1984" s="1">
        <f t="shared" si="3"/>
        <v>21145.66297</v>
      </c>
      <c r="F1984" s="1">
        <f t="shared" si="4"/>
        <v>39941.80783</v>
      </c>
      <c r="G1984" s="1">
        <f t="shared" si="5"/>
        <v>70485.54323</v>
      </c>
      <c r="H1984" s="1">
        <f t="shared" si="6"/>
        <v>129223.4959</v>
      </c>
      <c r="I1984" s="1">
        <f t="shared" si="7"/>
        <v>211456.6297</v>
      </c>
    </row>
    <row r="1985" hidden="1">
      <c r="A1985" s="266">
        <f>IFERROR(__xludf.DUMMYFUNCTION("""COMPUTED_VALUE"""),44623.99861111111)</f>
        <v>44623.99861</v>
      </c>
      <c r="B1985" s="1">
        <f>IFERROR(__xludf.DUMMYFUNCTION("""COMPUTED_VALUE"""),42464.19)</f>
        <v>42464.19</v>
      </c>
      <c r="C1985" s="58">
        <f t="shared" si="1"/>
        <v>4807.998611</v>
      </c>
      <c r="D1985" s="1">
        <f t="shared" si="2"/>
        <v>11761.77196</v>
      </c>
      <c r="E1985" s="1">
        <f t="shared" si="3"/>
        <v>21171.18952</v>
      </c>
      <c r="F1985" s="1">
        <f t="shared" si="4"/>
        <v>39990.02465</v>
      </c>
      <c r="G1985" s="1">
        <f t="shared" si="5"/>
        <v>70570.63173</v>
      </c>
      <c r="H1985" s="1">
        <f t="shared" si="6"/>
        <v>129379.4915</v>
      </c>
      <c r="I1985" s="1">
        <f t="shared" si="7"/>
        <v>211711.8952</v>
      </c>
    </row>
    <row r="1986" hidden="1">
      <c r="A1986" s="266">
        <f>IFERROR(__xludf.DUMMYFUNCTION("""COMPUTED_VALUE"""),44624.99861111111)</f>
        <v>44624.99861</v>
      </c>
      <c r="B1986" s="1">
        <f>IFERROR(__xludf.DUMMYFUNCTION("""COMPUTED_VALUE"""),39151.55)</f>
        <v>39151.55</v>
      </c>
      <c r="C1986" s="58">
        <f t="shared" si="1"/>
        <v>4808.998611</v>
      </c>
      <c r="D1986" s="1">
        <f t="shared" si="2"/>
        <v>11775.96754</v>
      </c>
      <c r="E1986" s="1">
        <f t="shared" si="3"/>
        <v>21196.74157</v>
      </c>
      <c r="F1986" s="1">
        <f t="shared" si="4"/>
        <v>40038.28963</v>
      </c>
      <c r="G1986" s="1">
        <f t="shared" si="5"/>
        <v>70655.80523</v>
      </c>
      <c r="H1986" s="1">
        <f t="shared" si="6"/>
        <v>129535.6429</v>
      </c>
      <c r="I1986" s="1">
        <f t="shared" si="7"/>
        <v>211967.4157</v>
      </c>
    </row>
    <row r="1987" hidden="1">
      <c r="A1987" s="266">
        <f>IFERROR(__xludf.DUMMYFUNCTION("""COMPUTED_VALUE"""),44625.99861111111)</f>
        <v>44625.99861</v>
      </c>
      <c r="B1987" s="1">
        <f>IFERROR(__xludf.DUMMYFUNCTION("""COMPUTED_VALUE"""),39397.01)</f>
        <v>39397.01</v>
      </c>
      <c r="C1987" s="58">
        <f t="shared" si="1"/>
        <v>4809.998611</v>
      </c>
      <c r="D1987" s="1">
        <f t="shared" si="2"/>
        <v>11790.1773</v>
      </c>
      <c r="E1987" s="1">
        <f t="shared" si="3"/>
        <v>21222.31913</v>
      </c>
      <c r="F1987" s="1">
        <f t="shared" si="4"/>
        <v>40086.60281</v>
      </c>
      <c r="G1987" s="1">
        <f t="shared" si="5"/>
        <v>70741.06377</v>
      </c>
      <c r="H1987" s="1">
        <f t="shared" si="6"/>
        <v>129691.9503</v>
      </c>
      <c r="I1987" s="1">
        <f t="shared" si="7"/>
        <v>212223.1913</v>
      </c>
    </row>
    <row r="1988" hidden="1">
      <c r="A1988" s="266">
        <f>IFERROR(__xludf.DUMMYFUNCTION("""COMPUTED_VALUE"""),44626.99861111111)</f>
        <v>44626.99861</v>
      </c>
      <c r="B1988" s="1">
        <f>IFERROR(__xludf.DUMMYFUNCTION("""COMPUTED_VALUE"""),38414.21)</f>
        <v>38414.21</v>
      </c>
      <c r="C1988" s="58">
        <f t="shared" si="1"/>
        <v>4810.998611</v>
      </c>
      <c r="D1988" s="1">
        <f t="shared" si="2"/>
        <v>11804.40124</v>
      </c>
      <c r="E1988" s="1">
        <f t="shared" si="3"/>
        <v>21247.92223</v>
      </c>
      <c r="F1988" s="1">
        <f t="shared" si="4"/>
        <v>40134.96422</v>
      </c>
      <c r="G1988" s="1">
        <f t="shared" si="5"/>
        <v>70826.40745</v>
      </c>
      <c r="H1988" s="1">
        <f t="shared" si="6"/>
        <v>129848.4137</v>
      </c>
      <c r="I1988" s="1">
        <f t="shared" si="7"/>
        <v>212479.2223</v>
      </c>
    </row>
    <row r="1989" hidden="1">
      <c r="A1989" s="266">
        <f>IFERROR(__xludf.DUMMYFUNCTION("""COMPUTED_VALUE"""),44627.99861111111)</f>
        <v>44627.99861</v>
      </c>
      <c r="B1989" s="1">
        <f>IFERROR(__xludf.DUMMYFUNCTION("""COMPUTED_VALUE"""),38033.56)</f>
        <v>38033.56</v>
      </c>
      <c r="C1989" s="58">
        <f t="shared" si="1"/>
        <v>4811.998611</v>
      </c>
      <c r="D1989" s="1">
        <f t="shared" si="2"/>
        <v>11818.63939</v>
      </c>
      <c r="E1989" s="1">
        <f t="shared" si="3"/>
        <v>21273.55089</v>
      </c>
      <c r="F1989" s="1">
        <f t="shared" si="4"/>
        <v>40183.37391</v>
      </c>
      <c r="G1989" s="1">
        <f t="shared" si="5"/>
        <v>70911.83631</v>
      </c>
      <c r="H1989" s="1">
        <f t="shared" si="6"/>
        <v>130005.0332</v>
      </c>
      <c r="I1989" s="1">
        <f t="shared" si="7"/>
        <v>212735.5089</v>
      </c>
    </row>
    <row r="1990" hidden="1">
      <c r="A1990" s="266">
        <f>IFERROR(__xludf.DUMMYFUNCTION("""COMPUTED_VALUE"""),44628.99861111111)</f>
        <v>44628.99861</v>
      </c>
      <c r="B1990" s="1">
        <f>IFERROR(__xludf.DUMMYFUNCTION("""COMPUTED_VALUE"""),38751.03)</f>
        <v>38751.03</v>
      </c>
      <c r="C1990" s="58">
        <f t="shared" si="1"/>
        <v>4812.998611</v>
      </c>
      <c r="D1990" s="1">
        <f t="shared" si="2"/>
        <v>11832.89174</v>
      </c>
      <c r="E1990" s="1">
        <f t="shared" si="3"/>
        <v>21299.20513</v>
      </c>
      <c r="F1990" s="1">
        <f t="shared" si="4"/>
        <v>40231.83191</v>
      </c>
      <c r="G1990" s="1">
        <f t="shared" si="5"/>
        <v>70997.35043</v>
      </c>
      <c r="H1990" s="1">
        <f t="shared" si="6"/>
        <v>130161.8091</v>
      </c>
      <c r="I1990" s="1">
        <f t="shared" si="7"/>
        <v>212992.0513</v>
      </c>
    </row>
    <row r="1991" hidden="1">
      <c r="A1991" s="266">
        <f>IFERROR(__xludf.DUMMYFUNCTION("""COMPUTED_VALUE"""),44629.99861111111)</f>
        <v>44629.99861</v>
      </c>
      <c r="B1991" s="1">
        <f>IFERROR(__xludf.DUMMYFUNCTION("""COMPUTED_VALUE"""),41935.94)</f>
        <v>41935.94</v>
      </c>
      <c r="C1991" s="58">
        <f t="shared" si="1"/>
        <v>4813.998611</v>
      </c>
      <c r="D1991" s="1">
        <f t="shared" si="2"/>
        <v>11847.15831</v>
      </c>
      <c r="E1991" s="1">
        <f t="shared" si="3"/>
        <v>21324.88496</v>
      </c>
      <c r="F1991" s="1">
        <f t="shared" si="4"/>
        <v>40280.33827</v>
      </c>
      <c r="G1991" s="1">
        <f t="shared" si="5"/>
        <v>71082.94988</v>
      </c>
      <c r="H1991" s="1">
        <f t="shared" si="6"/>
        <v>130318.7414</v>
      </c>
      <c r="I1991" s="1">
        <f t="shared" si="7"/>
        <v>213248.8496</v>
      </c>
    </row>
    <row r="1992" hidden="1">
      <c r="A1992" s="266">
        <f>IFERROR(__xludf.DUMMYFUNCTION("""COMPUTED_VALUE"""),44630.99861111111)</f>
        <v>44630.99861</v>
      </c>
      <c r="B1992" s="1">
        <f>IFERROR(__xludf.DUMMYFUNCTION("""COMPUTED_VALUE"""),39431.6)</f>
        <v>39431.6</v>
      </c>
      <c r="C1992" s="58">
        <f t="shared" si="1"/>
        <v>4814.998611</v>
      </c>
      <c r="D1992" s="1">
        <f t="shared" si="2"/>
        <v>11861.43912</v>
      </c>
      <c r="E1992" s="1">
        <f t="shared" si="3"/>
        <v>21350.59042</v>
      </c>
      <c r="F1992" s="1">
        <f t="shared" si="4"/>
        <v>40328.89301</v>
      </c>
      <c r="G1992" s="1">
        <f t="shared" si="5"/>
        <v>71168.63472</v>
      </c>
      <c r="H1992" s="1">
        <f t="shared" si="6"/>
        <v>130475.8303</v>
      </c>
      <c r="I1992" s="1">
        <f t="shared" si="7"/>
        <v>213505.9042</v>
      </c>
    </row>
    <row r="1993" hidden="1">
      <c r="A1993" s="266">
        <f>IFERROR(__xludf.DUMMYFUNCTION("""COMPUTED_VALUE"""),44631.99861111111)</f>
        <v>44631.99861</v>
      </c>
      <c r="B1993" s="1">
        <f>IFERROR(__xludf.DUMMYFUNCTION("""COMPUTED_VALUE"""),38735.91)</f>
        <v>38735.91</v>
      </c>
      <c r="C1993" s="58">
        <f t="shared" si="1"/>
        <v>4815.998611</v>
      </c>
      <c r="D1993" s="1">
        <f t="shared" si="2"/>
        <v>11875.73417</v>
      </c>
      <c r="E1993" s="1">
        <f t="shared" si="3"/>
        <v>21376.32151</v>
      </c>
      <c r="F1993" s="1">
        <f t="shared" si="4"/>
        <v>40377.49618</v>
      </c>
      <c r="G1993" s="1">
        <f t="shared" si="5"/>
        <v>71254.40502</v>
      </c>
      <c r="H1993" s="1">
        <f t="shared" si="6"/>
        <v>130633.0759</v>
      </c>
      <c r="I1993" s="1">
        <f t="shared" si="7"/>
        <v>213763.2151</v>
      </c>
    </row>
    <row r="1994" hidden="1">
      <c r="A1994" s="266">
        <f>IFERROR(__xludf.DUMMYFUNCTION("""COMPUTED_VALUE"""),44632.99861111111)</f>
        <v>44632.99861</v>
      </c>
      <c r="B1994" s="1">
        <f>IFERROR(__xludf.DUMMYFUNCTION("""COMPUTED_VALUE"""),38807.06)</f>
        <v>38807.06</v>
      </c>
      <c r="C1994" s="58">
        <f t="shared" si="1"/>
        <v>4816.998611</v>
      </c>
      <c r="D1994" s="1">
        <f t="shared" si="2"/>
        <v>11890.04348</v>
      </c>
      <c r="E1994" s="1">
        <f t="shared" si="3"/>
        <v>21402.07826</v>
      </c>
      <c r="F1994" s="1">
        <f t="shared" si="4"/>
        <v>40426.14782</v>
      </c>
      <c r="G1994" s="1">
        <f t="shared" si="5"/>
        <v>71340.26085</v>
      </c>
      <c r="H1994" s="1">
        <f t="shared" si="6"/>
        <v>130790.4782</v>
      </c>
      <c r="I1994" s="1">
        <f t="shared" si="7"/>
        <v>214020.7826</v>
      </c>
    </row>
    <row r="1995" hidden="1">
      <c r="A1995" s="266">
        <f>IFERROR(__xludf.DUMMYFUNCTION("""COMPUTED_VALUE"""),44633.99861111111)</f>
        <v>44633.99861</v>
      </c>
      <c r="B1995" s="1">
        <f>IFERROR(__xludf.DUMMYFUNCTION("""COMPUTED_VALUE"""),37807.0)</f>
        <v>37807</v>
      </c>
      <c r="C1995" s="58">
        <f t="shared" si="1"/>
        <v>4817.998611</v>
      </c>
      <c r="D1995" s="1">
        <f t="shared" si="2"/>
        <v>11904.36705</v>
      </c>
      <c r="E1995" s="1">
        <f t="shared" si="3"/>
        <v>21427.86068</v>
      </c>
      <c r="F1995" s="1">
        <f t="shared" si="4"/>
        <v>40474.84796</v>
      </c>
      <c r="G1995" s="1">
        <f t="shared" si="5"/>
        <v>71426.20228</v>
      </c>
      <c r="H1995" s="1">
        <f t="shared" si="6"/>
        <v>130948.0375</v>
      </c>
      <c r="I1995" s="1">
        <f t="shared" si="7"/>
        <v>214278.6068</v>
      </c>
    </row>
    <row r="1996" hidden="1">
      <c r="A1996" s="266">
        <f>IFERROR(__xludf.DUMMYFUNCTION("""COMPUTED_VALUE"""),44634.99861111111)</f>
        <v>44634.99861</v>
      </c>
      <c r="B1996" s="1">
        <f>IFERROR(__xludf.DUMMYFUNCTION("""COMPUTED_VALUE"""),39678.98)</f>
        <v>39678.98</v>
      </c>
      <c r="C1996" s="58">
        <f t="shared" si="1"/>
        <v>4818.998611</v>
      </c>
      <c r="D1996" s="1">
        <f t="shared" si="2"/>
        <v>11918.70489</v>
      </c>
      <c r="E1996" s="1">
        <f t="shared" si="3"/>
        <v>21453.66881</v>
      </c>
      <c r="F1996" s="1">
        <f t="shared" si="4"/>
        <v>40523.59664</v>
      </c>
      <c r="G1996" s="1">
        <f t="shared" si="5"/>
        <v>71512.22936</v>
      </c>
      <c r="H1996" s="1">
        <f t="shared" si="6"/>
        <v>131105.7538</v>
      </c>
      <c r="I1996" s="1">
        <f t="shared" si="7"/>
        <v>214536.6881</v>
      </c>
    </row>
    <row r="1997" hidden="1">
      <c r="A1997" s="266">
        <f>IFERROR(__xludf.DUMMYFUNCTION("""COMPUTED_VALUE"""),44635.99861111111)</f>
        <v>44635.99861</v>
      </c>
      <c r="B1997" s="1">
        <f>IFERROR(__xludf.DUMMYFUNCTION("""COMPUTED_VALUE"""),39301.8)</f>
        <v>39301.8</v>
      </c>
      <c r="C1997" s="58">
        <f t="shared" si="1"/>
        <v>4819.998611</v>
      </c>
      <c r="D1997" s="1">
        <f t="shared" si="2"/>
        <v>11933.05703</v>
      </c>
      <c r="E1997" s="1">
        <f t="shared" si="3"/>
        <v>21479.50265</v>
      </c>
      <c r="F1997" s="1">
        <f t="shared" si="4"/>
        <v>40572.3939</v>
      </c>
      <c r="G1997" s="1">
        <f t="shared" si="5"/>
        <v>71598.34218</v>
      </c>
      <c r="H1997" s="1">
        <f t="shared" si="6"/>
        <v>131263.6273</v>
      </c>
      <c r="I1997" s="1">
        <f t="shared" si="7"/>
        <v>214795.0265</v>
      </c>
    </row>
    <row r="1998" hidden="1">
      <c r="A1998" s="266">
        <f>IFERROR(__xludf.DUMMYFUNCTION("""COMPUTED_VALUE"""),44636.99861111111)</f>
        <v>44636.99861</v>
      </c>
      <c r="B1998" s="1">
        <f>IFERROR(__xludf.DUMMYFUNCTION("""COMPUTED_VALUE"""),41119.14)</f>
        <v>41119.14</v>
      </c>
      <c r="C1998" s="58">
        <f t="shared" si="1"/>
        <v>4820.998611</v>
      </c>
      <c r="D1998" s="1">
        <f t="shared" si="2"/>
        <v>11947.42347</v>
      </c>
      <c r="E1998" s="1">
        <f t="shared" si="3"/>
        <v>21505.36224</v>
      </c>
      <c r="F1998" s="1">
        <f t="shared" si="4"/>
        <v>40621.23979</v>
      </c>
      <c r="G1998" s="1">
        <f t="shared" si="5"/>
        <v>71684.5408</v>
      </c>
      <c r="H1998" s="1">
        <f t="shared" si="6"/>
        <v>131421.6581</v>
      </c>
      <c r="I1998" s="1">
        <f t="shared" si="7"/>
        <v>215053.6224</v>
      </c>
    </row>
    <row r="1999" hidden="1">
      <c r="A1999" s="266">
        <f>IFERROR(__xludf.DUMMYFUNCTION("""COMPUTED_VALUE"""),44637.99861111111)</f>
        <v>44637.99861</v>
      </c>
      <c r="B1999" s="1">
        <f>IFERROR(__xludf.DUMMYFUNCTION("""COMPUTED_VALUE"""),40939.39)</f>
        <v>40939.39</v>
      </c>
      <c r="C1999" s="58">
        <f t="shared" si="1"/>
        <v>4821.998611</v>
      </c>
      <c r="D1999" s="1">
        <f t="shared" si="2"/>
        <v>11961.80421</v>
      </c>
      <c r="E1999" s="1">
        <f t="shared" si="3"/>
        <v>21531.24758</v>
      </c>
      <c r="F1999" s="1">
        <f t="shared" si="4"/>
        <v>40670.13433</v>
      </c>
      <c r="G1999" s="1">
        <f t="shared" si="5"/>
        <v>71770.82528</v>
      </c>
      <c r="H1999" s="1">
        <f t="shared" si="6"/>
        <v>131579.8464</v>
      </c>
      <c r="I1999" s="1">
        <f t="shared" si="7"/>
        <v>215312.4758</v>
      </c>
    </row>
    <row r="2000" hidden="1">
      <c r="A2000" s="266">
        <f>IFERROR(__xludf.DUMMYFUNCTION("""COMPUTED_VALUE"""),44638.99861111111)</f>
        <v>44638.99861</v>
      </c>
      <c r="B2000" s="1">
        <f>IFERROR(__xludf.DUMMYFUNCTION("""COMPUTED_VALUE"""),41768.4)</f>
        <v>41768.4</v>
      </c>
      <c r="C2000" s="58">
        <f t="shared" si="1"/>
        <v>4822.998611</v>
      </c>
      <c r="D2000" s="1">
        <f t="shared" si="2"/>
        <v>11976.19928</v>
      </c>
      <c r="E2000" s="1">
        <f t="shared" si="3"/>
        <v>21557.15871</v>
      </c>
      <c r="F2000" s="1">
        <f t="shared" si="4"/>
        <v>40719.07756</v>
      </c>
      <c r="G2000" s="1">
        <f t="shared" si="5"/>
        <v>71857.1957</v>
      </c>
      <c r="H2000" s="1">
        <f t="shared" si="6"/>
        <v>131738.1921</v>
      </c>
      <c r="I2000" s="1">
        <f t="shared" si="7"/>
        <v>215571.5871</v>
      </c>
    </row>
    <row r="2001" hidden="1">
      <c r="A2001" s="266">
        <f>IFERROR(__xludf.DUMMYFUNCTION("""COMPUTED_VALUE"""),44639.99861111111)</f>
        <v>44639.99861</v>
      </c>
      <c r="B2001" s="1">
        <f>IFERROR(__xludf.DUMMYFUNCTION("""COMPUTED_VALUE"""),42216.27)</f>
        <v>42216.27</v>
      </c>
      <c r="C2001" s="58">
        <f t="shared" si="1"/>
        <v>4823.998611</v>
      </c>
      <c r="D2001" s="1">
        <f t="shared" si="2"/>
        <v>11990.60869</v>
      </c>
      <c r="E2001" s="1">
        <f t="shared" si="3"/>
        <v>21583.09563</v>
      </c>
      <c r="F2001" s="1">
        <f t="shared" si="4"/>
        <v>40768.06953</v>
      </c>
      <c r="G2001" s="1">
        <f t="shared" si="5"/>
        <v>71943.65212</v>
      </c>
      <c r="H2001" s="1">
        <f t="shared" si="6"/>
        <v>131896.6955</v>
      </c>
      <c r="I2001" s="1">
        <f t="shared" si="7"/>
        <v>215830.9563</v>
      </c>
    </row>
    <row r="2002" hidden="1">
      <c r="A2002" s="266">
        <f>IFERROR(__xludf.DUMMYFUNCTION("""COMPUTED_VALUE"""),44640.99861111111)</f>
        <v>44640.99861</v>
      </c>
      <c r="B2002" s="1">
        <f>IFERROR(__xludf.DUMMYFUNCTION("""COMPUTED_VALUE"""),41255.24)</f>
        <v>41255.24</v>
      </c>
      <c r="C2002" s="58">
        <f t="shared" si="1"/>
        <v>4824.998611</v>
      </c>
      <c r="D2002" s="1">
        <f t="shared" si="2"/>
        <v>12005.03243</v>
      </c>
      <c r="E2002" s="1">
        <f t="shared" si="3"/>
        <v>21609.05838</v>
      </c>
      <c r="F2002" s="1">
        <f t="shared" si="4"/>
        <v>40817.11027</v>
      </c>
      <c r="G2002" s="1">
        <f t="shared" si="5"/>
        <v>72030.1946</v>
      </c>
      <c r="H2002" s="1">
        <f t="shared" si="6"/>
        <v>132055.3568</v>
      </c>
      <c r="I2002" s="1">
        <f t="shared" si="7"/>
        <v>216090.5838</v>
      </c>
    </row>
    <row r="2003" hidden="1">
      <c r="A2003" s="266">
        <f>IFERROR(__xludf.DUMMYFUNCTION("""COMPUTED_VALUE"""),44641.99861111111)</f>
        <v>44641.99861</v>
      </c>
      <c r="B2003" s="1">
        <f>IFERROR(__xludf.DUMMYFUNCTION("""COMPUTED_VALUE"""),41035.93)</f>
        <v>41035.93</v>
      </c>
      <c r="C2003" s="58">
        <f t="shared" si="1"/>
        <v>4825.998611</v>
      </c>
      <c r="D2003" s="1">
        <f t="shared" si="2"/>
        <v>12019.47054</v>
      </c>
      <c r="E2003" s="1">
        <f t="shared" si="3"/>
        <v>21635.04697</v>
      </c>
      <c r="F2003" s="1">
        <f t="shared" si="4"/>
        <v>40866.19983</v>
      </c>
      <c r="G2003" s="1">
        <f t="shared" si="5"/>
        <v>72116.82323</v>
      </c>
      <c r="H2003" s="1">
        <f t="shared" si="6"/>
        <v>132214.1759</v>
      </c>
      <c r="I2003" s="1">
        <f t="shared" si="7"/>
        <v>216350.4697</v>
      </c>
    </row>
    <row r="2004" hidden="1">
      <c r="A2004" s="266">
        <f>IFERROR(__xludf.DUMMYFUNCTION("""COMPUTED_VALUE"""),44642.99861111111)</f>
        <v>44642.99861</v>
      </c>
      <c r="B2004" s="1">
        <f>IFERROR(__xludf.DUMMYFUNCTION("""COMPUTED_VALUE"""),42370.4)</f>
        <v>42370.4</v>
      </c>
      <c r="C2004" s="58">
        <f t="shared" si="1"/>
        <v>4826.998611</v>
      </c>
      <c r="D2004" s="1">
        <f t="shared" si="2"/>
        <v>12033.92301</v>
      </c>
      <c r="E2004" s="1">
        <f t="shared" si="3"/>
        <v>21661.06142</v>
      </c>
      <c r="F2004" s="1">
        <f t="shared" si="4"/>
        <v>40915.33823</v>
      </c>
      <c r="G2004" s="1">
        <f t="shared" si="5"/>
        <v>72203.53805</v>
      </c>
      <c r="H2004" s="1">
        <f t="shared" si="6"/>
        <v>132373.1531</v>
      </c>
      <c r="I2004" s="1">
        <f t="shared" si="7"/>
        <v>216610.6142</v>
      </c>
    </row>
    <row r="2005" hidden="1">
      <c r="A2005" s="266">
        <f>IFERROR(__xludf.DUMMYFUNCTION("""COMPUTED_VALUE"""),44643.99861111111)</f>
        <v>44643.99861</v>
      </c>
      <c r="B2005" s="1">
        <f>IFERROR(__xludf.DUMMYFUNCTION("""COMPUTED_VALUE"""),42906.23)</f>
        <v>42906.23</v>
      </c>
      <c r="C2005" s="58">
        <f t="shared" si="1"/>
        <v>4827.998611</v>
      </c>
      <c r="D2005" s="1">
        <f t="shared" si="2"/>
        <v>12048.38986</v>
      </c>
      <c r="E2005" s="1">
        <f t="shared" si="3"/>
        <v>21687.10175</v>
      </c>
      <c r="F2005" s="1">
        <f t="shared" si="4"/>
        <v>40964.52552</v>
      </c>
      <c r="G2005" s="1">
        <f t="shared" si="5"/>
        <v>72290.33916</v>
      </c>
      <c r="H2005" s="1">
        <f t="shared" si="6"/>
        <v>132532.2885</v>
      </c>
      <c r="I2005" s="1">
        <f t="shared" si="7"/>
        <v>216871.0175</v>
      </c>
    </row>
    <row r="2006" hidden="1">
      <c r="A2006" s="266">
        <f>IFERROR(__xludf.DUMMYFUNCTION("""COMPUTED_VALUE"""),44644.99861111111)</f>
        <v>44644.99861</v>
      </c>
      <c r="B2006" s="1">
        <f>IFERROR(__xludf.DUMMYFUNCTION("""COMPUTED_VALUE"""),44008.34)</f>
        <v>44008.34</v>
      </c>
      <c r="C2006" s="58">
        <f t="shared" si="1"/>
        <v>4828.998611</v>
      </c>
      <c r="D2006" s="1">
        <f t="shared" si="2"/>
        <v>12062.8711</v>
      </c>
      <c r="E2006" s="1">
        <f t="shared" si="3"/>
        <v>21713.16798</v>
      </c>
      <c r="F2006" s="1">
        <f t="shared" si="4"/>
        <v>41013.76174</v>
      </c>
      <c r="G2006" s="1">
        <f t="shared" si="5"/>
        <v>72377.2266</v>
      </c>
      <c r="H2006" s="1">
        <f t="shared" si="6"/>
        <v>132691.5821</v>
      </c>
      <c r="I2006" s="1">
        <f t="shared" si="7"/>
        <v>217131.6798</v>
      </c>
    </row>
    <row r="2007" hidden="1">
      <c r="A2007" s="266">
        <f>IFERROR(__xludf.DUMMYFUNCTION("""COMPUTED_VALUE"""),44645.99861111111)</f>
        <v>44645.99861</v>
      </c>
      <c r="B2007" s="1">
        <f>IFERROR(__xludf.DUMMYFUNCTION("""COMPUTED_VALUE"""),44334.06)</f>
        <v>44334.06</v>
      </c>
      <c r="C2007" s="58">
        <f t="shared" si="1"/>
        <v>4829.998611</v>
      </c>
      <c r="D2007" s="1">
        <f t="shared" si="2"/>
        <v>12077.36674</v>
      </c>
      <c r="E2007" s="1">
        <f t="shared" si="3"/>
        <v>21739.26013</v>
      </c>
      <c r="F2007" s="1">
        <f t="shared" si="4"/>
        <v>41063.04692</v>
      </c>
      <c r="G2007" s="1">
        <f t="shared" si="5"/>
        <v>72464.20045</v>
      </c>
      <c r="H2007" s="1">
        <f t="shared" si="6"/>
        <v>132851.0342</v>
      </c>
      <c r="I2007" s="1">
        <f t="shared" si="7"/>
        <v>217392.6013</v>
      </c>
    </row>
    <row r="2008" hidden="1">
      <c r="A2008" s="266">
        <f>IFERROR(__xludf.DUMMYFUNCTION("""COMPUTED_VALUE"""),44646.99861111111)</f>
        <v>44646.99861</v>
      </c>
      <c r="B2008" s="1">
        <f>IFERROR(__xludf.DUMMYFUNCTION("""COMPUTED_VALUE"""),44550.53)</f>
        <v>44550.53</v>
      </c>
      <c r="C2008" s="58">
        <f t="shared" si="1"/>
        <v>4830.998611</v>
      </c>
      <c r="D2008" s="1">
        <f t="shared" si="2"/>
        <v>12091.8768</v>
      </c>
      <c r="E2008" s="1">
        <f t="shared" si="3"/>
        <v>21765.37823</v>
      </c>
      <c r="F2008" s="1">
        <f t="shared" si="4"/>
        <v>41112.38111</v>
      </c>
      <c r="G2008" s="1">
        <f t="shared" si="5"/>
        <v>72551.26077</v>
      </c>
      <c r="H2008" s="1">
        <f t="shared" si="6"/>
        <v>133010.6448</v>
      </c>
      <c r="I2008" s="1">
        <f t="shared" si="7"/>
        <v>217653.7823</v>
      </c>
    </row>
    <row r="2009" hidden="1">
      <c r="A2009" s="266">
        <f>IFERROR(__xludf.DUMMYFUNCTION("""COMPUTED_VALUE"""),44647.99861111111)</f>
        <v>44647.99861</v>
      </c>
      <c r="B2009" s="1">
        <f>IFERROR(__xludf.DUMMYFUNCTION("""COMPUTED_VALUE"""),46843.74)</f>
        <v>46843.74</v>
      </c>
      <c r="C2009" s="58">
        <f t="shared" si="1"/>
        <v>4831.998611</v>
      </c>
      <c r="D2009" s="1">
        <f t="shared" si="2"/>
        <v>12106.40127</v>
      </c>
      <c r="E2009" s="1">
        <f t="shared" si="3"/>
        <v>21791.52229</v>
      </c>
      <c r="F2009" s="1">
        <f t="shared" si="4"/>
        <v>41161.76433</v>
      </c>
      <c r="G2009" s="1">
        <f t="shared" si="5"/>
        <v>72638.40765</v>
      </c>
      <c r="H2009" s="1">
        <f t="shared" si="6"/>
        <v>133170.414</v>
      </c>
      <c r="I2009" s="1">
        <f t="shared" si="7"/>
        <v>217915.2229</v>
      </c>
    </row>
    <row r="2010" hidden="1">
      <c r="A2010" s="266">
        <f>IFERROR(__xludf.DUMMYFUNCTION("""COMPUTED_VALUE"""),44648.99861111111)</f>
        <v>44648.99861</v>
      </c>
      <c r="B2010" s="1">
        <f>IFERROR(__xludf.DUMMYFUNCTION("""COMPUTED_VALUE"""),47102.41)</f>
        <v>47102.41</v>
      </c>
      <c r="C2010" s="58">
        <f t="shared" si="1"/>
        <v>4832.998611</v>
      </c>
      <c r="D2010" s="1">
        <f t="shared" si="2"/>
        <v>12120.94019</v>
      </c>
      <c r="E2010" s="1">
        <f t="shared" si="3"/>
        <v>21817.69234</v>
      </c>
      <c r="F2010" s="1">
        <f t="shared" si="4"/>
        <v>41211.19664</v>
      </c>
      <c r="G2010" s="1">
        <f t="shared" si="5"/>
        <v>72725.64113</v>
      </c>
      <c r="H2010" s="1">
        <f t="shared" si="6"/>
        <v>133330.3421</v>
      </c>
      <c r="I2010" s="1">
        <f t="shared" si="7"/>
        <v>218176.9234</v>
      </c>
    </row>
    <row r="2011" hidden="1">
      <c r="A2011" s="266">
        <f>IFERROR(__xludf.DUMMYFUNCTION("""COMPUTED_VALUE"""),44649.99861111111)</f>
        <v>44649.99861</v>
      </c>
      <c r="B2011" s="1">
        <f>IFERROR(__xludf.DUMMYFUNCTION("""COMPUTED_VALUE"""),47451.56)</f>
        <v>47451.56</v>
      </c>
      <c r="C2011" s="58">
        <f t="shared" si="1"/>
        <v>4833.998611</v>
      </c>
      <c r="D2011" s="1">
        <f t="shared" si="2"/>
        <v>12135.49355</v>
      </c>
      <c r="E2011" s="1">
        <f t="shared" si="3"/>
        <v>21843.88839</v>
      </c>
      <c r="F2011" s="1">
        <f t="shared" si="4"/>
        <v>41260.67807</v>
      </c>
      <c r="G2011" s="1">
        <f t="shared" si="5"/>
        <v>72812.9613</v>
      </c>
      <c r="H2011" s="1">
        <f t="shared" si="6"/>
        <v>133490.429</v>
      </c>
      <c r="I2011" s="1">
        <f t="shared" si="7"/>
        <v>218438.8839</v>
      </c>
    </row>
    <row r="2012" hidden="1">
      <c r="A2012" s="266">
        <f>IFERROR(__xludf.DUMMYFUNCTION("""COMPUTED_VALUE"""),44650.99861111111)</f>
        <v>44650.99861</v>
      </c>
      <c r="B2012" s="1">
        <f>IFERROR(__xludf.DUMMYFUNCTION("""COMPUTED_VALUE"""),47049.11)</f>
        <v>47049.11</v>
      </c>
      <c r="C2012" s="58">
        <f t="shared" si="1"/>
        <v>4834.998611</v>
      </c>
      <c r="D2012" s="1">
        <f t="shared" si="2"/>
        <v>12150.06137</v>
      </c>
      <c r="E2012" s="1">
        <f t="shared" si="3"/>
        <v>21870.11046</v>
      </c>
      <c r="F2012" s="1">
        <f t="shared" si="4"/>
        <v>41310.20865</v>
      </c>
      <c r="G2012" s="1">
        <f t="shared" si="5"/>
        <v>72900.36821</v>
      </c>
      <c r="H2012" s="1">
        <f t="shared" si="6"/>
        <v>133650.6751</v>
      </c>
      <c r="I2012" s="1">
        <f t="shared" si="7"/>
        <v>218701.1046</v>
      </c>
    </row>
    <row r="2013" hidden="1">
      <c r="A2013" s="266">
        <f>IFERROR(__xludf.DUMMYFUNCTION("""COMPUTED_VALUE"""),44651.99861111111)</f>
        <v>44651.99861</v>
      </c>
      <c r="B2013" s="1">
        <f>IFERROR(__xludf.DUMMYFUNCTION("""COMPUTED_VALUE"""),45521.5)</f>
        <v>45521.5</v>
      </c>
      <c r="C2013" s="58">
        <f t="shared" si="1"/>
        <v>4835.998611</v>
      </c>
      <c r="D2013" s="1">
        <f t="shared" si="2"/>
        <v>12164.64366</v>
      </c>
      <c r="E2013" s="1">
        <f t="shared" si="3"/>
        <v>21896.35858</v>
      </c>
      <c r="F2013" s="1">
        <f t="shared" si="4"/>
        <v>41359.78843</v>
      </c>
      <c r="G2013" s="1">
        <f t="shared" si="5"/>
        <v>72987.86194</v>
      </c>
      <c r="H2013" s="1">
        <f t="shared" si="6"/>
        <v>133811.0802</v>
      </c>
      <c r="I2013" s="1">
        <f t="shared" si="7"/>
        <v>218963.5858</v>
      </c>
    </row>
    <row r="2014" hidden="1">
      <c r="A2014" s="266">
        <f>IFERROR(__xludf.DUMMYFUNCTION("""COMPUTED_VALUE"""),44652.99861111111)</f>
        <v>44652.99861</v>
      </c>
      <c r="B2014" s="1">
        <f>IFERROR(__xludf.DUMMYFUNCTION("""COMPUTED_VALUE"""),46304.0)</f>
        <v>46304</v>
      </c>
      <c r="C2014" s="58">
        <f t="shared" si="1"/>
        <v>4836.998611</v>
      </c>
      <c r="D2014" s="1">
        <f t="shared" si="2"/>
        <v>12179.24043</v>
      </c>
      <c r="E2014" s="1">
        <f t="shared" si="3"/>
        <v>21922.63277</v>
      </c>
      <c r="F2014" s="1">
        <f t="shared" si="4"/>
        <v>41409.41745</v>
      </c>
      <c r="G2014" s="1">
        <f t="shared" si="5"/>
        <v>73075.44256</v>
      </c>
      <c r="H2014" s="1">
        <f t="shared" si="6"/>
        <v>133971.6447</v>
      </c>
      <c r="I2014" s="1">
        <f t="shared" si="7"/>
        <v>219226.3277</v>
      </c>
    </row>
    <row r="2015" hidden="1">
      <c r="A2015" s="266">
        <f>IFERROR(__xludf.DUMMYFUNCTION("""COMPUTED_VALUE"""),44653.99861111111)</f>
        <v>44653.99861</v>
      </c>
      <c r="B2015" s="1">
        <f>IFERROR(__xludf.DUMMYFUNCTION("""COMPUTED_VALUE"""),45806.01)</f>
        <v>45806.01</v>
      </c>
      <c r="C2015" s="58">
        <f t="shared" si="1"/>
        <v>4837.998611</v>
      </c>
      <c r="D2015" s="1">
        <f t="shared" si="2"/>
        <v>12193.85169</v>
      </c>
      <c r="E2015" s="1">
        <f t="shared" si="3"/>
        <v>21948.93304</v>
      </c>
      <c r="F2015" s="1">
        <f t="shared" si="4"/>
        <v>41459.09574</v>
      </c>
      <c r="G2015" s="1">
        <f t="shared" si="5"/>
        <v>73163.11013</v>
      </c>
      <c r="H2015" s="1">
        <f t="shared" si="6"/>
        <v>134132.3686</v>
      </c>
      <c r="I2015" s="1">
        <f t="shared" si="7"/>
        <v>219489.3304</v>
      </c>
    </row>
    <row r="2016" hidden="1">
      <c r="A2016" s="266">
        <f>IFERROR(__xludf.DUMMYFUNCTION("""COMPUTED_VALUE"""),44654.99861111111)</f>
        <v>44654.99861</v>
      </c>
      <c r="B2016" s="1">
        <f>IFERROR(__xludf.DUMMYFUNCTION("""COMPUTED_VALUE"""),46401.85)</f>
        <v>46401.85</v>
      </c>
      <c r="C2016" s="58">
        <f t="shared" si="1"/>
        <v>4838.998611</v>
      </c>
      <c r="D2016" s="1">
        <f t="shared" si="2"/>
        <v>12208.47745</v>
      </c>
      <c r="E2016" s="1">
        <f t="shared" si="3"/>
        <v>21975.25942</v>
      </c>
      <c r="F2016" s="1">
        <f t="shared" si="4"/>
        <v>41508.82334</v>
      </c>
      <c r="G2016" s="1">
        <f t="shared" si="5"/>
        <v>73250.86472</v>
      </c>
      <c r="H2016" s="1">
        <f t="shared" si="6"/>
        <v>134293.252</v>
      </c>
      <c r="I2016" s="1">
        <f t="shared" si="7"/>
        <v>219752.5942</v>
      </c>
    </row>
    <row r="2017" hidden="1">
      <c r="A2017" s="266">
        <f>IFERROR(__xludf.DUMMYFUNCTION("""COMPUTED_VALUE"""),44655.99861111111)</f>
        <v>44655.99861</v>
      </c>
      <c r="B2017" s="1">
        <f>IFERROR(__xludf.DUMMYFUNCTION("""COMPUTED_VALUE"""),46603.81)</f>
        <v>46603.81</v>
      </c>
      <c r="C2017" s="58">
        <f t="shared" si="1"/>
        <v>4839.998611</v>
      </c>
      <c r="D2017" s="1">
        <f t="shared" si="2"/>
        <v>12223.11773</v>
      </c>
      <c r="E2017" s="1">
        <f t="shared" si="3"/>
        <v>22001.61192</v>
      </c>
      <c r="F2017" s="1">
        <f t="shared" si="4"/>
        <v>41558.6003</v>
      </c>
      <c r="G2017" s="1">
        <f t="shared" si="5"/>
        <v>73338.70641</v>
      </c>
      <c r="H2017" s="1">
        <f t="shared" si="6"/>
        <v>134454.2951</v>
      </c>
      <c r="I2017" s="1">
        <f t="shared" si="7"/>
        <v>220016.1192</v>
      </c>
    </row>
    <row r="2018" hidden="1">
      <c r="A2018" s="266">
        <f>IFERROR(__xludf.DUMMYFUNCTION("""COMPUTED_VALUE"""),44656.99861111111)</f>
        <v>44656.99861</v>
      </c>
      <c r="B2018" s="1">
        <f>IFERROR(__xludf.DUMMYFUNCTION("""COMPUTED_VALUE"""),45500.39)</f>
        <v>45500.39</v>
      </c>
      <c r="C2018" s="58">
        <f t="shared" si="1"/>
        <v>4840.998611</v>
      </c>
      <c r="D2018" s="1">
        <f t="shared" si="2"/>
        <v>12237.77254</v>
      </c>
      <c r="E2018" s="1">
        <f t="shared" si="3"/>
        <v>22027.99058</v>
      </c>
      <c r="F2018" s="1">
        <f t="shared" si="4"/>
        <v>41608.42664</v>
      </c>
      <c r="G2018" s="1">
        <f t="shared" si="5"/>
        <v>73426.63525</v>
      </c>
      <c r="H2018" s="1">
        <f t="shared" si="6"/>
        <v>134615.498</v>
      </c>
      <c r="I2018" s="1">
        <f t="shared" si="7"/>
        <v>220279.9058</v>
      </c>
    </row>
    <row r="2019" hidden="1">
      <c r="A2019" s="266">
        <f>IFERROR(__xludf.DUMMYFUNCTION("""COMPUTED_VALUE"""),44657.99861111111)</f>
        <v>44657.99861</v>
      </c>
      <c r="B2019" s="1">
        <f>IFERROR(__xludf.DUMMYFUNCTION("""COMPUTED_VALUE"""),43185.37)</f>
        <v>43185.37</v>
      </c>
      <c r="C2019" s="58">
        <f t="shared" si="1"/>
        <v>4841.998611</v>
      </c>
      <c r="D2019" s="1">
        <f t="shared" si="2"/>
        <v>12252.44189</v>
      </c>
      <c r="E2019" s="1">
        <f t="shared" si="3"/>
        <v>22054.3954</v>
      </c>
      <c r="F2019" s="1">
        <f t="shared" si="4"/>
        <v>41658.30242</v>
      </c>
      <c r="G2019" s="1">
        <f t="shared" si="5"/>
        <v>73514.65132</v>
      </c>
      <c r="H2019" s="1">
        <f t="shared" si="6"/>
        <v>134776.8608</v>
      </c>
      <c r="I2019" s="1">
        <f t="shared" si="7"/>
        <v>220543.954</v>
      </c>
    </row>
    <row r="2020" hidden="1">
      <c r="A2020" s="266">
        <f>IFERROR(__xludf.DUMMYFUNCTION("""COMPUTED_VALUE"""),44658.99861111111)</f>
        <v>44658.99861</v>
      </c>
      <c r="B2020" s="1">
        <f>IFERROR(__xludf.DUMMYFUNCTION("""COMPUTED_VALUE"""),43464.14)</f>
        <v>43464.14</v>
      </c>
      <c r="C2020" s="58">
        <f t="shared" si="1"/>
        <v>4842.998611</v>
      </c>
      <c r="D2020" s="1">
        <f t="shared" si="2"/>
        <v>12267.12578</v>
      </c>
      <c r="E2020" s="1">
        <f t="shared" si="3"/>
        <v>22080.82641</v>
      </c>
      <c r="F2020" s="1">
        <f t="shared" si="4"/>
        <v>41708.22766</v>
      </c>
      <c r="G2020" s="1">
        <f t="shared" si="5"/>
        <v>73602.75469</v>
      </c>
      <c r="H2020" s="1">
        <f t="shared" si="6"/>
        <v>134938.3836</v>
      </c>
      <c r="I2020" s="1">
        <f t="shared" si="7"/>
        <v>220808.2641</v>
      </c>
    </row>
    <row r="2021" hidden="1">
      <c r="A2021" s="266">
        <f>IFERROR(__xludf.DUMMYFUNCTION("""COMPUTED_VALUE"""),44659.99861111111)</f>
        <v>44659.99861</v>
      </c>
      <c r="B2021" s="1">
        <f>IFERROR(__xludf.DUMMYFUNCTION("""COMPUTED_VALUE"""),42265.17)</f>
        <v>42265.17</v>
      </c>
      <c r="C2021" s="58">
        <f t="shared" si="1"/>
        <v>4843.998611</v>
      </c>
      <c r="D2021" s="1">
        <f t="shared" si="2"/>
        <v>12281.82424</v>
      </c>
      <c r="E2021" s="1">
        <f t="shared" si="3"/>
        <v>22107.28363</v>
      </c>
      <c r="F2021" s="1">
        <f t="shared" si="4"/>
        <v>41758.2024</v>
      </c>
      <c r="G2021" s="1">
        <f t="shared" si="5"/>
        <v>73690.94542</v>
      </c>
      <c r="H2021" s="1">
        <f t="shared" si="6"/>
        <v>135100.0666</v>
      </c>
      <c r="I2021" s="1">
        <f t="shared" si="7"/>
        <v>221072.8363</v>
      </c>
    </row>
    <row r="2022" hidden="1">
      <c r="A2022" s="266">
        <f>IFERROR(__xludf.DUMMYFUNCTION("""COMPUTED_VALUE"""),44660.99861111111)</f>
        <v>44660.99861</v>
      </c>
      <c r="B2022" s="1">
        <f>IFERROR(__xludf.DUMMYFUNCTION("""COMPUTED_VALUE"""),42761.67)</f>
        <v>42761.67</v>
      </c>
      <c r="C2022" s="58">
        <f t="shared" si="1"/>
        <v>4844.998611</v>
      </c>
      <c r="D2022" s="1">
        <f t="shared" si="2"/>
        <v>12296.53726</v>
      </c>
      <c r="E2022" s="1">
        <f t="shared" si="3"/>
        <v>22133.76707</v>
      </c>
      <c r="F2022" s="1">
        <f t="shared" si="4"/>
        <v>41808.2267</v>
      </c>
      <c r="G2022" s="1">
        <f t="shared" si="5"/>
        <v>73779.22358</v>
      </c>
      <c r="H2022" s="1">
        <f t="shared" si="6"/>
        <v>135261.9099</v>
      </c>
      <c r="I2022" s="1">
        <f t="shared" si="7"/>
        <v>221337.6707</v>
      </c>
    </row>
    <row r="2023" hidden="1">
      <c r="A2023" s="266">
        <f>IFERROR(__xludf.DUMMYFUNCTION("""COMPUTED_VALUE"""),44661.99861111111)</f>
        <v>44661.99861</v>
      </c>
      <c r="B2023" s="1">
        <f>IFERROR(__xludf.DUMMYFUNCTION("""COMPUTED_VALUE"""),42152.54)</f>
        <v>42152.54</v>
      </c>
      <c r="C2023" s="58">
        <f t="shared" si="1"/>
        <v>4845.998611</v>
      </c>
      <c r="D2023" s="1">
        <f t="shared" si="2"/>
        <v>12311.26487</v>
      </c>
      <c r="E2023" s="1">
        <f t="shared" si="3"/>
        <v>22160.27677</v>
      </c>
      <c r="F2023" s="1">
        <f t="shared" si="4"/>
        <v>41858.30057</v>
      </c>
      <c r="G2023" s="1">
        <f t="shared" si="5"/>
        <v>73867.58925</v>
      </c>
      <c r="H2023" s="1">
        <f t="shared" si="6"/>
        <v>135423.9136</v>
      </c>
      <c r="I2023" s="1">
        <f t="shared" si="7"/>
        <v>221602.7677</v>
      </c>
    </row>
    <row r="2024" hidden="1">
      <c r="A2024" s="266">
        <f>IFERROR(__xludf.DUMMYFUNCTION("""COMPUTED_VALUE"""),44662.99861111111)</f>
        <v>44662.99861</v>
      </c>
      <c r="B2024" s="1">
        <f>IFERROR(__xludf.DUMMYFUNCTION("""COMPUTED_VALUE"""),39497.65)</f>
        <v>39497.65</v>
      </c>
      <c r="C2024" s="58">
        <f t="shared" si="1"/>
        <v>4846.998611</v>
      </c>
      <c r="D2024" s="1">
        <f t="shared" si="2"/>
        <v>12326.00708</v>
      </c>
      <c r="E2024" s="1">
        <f t="shared" si="3"/>
        <v>22186.81274</v>
      </c>
      <c r="F2024" s="1">
        <f t="shared" si="4"/>
        <v>41908.42407</v>
      </c>
      <c r="G2024" s="1">
        <f t="shared" si="5"/>
        <v>73956.04248</v>
      </c>
      <c r="H2024" s="1">
        <f t="shared" si="6"/>
        <v>135586.0779</v>
      </c>
      <c r="I2024" s="1">
        <f t="shared" si="7"/>
        <v>221868.1274</v>
      </c>
    </row>
    <row r="2025" hidden="1">
      <c r="A2025" s="266">
        <f>IFERROR(__xludf.DUMMYFUNCTION("""COMPUTED_VALUE"""),44663.99861111111)</f>
        <v>44663.99861</v>
      </c>
      <c r="B2025" s="1">
        <f>IFERROR(__xludf.DUMMYFUNCTION("""COMPUTED_VALUE"""),40079.43)</f>
        <v>40079.43</v>
      </c>
      <c r="C2025" s="58">
        <f t="shared" si="1"/>
        <v>4847.998611</v>
      </c>
      <c r="D2025" s="1">
        <f t="shared" si="2"/>
        <v>12340.76389</v>
      </c>
      <c r="E2025" s="1">
        <f t="shared" si="3"/>
        <v>22213.37501</v>
      </c>
      <c r="F2025" s="1">
        <f t="shared" si="4"/>
        <v>41958.59723</v>
      </c>
      <c r="G2025" s="1">
        <f t="shared" si="5"/>
        <v>74044.58336</v>
      </c>
      <c r="H2025" s="1">
        <f t="shared" si="6"/>
        <v>135748.4028</v>
      </c>
      <c r="I2025" s="1">
        <f t="shared" si="7"/>
        <v>222133.7501</v>
      </c>
    </row>
    <row r="2026" hidden="1">
      <c r="A2026" s="266">
        <f>IFERROR(__xludf.DUMMYFUNCTION("""COMPUTED_VALUE"""),44664.99861111111)</f>
        <v>44664.99861</v>
      </c>
      <c r="B2026" s="1">
        <f>IFERROR(__xludf.DUMMYFUNCTION("""COMPUTED_VALUE"""),41139.08)</f>
        <v>41139.08</v>
      </c>
      <c r="C2026" s="58">
        <f t="shared" si="1"/>
        <v>4848.998611</v>
      </c>
      <c r="D2026" s="1">
        <f t="shared" si="2"/>
        <v>12355.53532</v>
      </c>
      <c r="E2026" s="1">
        <f t="shared" si="3"/>
        <v>22239.96358</v>
      </c>
      <c r="F2026" s="1">
        <f t="shared" si="4"/>
        <v>42008.8201</v>
      </c>
      <c r="G2026" s="1">
        <f t="shared" si="5"/>
        <v>74133.21194</v>
      </c>
      <c r="H2026" s="1">
        <f t="shared" si="6"/>
        <v>135910.8886</v>
      </c>
      <c r="I2026" s="1">
        <f t="shared" si="7"/>
        <v>222399.6358</v>
      </c>
    </row>
    <row r="2027" hidden="1">
      <c r="A2027" s="266">
        <f>IFERROR(__xludf.DUMMYFUNCTION("""COMPUTED_VALUE"""),44665.99861111111)</f>
        <v>44665.99861</v>
      </c>
      <c r="B2027" s="1">
        <f>IFERROR(__xludf.DUMMYFUNCTION("""COMPUTED_VALUE"""),39940.07)</f>
        <v>39940.07</v>
      </c>
      <c r="C2027" s="58">
        <f t="shared" si="1"/>
        <v>4849.998611</v>
      </c>
      <c r="D2027" s="1">
        <f t="shared" si="2"/>
        <v>12370.32138</v>
      </c>
      <c r="E2027" s="1">
        <f t="shared" si="3"/>
        <v>22266.57849</v>
      </c>
      <c r="F2027" s="1">
        <f t="shared" si="4"/>
        <v>42059.0927</v>
      </c>
      <c r="G2027" s="1">
        <f t="shared" si="5"/>
        <v>74221.9283</v>
      </c>
      <c r="H2027" s="1">
        <f t="shared" si="6"/>
        <v>136073.5352</v>
      </c>
      <c r="I2027" s="1">
        <f t="shared" si="7"/>
        <v>222665.7849</v>
      </c>
    </row>
    <row r="2028" hidden="1">
      <c r="A2028" s="266">
        <f>IFERROR(__xludf.DUMMYFUNCTION("""COMPUTED_VALUE"""),44666.99861111111)</f>
        <v>44666.99861</v>
      </c>
      <c r="B2028" s="1">
        <f>IFERROR(__xludf.DUMMYFUNCTION("""COMPUTED_VALUE"""),40557.21)</f>
        <v>40557.21</v>
      </c>
      <c r="C2028" s="58">
        <f t="shared" si="1"/>
        <v>4850.998611</v>
      </c>
      <c r="D2028" s="1">
        <f t="shared" si="2"/>
        <v>12385.12208</v>
      </c>
      <c r="E2028" s="1">
        <f t="shared" si="3"/>
        <v>22293.21975</v>
      </c>
      <c r="F2028" s="1">
        <f t="shared" si="4"/>
        <v>42109.41508</v>
      </c>
      <c r="G2028" s="1">
        <f t="shared" si="5"/>
        <v>74310.7325</v>
      </c>
      <c r="H2028" s="1">
        <f t="shared" si="6"/>
        <v>136236.3429</v>
      </c>
      <c r="I2028" s="1">
        <f t="shared" si="7"/>
        <v>222932.1975</v>
      </c>
    </row>
    <row r="2029" hidden="1">
      <c r="A2029" s="266">
        <f>IFERROR(__xludf.DUMMYFUNCTION("""COMPUTED_VALUE"""),44667.99861111111)</f>
        <v>44667.99861</v>
      </c>
      <c r="B2029" s="1">
        <f>IFERROR(__xludf.DUMMYFUNCTION("""COMPUTED_VALUE"""),40390.67)</f>
        <v>40390.67</v>
      </c>
      <c r="C2029" s="58">
        <f t="shared" si="1"/>
        <v>4851.998611</v>
      </c>
      <c r="D2029" s="1">
        <f t="shared" si="2"/>
        <v>12399.93744</v>
      </c>
      <c r="E2029" s="1">
        <f t="shared" si="3"/>
        <v>22319.88739</v>
      </c>
      <c r="F2029" s="1">
        <f t="shared" si="4"/>
        <v>42159.78728</v>
      </c>
      <c r="G2029" s="1">
        <f t="shared" si="5"/>
        <v>74399.62462</v>
      </c>
      <c r="H2029" s="1">
        <f t="shared" si="6"/>
        <v>136399.3118</v>
      </c>
      <c r="I2029" s="1">
        <f t="shared" si="7"/>
        <v>223198.8739</v>
      </c>
    </row>
    <row r="2030" hidden="1">
      <c r="A2030" s="266">
        <f>IFERROR(__xludf.DUMMYFUNCTION("""COMPUTED_VALUE"""),44668.99861111111)</f>
        <v>44668.99861</v>
      </c>
      <c r="B2030" s="1">
        <f>IFERROR(__xludf.DUMMYFUNCTION("""COMPUTED_VALUE"""),39692.88)</f>
        <v>39692.88</v>
      </c>
      <c r="C2030" s="58">
        <f t="shared" si="1"/>
        <v>4852.998611</v>
      </c>
      <c r="D2030" s="1">
        <f t="shared" si="2"/>
        <v>12414.76745</v>
      </c>
      <c r="E2030" s="1">
        <f t="shared" si="3"/>
        <v>22346.58142</v>
      </c>
      <c r="F2030" s="1">
        <f t="shared" si="4"/>
        <v>42210.20934</v>
      </c>
      <c r="G2030" s="1">
        <f t="shared" si="5"/>
        <v>74488.60472</v>
      </c>
      <c r="H2030" s="1">
        <f t="shared" si="6"/>
        <v>136562.442</v>
      </c>
      <c r="I2030" s="1">
        <f t="shared" si="7"/>
        <v>223465.8142</v>
      </c>
    </row>
    <row r="2031" hidden="1">
      <c r="A2031" s="266">
        <f>IFERROR(__xludf.DUMMYFUNCTION("""COMPUTED_VALUE"""),44669.99861111111)</f>
        <v>44669.99861</v>
      </c>
      <c r="B2031" s="1">
        <f>IFERROR(__xludf.DUMMYFUNCTION("""COMPUTED_VALUE"""),40802.55)</f>
        <v>40802.55</v>
      </c>
      <c r="C2031" s="58">
        <f t="shared" si="1"/>
        <v>4853.998611</v>
      </c>
      <c r="D2031" s="1">
        <f t="shared" si="2"/>
        <v>12429.61215</v>
      </c>
      <c r="E2031" s="1">
        <f t="shared" si="3"/>
        <v>22373.30186</v>
      </c>
      <c r="F2031" s="1">
        <f t="shared" si="4"/>
        <v>42260.68129</v>
      </c>
      <c r="G2031" s="1">
        <f t="shared" si="5"/>
        <v>74577.67287</v>
      </c>
      <c r="H2031" s="1">
        <f t="shared" si="6"/>
        <v>136725.7336</v>
      </c>
      <c r="I2031" s="1">
        <f t="shared" si="7"/>
        <v>223733.0186</v>
      </c>
    </row>
    <row r="2032" hidden="1">
      <c r="A2032" s="266">
        <f>IFERROR(__xludf.DUMMYFUNCTION("""COMPUTED_VALUE"""),44670.99861111111)</f>
        <v>44670.99861</v>
      </c>
      <c r="B2032" s="1">
        <f>IFERROR(__xludf.DUMMYFUNCTION("""COMPUTED_VALUE"""),41498.5)</f>
        <v>41498.5</v>
      </c>
      <c r="C2032" s="58">
        <f t="shared" si="1"/>
        <v>4854.998611</v>
      </c>
      <c r="D2032" s="1">
        <f t="shared" si="2"/>
        <v>12444.47152</v>
      </c>
      <c r="E2032" s="1">
        <f t="shared" si="3"/>
        <v>22400.04874</v>
      </c>
      <c r="F2032" s="1">
        <f t="shared" si="4"/>
        <v>42311.20318</v>
      </c>
      <c r="G2032" s="1">
        <f t="shared" si="5"/>
        <v>74666.82914</v>
      </c>
      <c r="H2032" s="1">
        <f t="shared" si="6"/>
        <v>136889.1868</v>
      </c>
      <c r="I2032" s="1">
        <f t="shared" si="7"/>
        <v>224000.4874</v>
      </c>
    </row>
    <row r="2033" hidden="1">
      <c r="A2033" s="266">
        <f>IFERROR(__xludf.DUMMYFUNCTION("""COMPUTED_VALUE"""),44671.99861111111)</f>
        <v>44671.99861</v>
      </c>
      <c r="B2033" s="1">
        <f>IFERROR(__xludf.DUMMYFUNCTION("""COMPUTED_VALUE"""),41362.92)</f>
        <v>41362.92</v>
      </c>
      <c r="C2033" s="58">
        <f t="shared" si="1"/>
        <v>4855.998611</v>
      </c>
      <c r="D2033" s="1">
        <f t="shared" si="2"/>
        <v>12459.3456</v>
      </c>
      <c r="E2033" s="1">
        <f t="shared" si="3"/>
        <v>22426.82208</v>
      </c>
      <c r="F2033" s="1">
        <f t="shared" si="4"/>
        <v>42361.77504</v>
      </c>
      <c r="G2033" s="1">
        <f t="shared" si="5"/>
        <v>74756.07361</v>
      </c>
      <c r="H2033" s="1">
        <f t="shared" si="6"/>
        <v>137052.8016</v>
      </c>
      <c r="I2033" s="1">
        <f t="shared" si="7"/>
        <v>224268.2208</v>
      </c>
    </row>
    <row r="2034" hidden="1">
      <c r="A2034" s="266">
        <f>IFERROR(__xludf.DUMMYFUNCTION("""COMPUTED_VALUE"""),44672.99861111111)</f>
        <v>44672.99861</v>
      </c>
      <c r="B2034" s="1">
        <f>IFERROR(__xludf.DUMMYFUNCTION("""COMPUTED_VALUE"""),40475.13)</f>
        <v>40475.13</v>
      </c>
      <c r="C2034" s="58">
        <f t="shared" si="1"/>
        <v>4856.998611</v>
      </c>
      <c r="D2034" s="1">
        <f t="shared" si="2"/>
        <v>12474.23439</v>
      </c>
      <c r="E2034" s="1">
        <f t="shared" si="3"/>
        <v>22453.6219</v>
      </c>
      <c r="F2034" s="1">
        <f t="shared" si="4"/>
        <v>42412.39692</v>
      </c>
      <c r="G2034" s="1">
        <f t="shared" si="5"/>
        <v>74845.40633</v>
      </c>
      <c r="H2034" s="1">
        <f t="shared" si="6"/>
        <v>137216.5783</v>
      </c>
      <c r="I2034" s="1">
        <f t="shared" si="7"/>
        <v>224536.219</v>
      </c>
    </row>
    <row r="2035" hidden="1">
      <c r="A2035" s="266">
        <f>IFERROR(__xludf.DUMMYFUNCTION("""COMPUTED_VALUE"""),44673.99861111111)</f>
        <v>44673.99861</v>
      </c>
      <c r="B2035" s="1">
        <f>IFERROR(__xludf.DUMMYFUNCTION("""COMPUTED_VALUE"""),39707.38)</f>
        <v>39707.38</v>
      </c>
      <c r="C2035" s="58">
        <f t="shared" si="1"/>
        <v>4857.998611</v>
      </c>
      <c r="D2035" s="1">
        <f t="shared" si="2"/>
        <v>12489.1379</v>
      </c>
      <c r="E2035" s="1">
        <f t="shared" si="3"/>
        <v>22480.44821</v>
      </c>
      <c r="F2035" s="1">
        <f t="shared" si="4"/>
        <v>42463.06885</v>
      </c>
      <c r="G2035" s="1">
        <f t="shared" si="5"/>
        <v>74934.82738</v>
      </c>
      <c r="H2035" s="1">
        <f t="shared" si="6"/>
        <v>137380.5169</v>
      </c>
      <c r="I2035" s="1">
        <f t="shared" si="7"/>
        <v>224804.4821</v>
      </c>
    </row>
    <row r="2036" hidden="1">
      <c r="A2036" s="266">
        <f>IFERROR(__xludf.DUMMYFUNCTION("""COMPUTED_VALUE"""),44674.99861111111)</f>
        <v>44674.99861</v>
      </c>
      <c r="B2036" s="1">
        <f>IFERROR(__xludf.DUMMYFUNCTION("""COMPUTED_VALUE"""),39444.2)</f>
        <v>39444.2</v>
      </c>
      <c r="C2036" s="58">
        <f t="shared" si="1"/>
        <v>4858.998611</v>
      </c>
      <c r="D2036" s="1">
        <f t="shared" si="2"/>
        <v>12504.05614</v>
      </c>
      <c r="E2036" s="1">
        <f t="shared" si="3"/>
        <v>22507.30105</v>
      </c>
      <c r="F2036" s="1">
        <f t="shared" si="4"/>
        <v>42513.79087</v>
      </c>
      <c r="G2036" s="1">
        <f t="shared" si="5"/>
        <v>75024.33683</v>
      </c>
      <c r="H2036" s="1">
        <f t="shared" si="6"/>
        <v>137544.6175</v>
      </c>
      <c r="I2036" s="1">
        <f t="shared" si="7"/>
        <v>225073.0105</v>
      </c>
    </row>
    <row r="2037" hidden="1">
      <c r="A2037" s="266">
        <f>IFERROR(__xludf.DUMMYFUNCTION("""COMPUTED_VALUE"""),44675.99861111111)</f>
        <v>44675.99861</v>
      </c>
      <c r="B2037" s="1">
        <f>IFERROR(__xludf.DUMMYFUNCTION("""COMPUTED_VALUE"""),39467.37)</f>
        <v>39467.37</v>
      </c>
      <c r="C2037" s="58">
        <f t="shared" si="1"/>
        <v>4859.998611</v>
      </c>
      <c r="D2037" s="1">
        <f t="shared" si="2"/>
        <v>12518.98912</v>
      </c>
      <c r="E2037" s="1">
        <f t="shared" si="3"/>
        <v>22534.18042</v>
      </c>
      <c r="F2037" s="1">
        <f t="shared" si="4"/>
        <v>42564.56302</v>
      </c>
      <c r="G2037" s="1">
        <f t="shared" si="5"/>
        <v>75113.93474</v>
      </c>
      <c r="H2037" s="1">
        <f t="shared" si="6"/>
        <v>137708.8804</v>
      </c>
      <c r="I2037" s="1">
        <f t="shared" si="7"/>
        <v>225341.8042</v>
      </c>
    </row>
    <row r="2038" hidden="1">
      <c r="A2038" s="266">
        <f>IFERROR(__xludf.DUMMYFUNCTION("""COMPUTED_VALUE"""),44676.99861111111)</f>
        <v>44676.99861</v>
      </c>
      <c r="B2038" s="1">
        <f>IFERROR(__xludf.DUMMYFUNCTION("""COMPUTED_VALUE"""),40433.51)</f>
        <v>40433.51</v>
      </c>
      <c r="C2038" s="58">
        <f t="shared" si="1"/>
        <v>4860.998611</v>
      </c>
      <c r="D2038" s="1">
        <f t="shared" si="2"/>
        <v>12533.93687</v>
      </c>
      <c r="E2038" s="1">
        <f t="shared" si="3"/>
        <v>22561.08636</v>
      </c>
      <c r="F2038" s="1">
        <f t="shared" si="4"/>
        <v>42615.38534</v>
      </c>
      <c r="G2038" s="1">
        <f t="shared" si="5"/>
        <v>75203.62119</v>
      </c>
      <c r="H2038" s="1">
        <f t="shared" si="6"/>
        <v>137873.3055</v>
      </c>
      <c r="I2038" s="1">
        <f t="shared" si="7"/>
        <v>225610.8636</v>
      </c>
    </row>
    <row r="2039" hidden="1">
      <c r="A2039" s="266">
        <f>IFERROR(__xludf.DUMMYFUNCTION("""COMPUTED_VALUE"""),44677.99861111111)</f>
        <v>44677.99861</v>
      </c>
      <c r="B2039" s="1">
        <f>IFERROR(__xludf.DUMMYFUNCTION("""COMPUTED_VALUE"""),38126.08)</f>
        <v>38126.08</v>
      </c>
      <c r="C2039" s="58">
        <f t="shared" si="1"/>
        <v>4861.998611</v>
      </c>
      <c r="D2039" s="1">
        <f t="shared" si="2"/>
        <v>12548.89937</v>
      </c>
      <c r="E2039" s="1">
        <f t="shared" si="3"/>
        <v>22588.01887</v>
      </c>
      <c r="F2039" s="1">
        <f t="shared" si="4"/>
        <v>42666.25787</v>
      </c>
      <c r="G2039" s="1">
        <f t="shared" si="5"/>
        <v>75293.39624</v>
      </c>
      <c r="H2039" s="1">
        <f t="shared" si="6"/>
        <v>138037.8931</v>
      </c>
      <c r="I2039" s="1">
        <f t="shared" si="7"/>
        <v>225880.1887</v>
      </c>
    </row>
    <row r="2040" hidden="1">
      <c r="A2040" s="266">
        <f>IFERROR(__xludf.DUMMYFUNCTION("""COMPUTED_VALUE"""),44678.99861111111)</f>
        <v>44678.99861</v>
      </c>
      <c r="B2040" s="1">
        <f>IFERROR(__xludf.DUMMYFUNCTION("""COMPUTED_VALUE"""),39242.54)</f>
        <v>39242.54</v>
      </c>
      <c r="C2040" s="58">
        <f t="shared" si="1"/>
        <v>4862.998611</v>
      </c>
      <c r="D2040" s="1">
        <f t="shared" si="2"/>
        <v>12563.87666</v>
      </c>
      <c r="E2040" s="1">
        <f t="shared" si="3"/>
        <v>22614.97799</v>
      </c>
      <c r="F2040" s="1">
        <f t="shared" si="4"/>
        <v>42717.18065</v>
      </c>
      <c r="G2040" s="1">
        <f t="shared" si="5"/>
        <v>75383.25997</v>
      </c>
      <c r="H2040" s="1">
        <f t="shared" si="6"/>
        <v>138202.6433</v>
      </c>
      <c r="I2040" s="1">
        <f t="shared" si="7"/>
        <v>226149.7799</v>
      </c>
    </row>
    <row r="2041" hidden="1">
      <c r="A2041" s="266">
        <f>IFERROR(__xludf.DUMMYFUNCTION("""COMPUTED_VALUE"""),44679.99861111111)</f>
        <v>44679.99861</v>
      </c>
      <c r="B2041" s="1">
        <f>IFERROR(__xludf.DUMMYFUNCTION("""COMPUTED_VALUE"""),39749.89)</f>
        <v>39749.89</v>
      </c>
      <c r="C2041" s="58">
        <f t="shared" si="1"/>
        <v>4863.998611</v>
      </c>
      <c r="D2041" s="1">
        <f t="shared" si="2"/>
        <v>12578.86874</v>
      </c>
      <c r="E2041" s="1">
        <f t="shared" si="3"/>
        <v>22641.96373</v>
      </c>
      <c r="F2041" s="1">
        <f t="shared" si="4"/>
        <v>42768.15372</v>
      </c>
      <c r="G2041" s="1">
        <f t="shared" si="5"/>
        <v>75473.21244</v>
      </c>
      <c r="H2041" s="1">
        <f t="shared" si="6"/>
        <v>138367.5561</v>
      </c>
      <c r="I2041" s="1">
        <f t="shared" si="7"/>
        <v>226419.6373</v>
      </c>
    </row>
    <row r="2042" hidden="1">
      <c r="A2042" s="266">
        <f>IFERROR(__xludf.DUMMYFUNCTION("""COMPUTED_VALUE"""),44680.99861111111)</f>
        <v>44680.99861</v>
      </c>
      <c r="B2042" s="1">
        <f>IFERROR(__xludf.DUMMYFUNCTION("""COMPUTED_VALUE"""),38586.69)</f>
        <v>38586.69</v>
      </c>
      <c r="C2042" s="58">
        <f t="shared" si="1"/>
        <v>4864.998611</v>
      </c>
      <c r="D2042" s="1">
        <f t="shared" si="2"/>
        <v>12593.87562</v>
      </c>
      <c r="E2042" s="1">
        <f t="shared" si="3"/>
        <v>22668.97612</v>
      </c>
      <c r="F2042" s="1">
        <f t="shared" si="4"/>
        <v>42819.17711</v>
      </c>
      <c r="G2042" s="1">
        <f t="shared" si="5"/>
        <v>75563.25373</v>
      </c>
      <c r="H2042" s="1">
        <f t="shared" si="6"/>
        <v>138532.6318</v>
      </c>
      <c r="I2042" s="1">
        <f t="shared" si="7"/>
        <v>226689.7612</v>
      </c>
    </row>
    <row r="2043" hidden="1">
      <c r="A2043" s="266">
        <f>IFERROR(__xludf.DUMMYFUNCTION("""COMPUTED_VALUE"""),44681.99861111111)</f>
        <v>44681.99861</v>
      </c>
      <c r="B2043" s="1">
        <f>IFERROR(__xludf.DUMMYFUNCTION("""COMPUTED_VALUE"""),37648.9)</f>
        <v>37648.9</v>
      </c>
      <c r="C2043" s="58">
        <f t="shared" si="1"/>
        <v>4865.998611</v>
      </c>
      <c r="D2043" s="1">
        <f t="shared" si="2"/>
        <v>12608.89732</v>
      </c>
      <c r="E2043" s="1">
        <f t="shared" si="3"/>
        <v>22696.01517</v>
      </c>
      <c r="F2043" s="1">
        <f t="shared" si="4"/>
        <v>42870.25087</v>
      </c>
      <c r="G2043" s="1">
        <f t="shared" si="5"/>
        <v>75653.38389</v>
      </c>
      <c r="H2043" s="1">
        <f t="shared" si="6"/>
        <v>138697.8705</v>
      </c>
      <c r="I2043" s="1">
        <f t="shared" si="7"/>
        <v>226960.1517</v>
      </c>
    </row>
    <row r="2044" hidden="1">
      <c r="A2044" s="266">
        <f>IFERROR(__xludf.DUMMYFUNCTION("""COMPUTED_VALUE"""),44682.99861111111)</f>
        <v>44682.99861</v>
      </c>
      <c r="B2044" s="1">
        <f>IFERROR(__xludf.DUMMYFUNCTION("""COMPUTED_VALUE"""),38481.88)</f>
        <v>38481.88</v>
      </c>
      <c r="C2044" s="58">
        <f t="shared" si="1"/>
        <v>4866.998611</v>
      </c>
      <c r="D2044" s="1">
        <f t="shared" si="2"/>
        <v>12623.93384</v>
      </c>
      <c r="E2044" s="1">
        <f t="shared" si="3"/>
        <v>22723.0809</v>
      </c>
      <c r="F2044" s="1">
        <f t="shared" si="4"/>
        <v>42921.37504</v>
      </c>
      <c r="G2044" s="1">
        <f t="shared" si="5"/>
        <v>75743.60301</v>
      </c>
      <c r="H2044" s="1">
        <f t="shared" si="6"/>
        <v>138863.2722</v>
      </c>
      <c r="I2044" s="1">
        <f t="shared" si="7"/>
        <v>227230.809</v>
      </c>
    </row>
    <row r="2045" hidden="1">
      <c r="A2045" s="266">
        <f>IFERROR(__xludf.DUMMYFUNCTION("""COMPUTED_VALUE"""),44683.99861111111)</f>
        <v>44683.99861</v>
      </c>
      <c r="B2045" s="1">
        <f>IFERROR(__xludf.DUMMYFUNCTION("""COMPUTED_VALUE"""),38508.14)</f>
        <v>38508.14</v>
      </c>
      <c r="C2045" s="58">
        <f t="shared" si="1"/>
        <v>4867.998611</v>
      </c>
      <c r="D2045" s="1">
        <f t="shared" si="2"/>
        <v>12638.98519</v>
      </c>
      <c r="E2045" s="1">
        <f t="shared" si="3"/>
        <v>22750.17335</v>
      </c>
      <c r="F2045" s="1">
        <f t="shared" si="4"/>
        <v>42972.54965</v>
      </c>
      <c r="G2045" s="1">
        <f t="shared" si="5"/>
        <v>75833.91115</v>
      </c>
      <c r="H2045" s="1">
        <f t="shared" si="6"/>
        <v>139028.8371</v>
      </c>
      <c r="I2045" s="1">
        <f t="shared" si="7"/>
        <v>227501.7335</v>
      </c>
    </row>
    <row r="2046" hidden="1">
      <c r="A2046" s="266">
        <f>IFERROR(__xludf.DUMMYFUNCTION("""COMPUTED_VALUE"""),44684.99861111111)</f>
        <v>44684.99861</v>
      </c>
      <c r="B2046" s="1">
        <f>IFERROR(__xludf.DUMMYFUNCTION("""COMPUTED_VALUE"""),37719.81)</f>
        <v>37719.81</v>
      </c>
      <c r="C2046" s="58">
        <f t="shared" si="1"/>
        <v>4868.998611</v>
      </c>
      <c r="D2046" s="1">
        <f t="shared" si="2"/>
        <v>12654.0514</v>
      </c>
      <c r="E2046" s="1">
        <f t="shared" si="3"/>
        <v>22777.29251</v>
      </c>
      <c r="F2046" s="1">
        <f t="shared" si="4"/>
        <v>43023.77475</v>
      </c>
      <c r="G2046" s="1">
        <f t="shared" si="5"/>
        <v>75924.30838</v>
      </c>
      <c r="H2046" s="1">
        <f t="shared" si="6"/>
        <v>139194.5654</v>
      </c>
      <c r="I2046" s="1">
        <f t="shared" si="7"/>
        <v>227772.9251</v>
      </c>
    </row>
    <row r="2047" hidden="1">
      <c r="A2047" s="266">
        <f>IFERROR(__xludf.DUMMYFUNCTION("""COMPUTED_VALUE"""),44685.99861111111)</f>
        <v>44685.99861</v>
      </c>
      <c r="B2047" s="1">
        <f>IFERROR(__xludf.DUMMYFUNCTION("""COMPUTED_VALUE"""),39680.81)</f>
        <v>39680.81</v>
      </c>
      <c r="C2047" s="58">
        <f t="shared" si="1"/>
        <v>4869.998611</v>
      </c>
      <c r="D2047" s="1">
        <f t="shared" si="2"/>
        <v>12669.13246</v>
      </c>
      <c r="E2047" s="1">
        <f t="shared" si="3"/>
        <v>22804.43843</v>
      </c>
      <c r="F2047" s="1">
        <f t="shared" si="4"/>
        <v>43075.05037</v>
      </c>
      <c r="G2047" s="1">
        <f t="shared" si="5"/>
        <v>76014.79477</v>
      </c>
      <c r="H2047" s="1">
        <f t="shared" si="6"/>
        <v>139360.4571</v>
      </c>
      <c r="I2047" s="1">
        <f t="shared" si="7"/>
        <v>228044.3843</v>
      </c>
    </row>
    <row r="2048" hidden="1">
      <c r="A2048" s="266">
        <f>IFERROR(__xludf.DUMMYFUNCTION("""COMPUTED_VALUE"""),44686.99861111111)</f>
        <v>44686.99861</v>
      </c>
      <c r="B2048" s="1">
        <f>IFERROR(__xludf.DUMMYFUNCTION("""COMPUTED_VALUE"""),36544.63)</f>
        <v>36544.63</v>
      </c>
      <c r="C2048" s="58">
        <f t="shared" si="1"/>
        <v>4870.998611</v>
      </c>
      <c r="D2048" s="1">
        <f t="shared" si="2"/>
        <v>12684.2284</v>
      </c>
      <c r="E2048" s="1">
        <f t="shared" si="3"/>
        <v>22831.61112</v>
      </c>
      <c r="F2048" s="1">
        <f t="shared" si="4"/>
        <v>43126.37655</v>
      </c>
      <c r="G2048" s="1">
        <f t="shared" si="5"/>
        <v>76105.37039</v>
      </c>
      <c r="H2048" s="1">
        <f t="shared" si="6"/>
        <v>139526.5124</v>
      </c>
      <c r="I2048" s="1">
        <f t="shared" si="7"/>
        <v>228316.1112</v>
      </c>
    </row>
    <row r="2049" hidden="1">
      <c r="A2049" s="266">
        <f>IFERROR(__xludf.DUMMYFUNCTION("""COMPUTED_VALUE"""),44687.99861111111)</f>
        <v>44687.99861</v>
      </c>
      <c r="B2049" s="1">
        <f>IFERROR(__xludf.DUMMYFUNCTION("""COMPUTED_VALUE"""),36008.08)</f>
        <v>36008.08</v>
      </c>
      <c r="C2049" s="58">
        <f t="shared" si="1"/>
        <v>4871.998611</v>
      </c>
      <c r="D2049" s="1">
        <f t="shared" si="2"/>
        <v>12699.33922</v>
      </c>
      <c r="E2049" s="1">
        <f t="shared" si="3"/>
        <v>22858.81059</v>
      </c>
      <c r="F2049" s="1">
        <f t="shared" si="4"/>
        <v>43177.75334</v>
      </c>
      <c r="G2049" s="1">
        <f t="shared" si="5"/>
        <v>76196.03531</v>
      </c>
      <c r="H2049" s="1">
        <f t="shared" si="6"/>
        <v>139692.7314</v>
      </c>
      <c r="I2049" s="1">
        <f t="shared" si="7"/>
        <v>228588.1059</v>
      </c>
    </row>
    <row r="2050" hidden="1">
      <c r="A2050" s="266">
        <f>IFERROR(__xludf.DUMMYFUNCTION("""COMPUTED_VALUE"""),44688.99861111111)</f>
        <v>44688.99861</v>
      </c>
      <c r="B2050" s="1">
        <f>IFERROR(__xludf.DUMMYFUNCTION("""COMPUTED_VALUE"""),35468.61)</f>
        <v>35468.61</v>
      </c>
      <c r="C2050" s="58">
        <f t="shared" si="1"/>
        <v>4872.998611</v>
      </c>
      <c r="D2050" s="1">
        <f t="shared" si="2"/>
        <v>12714.46493</v>
      </c>
      <c r="E2050" s="1">
        <f t="shared" si="3"/>
        <v>22886.03688</v>
      </c>
      <c r="F2050" s="1">
        <f t="shared" si="4"/>
        <v>43229.18077</v>
      </c>
      <c r="G2050" s="1">
        <f t="shared" si="5"/>
        <v>76286.7896</v>
      </c>
      <c r="H2050" s="1">
        <f t="shared" si="6"/>
        <v>139859.1143</v>
      </c>
      <c r="I2050" s="1">
        <f t="shared" si="7"/>
        <v>228860.3688</v>
      </c>
    </row>
    <row r="2051" hidden="1">
      <c r="A2051" s="266">
        <f>IFERROR(__xludf.DUMMYFUNCTION("""COMPUTED_VALUE"""),44689.99861111111)</f>
        <v>44689.99861</v>
      </c>
      <c r="B2051" s="1">
        <f>IFERROR(__xludf.DUMMYFUNCTION("""COMPUTED_VALUE"""),34036.79)</f>
        <v>34036.79</v>
      </c>
      <c r="C2051" s="58">
        <f t="shared" si="1"/>
        <v>4873.998611</v>
      </c>
      <c r="D2051" s="1">
        <f t="shared" si="2"/>
        <v>12729.60555</v>
      </c>
      <c r="E2051" s="1">
        <f t="shared" si="3"/>
        <v>22913.29</v>
      </c>
      <c r="F2051" s="1">
        <f t="shared" si="4"/>
        <v>43280.65888</v>
      </c>
      <c r="G2051" s="1">
        <f t="shared" si="5"/>
        <v>76377.63332</v>
      </c>
      <c r="H2051" s="1">
        <f t="shared" si="6"/>
        <v>140025.6611</v>
      </c>
      <c r="I2051" s="1">
        <f t="shared" si="7"/>
        <v>229132.9</v>
      </c>
    </row>
    <row r="2052" hidden="1">
      <c r="A2052" s="266">
        <f>IFERROR(__xludf.DUMMYFUNCTION("""COMPUTED_VALUE"""),44690.99861111111)</f>
        <v>44690.99861</v>
      </c>
      <c r="B2052" s="1">
        <f>IFERROR(__xludf.DUMMYFUNCTION("""COMPUTED_VALUE"""),30082.03)</f>
        <v>30082.03</v>
      </c>
      <c r="C2052" s="58">
        <f t="shared" si="1"/>
        <v>4874.998611</v>
      </c>
      <c r="D2052" s="1">
        <f t="shared" si="2"/>
        <v>12744.76109</v>
      </c>
      <c r="E2052" s="1">
        <f t="shared" si="3"/>
        <v>22940.56997</v>
      </c>
      <c r="F2052" s="1">
        <f t="shared" si="4"/>
        <v>43332.18772</v>
      </c>
      <c r="G2052" s="1">
        <f t="shared" si="5"/>
        <v>76468.56656</v>
      </c>
      <c r="H2052" s="1">
        <f t="shared" si="6"/>
        <v>140192.372</v>
      </c>
      <c r="I2052" s="1">
        <f t="shared" si="7"/>
        <v>229405.6997</v>
      </c>
    </row>
    <row r="2053" hidden="1">
      <c r="A2053" s="266">
        <f>IFERROR(__xludf.DUMMYFUNCTION("""COMPUTED_VALUE"""),44691.99861111111)</f>
        <v>44691.99861</v>
      </c>
      <c r="B2053" s="1">
        <f>IFERROR(__xludf.DUMMYFUNCTION("""COMPUTED_VALUE"""),31004.42)</f>
        <v>31004.42</v>
      </c>
      <c r="C2053" s="58">
        <f t="shared" si="1"/>
        <v>4875.998611</v>
      </c>
      <c r="D2053" s="1">
        <f t="shared" si="2"/>
        <v>12759.93156</v>
      </c>
      <c r="E2053" s="1">
        <f t="shared" si="3"/>
        <v>22967.87681</v>
      </c>
      <c r="F2053" s="1">
        <f t="shared" si="4"/>
        <v>43383.76731</v>
      </c>
      <c r="G2053" s="1">
        <f t="shared" si="5"/>
        <v>76559.58937</v>
      </c>
      <c r="H2053" s="1">
        <f t="shared" si="6"/>
        <v>140359.2472</v>
      </c>
      <c r="I2053" s="1">
        <f t="shared" si="7"/>
        <v>229678.7681</v>
      </c>
    </row>
    <row r="2054" hidden="1">
      <c r="A2054" s="266">
        <f>IFERROR(__xludf.DUMMYFUNCTION("""COMPUTED_VALUE"""),44692.99861111111)</f>
        <v>44692.99861</v>
      </c>
      <c r="B2054" s="1">
        <f>IFERROR(__xludf.DUMMYFUNCTION("""COMPUTED_VALUE"""),28977.96)</f>
        <v>28977.96</v>
      </c>
      <c r="C2054" s="58">
        <f t="shared" si="1"/>
        <v>4876.998611</v>
      </c>
      <c r="D2054" s="1">
        <f t="shared" si="2"/>
        <v>12775.11697</v>
      </c>
      <c r="E2054" s="1">
        <f t="shared" si="3"/>
        <v>22995.21055</v>
      </c>
      <c r="F2054" s="1">
        <f t="shared" si="4"/>
        <v>43435.39771</v>
      </c>
      <c r="G2054" s="1">
        <f t="shared" si="5"/>
        <v>76650.70183</v>
      </c>
      <c r="H2054" s="1">
        <f t="shared" si="6"/>
        <v>140526.2867</v>
      </c>
      <c r="I2054" s="1">
        <f t="shared" si="7"/>
        <v>229952.1055</v>
      </c>
    </row>
    <row r="2055" hidden="1">
      <c r="A2055" s="266">
        <f>IFERROR(__xludf.DUMMYFUNCTION("""COMPUTED_VALUE"""),44693.99861111111)</f>
        <v>44693.99861</v>
      </c>
      <c r="B2055" s="1">
        <f>IFERROR(__xludf.DUMMYFUNCTION("""COMPUTED_VALUE"""),28979.68)</f>
        <v>28979.68</v>
      </c>
      <c r="C2055" s="58">
        <f t="shared" si="1"/>
        <v>4877.998611</v>
      </c>
      <c r="D2055" s="1">
        <f t="shared" si="2"/>
        <v>12790.31734</v>
      </c>
      <c r="E2055" s="1">
        <f t="shared" si="3"/>
        <v>23022.5712</v>
      </c>
      <c r="F2055" s="1">
        <f t="shared" si="4"/>
        <v>43487.07894</v>
      </c>
      <c r="G2055" s="1">
        <f t="shared" si="5"/>
        <v>76741.90401</v>
      </c>
      <c r="H2055" s="1">
        <f t="shared" si="6"/>
        <v>140693.4907</v>
      </c>
      <c r="I2055" s="1">
        <f t="shared" si="7"/>
        <v>230225.712</v>
      </c>
    </row>
    <row r="2056" hidden="1">
      <c r="A2056" s="266">
        <f>IFERROR(__xludf.DUMMYFUNCTION("""COMPUTED_VALUE"""),44694.99861111111)</f>
        <v>44694.99861</v>
      </c>
      <c r="B2056" s="1">
        <f>IFERROR(__xludf.DUMMYFUNCTION("""COMPUTED_VALUE"""),29247.62)</f>
        <v>29247.62</v>
      </c>
      <c r="C2056" s="58">
        <f t="shared" si="1"/>
        <v>4878.998611</v>
      </c>
      <c r="D2056" s="1">
        <f t="shared" si="2"/>
        <v>12805.53266</v>
      </c>
      <c r="E2056" s="1">
        <f t="shared" si="3"/>
        <v>23049.95879</v>
      </c>
      <c r="F2056" s="1">
        <f t="shared" si="4"/>
        <v>43538.81106</v>
      </c>
      <c r="G2056" s="1">
        <f t="shared" si="5"/>
        <v>76833.19598</v>
      </c>
      <c r="H2056" s="1">
        <f t="shared" si="6"/>
        <v>140860.8593</v>
      </c>
      <c r="I2056" s="1">
        <f t="shared" si="7"/>
        <v>230499.5879</v>
      </c>
    </row>
    <row r="2057" hidden="1">
      <c r="A2057" s="266">
        <f>IFERROR(__xludf.DUMMYFUNCTION("""COMPUTED_VALUE"""),44695.99861111111)</f>
        <v>44695.99861</v>
      </c>
      <c r="B2057" s="1">
        <f>IFERROR(__xludf.DUMMYFUNCTION("""COMPUTED_VALUE"""),30054.1)</f>
        <v>30054.1</v>
      </c>
      <c r="C2057" s="58">
        <f t="shared" si="1"/>
        <v>4879.998611</v>
      </c>
      <c r="D2057" s="1">
        <f t="shared" si="2"/>
        <v>12820.76297</v>
      </c>
      <c r="E2057" s="1">
        <f t="shared" si="3"/>
        <v>23077.37334</v>
      </c>
      <c r="F2057" s="1">
        <f t="shared" si="4"/>
        <v>43590.59409</v>
      </c>
      <c r="G2057" s="1">
        <f t="shared" si="5"/>
        <v>76924.57781</v>
      </c>
      <c r="H2057" s="1">
        <f t="shared" si="6"/>
        <v>141028.3926</v>
      </c>
      <c r="I2057" s="1">
        <f t="shared" si="7"/>
        <v>230773.7334</v>
      </c>
    </row>
    <row r="2058" hidden="1">
      <c r="A2058" s="266">
        <f>IFERROR(__xludf.DUMMYFUNCTION("""COMPUTED_VALUE"""),44696.99861111111)</f>
        <v>44696.99861</v>
      </c>
      <c r="B2058" s="1">
        <f>IFERROR(__xludf.DUMMYFUNCTION("""COMPUTED_VALUE"""),31290.31)</f>
        <v>31290.31</v>
      </c>
      <c r="C2058" s="58">
        <f t="shared" si="1"/>
        <v>4880.998611</v>
      </c>
      <c r="D2058" s="1">
        <f t="shared" si="2"/>
        <v>12836.00826</v>
      </c>
      <c r="E2058" s="1">
        <f t="shared" si="3"/>
        <v>23104.81487</v>
      </c>
      <c r="F2058" s="1">
        <f t="shared" si="4"/>
        <v>43642.42808</v>
      </c>
      <c r="G2058" s="1">
        <f t="shared" si="5"/>
        <v>77016.04956</v>
      </c>
      <c r="H2058" s="1">
        <f t="shared" si="6"/>
        <v>141196.0909</v>
      </c>
      <c r="I2058" s="1">
        <f t="shared" si="7"/>
        <v>231048.1487</v>
      </c>
    </row>
    <row r="2059" hidden="1">
      <c r="A2059" s="266">
        <f>IFERROR(__xludf.DUMMYFUNCTION("""COMPUTED_VALUE"""),44697.99861111111)</f>
        <v>44697.99861</v>
      </c>
      <c r="B2059" s="1">
        <f>IFERROR(__xludf.DUMMYFUNCTION("""COMPUTED_VALUE"""),29833.7)</f>
        <v>29833.7</v>
      </c>
      <c r="C2059" s="58">
        <f t="shared" si="1"/>
        <v>4881.998611</v>
      </c>
      <c r="D2059" s="1">
        <f t="shared" si="2"/>
        <v>12851.26855</v>
      </c>
      <c r="E2059" s="1">
        <f t="shared" si="3"/>
        <v>23132.28339</v>
      </c>
      <c r="F2059" s="1">
        <f t="shared" si="4"/>
        <v>43694.31308</v>
      </c>
      <c r="G2059" s="1">
        <f t="shared" si="5"/>
        <v>77107.61131</v>
      </c>
      <c r="H2059" s="1">
        <f t="shared" si="6"/>
        <v>141363.9541</v>
      </c>
      <c r="I2059" s="1">
        <f t="shared" si="7"/>
        <v>231322.8339</v>
      </c>
    </row>
    <row r="2060" hidden="1">
      <c r="A2060" s="266">
        <f>IFERROR(__xludf.DUMMYFUNCTION("""COMPUTED_VALUE"""),44698.99861111111)</f>
        <v>44698.99861</v>
      </c>
      <c r="B2060" s="1">
        <f>IFERROR(__xludf.DUMMYFUNCTION("""COMPUTED_VALUE"""),30416.16)</f>
        <v>30416.16</v>
      </c>
      <c r="C2060" s="58">
        <f t="shared" si="1"/>
        <v>4882.998611</v>
      </c>
      <c r="D2060" s="1">
        <f t="shared" si="2"/>
        <v>12866.54386</v>
      </c>
      <c r="E2060" s="1">
        <f t="shared" si="3"/>
        <v>23159.77894</v>
      </c>
      <c r="F2060" s="1">
        <f t="shared" si="4"/>
        <v>43746.24911</v>
      </c>
      <c r="G2060" s="1">
        <f t="shared" si="5"/>
        <v>77199.26313</v>
      </c>
      <c r="H2060" s="1">
        <f t="shared" si="6"/>
        <v>141531.9824</v>
      </c>
      <c r="I2060" s="1">
        <f t="shared" si="7"/>
        <v>231597.7894</v>
      </c>
    </row>
    <row r="2061" hidden="1">
      <c r="A2061" s="266">
        <f>IFERROR(__xludf.DUMMYFUNCTION("""COMPUTED_VALUE"""),44699.99861111111)</f>
        <v>44699.99861</v>
      </c>
      <c r="B2061" s="1">
        <f>IFERROR(__xludf.DUMMYFUNCTION("""COMPUTED_VALUE"""),28664.44)</f>
        <v>28664.44</v>
      </c>
      <c r="C2061" s="58">
        <f t="shared" si="1"/>
        <v>4883.998611</v>
      </c>
      <c r="D2061" s="1">
        <f t="shared" si="2"/>
        <v>12881.83418</v>
      </c>
      <c r="E2061" s="1">
        <f t="shared" si="3"/>
        <v>23187.30153</v>
      </c>
      <c r="F2061" s="1">
        <f t="shared" si="4"/>
        <v>43798.23622</v>
      </c>
      <c r="G2061" s="1">
        <f t="shared" si="5"/>
        <v>77291.00509</v>
      </c>
      <c r="H2061" s="1">
        <f t="shared" si="6"/>
        <v>141700.176</v>
      </c>
      <c r="I2061" s="1">
        <f t="shared" si="7"/>
        <v>231873.0153</v>
      </c>
    </row>
    <row r="2062" hidden="1">
      <c r="A2062" s="266">
        <f>IFERROR(__xludf.DUMMYFUNCTION("""COMPUTED_VALUE"""),44700.99861111111)</f>
        <v>44700.99861</v>
      </c>
      <c r="B2062" s="1">
        <f>IFERROR(__xludf.DUMMYFUNCTION("""COMPUTED_VALUE"""),30280.26)</f>
        <v>30280.26</v>
      </c>
      <c r="C2062" s="58">
        <f t="shared" si="1"/>
        <v>4884.998611</v>
      </c>
      <c r="D2062" s="1">
        <f t="shared" si="2"/>
        <v>12897.13954</v>
      </c>
      <c r="E2062" s="1">
        <f t="shared" si="3"/>
        <v>23214.85118</v>
      </c>
      <c r="F2062" s="1">
        <f t="shared" si="4"/>
        <v>43850.27445</v>
      </c>
      <c r="G2062" s="1">
        <f t="shared" si="5"/>
        <v>77382.83726</v>
      </c>
      <c r="H2062" s="1">
        <f t="shared" si="6"/>
        <v>141868.535</v>
      </c>
      <c r="I2062" s="1">
        <f t="shared" si="7"/>
        <v>232148.5118</v>
      </c>
    </row>
    <row r="2063" hidden="1">
      <c r="A2063" s="266">
        <f>IFERROR(__xludf.DUMMYFUNCTION("""COMPUTED_VALUE"""),44701.99861111111)</f>
        <v>44701.99861</v>
      </c>
      <c r="B2063" s="1">
        <f>IFERROR(__xludf.DUMMYFUNCTION("""COMPUTED_VALUE"""),29160.5)</f>
        <v>29160.5</v>
      </c>
      <c r="C2063" s="58">
        <f t="shared" si="1"/>
        <v>4885.998611</v>
      </c>
      <c r="D2063" s="1">
        <f t="shared" si="2"/>
        <v>12912.45995</v>
      </c>
      <c r="E2063" s="1">
        <f t="shared" si="3"/>
        <v>23242.42791</v>
      </c>
      <c r="F2063" s="1">
        <f t="shared" si="4"/>
        <v>43902.36383</v>
      </c>
      <c r="G2063" s="1">
        <f t="shared" si="5"/>
        <v>77474.7597</v>
      </c>
      <c r="H2063" s="1">
        <f t="shared" si="6"/>
        <v>142037.0595</v>
      </c>
      <c r="I2063" s="1">
        <f t="shared" si="7"/>
        <v>232424.2791</v>
      </c>
    </row>
    <row r="2064" hidden="1">
      <c r="A2064" s="266">
        <f>IFERROR(__xludf.DUMMYFUNCTION("""COMPUTED_VALUE"""),44702.99861111111)</f>
        <v>44702.99861</v>
      </c>
      <c r="B2064" s="1">
        <f>IFERROR(__xludf.DUMMYFUNCTION("""COMPUTED_VALUE"""),29410.01)</f>
        <v>29410.01</v>
      </c>
      <c r="C2064" s="58">
        <f t="shared" si="1"/>
        <v>4886.998611</v>
      </c>
      <c r="D2064" s="1">
        <f t="shared" si="2"/>
        <v>12927.79542</v>
      </c>
      <c r="E2064" s="1">
        <f t="shared" si="3"/>
        <v>23270.03175</v>
      </c>
      <c r="F2064" s="1">
        <f t="shared" si="4"/>
        <v>43954.50442</v>
      </c>
      <c r="G2064" s="1">
        <f t="shared" si="5"/>
        <v>77566.7725</v>
      </c>
      <c r="H2064" s="1">
        <f t="shared" si="6"/>
        <v>142205.7496</v>
      </c>
      <c r="I2064" s="1">
        <f t="shared" si="7"/>
        <v>232700.3175</v>
      </c>
    </row>
    <row r="2065" hidden="1">
      <c r="A2065" s="266">
        <f>IFERROR(__xludf.DUMMYFUNCTION("""COMPUTED_VALUE"""),44703.99861111111)</f>
        <v>44703.99861</v>
      </c>
      <c r="B2065" s="1">
        <f>IFERROR(__xludf.DUMMYFUNCTION("""COMPUTED_VALUE"""),30264.81)</f>
        <v>30264.81</v>
      </c>
      <c r="C2065" s="58">
        <f t="shared" si="1"/>
        <v>4887.998611</v>
      </c>
      <c r="D2065" s="1">
        <f t="shared" si="2"/>
        <v>12943.14595</v>
      </c>
      <c r="E2065" s="1">
        <f t="shared" si="3"/>
        <v>23297.66271</v>
      </c>
      <c r="F2065" s="1">
        <f t="shared" si="4"/>
        <v>44006.69624</v>
      </c>
      <c r="G2065" s="1">
        <f t="shared" si="5"/>
        <v>77658.87571</v>
      </c>
      <c r="H2065" s="1">
        <f t="shared" si="6"/>
        <v>142374.6055</v>
      </c>
      <c r="I2065" s="1">
        <f t="shared" si="7"/>
        <v>232976.6271</v>
      </c>
    </row>
    <row r="2066" hidden="1">
      <c r="A2066" s="266">
        <f>IFERROR(__xludf.DUMMYFUNCTION("""COMPUTED_VALUE"""),44704.99861111111)</f>
        <v>44704.99861</v>
      </c>
      <c r="B2066" s="1">
        <f>IFERROR(__xludf.DUMMYFUNCTION("""COMPUTED_VALUE"""),29075.09)</f>
        <v>29075.09</v>
      </c>
      <c r="C2066" s="58">
        <f t="shared" si="1"/>
        <v>4888.998611</v>
      </c>
      <c r="D2066" s="1">
        <f t="shared" si="2"/>
        <v>12958.51157</v>
      </c>
      <c r="E2066" s="1">
        <f t="shared" si="3"/>
        <v>23325.32082</v>
      </c>
      <c r="F2066" s="1">
        <f t="shared" si="4"/>
        <v>44058.93934</v>
      </c>
      <c r="G2066" s="1">
        <f t="shared" si="5"/>
        <v>77751.06942</v>
      </c>
      <c r="H2066" s="1">
        <f t="shared" si="6"/>
        <v>142543.6273</v>
      </c>
      <c r="I2066" s="1">
        <f t="shared" si="7"/>
        <v>233253.2082</v>
      </c>
    </row>
    <row r="2067" hidden="1">
      <c r="A2067" s="266">
        <f>IFERROR(__xludf.DUMMYFUNCTION("""COMPUTED_VALUE"""),44705.99861111111)</f>
        <v>44705.99861</v>
      </c>
      <c r="B2067" s="1">
        <f>IFERROR(__xludf.DUMMYFUNCTION("""COMPUTED_VALUE"""),29631.11)</f>
        <v>29631.11</v>
      </c>
      <c r="C2067" s="58">
        <f t="shared" si="1"/>
        <v>4889.998611</v>
      </c>
      <c r="D2067" s="1">
        <f t="shared" si="2"/>
        <v>12973.89228</v>
      </c>
      <c r="E2067" s="1">
        <f t="shared" si="3"/>
        <v>23353.0061</v>
      </c>
      <c r="F2067" s="1">
        <f t="shared" si="4"/>
        <v>44111.23375</v>
      </c>
      <c r="G2067" s="1">
        <f t="shared" si="5"/>
        <v>77843.35368</v>
      </c>
      <c r="H2067" s="1">
        <f t="shared" si="6"/>
        <v>142712.8151</v>
      </c>
      <c r="I2067" s="1">
        <f t="shared" si="7"/>
        <v>233530.061</v>
      </c>
    </row>
    <row r="2068" hidden="1">
      <c r="A2068" s="266">
        <f>IFERROR(__xludf.DUMMYFUNCTION("""COMPUTED_VALUE"""),44706.99861111111)</f>
        <v>44706.99861</v>
      </c>
      <c r="B2068" s="1">
        <f>IFERROR(__xludf.DUMMYFUNCTION("""COMPUTED_VALUE"""),29506.05)</f>
        <v>29506.05</v>
      </c>
      <c r="C2068" s="58">
        <f t="shared" si="1"/>
        <v>4890.998611</v>
      </c>
      <c r="D2068" s="1">
        <f t="shared" si="2"/>
        <v>12989.2881</v>
      </c>
      <c r="E2068" s="1">
        <f t="shared" si="3"/>
        <v>23380.71857</v>
      </c>
      <c r="F2068" s="1">
        <f t="shared" si="4"/>
        <v>44163.57952</v>
      </c>
      <c r="G2068" s="1">
        <f t="shared" si="5"/>
        <v>77935.72857</v>
      </c>
      <c r="H2068" s="1">
        <f t="shared" si="6"/>
        <v>142882.169</v>
      </c>
      <c r="I2068" s="1">
        <f t="shared" si="7"/>
        <v>233807.1857</v>
      </c>
    </row>
    <row r="2069" hidden="1">
      <c r="A2069" s="266">
        <f>IFERROR(__xludf.DUMMYFUNCTION("""COMPUTED_VALUE"""),44707.99861111111)</f>
        <v>44707.99861</v>
      </c>
      <c r="B2069" s="1">
        <f>IFERROR(__xludf.DUMMYFUNCTION("""COMPUTED_VALUE"""),29187.76)</f>
        <v>29187.76</v>
      </c>
      <c r="C2069" s="58">
        <f t="shared" si="1"/>
        <v>4891.998611</v>
      </c>
      <c r="D2069" s="1">
        <f t="shared" si="2"/>
        <v>13004.69903</v>
      </c>
      <c r="E2069" s="1">
        <f t="shared" si="3"/>
        <v>23408.45825</v>
      </c>
      <c r="F2069" s="1">
        <f t="shared" si="4"/>
        <v>44215.97669</v>
      </c>
      <c r="G2069" s="1">
        <f t="shared" si="5"/>
        <v>78028.19417</v>
      </c>
      <c r="H2069" s="1">
        <f t="shared" si="6"/>
        <v>143051.6893</v>
      </c>
      <c r="I2069" s="1">
        <f t="shared" si="7"/>
        <v>234084.5825</v>
      </c>
    </row>
    <row r="2070" hidden="1">
      <c r="A2070" s="266">
        <f>IFERROR(__xludf.DUMMYFUNCTION("""COMPUTED_VALUE"""),44708.99861111111)</f>
        <v>44708.99861</v>
      </c>
      <c r="B2070" s="1">
        <f>IFERROR(__xludf.DUMMYFUNCTION("""COMPUTED_VALUE"""),28594.66)</f>
        <v>28594.66</v>
      </c>
      <c r="C2070" s="58">
        <f t="shared" si="1"/>
        <v>4892.998611</v>
      </c>
      <c r="D2070" s="1">
        <f t="shared" si="2"/>
        <v>13020.12509</v>
      </c>
      <c r="E2070" s="1">
        <f t="shared" si="3"/>
        <v>23436.22516</v>
      </c>
      <c r="F2070" s="1">
        <f t="shared" si="4"/>
        <v>44268.4253</v>
      </c>
      <c r="G2070" s="1">
        <f t="shared" si="5"/>
        <v>78120.75053</v>
      </c>
      <c r="H2070" s="1">
        <f t="shared" si="6"/>
        <v>143221.376</v>
      </c>
      <c r="I2070" s="1">
        <f t="shared" si="7"/>
        <v>234362.2516</v>
      </c>
    </row>
    <row r="2071" hidden="1">
      <c r="A2071" s="266">
        <f>IFERROR(__xludf.DUMMYFUNCTION("""COMPUTED_VALUE"""),44709.99861111111)</f>
        <v>44709.99861</v>
      </c>
      <c r="B2071" s="1">
        <f>IFERROR(__xludf.DUMMYFUNCTION("""COMPUTED_VALUE"""),29013.92)</f>
        <v>29013.92</v>
      </c>
      <c r="C2071" s="58">
        <f t="shared" si="1"/>
        <v>4893.998611</v>
      </c>
      <c r="D2071" s="1">
        <f t="shared" si="2"/>
        <v>13035.56629</v>
      </c>
      <c r="E2071" s="1">
        <f t="shared" si="3"/>
        <v>23464.01932</v>
      </c>
      <c r="F2071" s="1">
        <f t="shared" si="4"/>
        <v>44320.92539</v>
      </c>
      <c r="G2071" s="1">
        <f t="shared" si="5"/>
        <v>78213.39774</v>
      </c>
      <c r="H2071" s="1">
        <f t="shared" si="6"/>
        <v>143391.2292</v>
      </c>
      <c r="I2071" s="1">
        <f t="shared" si="7"/>
        <v>234640.1932</v>
      </c>
    </row>
    <row r="2072" hidden="1">
      <c r="A2072" s="266">
        <f>IFERROR(__xludf.DUMMYFUNCTION("""COMPUTED_VALUE"""),44710.99861111111)</f>
        <v>44710.99861</v>
      </c>
      <c r="B2072" s="1">
        <f>IFERROR(__xludf.DUMMYFUNCTION("""COMPUTED_VALUE"""),29453.66)</f>
        <v>29453.66</v>
      </c>
      <c r="C2072" s="58">
        <f t="shared" si="1"/>
        <v>4894.998611</v>
      </c>
      <c r="D2072" s="1">
        <f t="shared" si="2"/>
        <v>13051.02264</v>
      </c>
      <c r="E2072" s="1">
        <f t="shared" si="3"/>
        <v>23491.84076</v>
      </c>
      <c r="F2072" s="1">
        <f t="shared" si="4"/>
        <v>44373.47699</v>
      </c>
      <c r="G2072" s="1">
        <f t="shared" si="5"/>
        <v>78306.13586</v>
      </c>
      <c r="H2072" s="1">
        <f t="shared" si="6"/>
        <v>143561.2491</v>
      </c>
      <c r="I2072" s="1">
        <f t="shared" si="7"/>
        <v>234918.4076</v>
      </c>
    </row>
    <row r="2073" hidden="1">
      <c r="A2073" s="266">
        <f>IFERROR(__xludf.DUMMYFUNCTION("""COMPUTED_VALUE"""),44711.99861111111)</f>
        <v>44711.99861</v>
      </c>
      <c r="B2073" s="1">
        <f>IFERROR(__xludf.DUMMYFUNCTION("""COMPUTED_VALUE"""),31716.84)</f>
        <v>31716.84</v>
      </c>
      <c r="C2073" s="58">
        <f t="shared" si="1"/>
        <v>4895.998611</v>
      </c>
      <c r="D2073" s="1">
        <f t="shared" si="2"/>
        <v>13066.49416</v>
      </c>
      <c r="E2073" s="1">
        <f t="shared" si="3"/>
        <v>23519.68949</v>
      </c>
      <c r="F2073" s="1">
        <f t="shared" si="4"/>
        <v>44426.08014</v>
      </c>
      <c r="G2073" s="1">
        <f t="shared" si="5"/>
        <v>78398.96496</v>
      </c>
      <c r="H2073" s="1">
        <f t="shared" si="6"/>
        <v>143731.4358</v>
      </c>
      <c r="I2073" s="1">
        <f t="shared" si="7"/>
        <v>235196.8949</v>
      </c>
    </row>
    <row r="2074" hidden="1">
      <c r="A2074" s="266">
        <f>IFERROR(__xludf.DUMMYFUNCTION("""COMPUTED_VALUE"""),44712.99861111111)</f>
        <v>44712.99861</v>
      </c>
      <c r="B2074" s="1">
        <f>IFERROR(__xludf.DUMMYFUNCTION("""COMPUTED_VALUE"""),31772.85)</f>
        <v>31772.85</v>
      </c>
      <c r="C2074" s="58">
        <f t="shared" si="1"/>
        <v>4896.998611</v>
      </c>
      <c r="D2074" s="1">
        <f t="shared" si="2"/>
        <v>13081.98085</v>
      </c>
      <c r="E2074" s="1">
        <f t="shared" si="3"/>
        <v>23547.56553</v>
      </c>
      <c r="F2074" s="1">
        <f t="shared" si="4"/>
        <v>44478.7349</v>
      </c>
      <c r="G2074" s="1">
        <f t="shared" si="5"/>
        <v>78491.88512</v>
      </c>
      <c r="H2074" s="1">
        <f t="shared" si="6"/>
        <v>143901.7894</v>
      </c>
      <c r="I2074" s="1">
        <f t="shared" si="7"/>
        <v>235475.6553</v>
      </c>
    </row>
    <row r="2075" hidden="1">
      <c r="A2075" s="266">
        <f>IFERROR(__xludf.DUMMYFUNCTION("""COMPUTED_VALUE"""),44713.99861111111)</f>
        <v>44713.99861</v>
      </c>
      <c r="B2075" s="1">
        <f>IFERROR(__xludf.DUMMYFUNCTION("""COMPUTED_VALUE"""),29789.13)</f>
        <v>29789.13</v>
      </c>
      <c r="C2075" s="58">
        <f t="shared" si="1"/>
        <v>4897.998611</v>
      </c>
      <c r="D2075" s="1">
        <f t="shared" si="2"/>
        <v>13097.48273</v>
      </c>
      <c r="E2075" s="1">
        <f t="shared" si="3"/>
        <v>23575.46892</v>
      </c>
      <c r="F2075" s="1">
        <f t="shared" si="4"/>
        <v>44531.44129</v>
      </c>
      <c r="G2075" s="1">
        <f t="shared" si="5"/>
        <v>78584.8964</v>
      </c>
      <c r="H2075" s="1">
        <f t="shared" si="6"/>
        <v>144072.3101</v>
      </c>
      <c r="I2075" s="1">
        <f t="shared" si="7"/>
        <v>235754.6892</v>
      </c>
    </row>
    <row r="2076" hidden="1">
      <c r="A2076" s="266">
        <f>IFERROR(__xludf.DUMMYFUNCTION("""COMPUTED_VALUE"""),44714.99861111111)</f>
        <v>44714.99861</v>
      </c>
      <c r="B2076" s="1">
        <f>IFERROR(__xludf.DUMMYFUNCTION("""COMPUTED_VALUE"""),30441.68)</f>
        <v>30441.68</v>
      </c>
      <c r="C2076" s="58">
        <f t="shared" si="1"/>
        <v>4898.998611</v>
      </c>
      <c r="D2076" s="1">
        <f t="shared" si="2"/>
        <v>13112.99981</v>
      </c>
      <c r="E2076" s="1">
        <f t="shared" si="3"/>
        <v>23603.39966</v>
      </c>
      <c r="F2076" s="1">
        <f t="shared" si="4"/>
        <v>44584.19936</v>
      </c>
      <c r="G2076" s="1">
        <f t="shared" si="5"/>
        <v>78677.99887</v>
      </c>
      <c r="H2076" s="1">
        <f t="shared" si="6"/>
        <v>144242.9979</v>
      </c>
      <c r="I2076" s="1">
        <f t="shared" si="7"/>
        <v>236033.9966</v>
      </c>
    </row>
    <row r="2077" hidden="1">
      <c r="A2077" s="266">
        <f>IFERROR(__xludf.DUMMYFUNCTION("""COMPUTED_VALUE"""),44715.99861111111)</f>
        <v>44715.99861</v>
      </c>
      <c r="B2077" s="1">
        <f>IFERROR(__xludf.DUMMYFUNCTION("""COMPUTED_VALUE"""),29681.62)</f>
        <v>29681.62</v>
      </c>
      <c r="C2077" s="58">
        <f t="shared" si="1"/>
        <v>4899.998611</v>
      </c>
      <c r="D2077" s="1">
        <f t="shared" si="2"/>
        <v>13128.5321</v>
      </c>
      <c r="E2077" s="1">
        <f t="shared" si="3"/>
        <v>23631.35778</v>
      </c>
      <c r="F2077" s="1">
        <f t="shared" si="4"/>
        <v>44637.00915</v>
      </c>
      <c r="G2077" s="1">
        <f t="shared" si="5"/>
        <v>78771.19261</v>
      </c>
      <c r="H2077" s="1">
        <f t="shared" si="6"/>
        <v>144413.8531</v>
      </c>
      <c r="I2077" s="1">
        <f t="shared" si="7"/>
        <v>236313.5778</v>
      </c>
    </row>
    <row r="2078" hidden="1">
      <c r="A2078" s="266">
        <f>IFERROR(__xludf.DUMMYFUNCTION("""COMPUTED_VALUE"""),44716.99861111111)</f>
        <v>44716.99861</v>
      </c>
      <c r="B2078" s="1">
        <f>IFERROR(__xludf.DUMMYFUNCTION("""COMPUTED_VALUE"""),29849.81)</f>
        <v>29849.81</v>
      </c>
      <c r="C2078" s="58">
        <f t="shared" si="1"/>
        <v>4900.998611</v>
      </c>
      <c r="D2078" s="1">
        <f t="shared" si="2"/>
        <v>13144.07961</v>
      </c>
      <c r="E2078" s="1">
        <f t="shared" si="3"/>
        <v>23659.34331</v>
      </c>
      <c r="F2078" s="1">
        <f t="shared" si="4"/>
        <v>44689.87069</v>
      </c>
      <c r="G2078" s="1">
        <f t="shared" si="5"/>
        <v>78864.47769</v>
      </c>
      <c r="H2078" s="1">
        <f t="shared" si="6"/>
        <v>144584.8758</v>
      </c>
      <c r="I2078" s="1">
        <f t="shared" si="7"/>
        <v>236593.4331</v>
      </c>
    </row>
    <row r="2079" hidden="1">
      <c r="A2079" s="266">
        <f>IFERROR(__xludf.DUMMYFUNCTION("""COMPUTED_VALUE"""),44717.99861111111)</f>
        <v>44717.99861</v>
      </c>
      <c r="B2079" s="1">
        <f>IFERROR(__xludf.DUMMYFUNCTION("""COMPUTED_VALUE"""),29904.38)</f>
        <v>29904.38</v>
      </c>
      <c r="C2079" s="58">
        <f t="shared" si="1"/>
        <v>4901.998611</v>
      </c>
      <c r="D2079" s="1">
        <f t="shared" si="2"/>
        <v>13159.64236</v>
      </c>
      <c r="E2079" s="1">
        <f t="shared" si="3"/>
        <v>23687.35625</v>
      </c>
      <c r="F2079" s="1">
        <f t="shared" si="4"/>
        <v>44742.78403</v>
      </c>
      <c r="G2079" s="1">
        <f t="shared" si="5"/>
        <v>78957.85417</v>
      </c>
      <c r="H2079" s="1">
        <f t="shared" si="6"/>
        <v>144756.066</v>
      </c>
      <c r="I2079" s="1">
        <f t="shared" si="7"/>
        <v>236873.5625</v>
      </c>
    </row>
    <row r="2080" hidden="1">
      <c r="A2080" s="266">
        <f>IFERROR(__xludf.DUMMYFUNCTION("""COMPUTED_VALUE"""),44718.99861111111)</f>
        <v>44718.99861</v>
      </c>
      <c r="B2080" s="1">
        <f>IFERROR(__xludf.DUMMYFUNCTION("""COMPUTED_VALUE"""),31363.37)</f>
        <v>31363.37</v>
      </c>
      <c r="C2080" s="58">
        <f t="shared" si="1"/>
        <v>4902.998611</v>
      </c>
      <c r="D2080" s="1">
        <f t="shared" si="2"/>
        <v>13175.22036</v>
      </c>
      <c r="E2080" s="1">
        <f t="shared" si="3"/>
        <v>23715.39664</v>
      </c>
      <c r="F2080" s="1">
        <f t="shared" si="4"/>
        <v>44795.74921</v>
      </c>
      <c r="G2080" s="1">
        <f t="shared" si="5"/>
        <v>79051.32214</v>
      </c>
      <c r="H2080" s="1">
        <f t="shared" si="6"/>
        <v>144927.4239</v>
      </c>
      <c r="I2080" s="1">
        <f t="shared" si="7"/>
        <v>237153.9664</v>
      </c>
    </row>
    <row r="2081" hidden="1">
      <c r="A2081" s="266">
        <f>IFERROR(__xludf.DUMMYFUNCTION("""COMPUTED_VALUE"""),44719.99861111111)</f>
        <v>44719.99861</v>
      </c>
      <c r="B2081" s="1">
        <f>IFERROR(__xludf.DUMMYFUNCTION("""COMPUTED_VALUE"""),31110.29)</f>
        <v>31110.29</v>
      </c>
      <c r="C2081" s="58">
        <f t="shared" si="1"/>
        <v>4903.998611</v>
      </c>
      <c r="D2081" s="1">
        <f t="shared" si="2"/>
        <v>13190.81361</v>
      </c>
      <c r="E2081" s="1">
        <f t="shared" si="3"/>
        <v>23743.46449</v>
      </c>
      <c r="F2081" s="1">
        <f t="shared" si="4"/>
        <v>44848.76627</v>
      </c>
      <c r="G2081" s="1">
        <f t="shared" si="5"/>
        <v>79144.88165</v>
      </c>
      <c r="H2081" s="1">
        <f t="shared" si="6"/>
        <v>145098.9497</v>
      </c>
      <c r="I2081" s="1">
        <f t="shared" si="7"/>
        <v>237434.6449</v>
      </c>
    </row>
    <row r="2082" hidden="1">
      <c r="A2082" s="266">
        <f>IFERROR(__xludf.DUMMYFUNCTION("""COMPUTED_VALUE"""),44720.99861111111)</f>
        <v>44720.99861</v>
      </c>
      <c r="B2082" s="1">
        <f>IFERROR(__xludf.DUMMYFUNCTION("""COMPUTED_VALUE"""),30197.43)</f>
        <v>30197.43</v>
      </c>
      <c r="C2082" s="58">
        <f t="shared" si="1"/>
        <v>4904.998611</v>
      </c>
      <c r="D2082" s="1">
        <f t="shared" si="2"/>
        <v>13206.42213</v>
      </c>
      <c r="E2082" s="1">
        <f t="shared" si="3"/>
        <v>23771.55983</v>
      </c>
      <c r="F2082" s="1">
        <f t="shared" si="4"/>
        <v>44901.83524</v>
      </c>
      <c r="G2082" s="1">
        <f t="shared" si="5"/>
        <v>79238.53278</v>
      </c>
      <c r="H2082" s="1">
        <f t="shared" si="6"/>
        <v>145270.6434</v>
      </c>
      <c r="I2082" s="1">
        <f t="shared" si="7"/>
        <v>237715.5983</v>
      </c>
    </row>
    <row r="2083" hidden="1">
      <c r="A2083" s="266">
        <f>IFERROR(__xludf.DUMMYFUNCTION("""COMPUTED_VALUE"""),44721.99861111111)</f>
        <v>44721.99861</v>
      </c>
      <c r="B2083" s="1">
        <f>IFERROR(__xludf.DUMMYFUNCTION("""COMPUTED_VALUE"""),30090.58)</f>
        <v>30090.58</v>
      </c>
      <c r="C2083" s="58">
        <f t="shared" si="1"/>
        <v>4905.998611</v>
      </c>
      <c r="D2083" s="1">
        <f t="shared" si="2"/>
        <v>13222.04593</v>
      </c>
      <c r="E2083" s="1">
        <f t="shared" si="3"/>
        <v>23799.68268</v>
      </c>
      <c r="F2083" s="1">
        <f t="shared" si="4"/>
        <v>44954.95618</v>
      </c>
      <c r="G2083" s="1">
        <f t="shared" si="5"/>
        <v>79332.27561</v>
      </c>
      <c r="H2083" s="1">
        <f t="shared" si="6"/>
        <v>145442.5053</v>
      </c>
      <c r="I2083" s="1">
        <f t="shared" si="7"/>
        <v>237996.8268</v>
      </c>
    </row>
    <row r="2084" hidden="1">
      <c r="A2084" s="266">
        <f>IFERROR(__xludf.DUMMYFUNCTION("""COMPUTED_VALUE"""),44722.99861111111)</f>
        <v>44722.99861</v>
      </c>
      <c r="B2084" s="1">
        <f>IFERROR(__xludf.DUMMYFUNCTION("""COMPUTED_VALUE"""),29061.1)</f>
        <v>29061.1</v>
      </c>
      <c r="C2084" s="58">
        <f t="shared" si="1"/>
        <v>4906.998611</v>
      </c>
      <c r="D2084" s="1">
        <f t="shared" si="2"/>
        <v>13237.68503</v>
      </c>
      <c r="E2084" s="1">
        <f t="shared" si="3"/>
        <v>23827.83306</v>
      </c>
      <c r="F2084" s="1">
        <f t="shared" si="4"/>
        <v>45008.12911</v>
      </c>
      <c r="G2084" s="1">
        <f t="shared" si="5"/>
        <v>79426.11019</v>
      </c>
      <c r="H2084" s="1">
        <f t="shared" si="6"/>
        <v>145614.5354</v>
      </c>
      <c r="I2084" s="1">
        <f t="shared" si="7"/>
        <v>238278.3306</v>
      </c>
    </row>
    <row r="2085" hidden="1">
      <c r="A2085" s="266">
        <f>IFERROR(__xludf.DUMMYFUNCTION("""COMPUTED_VALUE"""),44723.99861111111)</f>
        <v>44723.99861</v>
      </c>
      <c r="B2085" s="1">
        <f>IFERROR(__xludf.DUMMYFUNCTION("""COMPUTED_VALUE"""),28384.03)</f>
        <v>28384.03</v>
      </c>
      <c r="C2085" s="58">
        <f t="shared" si="1"/>
        <v>4907.998611</v>
      </c>
      <c r="D2085" s="1">
        <f t="shared" si="2"/>
        <v>13253.33944</v>
      </c>
      <c r="E2085" s="1">
        <f t="shared" si="3"/>
        <v>23856.01098</v>
      </c>
      <c r="F2085" s="1">
        <f t="shared" si="4"/>
        <v>45061.35408</v>
      </c>
      <c r="G2085" s="1">
        <f t="shared" si="5"/>
        <v>79520.03661</v>
      </c>
      <c r="H2085" s="1">
        <f t="shared" si="6"/>
        <v>145786.7338</v>
      </c>
      <c r="I2085" s="1">
        <f t="shared" si="7"/>
        <v>238560.1098</v>
      </c>
    </row>
    <row r="2086" hidden="1">
      <c r="A2086" s="266">
        <f>IFERROR(__xludf.DUMMYFUNCTION("""COMPUTED_VALUE"""),44724.99861111111)</f>
        <v>44724.99861</v>
      </c>
      <c r="B2086" s="1">
        <f>IFERROR(__xludf.DUMMYFUNCTION("""COMPUTED_VALUE"""),26599.2)</f>
        <v>26599.2</v>
      </c>
      <c r="C2086" s="58">
        <f t="shared" si="1"/>
        <v>4908.998611</v>
      </c>
      <c r="D2086" s="1">
        <f t="shared" si="2"/>
        <v>13269.00916</v>
      </c>
      <c r="E2086" s="1">
        <f t="shared" si="3"/>
        <v>23884.21648</v>
      </c>
      <c r="F2086" s="1">
        <f t="shared" si="4"/>
        <v>45114.63113</v>
      </c>
      <c r="G2086" s="1">
        <f t="shared" si="5"/>
        <v>79614.05494</v>
      </c>
      <c r="H2086" s="1">
        <f t="shared" si="6"/>
        <v>145959.1007</v>
      </c>
      <c r="I2086" s="1">
        <f t="shared" si="7"/>
        <v>238842.1648</v>
      </c>
    </row>
    <row r="2087" hidden="1">
      <c r="A2087" s="266">
        <f>IFERROR(__xludf.DUMMYFUNCTION("""COMPUTED_VALUE"""),44725.99861111111)</f>
        <v>44725.99861</v>
      </c>
      <c r="B2087" s="1">
        <f>IFERROR(__xludf.DUMMYFUNCTION("""COMPUTED_VALUE"""),22439.37)</f>
        <v>22439.37</v>
      </c>
      <c r="C2087" s="58">
        <f t="shared" si="1"/>
        <v>4909.998611</v>
      </c>
      <c r="D2087" s="1">
        <f t="shared" si="2"/>
        <v>13284.69421</v>
      </c>
      <c r="E2087" s="1">
        <f t="shared" si="3"/>
        <v>23912.44957</v>
      </c>
      <c r="F2087" s="1">
        <f t="shared" si="4"/>
        <v>45167.9603</v>
      </c>
      <c r="G2087" s="1">
        <f t="shared" si="5"/>
        <v>79708.16524</v>
      </c>
      <c r="H2087" s="1">
        <f t="shared" si="6"/>
        <v>146131.6363</v>
      </c>
      <c r="I2087" s="1">
        <f t="shared" si="7"/>
        <v>239124.4957</v>
      </c>
    </row>
    <row r="2088" hidden="1">
      <c r="A2088" s="266">
        <f>IFERROR(__xludf.DUMMYFUNCTION("""COMPUTED_VALUE"""),44726.99861111111)</f>
        <v>44726.99861</v>
      </c>
      <c r="B2088" s="1">
        <f>IFERROR(__xludf.DUMMYFUNCTION("""COMPUTED_VALUE"""),22145.76)</f>
        <v>22145.76</v>
      </c>
      <c r="C2088" s="58">
        <f t="shared" si="1"/>
        <v>4910.998611</v>
      </c>
      <c r="D2088" s="1">
        <f t="shared" si="2"/>
        <v>13300.3946</v>
      </c>
      <c r="E2088" s="1">
        <f t="shared" si="3"/>
        <v>23940.71027</v>
      </c>
      <c r="F2088" s="1">
        <f t="shared" si="4"/>
        <v>45221.34163</v>
      </c>
      <c r="G2088" s="1">
        <f t="shared" si="5"/>
        <v>79802.36758</v>
      </c>
      <c r="H2088" s="1">
        <f t="shared" si="6"/>
        <v>146304.3406</v>
      </c>
      <c r="I2088" s="1">
        <f t="shared" si="7"/>
        <v>239407.1027</v>
      </c>
    </row>
    <row r="2089" hidden="1">
      <c r="A2089" s="266">
        <f>IFERROR(__xludf.DUMMYFUNCTION("""COMPUTED_VALUE"""),44727.99861111111)</f>
        <v>44727.99861</v>
      </c>
      <c r="B2089" s="1">
        <f>IFERROR(__xludf.DUMMYFUNCTION("""COMPUTED_VALUE"""),22567.14)</f>
        <v>22567.14</v>
      </c>
      <c r="C2089" s="58">
        <f t="shared" si="1"/>
        <v>4911.998611</v>
      </c>
      <c r="D2089" s="1">
        <f t="shared" si="2"/>
        <v>13316.11034</v>
      </c>
      <c r="E2089" s="1">
        <f t="shared" si="3"/>
        <v>23968.99861</v>
      </c>
      <c r="F2089" s="1">
        <f t="shared" si="4"/>
        <v>45274.77516</v>
      </c>
      <c r="G2089" s="1">
        <f t="shared" si="5"/>
        <v>79896.66205</v>
      </c>
      <c r="H2089" s="1">
        <f t="shared" si="6"/>
        <v>146477.2138</v>
      </c>
      <c r="I2089" s="1">
        <f t="shared" si="7"/>
        <v>239689.9861</v>
      </c>
    </row>
    <row r="2090" hidden="1">
      <c r="A2090" s="266">
        <f>IFERROR(__xludf.DUMMYFUNCTION("""COMPUTED_VALUE"""),44728.99861111111)</f>
        <v>44728.99861</v>
      </c>
      <c r="B2090" s="1">
        <f>IFERROR(__xludf.DUMMYFUNCTION("""COMPUTED_VALUE"""),20375.4)</f>
        <v>20375.4</v>
      </c>
      <c r="C2090" s="58">
        <f t="shared" si="1"/>
        <v>4912.998611</v>
      </c>
      <c r="D2090" s="1">
        <f t="shared" si="2"/>
        <v>13331.84145</v>
      </c>
      <c r="E2090" s="1">
        <f t="shared" si="3"/>
        <v>23997.31461</v>
      </c>
      <c r="F2090" s="1">
        <f t="shared" si="4"/>
        <v>45328.26093</v>
      </c>
      <c r="G2090" s="1">
        <f t="shared" si="5"/>
        <v>79991.0487</v>
      </c>
      <c r="H2090" s="1">
        <f t="shared" si="6"/>
        <v>146650.256</v>
      </c>
      <c r="I2090" s="1">
        <f t="shared" si="7"/>
        <v>239973.1461</v>
      </c>
    </row>
    <row r="2091" hidden="1">
      <c r="A2091" s="266">
        <f>IFERROR(__xludf.DUMMYFUNCTION("""COMPUTED_VALUE"""),44729.99861111111)</f>
        <v>44729.99861</v>
      </c>
      <c r="B2091" s="1">
        <f>IFERROR(__xludf.DUMMYFUNCTION("""COMPUTED_VALUE"""),20437.65)</f>
        <v>20437.65</v>
      </c>
      <c r="C2091" s="58">
        <f t="shared" si="1"/>
        <v>4913.998611</v>
      </c>
      <c r="D2091" s="1">
        <f t="shared" si="2"/>
        <v>13347.58794</v>
      </c>
      <c r="E2091" s="1">
        <f t="shared" si="3"/>
        <v>24025.65829</v>
      </c>
      <c r="F2091" s="1">
        <f t="shared" si="4"/>
        <v>45381.79898</v>
      </c>
      <c r="G2091" s="1">
        <f t="shared" si="5"/>
        <v>80085.52762</v>
      </c>
      <c r="H2091" s="1">
        <f t="shared" si="6"/>
        <v>146823.4673</v>
      </c>
      <c r="I2091" s="1">
        <f t="shared" si="7"/>
        <v>240256.5829</v>
      </c>
    </row>
    <row r="2092" hidden="1">
      <c r="A2092" s="266">
        <f>IFERROR(__xludf.DUMMYFUNCTION("""COMPUTED_VALUE"""),44730.99861111111)</f>
        <v>44730.99861</v>
      </c>
      <c r="B2092" s="1">
        <f>IFERROR(__xludf.DUMMYFUNCTION("""COMPUTED_VALUE"""),18971.42)</f>
        <v>18971.42</v>
      </c>
      <c r="C2092" s="58">
        <f t="shared" si="1"/>
        <v>4914.998611</v>
      </c>
      <c r="D2092" s="1">
        <f t="shared" si="2"/>
        <v>13363.34981</v>
      </c>
      <c r="E2092" s="1">
        <f t="shared" si="3"/>
        <v>24054.02966</v>
      </c>
      <c r="F2092" s="1">
        <f t="shared" si="4"/>
        <v>45435.38936</v>
      </c>
      <c r="G2092" s="1">
        <f t="shared" si="5"/>
        <v>80180.09886</v>
      </c>
      <c r="H2092" s="1">
        <f t="shared" si="6"/>
        <v>146996.8479</v>
      </c>
      <c r="I2092" s="1">
        <f t="shared" si="7"/>
        <v>240540.2966</v>
      </c>
    </row>
    <row r="2093" hidden="1">
      <c r="A2093" s="266">
        <f>IFERROR(__xludf.DUMMYFUNCTION("""COMPUTED_VALUE"""),44731.99861111111)</f>
        <v>44731.99861</v>
      </c>
      <c r="B2093" s="1">
        <f>IFERROR(__xludf.DUMMYFUNCTION("""COMPUTED_VALUE"""),20559.79)</f>
        <v>20559.79</v>
      </c>
      <c r="C2093" s="58">
        <f t="shared" si="1"/>
        <v>4915.998611</v>
      </c>
      <c r="D2093" s="1">
        <f t="shared" si="2"/>
        <v>13379.12709</v>
      </c>
      <c r="E2093" s="1">
        <f t="shared" si="3"/>
        <v>24082.42875</v>
      </c>
      <c r="F2093" s="1">
        <f t="shared" si="4"/>
        <v>45489.03209</v>
      </c>
      <c r="G2093" s="1">
        <f t="shared" si="5"/>
        <v>80274.76252</v>
      </c>
      <c r="H2093" s="1">
        <f t="shared" si="6"/>
        <v>147170.3979</v>
      </c>
      <c r="I2093" s="1">
        <f t="shared" si="7"/>
        <v>240824.2875</v>
      </c>
    </row>
    <row r="2094" hidden="1">
      <c r="A2094" s="266">
        <f>IFERROR(__xludf.DUMMYFUNCTION("""COMPUTED_VALUE"""),44732.99861111111)</f>
        <v>44732.99861</v>
      </c>
      <c r="B2094" s="1">
        <f>IFERROR(__xludf.DUMMYFUNCTION("""COMPUTED_VALUE"""),20568.29)</f>
        <v>20568.29</v>
      </c>
      <c r="C2094" s="58">
        <f t="shared" si="1"/>
        <v>4916.998611</v>
      </c>
      <c r="D2094" s="1">
        <f t="shared" si="2"/>
        <v>13394.91977</v>
      </c>
      <c r="E2094" s="1">
        <f t="shared" si="3"/>
        <v>24110.85559</v>
      </c>
      <c r="F2094" s="1">
        <f t="shared" si="4"/>
        <v>45542.72723</v>
      </c>
      <c r="G2094" s="1">
        <f t="shared" si="5"/>
        <v>80369.51864</v>
      </c>
      <c r="H2094" s="1">
        <f t="shared" si="6"/>
        <v>147344.1175</v>
      </c>
      <c r="I2094" s="1">
        <f t="shared" si="7"/>
        <v>241108.5559</v>
      </c>
    </row>
    <row r="2095" hidden="1">
      <c r="A2095" s="266">
        <f>IFERROR(__xludf.DUMMYFUNCTION("""COMPUTED_VALUE"""),44733.99861111111)</f>
        <v>44733.99861</v>
      </c>
      <c r="B2095" s="1">
        <f>IFERROR(__xludf.DUMMYFUNCTION("""COMPUTED_VALUE"""),20702.51)</f>
        <v>20702.51</v>
      </c>
      <c r="C2095" s="58">
        <f t="shared" si="1"/>
        <v>4917.998611</v>
      </c>
      <c r="D2095" s="1">
        <f t="shared" si="2"/>
        <v>13410.72789</v>
      </c>
      <c r="E2095" s="1">
        <f t="shared" si="3"/>
        <v>24139.31019</v>
      </c>
      <c r="F2095" s="1">
        <f t="shared" si="4"/>
        <v>45596.47481</v>
      </c>
      <c r="G2095" s="1">
        <f t="shared" si="5"/>
        <v>80464.36731</v>
      </c>
      <c r="H2095" s="1">
        <f t="shared" si="6"/>
        <v>147518.0067</v>
      </c>
      <c r="I2095" s="1">
        <f t="shared" si="7"/>
        <v>241393.1019</v>
      </c>
    </row>
    <row r="2096" hidden="1">
      <c r="A2096" s="266">
        <f>IFERROR(__xludf.DUMMYFUNCTION("""COMPUTED_VALUE"""),44734.99861111111)</f>
        <v>44734.99861</v>
      </c>
      <c r="B2096" s="1">
        <f>IFERROR(__xludf.DUMMYFUNCTION("""COMPUTED_VALUE"""),19960.41)</f>
        <v>19960.41</v>
      </c>
      <c r="C2096" s="58">
        <f t="shared" si="1"/>
        <v>4918.998611</v>
      </c>
      <c r="D2096" s="1">
        <f t="shared" si="2"/>
        <v>13426.55143</v>
      </c>
      <c r="E2096" s="1">
        <f t="shared" si="3"/>
        <v>24167.79258</v>
      </c>
      <c r="F2096" s="1">
        <f t="shared" si="4"/>
        <v>45650.27488</v>
      </c>
      <c r="G2096" s="1">
        <f t="shared" si="5"/>
        <v>80559.30861</v>
      </c>
      <c r="H2096" s="1">
        <f t="shared" si="6"/>
        <v>147692.0658</v>
      </c>
      <c r="I2096" s="1">
        <f t="shared" si="7"/>
        <v>241677.9258</v>
      </c>
    </row>
    <row r="2097" hidden="1">
      <c r="A2097" s="266">
        <f>IFERROR(__xludf.DUMMYFUNCTION("""COMPUTED_VALUE"""),44735.99861111111)</f>
        <v>44735.99861</v>
      </c>
      <c r="B2097" s="1">
        <f>IFERROR(__xludf.DUMMYFUNCTION("""COMPUTED_VALUE"""),21088.29)</f>
        <v>21088.29</v>
      </c>
      <c r="C2097" s="58">
        <f t="shared" si="1"/>
        <v>4919.998611</v>
      </c>
      <c r="D2097" s="1">
        <f t="shared" si="2"/>
        <v>13442.39043</v>
      </c>
      <c r="E2097" s="1">
        <f t="shared" si="3"/>
        <v>24196.30278</v>
      </c>
      <c r="F2097" s="1">
        <f t="shared" si="4"/>
        <v>45704.12747</v>
      </c>
      <c r="G2097" s="1">
        <f t="shared" si="5"/>
        <v>80654.34259</v>
      </c>
      <c r="H2097" s="1">
        <f t="shared" si="6"/>
        <v>147866.2947</v>
      </c>
      <c r="I2097" s="1">
        <f t="shared" si="7"/>
        <v>241963.0278</v>
      </c>
    </row>
    <row r="2098" hidden="1">
      <c r="A2098" s="266">
        <f>IFERROR(__xludf.DUMMYFUNCTION("""COMPUTED_VALUE"""),44736.99861111111)</f>
        <v>44736.99861</v>
      </c>
      <c r="B2098" s="1">
        <f>IFERROR(__xludf.DUMMYFUNCTION("""COMPUTED_VALUE"""),21218.06)</f>
        <v>21218.06</v>
      </c>
      <c r="C2098" s="58">
        <f t="shared" si="1"/>
        <v>4920.998611</v>
      </c>
      <c r="D2098" s="1">
        <f t="shared" si="2"/>
        <v>13458.24489</v>
      </c>
      <c r="E2098" s="1">
        <f t="shared" si="3"/>
        <v>24224.8408</v>
      </c>
      <c r="F2098" s="1">
        <f t="shared" si="4"/>
        <v>45758.03262</v>
      </c>
      <c r="G2098" s="1">
        <f t="shared" si="5"/>
        <v>80749.46933</v>
      </c>
      <c r="H2098" s="1">
        <f t="shared" si="6"/>
        <v>148040.6938</v>
      </c>
      <c r="I2098" s="1">
        <f t="shared" si="7"/>
        <v>242248.408</v>
      </c>
    </row>
    <row r="2099" hidden="1">
      <c r="A2099" s="266">
        <f>IFERROR(__xludf.DUMMYFUNCTION("""COMPUTED_VALUE"""),44737.99861111111)</f>
        <v>44737.99861</v>
      </c>
      <c r="B2099" s="1">
        <f>IFERROR(__xludf.DUMMYFUNCTION("""COMPUTED_VALUE"""),21483.74)</f>
        <v>21483.74</v>
      </c>
      <c r="C2099" s="58">
        <f t="shared" si="1"/>
        <v>4921.998611</v>
      </c>
      <c r="D2099" s="1">
        <f t="shared" si="2"/>
        <v>13474.11482</v>
      </c>
      <c r="E2099" s="1">
        <f t="shared" si="3"/>
        <v>24253.40667</v>
      </c>
      <c r="F2099" s="1">
        <f t="shared" si="4"/>
        <v>45811.99038</v>
      </c>
      <c r="G2099" s="1">
        <f t="shared" si="5"/>
        <v>80844.6889</v>
      </c>
      <c r="H2099" s="1">
        <f t="shared" si="6"/>
        <v>148215.263</v>
      </c>
      <c r="I2099" s="1">
        <f t="shared" si="7"/>
        <v>242534.0667</v>
      </c>
    </row>
    <row r="2100" hidden="1">
      <c r="A2100" s="266">
        <f>IFERROR(__xludf.DUMMYFUNCTION("""COMPUTED_VALUE"""),44738.99861111111)</f>
        <v>44738.99861</v>
      </c>
      <c r="B2100" s="1">
        <f>IFERROR(__xludf.DUMMYFUNCTION("""COMPUTED_VALUE"""),21036.57)</f>
        <v>21036.57</v>
      </c>
      <c r="C2100" s="58">
        <f t="shared" si="1"/>
        <v>4922.998611</v>
      </c>
      <c r="D2100" s="1">
        <f t="shared" si="2"/>
        <v>13490.00023</v>
      </c>
      <c r="E2100" s="1">
        <f t="shared" si="3"/>
        <v>24282.00041</v>
      </c>
      <c r="F2100" s="1">
        <f t="shared" si="4"/>
        <v>45866.00078</v>
      </c>
      <c r="G2100" s="1">
        <f t="shared" si="5"/>
        <v>80940.00138</v>
      </c>
      <c r="H2100" s="1">
        <f t="shared" si="6"/>
        <v>148390.0025</v>
      </c>
      <c r="I2100" s="1">
        <f t="shared" si="7"/>
        <v>242820.0041</v>
      </c>
    </row>
    <row r="2101" hidden="1">
      <c r="A2101" s="266">
        <f>IFERROR(__xludf.DUMMYFUNCTION("""COMPUTED_VALUE"""),44739.99861111111)</f>
        <v>44739.99861</v>
      </c>
      <c r="B2101" s="1">
        <f>IFERROR(__xludf.DUMMYFUNCTION("""COMPUTED_VALUE"""),20709.37)</f>
        <v>20709.37</v>
      </c>
      <c r="C2101" s="58">
        <f t="shared" si="1"/>
        <v>4923.998611</v>
      </c>
      <c r="D2101" s="1">
        <f t="shared" si="2"/>
        <v>13505.90114</v>
      </c>
      <c r="E2101" s="1">
        <f t="shared" si="3"/>
        <v>24310.62205</v>
      </c>
      <c r="F2101" s="1">
        <f t="shared" si="4"/>
        <v>45920.06388</v>
      </c>
      <c r="G2101" s="1">
        <f t="shared" si="5"/>
        <v>81035.40684</v>
      </c>
      <c r="H2101" s="1">
        <f t="shared" si="6"/>
        <v>148564.9125</v>
      </c>
      <c r="I2101" s="1">
        <f t="shared" si="7"/>
        <v>243106.2205</v>
      </c>
    </row>
    <row r="2102" hidden="1">
      <c r="A2102" s="266">
        <f>IFERROR(__xludf.DUMMYFUNCTION("""COMPUTED_VALUE"""),44740.99861111111)</f>
        <v>44740.99861</v>
      </c>
      <c r="B2102" s="1">
        <f>IFERROR(__xludf.DUMMYFUNCTION("""COMPUTED_VALUE"""),20261.63)</f>
        <v>20261.63</v>
      </c>
      <c r="C2102" s="58">
        <f t="shared" si="1"/>
        <v>4924.998611</v>
      </c>
      <c r="D2102" s="1">
        <f t="shared" si="2"/>
        <v>13521.81756</v>
      </c>
      <c r="E2102" s="1">
        <f t="shared" si="3"/>
        <v>24339.2716</v>
      </c>
      <c r="F2102" s="1">
        <f t="shared" si="4"/>
        <v>45974.17969</v>
      </c>
      <c r="G2102" s="1">
        <f t="shared" si="5"/>
        <v>81130.90534</v>
      </c>
      <c r="H2102" s="1">
        <f t="shared" si="6"/>
        <v>148739.9931</v>
      </c>
      <c r="I2102" s="1">
        <f t="shared" si="7"/>
        <v>243392.716</v>
      </c>
    </row>
    <row r="2103" hidden="1">
      <c r="A2103" s="266">
        <f>IFERROR(__xludf.DUMMYFUNCTION("""COMPUTED_VALUE"""),44741.99861111111)</f>
        <v>44741.99861</v>
      </c>
      <c r="B2103" s="1">
        <f>IFERROR(__xludf.DUMMYFUNCTION("""COMPUTED_VALUE"""),20097.49)</f>
        <v>20097.49</v>
      </c>
      <c r="C2103" s="58">
        <f t="shared" si="1"/>
        <v>4925.998611</v>
      </c>
      <c r="D2103" s="1">
        <f t="shared" si="2"/>
        <v>13537.74949</v>
      </c>
      <c r="E2103" s="1">
        <f t="shared" si="3"/>
        <v>24367.94909</v>
      </c>
      <c r="F2103" s="1">
        <f t="shared" si="4"/>
        <v>46028.34828</v>
      </c>
      <c r="G2103" s="1">
        <f t="shared" si="5"/>
        <v>81226.49697</v>
      </c>
      <c r="H2103" s="1">
        <f t="shared" si="6"/>
        <v>148915.2444</v>
      </c>
      <c r="I2103" s="1">
        <f t="shared" si="7"/>
        <v>243679.4909</v>
      </c>
    </row>
    <row r="2104" hidden="1">
      <c r="A2104" s="266">
        <f>IFERROR(__xludf.DUMMYFUNCTION("""COMPUTED_VALUE"""),44742.99861111111)</f>
        <v>44742.99861</v>
      </c>
      <c r="B2104" s="1">
        <f>IFERROR(__xludf.DUMMYFUNCTION("""COMPUTED_VALUE"""),19913.14)</f>
        <v>19913.14</v>
      </c>
      <c r="C2104" s="58">
        <f t="shared" si="1"/>
        <v>4926.998611</v>
      </c>
      <c r="D2104" s="1">
        <f t="shared" si="2"/>
        <v>13553.69696</v>
      </c>
      <c r="E2104" s="1">
        <f t="shared" si="3"/>
        <v>24396.65454</v>
      </c>
      <c r="F2104" s="1">
        <f t="shared" si="4"/>
        <v>46082.56968</v>
      </c>
      <c r="G2104" s="1">
        <f t="shared" si="5"/>
        <v>81322.18178</v>
      </c>
      <c r="H2104" s="1">
        <f t="shared" si="6"/>
        <v>149090.6666</v>
      </c>
      <c r="I2104" s="1">
        <f t="shared" si="7"/>
        <v>243966.5454</v>
      </c>
    </row>
    <row r="2105" hidden="1">
      <c r="A2105" s="266">
        <f>IFERROR(__xludf.DUMMYFUNCTION("""COMPUTED_VALUE"""),44743.99861111111)</f>
        <v>44743.99861</v>
      </c>
      <c r="B2105" s="1">
        <f>IFERROR(__xludf.DUMMYFUNCTION("""COMPUTED_VALUE"""),19249.26)</f>
        <v>19249.26</v>
      </c>
      <c r="C2105" s="58">
        <f t="shared" si="1"/>
        <v>4927.998611</v>
      </c>
      <c r="D2105" s="1">
        <f t="shared" si="2"/>
        <v>13569.65998</v>
      </c>
      <c r="E2105" s="1">
        <f t="shared" si="3"/>
        <v>24425.38796</v>
      </c>
      <c r="F2105" s="1">
        <f t="shared" si="4"/>
        <v>46136.84392</v>
      </c>
      <c r="G2105" s="1">
        <f t="shared" si="5"/>
        <v>81417.95986</v>
      </c>
      <c r="H2105" s="1">
        <f t="shared" si="6"/>
        <v>149266.2598</v>
      </c>
      <c r="I2105" s="1">
        <f t="shared" si="7"/>
        <v>244253.8796</v>
      </c>
    </row>
    <row r="2106" hidden="1">
      <c r="A2106" s="266">
        <f>IFERROR(__xludf.DUMMYFUNCTION("""COMPUTED_VALUE"""),44744.99861111111)</f>
        <v>44744.99861</v>
      </c>
      <c r="B2106" s="1">
        <f>IFERROR(__xludf.DUMMYFUNCTION("""COMPUTED_VALUE"""),19228.16)</f>
        <v>19228.16</v>
      </c>
      <c r="C2106" s="58">
        <f t="shared" si="1"/>
        <v>4928.998611</v>
      </c>
      <c r="D2106" s="1">
        <f t="shared" si="2"/>
        <v>13585.63855</v>
      </c>
      <c r="E2106" s="1">
        <f t="shared" si="3"/>
        <v>24454.14938</v>
      </c>
      <c r="F2106" s="1">
        <f t="shared" si="4"/>
        <v>46191.17106</v>
      </c>
      <c r="G2106" s="1">
        <f t="shared" si="5"/>
        <v>81513.83128</v>
      </c>
      <c r="H2106" s="1">
        <f t="shared" si="6"/>
        <v>149442.024</v>
      </c>
      <c r="I2106" s="1">
        <f t="shared" si="7"/>
        <v>244541.4938</v>
      </c>
    </row>
    <row r="2107" hidden="1">
      <c r="A2107" s="266">
        <f>IFERROR(__xludf.DUMMYFUNCTION("""COMPUTED_VALUE"""),44745.99861111111)</f>
        <v>44745.99861</v>
      </c>
      <c r="B2107" s="1">
        <f>IFERROR(__xludf.DUMMYFUNCTION("""COMPUTED_VALUE"""),19296.46)</f>
        <v>19296.46</v>
      </c>
      <c r="C2107" s="58">
        <f t="shared" si="1"/>
        <v>4929.998611</v>
      </c>
      <c r="D2107" s="1">
        <f t="shared" si="2"/>
        <v>13601.63268</v>
      </c>
      <c r="E2107" s="1">
        <f t="shared" si="3"/>
        <v>24482.93883</v>
      </c>
      <c r="F2107" s="1">
        <f t="shared" si="4"/>
        <v>46245.55113</v>
      </c>
      <c r="G2107" s="1">
        <f t="shared" si="5"/>
        <v>81609.79611</v>
      </c>
      <c r="H2107" s="1">
        <f t="shared" si="6"/>
        <v>149617.9595</v>
      </c>
      <c r="I2107" s="1">
        <f t="shared" si="7"/>
        <v>244829.3883</v>
      </c>
    </row>
    <row r="2108" hidden="1">
      <c r="A2108" s="266">
        <f>IFERROR(__xludf.DUMMYFUNCTION("""COMPUTED_VALUE"""),44746.99861111111)</f>
        <v>44746.99861</v>
      </c>
      <c r="B2108" s="1">
        <f>IFERROR(__xludf.DUMMYFUNCTION("""COMPUTED_VALUE"""),20212.47)</f>
        <v>20212.47</v>
      </c>
      <c r="C2108" s="58">
        <f t="shared" si="1"/>
        <v>4930.998611</v>
      </c>
      <c r="D2108" s="1">
        <f t="shared" si="2"/>
        <v>13617.6424</v>
      </c>
      <c r="E2108" s="1">
        <f t="shared" si="3"/>
        <v>24511.75632</v>
      </c>
      <c r="F2108" s="1">
        <f t="shared" si="4"/>
        <v>46299.98417</v>
      </c>
      <c r="G2108" s="1">
        <f t="shared" si="5"/>
        <v>81705.85441</v>
      </c>
      <c r="H2108" s="1">
        <f t="shared" si="6"/>
        <v>149794.0664</v>
      </c>
      <c r="I2108" s="1">
        <f t="shared" si="7"/>
        <v>245117.5632</v>
      </c>
    </row>
    <row r="2109" hidden="1">
      <c r="A2109" s="266">
        <f>IFERROR(__xludf.DUMMYFUNCTION("""COMPUTED_VALUE"""),44747.99861111111)</f>
        <v>44747.99861</v>
      </c>
      <c r="B2109" s="1">
        <f>IFERROR(__xludf.DUMMYFUNCTION("""COMPUTED_VALUE"""),20175.0)</f>
        <v>20175</v>
      </c>
      <c r="C2109" s="58">
        <f t="shared" si="1"/>
        <v>4931.998611</v>
      </c>
      <c r="D2109" s="1">
        <f t="shared" si="2"/>
        <v>13633.66771</v>
      </c>
      <c r="E2109" s="1">
        <f t="shared" si="3"/>
        <v>24540.60188</v>
      </c>
      <c r="F2109" s="1">
        <f t="shared" si="4"/>
        <v>46354.47022</v>
      </c>
      <c r="G2109" s="1">
        <f t="shared" si="5"/>
        <v>81802.00626</v>
      </c>
      <c r="H2109" s="1">
        <f t="shared" si="6"/>
        <v>149970.3448</v>
      </c>
      <c r="I2109" s="1">
        <f t="shared" si="7"/>
        <v>245406.0188</v>
      </c>
    </row>
    <row r="2110" hidden="1">
      <c r="A2110" s="266">
        <f>IFERROR(__xludf.DUMMYFUNCTION("""COMPUTED_VALUE"""),44748.99861111111)</f>
        <v>44748.99861</v>
      </c>
      <c r="B2110" s="1">
        <f>IFERROR(__xludf.DUMMYFUNCTION("""COMPUTED_VALUE"""),20548.82)</f>
        <v>20548.82</v>
      </c>
      <c r="C2110" s="58">
        <f t="shared" si="1"/>
        <v>4932.998611</v>
      </c>
      <c r="D2110" s="1">
        <f t="shared" si="2"/>
        <v>13649.70862</v>
      </c>
      <c r="E2110" s="1">
        <f t="shared" si="3"/>
        <v>24569.47552</v>
      </c>
      <c r="F2110" s="1">
        <f t="shared" si="4"/>
        <v>46409.00932</v>
      </c>
      <c r="G2110" s="1">
        <f t="shared" si="5"/>
        <v>81898.25174</v>
      </c>
      <c r="H2110" s="1">
        <f t="shared" si="6"/>
        <v>150146.7949</v>
      </c>
      <c r="I2110" s="1">
        <f t="shared" si="7"/>
        <v>245694.7552</v>
      </c>
    </row>
    <row r="2111" hidden="1">
      <c r="A2111" s="266">
        <f>IFERROR(__xludf.DUMMYFUNCTION("""COMPUTED_VALUE"""),44749.99861111111)</f>
        <v>44749.99861</v>
      </c>
      <c r="B2111" s="1">
        <f>IFERROR(__xludf.DUMMYFUNCTION("""COMPUTED_VALUE"""),21631.71)</f>
        <v>21631.71</v>
      </c>
      <c r="C2111" s="58">
        <f t="shared" si="1"/>
        <v>4933.998611</v>
      </c>
      <c r="D2111" s="1">
        <f t="shared" si="2"/>
        <v>13665.76515</v>
      </c>
      <c r="E2111" s="1">
        <f t="shared" si="3"/>
        <v>24598.37728</v>
      </c>
      <c r="F2111" s="1">
        <f t="shared" si="4"/>
        <v>46463.60152</v>
      </c>
      <c r="G2111" s="1">
        <f t="shared" si="5"/>
        <v>81994.59092</v>
      </c>
      <c r="H2111" s="1">
        <f t="shared" si="6"/>
        <v>150323.4167</v>
      </c>
      <c r="I2111" s="1">
        <f t="shared" si="7"/>
        <v>245983.7728</v>
      </c>
    </row>
    <row r="2112" hidden="1">
      <c r="A2112" s="266">
        <f>IFERROR(__xludf.DUMMYFUNCTION("""COMPUTED_VALUE"""),44750.99861111111)</f>
        <v>44750.99861</v>
      </c>
      <c r="B2112" s="1">
        <f>IFERROR(__xludf.DUMMYFUNCTION("""COMPUTED_VALUE"""),21606.68)</f>
        <v>21606.68</v>
      </c>
      <c r="C2112" s="58">
        <f t="shared" si="1"/>
        <v>4934.998611</v>
      </c>
      <c r="D2112" s="1">
        <f t="shared" si="2"/>
        <v>13681.83731</v>
      </c>
      <c r="E2112" s="1">
        <f t="shared" si="3"/>
        <v>24627.30716</v>
      </c>
      <c r="F2112" s="1">
        <f t="shared" si="4"/>
        <v>46518.24686</v>
      </c>
      <c r="G2112" s="1">
        <f t="shared" si="5"/>
        <v>82091.02386</v>
      </c>
      <c r="H2112" s="1">
        <f t="shared" si="6"/>
        <v>150500.2104</v>
      </c>
      <c r="I2112" s="1">
        <f t="shared" si="7"/>
        <v>246273.0716</v>
      </c>
    </row>
    <row r="2113" hidden="1">
      <c r="A2113" s="266">
        <f>IFERROR(__xludf.DUMMYFUNCTION("""COMPUTED_VALUE"""),44751.99861111111)</f>
        <v>44751.99861</v>
      </c>
      <c r="B2113" s="1">
        <f>IFERROR(__xludf.DUMMYFUNCTION("""COMPUTED_VALUE"""),21581.61)</f>
        <v>21581.61</v>
      </c>
      <c r="C2113" s="58">
        <f t="shared" si="1"/>
        <v>4935.998611</v>
      </c>
      <c r="D2113" s="1">
        <f t="shared" si="2"/>
        <v>13697.92511</v>
      </c>
      <c r="E2113" s="1">
        <f t="shared" si="3"/>
        <v>24656.26519</v>
      </c>
      <c r="F2113" s="1">
        <f t="shared" si="4"/>
        <v>46572.94537</v>
      </c>
      <c r="G2113" s="1">
        <f t="shared" si="5"/>
        <v>82187.55065</v>
      </c>
      <c r="H2113" s="1">
        <f t="shared" si="6"/>
        <v>150677.1762</v>
      </c>
      <c r="I2113" s="1">
        <f t="shared" si="7"/>
        <v>246562.6519</v>
      </c>
    </row>
    <row r="2114" hidden="1">
      <c r="A2114" s="266">
        <f>IFERROR(__xludf.DUMMYFUNCTION("""COMPUTED_VALUE"""),44752.99861111111)</f>
        <v>44752.99861</v>
      </c>
      <c r="B2114" s="1">
        <f>IFERROR(__xludf.DUMMYFUNCTION("""COMPUTED_VALUE"""),20843.7)</f>
        <v>20843.7</v>
      </c>
      <c r="C2114" s="58">
        <f t="shared" si="1"/>
        <v>4936.998611</v>
      </c>
      <c r="D2114" s="1">
        <f t="shared" si="2"/>
        <v>13714.02856</v>
      </c>
      <c r="E2114" s="1">
        <f t="shared" si="3"/>
        <v>24685.2514</v>
      </c>
      <c r="F2114" s="1">
        <f t="shared" si="4"/>
        <v>46627.6971</v>
      </c>
      <c r="G2114" s="1">
        <f t="shared" si="5"/>
        <v>82284.17135</v>
      </c>
      <c r="H2114" s="1">
        <f t="shared" si="6"/>
        <v>150854.3141</v>
      </c>
      <c r="I2114" s="1">
        <f t="shared" si="7"/>
        <v>246852.514</v>
      </c>
    </row>
    <row r="2115" hidden="1">
      <c r="A2115" s="266">
        <f>IFERROR(__xludf.DUMMYFUNCTION("""COMPUTED_VALUE"""),44753.99861111111)</f>
        <v>44753.99861</v>
      </c>
      <c r="B2115" s="1">
        <f>IFERROR(__xludf.DUMMYFUNCTION("""COMPUTED_VALUE"""),19947.45)</f>
        <v>19947.45</v>
      </c>
      <c r="C2115" s="58">
        <f t="shared" si="1"/>
        <v>4937.998611</v>
      </c>
      <c r="D2115" s="1">
        <f t="shared" si="2"/>
        <v>13730.14767</v>
      </c>
      <c r="E2115" s="1">
        <f t="shared" si="3"/>
        <v>24714.26581</v>
      </c>
      <c r="F2115" s="1">
        <f t="shared" si="4"/>
        <v>46682.50208</v>
      </c>
      <c r="G2115" s="1">
        <f t="shared" si="5"/>
        <v>82380.88603</v>
      </c>
      <c r="H2115" s="1">
        <f t="shared" si="6"/>
        <v>151031.6244</v>
      </c>
      <c r="I2115" s="1">
        <f t="shared" si="7"/>
        <v>247142.6581</v>
      </c>
    </row>
    <row r="2116" hidden="1">
      <c r="A2116" s="266">
        <f>IFERROR(__xludf.DUMMYFUNCTION("""COMPUTED_VALUE"""),44754.99861111111)</f>
        <v>44754.99861</v>
      </c>
      <c r="B2116" s="1">
        <f>IFERROR(__xludf.DUMMYFUNCTION("""COMPUTED_VALUE"""),19316.26)</f>
        <v>19316.26</v>
      </c>
      <c r="C2116" s="58">
        <f t="shared" si="1"/>
        <v>4938.998611</v>
      </c>
      <c r="D2116" s="1">
        <f t="shared" si="2"/>
        <v>13746.28246</v>
      </c>
      <c r="E2116" s="1">
        <f t="shared" si="3"/>
        <v>24743.30843</v>
      </c>
      <c r="F2116" s="1">
        <f t="shared" si="4"/>
        <v>46737.36037</v>
      </c>
      <c r="G2116" s="1">
        <f t="shared" si="5"/>
        <v>82477.69477</v>
      </c>
      <c r="H2116" s="1">
        <f t="shared" si="6"/>
        <v>151209.1071</v>
      </c>
      <c r="I2116" s="1">
        <f t="shared" si="7"/>
        <v>247433.0843</v>
      </c>
    </row>
    <row r="2117" hidden="1">
      <c r="A2117" s="266">
        <f>IFERROR(__xludf.DUMMYFUNCTION("""COMPUTED_VALUE"""),44755.99861111111)</f>
        <v>44755.99861</v>
      </c>
      <c r="B2117" s="1">
        <f>IFERROR(__xludf.DUMMYFUNCTION("""COMPUTED_VALUE"""),20240.1)</f>
        <v>20240.1</v>
      </c>
      <c r="C2117" s="58">
        <f t="shared" si="1"/>
        <v>4939.998611</v>
      </c>
      <c r="D2117" s="1">
        <f t="shared" si="2"/>
        <v>13762.43294</v>
      </c>
      <c r="E2117" s="1">
        <f t="shared" si="3"/>
        <v>24772.37929</v>
      </c>
      <c r="F2117" s="1">
        <f t="shared" si="4"/>
        <v>46792.272</v>
      </c>
      <c r="G2117" s="1">
        <f t="shared" si="5"/>
        <v>82574.59764</v>
      </c>
      <c r="H2117" s="1">
        <f t="shared" si="6"/>
        <v>151386.7623</v>
      </c>
      <c r="I2117" s="1">
        <f t="shared" si="7"/>
        <v>247723.7929</v>
      </c>
    </row>
    <row r="2118" hidden="1">
      <c r="A2118" s="266">
        <f>IFERROR(__xludf.DUMMYFUNCTION("""COMPUTED_VALUE"""),44756.99861111111)</f>
        <v>44756.99861</v>
      </c>
      <c r="B2118" s="1">
        <f>IFERROR(__xludf.DUMMYFUNCTION("""COMPUTED_VALUE"""),20577.69)</f>
        <v>20577.69</v>
      </c>
      <c r="C2118" s="58">
        <f t="shared" si="1"/>
        <v>4940.998611</v>
      </c>
      <c r="D2118" s="1">
        <f t="shared" si="2"/>
        <v>13778.59912</v>
      </c>
      <c r="E2118" s="1">
        <f t="shared" si="3"/>
        <v>24801.47841</v>
      </c>
      <c r="F2118" s="1">
        <f t="shared" si="4"/>
        <v>46847.237</v>
      </c>
      <c r="G2118" s="1">
        <f t="shared" si="5"/>
        <v>82671.59471</v>
      </c>
      <c r="H2118" s="1">
        <f t="shared" si="6"/>
        <v>151564.5903</v>
      </c>
      <c r="I2118" s="1">
        <f t="shared" si="7"/>
        <v>248014.7841</v>
      </c>
    </row>
    <row r="2119" hidden="1">
      <c r="A2119" s="266">
        <f>IFERROR(__xludf.DUMMYFUNCTION("""COMPUTED_VALUE"""),44757.99861111111)</f>
        <v>44757.99861</v>
      </c>
      <c r="B2119" s="1">
        <f>IFERROR(__xludf.DUMMYFUNCTION("""COMPUTED_VALUE"""),20825.41)</f>
        <v>20825.41</v>
      </c>
      <c r="C2119" s="58">
        <f t="shared" si="1"/>
        <v>4941.998611</v>
      </c>
      <c r="D2119" s="1">
        <f t="shared" si="2"/>
        <v>13794.78101</v>
      </c>
      <c r="E2119" s="1">
        <f t="shared" si="3"/>
        <v>24830.60582</v>
      </c>
      <c r="F2119" s="1">
        <f t="shared" si="4"/>
        <v>46902.25544</v>
      </c>
      <c r="G2119" s="1">
        <f t="shared" si="5"/>
        <v>82768.68606</v>
      </c>
      <c r="H2119" s="1">
        <f t="shared" si="6"/>
        <v>151742.5911</v>
      </c>
      <c r="I2119" s="1">
        <f t="shared" si="7"/>
        <v>248306.0582</v>
      </c>
    </row>
    <row r="2120" hidden="1">
      <c r="A2120" s="266">
        <f>IFERROR(__xludf.DUMMYFUNCTION("""COMPUTED_VALUE"""),44758.99861111111)</f>
        <v>44758.99861</v>
      </c>
      <c r="B2120" s="1">
        <f>IFERROR(__xludf.DUMMYFUNCTION("""COMPUTED_VALUE"""),21198.3)</f>
        <v>21198.3</v>
      </c>
      <c r="C2120" s="58">
        <f t="shared" si="1"/>
        <v>4942.998611</v>
      </c>
      <c r="D2120" s="1">
        <f t="shared" si="2"/>
        <v>13810.97863</v>
      </c>
      <c r="E2120" s="1">
        <f t="shared" si="3"/>
        <v>24859.76153</v>
      </c>
      <c r="F2120" s="1">
        <f t="shared" si="4"/>
        <v>46957.32733</v>
      </c>
      <c r="G2120" s="1">
        <f t="shared" si="5"/>
        <v>82865.87176</v>
      </c>
      <c r="H2120" s="1">
        <f t="shared" si="6"/>
        <v>151920.7649</v>
      </c>
      <c r="I2120" s="1">
        <f t="shared" si="7"/>
        <v>248597.6153</v>
      </c>
    </row>
    <row r="2121" hidden="1">
      <c r="A2121" s="266">
        <f>IFERROR(__xludf.DUMMYFUNCTION("""COMPUTED_VALUE"""),44759.99861111111)</f>
        <v>44759.99861</v>
      </c>
      <c r="B2121" s="1">
        <f>IFERROR(__xludf.DUMMYFUNCTION("""COMPUTED_VALUE"""),20788.07)</f>
        <v>20788.07</v>
      </c>
      <c r="C2121" s="58">
        <f t="shared" si="1"/>
        <v>4943.998611</v>
      </c>
      <c r="D2121" s="1">
        <f t="shared" si="2"/>
        <v>13827.19198</v>
      </c>
      <c r="E2121" s="1">
        <f t="shared" si="3"/>
        <v>24888.94556</v>
      </c>
      <c r="F2121" s="1">
        <f t="shared" si="4"/>
        <v>47012.45273</v>
      </c>
      <c r="G2121" s="1">
        <f t="shared" si="5"/>
        <v>82963.15187</v>
      </c>
      <c r="H2121" s="1">
        <f t="shared" si="6"/>
        <v>152099.1118</v>
      </c>
      <c r="I2121" s="1">
        <f t="shared" si="7"/>
        <v>248889.4556</v>
      </c>
    </row>
    <row r="2122" hidden="1">
      <c r="A2122" s="266">
        <f>IFERROR(__xludf.DUMMYFUNCTION("""COMPUTED_VALUE"""),44760.99861111111)</f>
        <v>44760.99861</v>
      </c>
      <c r="B2122" s="1">
        <f>IFERROR(__xludf.DUMMYFUNCTION("""COMPUTED_VALUE"""),22495.43)</f>
        <v>22495.43</v>
      </c>
      <c r="C2122" s="58">
        <f t="shared" si="1"/>
        <v>4944.998611</v>
      </c>
      <c r="D2122" s="1">
        <f t="shared" si="2"/>
        <v>13843.42108</v>
      </c>
      <c r="E2122" s="1">
        <f t="shared" si="3"/>
        <v>24918.15794</v>
      </c>
      <c r="F2122" s="1">
        <f t="shared" si="4"/>
        <v>47067.63167</v>
      </c>
      <c r="G2122" s="1">
        <f t="shared" si="5"/>
        <v>83060.52648</v>
      </c>
      <c r="H2122" s="1">
        <f t="shared" si="6"/>
        <v>152277.6319</v>
      </c>
      <c r="I2122" s="1">
        <f t="shared" si="7"/>
        <v>249181.5794</v>
      </c>
    </row>
    <row r="2123" hidden="1">
      <c r="A2123" s="266">
        <f>IFERROR(__xludf.DUMMYFUNCTION("""COMPUTED_VALUE"""),44761.99861111111)</f>
        <v>44761.99861</v>
      </c>
      <c r="B2123" s="1">
        <f>IFERROR(__xludf.DUMMYFUNCTION("""COMPUTED_VALUE"""),23405.52)</f>
        <v>23405.52</v>
      </c>
      <c r="C2123" s="58">
        <f t="shared" si="1"/>
        <v>4945.998611</v>
      </c>
      <c r="D2123" s="1">
        <f t="shared" si="2"/>
        <v>13859.66594</v>
      </c>
      <c r="E2123" s="1">
        <f t="shared" si="3"/>
        <v>24947.3987</v>
      </c>
      <c r="F2123" s="1">
        <f t="shared" si="4"/>
        <v>47122.8642</v>
      </c>
      <c r="G2123" s="1">
        <f t="shared" si="5"/>
        <v>83157.99565</v>
      </c>
      <c r="H2123" s="1">
        <f t="shared" si="6"/>
        <v>152456.3254</v>
      </c>
      <c r="I2123" s="1">
        <f t="shared" si="7"/>
        <v>249473.987</v>
      </c>
    </row>
    <row r="2124" hidden="1">
      <c r="A2124" s="266">
        <f>IFERROR(__xludf.DUMMYFUNCTION("""COMPUTED_VALUE"""),44762.99861111111)</f>
        <v>44762.99861</v>
      </c>
      <c r="B2124" s="1">
        <f>IFERROR(__xludf.DUMMYFUNCTION("""COMPUTED_VALUE"""),23221.96)</f>
        <v>23221.96</v>
      </c>
      <c r="C2124" s="58">
        <f t="shared" si="1"/>
        <v>4946.998611</v>
      </c>
      <c r="D2124" s="1">
        <f t="shared" si="2"/>
        <v>13875.92658</v>
      </c>
      <c r="E2124" s="1">
        <f t="shared" si="3"/>
        <v>24976.66784</v>
      </c>
      <c r="F2124" s="1">
        <f t="shared" si="4"/>
        <v>47178.15036</v>
      </c>
      <c r="G2124" s="1">
        <f t="shared" si="5"/>
        <v>83255.55947</v>
      </c>
      <c r="H2124" s="1">
        <f t="shared" si="6"/>
        <v>152635.1924</v>
      </c>
      <c r="I2124" s="1">
        <f t="shared" si="7"/>
        <v>249766.6784</v>
      </c>
    </row>
    <row r="2125" hidden="1">
      <c r="A2125" s="266">
        <f>IFERROR(__xludf.DUMMYFUNCTION("""COMPUTED_VALUE"""),44763.99861111111)</f>
        <v>44763.99861</v>
      </c>
      <c r="B2125" s="1">
        <f>IFERROR(__xludf.DUMMYFUNCTION("""COMPUTED_VALUE"""),23145.74)</f>
        <v>23145.74</v>
      </c>
      <c r="C2125" s="58">
        <f t="shared" si="1"/>
        <v>4947.998611</v>
      </c>
      <c r="D2125" s="1">
        <f t="shared" si="2"/>
        <v>13892.203</v>
      </c>
      <c r="E2125" s="1">
        <f t="shared" si="3"/>
        <v>25005.9654</v>
      </c>
      <c r="F2125" s="1">
        <f t="shared" si="4"/>
        <v>47233.49019</v>
      </c>
      <c r="G2125" s="1">
        <f t="shared" si="5"/>
        <v>83353.21799</v>
      </c>
      <c r="H2125" s="1">
        <f t="shared" si="6"/>
        <v>152814.233</v>
      </c>
      <c r="I2125" s="1">
        <f t="shared" si="7"/>
        <v>250059.654</v>
      </c>
    </row>
    <row r="2126" hidden="1">
      <c r="A2126" s="266">
        <f>IFERROR(__xludf.DUMMYFUNCTION("""COMPUTED_VALUE"""),44764.99861111111)</f>
        <v>44764.99861</v>
      </c>
      <c r="B2126" s="1">
        <f>IFERROR(__xludf.DUMMYFUNCTION("""COMPUTED_VALUE"""),22680.97)</f>
        <v>22680.97</v>
      </c>
      <c r="C2126" s="58">
        <f t="shared" si="1"/>
        <v>4948.998611</v>
      </c>
      <c r="D2126" s="1">
        <f t="shared" si="2"/>
        <v>13908.49522</v>
      </c>
      <c r="E2126" s="1">
        <f t="shared" si="3"/>
        <v>25035.29139</v>
      </c>
      <c r="F2126" s="1">
        <f t="shared" si="4"/>
        <v>47288.88373</v>
      </c>
      <c r="G2126" s="1">
        <f t="shared" si="5"/>
        <v>83450.97129</v>
      </c>
      <c r="H2126" s="1">
        <f t="shared" si="6"/>
        <v>152993.4474</v>
      </c>
      <c r="I2126" s="1">
        <f t="shared" si="7"/>
        <v>250352.9139</v>
      </c>
    </row>
    <row r="2127" hidden="1">
      <c r="A2127" s="266">
        <f>IFERROR(__xludf.DUMMYFUNCTION("""COMPUTED_VALUE"""),44765.99861111111)</f>
        <v>44765.99861</v>
      </c>
      <c r="B2127" s="1">
        <f>IFERROR(__xludf.DUMMYFUNCTION("""COMPUTED_VALUE"""),22450.51)</f>
        <v>22450.51</v>
      </c>
      <c r="C2127" s="58">
        <f t="shared" si="1"/>
        <v>4949.998611</v>
      </c>
      <c r="D2127" s="1">
        <f t="shared" si="2"/>
        <v>13924.80324</v>
      </c>
      <c r="E2127" s="1">
        <f t="shared" si="3"/>
        <v>25064.64584</v>
      </c>
      <c r="F2127" s="1">
        <f t="shared" si="4"/>
        <v>47344.33102</v>
      </c>
      <c r="G2127" s="1">
        <f t="shared" si="5"/>
        <v>83548.81945</v>
      </c>
      <c r="H2127" s="1">
        <f t="shared" si="6"/>
        <v>153172.8357</v>
      </c>
      <c r="I2127" s="1">
        <f t="shared" si="7"/>
        <v>250646.4584</v>
      </c>
    </row>
    <row r="2128" hidden="1">
      <c r="A2128" s="266">
        <f>IFERROR(__xludf.DUMMYFUNCTION("""COMPUTED_VALUE"""),44766.99861111111)</f>
        <v>44766.99861</v>
      </c>
      <c r="B2128" s="1">
        <f>IFERROR(__xludf.DUMMYFUNCTION("""COMPUTED_VALUE"""),22582.44)</f>
        <v>22582.44</v>
      </c>
      <c r="C2128" s="58">
        <f t="shared" si="1"/>
        <v>4950.998611</v>
      </c>
      <c r="D2128" s="1">
        <f t="shared" si="2"/>
        <v>13941.12709</v>
      </c>
      <c r="E2128" s="1">
        <f t="shared" si="3"/>
        <v>25094.02876</v>
      </c>
      <c r="F2128" s="1">
        <f t="shared" si="4"/>
        <v>47399.83211</v>
      </c>
      <c r="G2128" s="1">
        <f t="shared" si="5"/>
        <v>83646.76254</v>
      </c>
      <c r="H2128" s="1">
        <f t="shared" si="6"/>
        <v>153352.398</v>
      </c>
      <c r="I2128" s="1">
        <f t="shared" si="7"/>
        <v>250940.2876</v>
      </c>
    </row>
    <row r="2129" hidden="1">
      <c r="A2129" s="266">
        <f>IFERROR(__xludf.DUMMYFUNCTION("""COMPUTED_VALUE"""),44767.99861111111)</f>
        <v>44767.99861</v>
      </c>
      <c r="B2129" s="1">
        <f>IFERROR(__xludf.DUMMYFUNCTION("""COMPUTED_VALUE"""),21296.21)</f>
        <v>21296.21</v>
      </c>
      <c r="C2129" s="58">
        <f t="shared" si="1"/>
        <v>4951.998611</v>
      </c>
      <c r="D2129" s="1">
        <f t="shared" si="2"/>
        <v>13957.46677</v>
      </c>
      <c r="E2129" s="1">
        <f t="shared" si="3"/>
        <v>25123.44019</v>
      </c>
      <c r="F2129" s="1">
        <f t="shared" si="4"/>
        <v>47455.38703</v>
      </c>
      <c r="G2129" s="1">
        <f t="shared" si="5"/>
        <v>83744.80064</v>
      </c>
      <c r="H2129" s="1">
        <f t="shared" si="6"/>
        <v>153532.1345</v>
      </c>
      <c r="I2129" s="1">
        <f t="shared" si="7"/>
        <v>251234.4019</v>
      </c>
    </row>
    <row r="2130" hidden="1">
      <c r="A2130" s="266">
        <f>IFERROR(__xludf.DUMMYFUNCTION("""COMPUTED_VALUE"""),44768.99861111111)</f>
        <v>44768.99861</v>
      </c>
      <c r="B2130" s="1">
        <f>IFERROR(__xludf.DUMMYFUNCTION("""COMPUTED_VALUE"""),21265.27)</f>
        <v>21265.27</v>
      </c>
      <c r="C2130" s="58">
        <f t="shared" si="1"/>
        <v>4952.998611</v>
      </c>
      <c r="D2130" s="1">
        <f t="shared" si="2"/>
        <v>13973.8223</v>
      </c>
      <c r="E2130" s="1">
        <f t="shared" si="3"/>
        <v>25152.88014</v>
      </c>
      <c r="F2130" s="1">
        <f t="shared" si="4"/>
        <v>47510.99582</v>
      </c>
      <c r="G2130" s="1">
        <f t="shared" si="5"/>
        <v>83842.9338</v>
      </c>
      <c r="H2130" s="1">
        <f t="shared" si="6"/>
        <v>153712.0453</v>
      </c>
      <c r="I2130" s="1">
        <f t="shared" si="7"/>
        <v>251528.8014</v>
      </c>
    </row>
    <row r="2131" hidden="1">
      <c r="A2131" s="266">
        <f>IFERROR(__xludf.DUMMYFUNCTION("""COMPUTED_VALUE"""),44769.99861111111)</f>
        <v>44769.99861</v>
      </c>
      <c r="B2131" s="1">
        <f>IFERROR(__xludf.DUMMYFUNCTION("""COMPUTED_VALUE"""),22956.37)</f>
        <v>22956.37</v>
      </c>
      <c r="C2131" s="58">
        <f t="shared" si="1"/>
        <v>4953.998611</v>
      </c>
      <c r="D2131" s="1">
        <f t="shared" si="2"/>
        <v>13990.19369</v>
      </c>
      <c r="E2131" s="1">
        <f t="shared" si="3"/>
        <v>25182.34864</v>
      </c>
      <c r="F2131" s="1">
        <f t="shared" si="4"/>
        <v>47566.65853</v>
      </c>
      <c r="G2131" s="1">
        <f t="shared" si="5"/>
        <v>83941.16212</v>
      </c>
      <c r="H2131" s="1">
        <f t="shared" si="6"/>
        <v>153892.1306</v>
      </c>
      <c r="I2131" s="1">
        <f t="shared" si="7"/>
        <v>251823.4864</v>
      </c>
    </row>
    <row r="2132" hidden="1">
      <c r="A2132" s="266">
        <f>IFERROR(__xludf.DUMMYFUNCTION("""COMPUTED_VALUE"""),44770.99861111111)</f>
        <v>44770.99861</v>
      </c>
      <c r="B2132" s="1">
        <f>IFERROR(__xludf.DUMMYFUNCTION("""COMPUTED_VALUE"""),23853.65)</f>
        <v>23853.65</v>
      </c>
      <c r="C2132" s="58">
        <f t="shared" si="1"/>
        <v>4954.998611</v>
      </c>
      <c r="D2132" s="1">
        <f t="shared" si="2"/>
        <v>14006.58094</v>
      </c>
      <c r="E2132" s="1">
        <f t="shared" si="3"/>
        <v>25211.8457</v>
      </c>
      <c r="F2132" s="1">
        <f t="shared" si="4"/>
        <v>47622.37521</v>
      </c>
      <c r="G2132" s="1">
        <f t="shared" si="5"/>
        <v>84039.48566</v>
      </c>
      <c r="H2132" s="1">
        <f t="shared" si="6"/>
        <v>154072.3904</v>
      </c>
      <c r="I2132" s="1">
        <f t="shared" si="7"/>
        <v>252118.457</v>
      </c>
    </row>
    <row r="2133" hidden="1">
      <c r="A2133" s="266">
        <f>IFERROR(__xludf.DUMMYFUNCTION("""COMPUTED_VALUE"""),44771.99861111111)</f>
        <v>44771.99861</v>
      </c>
      <c r="B2133" s="1">
        <f>IFERROR(__xludf.DUMMYFUNCTION("""COMPUTED_VALUE"""),23776.16)</f>
        <v>23776.16</v>
      </c>
      <c r="C2133" s="58">
        <f t="shared" si="1"/>
        <v>4955.998611</v>
      </c>
      <c r="D2133" s="1">
        <f t="shared" si="2"/>
        <v>14022.98408</v>
      </c>
      <c r="E2133" s="1">
        <f t="shared" si="3"/>
        <v>25241.37135</v>
      </c>
      <c r="F2133" s="1">
        <f t="shared" si="4"/>
        <v>47678.14588</v>
      </c>
      <c r="G2133" s="1">
        <f t="shared" si="5"/>
        <v>84137.90449</v>
      </c>
      <c r="H2133" s="1">
        <f t="shared" si="6"/>
        <v>154252.8249</v>
      </c>
      <c r="I2133" s="1">
        <f t="shared" si="7"/>
        <v>252413.7135</v>
      </c>
    </row>
    <row r="2134" hidden="1">
      <c r="A2134" s="266">
        <f>IFERROR(__xludf.DUMMYFUNCTION("""COMPUTED_VALUE"""),44772.99861111111)</f>
        <v>44772.99861</v>
      </c>
      <c r="B2134" s="1">
        <f>IFERROR(__xludf.DUMMYFUNCTION("""COMPUTED_VALUE"""),23643.25)</f>
        <v>23643.25</v>
      </c>
      <c r="C2134" s="58">
        <f t="shared" si="1"/>
        <v>4956.998611</v>
      </c>
      <c r="D2134" s="1">
        <f t="shared" si="2"/>
        <v>14039.40311</v>
      </c>
      <c r="E2134" s="1">
        <f t="shared" si="3"/>
        <v>25270.92561</v>
      </c>
      <c r="F2134" s="1">
        <f t="shared" si="4"/>
        <v>47733.97059</v>
      </c>
      <c r="G2134" s="1">
        <f t="shared" si="5"/>
        <v>84236.41868</v>
      </c>
      <c r="H2134" s="1">
        <f t="shared" si="6"/>
        <v>154433.4343</v>
      </c>
      <c r="I2134" s="1">
        <f t="shared" si="7"/>
        <v>252709.2561</v>
      </c>
    </row>
    <row r="2135" hidden="1">
      <c r="A2135" s="266">
        <f>IFERROR(__xludf.DUMMYFUNCTION("""COMPUTED_VALUE"""),44773.99861111111)</f>
        <v>44773.99861</v>
      </c>
      <c r="B2135" s="1">
        <f>IFERROR(__xludf.DUMMYFUNCTION("""COMPUTED_VALUE"""),23308.66)</f>
        <v>23308.66</v>
      </c>
      <c r="C2135" s="58">
        <f t="shared" si="1"/>
        <v>4957.998611</v>
      </c>
      <c r="D2135" s="1">
        <f t="shared" si="2"/>
        <v>14055.83805</v>
      </c>
      <c r="E2135" s="1">
        <f t="shared" si="3"/>
        <v>25300.5085</v>
      </c>
      <c r="F2135" s="1">
        <f t="shared" si="4"/>
        <v>47789.84938</v>
      </c>
      <c r="G2135" s="1">
        <f t="shared" si="5"/>
        <v>84335.02832</v>
      </c>
      <c r="H2135" s="1">
        <f t="shared" si="6"/>
        <v>154614.2186</v>
      </c>
      <c r="I2135" s="1">
        <f t="shared" si="7"/>
        <v>253005.085</v>
      </c>
    </row>
    <row r="2136" hidden="1">
      <c r="A2136" s="266">
        <f>IFERROR(__xludf.DUMMYFUNCTION("""COMPUTED_VALUE"""),44774.99861111111)</f>
        <v>44774.99861</v>
      </c>
      <c r="B2136" s="1">
        <f>IFERROR(__xludf.DUMMYFUNCTION("""COMPUTED_VALUE"""),23274.66)</f>
        <v>23274.66</v>
      </c>
      <c r="C2136" s="58">
        <f t="shared" si="1"/>
        <v>4958.998611</v>
      </c>
      <c r="D2136" s="1">
        <f t="shared" si="2"/>
        <v>14072.28891</v>
      </c>
      <c r="E2136" s="1">
        <f t="shared" si="3"/>
        <v>25330.12004</v>
      </c>
      <c r="F2136" s="1">
        <f t="shared" si="4"/>
        <v>47845.7823</v>
      </c>
      <c r="G2136" s="1">
        <f t="shared" si="5"/>
        <v>84433.73347</v>
      </c>
      <c r="H2136" s="1">
        <f t="shared" si="6"/>
        <v>154795.178</v>
      </c>
      <c r="I2136" s="1">
        <f t="shared" si="7"/>
        <v>253301.2004</v>
      </c>
    </row>
    <row r="2137" hidden="1">
      <c r="A2137" s="266">
        <f>IFERROR(__xludf.DUMMYFUNCTION("""COMPUTED_VALUE"""),44775.99861111111)</f>
        <v>44775.99861</v>
      </c>
      <c r="B2137" s="1">
        <f>IFERROR(__xludf.DUMMYFUNCTION("""COMPUTED_VALUE"""),22990.85)</f>
        <v>22990.85</v>
      </c>
      <c r="C2137" s="58">
        <f t="shared" si="1"/>
        <v>4959.998611</v>
      </c>
      <c r="D2137" s="1">
        <f t="shared" si="2"/>
        <v>14088.7557</v>
      </c>
      <c r="E2137" s="1">
        <f t="shared" si="3"/>
        <v>25359.76026</v>
      </c>
      <c r="F2137" s="1">
        <f t="shared" si="4"/>
        <v>47901.76939</v>
      </c>
      <c r="G2137" s="1">
        <f t="shared" si="5"/>
        <v>84532.53421</v>
      </c>
      <c r="H2137" s="1">
        <f t="shared" si="6"/>
        <v>154976.3127</v>
      </c>
      <c r="I2137" s="1">
        <f t="shared" si="7"/>
        <v>253597.6026</v>
      </c>
    </row>
    <row r="2138" hidden="1">
      <c r="A2138" s="266">
        <f>IFERROR(__xludf.DUMMYFUNCTION("""COMPUTED_VALUE"""),44776.99861111111)</f>
        <v>44776.99861</v>
      </c>
      <c r="B2138" s="1">
        <f>IFERROR(__xludf.DUMMYFUNCTION("""COMPUTED_VALUE"""),22829.1)</f>
        <v>22829.1</v>
      </c>
      <c r="C2138" s="58">
        <f t="shared" si="1"/>
        <v>4960.998611</v>
      </c>
      <c r="D2138" s="1">
        <f t="shared" si="2"/>
        <v>14105.23843</v>
      </c>
      <c r="E2138" s="1">
        <f t="shared" si="3"/>
        <v>25389.42918</v>
      </c>
      <c r="F2138" s="1">
        <f t="shared" si="4"/>
        <v>47957.81068</v>
      </c>
      <c r="G2138" s="1">
        <f t="shared" si="5"/>
        <v>84631.43061</v>
      </c>
      <c r="H2138" s="1">
        <f t="shared" si="6"/>
        <v>155157.6228</v>
      </c>
      <c r="I2138" s="1">
        <f t="shared" si="7"/>
        <v>253894.2918</v>
      </c>
    </row>
    <row r="2139" hidden="1">
      <c r="A2139" s="266">
        <f>IFERROR(__xludf.DUMMYFUNCTION("""COMPUTED_VALUE"""),44777.99861111111)</f>
        <v>44777.99861</v>
      </c>
      <c r="B2139" s="1">
        <f>IFERROR(__xludf.DUMMYFUNCTION("""COMPUTED_VALUE"""),22611.98)</f>
        <v>22611.98</v>
      </c>
      <c r="C2139" s="58">
        <f t="shared" si="1"/>
        <v>4961.998611</v>
      </c>
      <c r="D2139" s="1">
        <f t="shared" si="2"/>
        <v>14121.73712</v>
      </c>
      <c r="E2139" s="1">
        <f t="shared" si="3"/>
        <v>25419.12682</v>
      </c>
      <c r="F2139" s="1">
        <f t="shared" si="4"/>
        <v>48013.90622</v>
      </c>
      <c r="G2139" s="1">
        <f t="shared" si="5"/>
        <v>84730.42274</v>
      </c>
      <c r="H2139" s="1">
        <f t="shared" si="6"/>
        <v>155339.1084</v>
      </c>
      <c r="I2139" s="1">
        <f t="shared" si="7"/>
        <v>254191.2682</v>
      </c>
    </row>
    <row r="2140" hidden="1">
      <c r="A2140" s="266">
        <f>IFERROR(__xludf.DUMMYFUNCTION("""COMPUTED_VALUE"""),44778.99861111111)</f>
        <v>44778.99861</v>
      </c>
      <c r="B2140" s="1">
        <f>IFERROR(__xludf.DUMMYFUNCTION("""COMPUTED_VALUE"""),23295.85)</f>
        <v>23295.85</v>
      </c>
      <c r="C2140" s="58">
        <f t="shared" si="1"/>
        <v>4962.998611</v>
      </c>
      <c r="D2140" s="1">
        <f t="shared" si="2"/>
        <v>14138.25178</v>
      </c>
      <c r="E2140" s="1">
        <f t="shared" si="3"/>
        <v>25448.8532</v>
      </c>
      <c r="F2140" s="1">
        <f t="shared" si="4"/>
        <v>48070.05605</v>
      </c>
      <c r="G2140" s="1">
        <f t="shared" si="5"/>
        <v>84829.51068</v>
      </c>
      <c r="H2140" s="1">
        <f t="shared" si="6"/>
        <v>155520.7696</v>
      </c>
      <c r="I2140" s="1">
        <f t="shared" si="7"/>
        <v>254488.532</v>
      </c>
    </row>
    <row r="2141" hidden="1">
      <c r="A2141" s="266">
        <f>IFERROR(__xludf.DUMMYFUNCTION("""COMPUTED_VALUE"""),44779.99861111111)</f>
        <v>44779.99861</v>
      </c>
      <c r="B2141" s="1">
        <f>IFERROR(__xludf.DUMMYFUNCTION("""COMPUTED_VALUE"""),22947.0)</f>
        <v>22947</v>
      </c>
      <c r="C2141" s="58">
        <f t="shared" si="1"/>
        <v>4963.998611</v>
      </c>
      <c r="D2141" s="1">
        <f t="shared" si="2"/>
        <v>14154.78242</v>
      </c>
      <c r="E2141" s="1">
        <f t="shared" si="3"/>
        <v>25478.60835</v>
      </c>
      <c r="F2141" s="1">
        <f t="shared" si="4"/>
        <v>48126.26021</v>
      </c>
      <c r="G2141" s="1">
        <f t="shared" si="5"/>
        <v>84928.6945</v>
      </c>
      <c r="H2141" s="1">
        <f t="shared" si="6"/>
        <v>155702.6066</v>
      </c>
      <c r="I2141" s="1">
        <f t="shared" si="7"/>
        <v>254786.0835</v>
      </c>
    </row>
    <row r="2142" hidden="1">
      <c r="A2142" s="266">
        <f>IFERROR(__xludf.DUMMYFUNCTION("""COMPUTED_VALUE"""),44780.99861111111)</f>
        <v>44780.99861</v>
      </c>
      <c r="B2142" s="1">
        <f>IFERROR(__xludf.DUMMYFUNCTION("""COMPUTED_VALUE"""),23176.28)</f>
        <v>23176.28</v>
      </c>
      <c r="C2142" s="58">
        <f t="shared" si="1"/>
        <v>4964.998611</v>
      </c>
      <c r="D2142" s="1">
        <f t="shared" si="2"/>
        <v>14171.32904</v>
      </c>
      <c r="E2142" s="1">
        <f t="shared" si="3"/>
        <v>25508.39228</v>
      </c>
      <c r="F2142" s="1">
        <f t="shared" si="4"/>
        <v>48182.51875</v>
      </c>
      <c r="G2142" s="1">
        <f t="shared" si="5"/>
        <v>85027.97427</v>
      </c>
      <c r="H2142" s="1">
        <f t="shared" si="6"/>
        <v>155884.6195</v>
      </c>
      <c r="I2142" s="1">
        <f t="shared" si="7"/>
        <v>255083.9228</v>
      </c>
    </row>
    <row r="2143" hidden="1">
      <c r="A2143" s="266">
        <f>IFERROR(__xludf.DUMMYFUNCTION("""COMPUTED_VALUE"""),44781.99861111111)</f>
        <v>44781.99861</v>
      </c>
      <c r="B2143" s="1">
        <f>IFERROR(__xludf.DUMMYFUNCTION("""COMPUTED_VALUE"""),23814.56)</f>
        <v>23814.56</v>
      </c>
      <c r="C2143" s="58">
        <f t="shared" si="1"/>
        <v>4965.998611</v>
      </c>
      <c r="D2143" s="1">
        <f t="shared" si="2"/>
        <v>14187.89168</v>
      </c>
      <c r="E2143" s="1">
        <f t="shared" si="3"/>
        <v>25538.20502</v>
      </c>
      <c r="F2143" s="1">
        <f t="shared" si="4"/>
        <v>48238.8317</v>
      </c>
      <c r="G2143" s="1">
        <f t="shared" si="5"/>
        <v>85127.35006</v>
      </c>
      <c r="H2143" s="1">
        <f t="shared" si="6"/>
        <v>156066.8085</v>
      </c>
      <c r="I2143" s="1">
        <f t="shared" si="7"/>
        <v>255382.0502</v>
      </c>
    </row>
    <row r="2144" hidden="1">
      <c r="A2144" s="266">
        <f>IFERROR(__xludf.DUMMYFUNCTION("""COMPUTED_VALUE"""),44782.99861111111)</f>
        <v>44782.99861</v>
      </c>
      <c r="B2144" s="1">
        <f>IFERROR(__xludf.DUMMYFUNCTION("""COMPUTED_VALUE"""),23151.76)</f>
        <v>23151.76</v>
      </c>
      <c r="C2144" s="58">
        <f t="shared" si="1"/>
        <v>4966.998611</v>
      </c>
      <c r="D2144" s="1">
        <f t="shared" si="2"/>
        <v>14204.47033</v>
      </c>
      <c r="E2144" s="1">
        <f t="shared" si="3"/>
        <v>25568.04659</v>
      </c>
      <c r="F2144" s="1">
        <f t="shared" si="4"/>
        <v>48295.19911</v>
      </c>
      <c r="G2144" s="1">
        <f t="shared" si="5"/>
        <v>85226.82196</v>
      </c>
      <c r="H2144" s="1">
        <f t="shared" si="6"/>
        <v>156249.1736</v>
      </c>
      <c r="I2144" s="1">
        <f t="shared" si="7"/>
        <v>255680.4659</v>
      </c>
    </row>
    <row r="2145" hidden="1">
      <c r="A2145" s="266">
        <f>IFERROR(__xludf.DUMMYFUNCTION("""COMPUTED_VALUE"""),44783.99861111111)</f>
        <v>44783.99861</v>
      </c>
      <c r="B2145" s="1">
        <f>IFERROR(__xludf.DUMMYFUNCTION("""COMPUTED_VALUE"""),23955.45)</f>
        <v>23955.45</v>
      </c>
      <c r="C2145" s="58">
        <f t="shared" si="1"/>
        <v>4967.998611</v>
      </c>
      <c r="D2145" s="1">
        <f t="shared" si="2"/>
        <v>14221.06501</v>
      </c>
      <c r="E2145" s="1">
        <f t="shared" si="3"/>
        <v>25597.91701</v>
      </c>
      <c r="F2145" s="1">
        <f t="shared" si="4"/>
        <v>48351.62102</v>
      </c>
      <c r="G2145" s="1">
        <f t="shared" si="5"/>
        <v>85326.39003</v>
      </c>
      <c r="H2145" s="1">
        <f t="shared" si="6"/>
        <v>156431.7151</v>
      </c>
      <c r="I2145" s="1">
        <f t="shared" si="7"/>
        <v>255979.1701</v>
      </c>
    </row>
    <row r="2146" hidden="1">
      <c r="A2146" s="266">
        <f>IFERROR(__xludf.DUMMYFUNCTION("""COMPUTED_VALUE"""),44784.99861111111)</f>
        <v>44784.99861</v>
      </c>
      <c r="B2146" s="1">
        <f>IFERROR(__xludf.DUMMYFUNCTION("""COMPUTED_VALUE"""),23940.98)</f>
        <v>23940.98</v>
      </c>
      <c r="C2146" s="58">
        <f t="shared" si="1"/>
        <v>4968.998611</v>
      </c>
      <c r="D2146" s="1">
        <f t="shared" si="2"/>
        <v>14237.67573</v>
      </c>
      <c r="E2146" s="1">
        <f t="shared" si="3"/>
        <v>25627.81631</v>
      </c>
      <c r="F2146" s="1">
        <f t="shared" si="4"/>
        <v>48408.09747</v>
      </c>
      <c r="G2146" s="1">
        <f t="shared" si="5"/>
        <v>85426.05435</v>
      </c>
      <c r="H2146" s="1">
        <f t="shared" si="6"/>
        <v>156614.433</v>
      </c>
      <c r="I2146" s="1">
        <f t="shared" si="7"/>
        <v>256278.1631</v>
      </c>
    </row>
    <row r="2147" hidden="1">
      <c r="A2147" s="266">
        <f>IFERROR(__xludf.DUMMYFUNCTION("""COMPUTED_VALUE"""),44785.99861111111)</f>
        <v>44785.99861</v>
      </c>
      <c r="B2147" s="1">
        <f>IFERROR(__xludf.DUMMYFUNCTION("""COMPUTED_VALUE"""),24406.11)</f>
        <v>24406.11</v>
      </c>
      <c r="C2147" s="58">
        <f t="shared" si="1"/>
        <v>4969.998611</v>
      </c>
      <c r="D2147" s="1">
        <f t="shared" si="2"/>
        <v>14254.3025</v>
      </c>
      <c r="E2147" s="1">
        <f t="shared" si="3"/>
        <v>25657.7445</v>
      </c>
      <c r="F2147" s="1">
        <f t="shared" si="4"/>
        <v>48464.6285</v>
      </c>
      <c r="G2147" s="1">
        <f t="shared" si="5"/>
        <v>85525.81499</v>
      </c>
      <c r="H2147" s="1">
        <f t="shared" si="6"/>
        <v>156797.3275</v>
      </c>
      <c r="I2147" s="1">
        <f t="shared" si="7"/>
        <v>256577.445</v>
      </c>
    </row>
    <row r="2148" hidden="1">
      <c r="A2148" s="266">
        <f>IFERROR(__xludf.DUMMYFUNCTION("""COMPUTED_VALUE"""),44786.99861111111)</f>
        <v>44786.99861</v>
      </c>
      <c r="B2148" s="1">
        <f>IFERROR(__xludf.DUMMYFUNCTION("""COMPUTED_VALUE"""),24445.89)</f>
        <v>24445.89</v>
      </c>
      <c r="C2148" s="58">
        <f t="shared" si="1"/>
        <v>4970.998611</v>
      </c>
      <c r="D2148" s="1">
        <f t="shared" si="2"/>
        <v>14270.94534</v>
      </c>
      <c r="E2148" s="1">
        <f t="shared" si="3"/>
        <v>25687.70161</v>
      </c>
      <c r="F2148" s="1">
        <f t="shared" si="4"/>
        <v>48521.21415</v>
      </c>
      <c r="G2148" s="1">
        <f t="shared" si="5"/>
        <v>85625.67203</v>
      </c>
      <c r="H2148" s="1">
        <f t="shared" si="6"/>
        <v>156980.3987</v>
      </c>
      <c r="I2148" s="1">
        <f t="shared" si="7"/>
        <v>256877.0161</v>
      </c>
    </row>
    <row r="2149" hidden="1">
      <c r="A2149" s="266">
        <f>IFERROR(__xludf.DUMMYFUNCTION("""COMPUTED_VALUE"""),44787.99861111111)</f>
        <v>44787.99861</v>
      </c>
      <c r="B2149" s="1">
        <f>IFERROR(__xludf.DUMMYFUNCTION("""COMPUTED_VALUE"""),24310.07)</f>
        <v>24310.07</v>
      </c>
      <c r="C2149" s="58">
        <f t="shared" si="1"/>
        <v>4971.998611</v>
      </c>
      <c r="D2149" s="1">
        <f t="shared" si="2"/>
        <v>14287.60426</v>
      </c>
      <c r="E2149" s="1">
        <f t="shared" si="3"/>
        <v>25717.68766</v>
      </c>
      <c r="F2149" s="1">
        <f t="shared" si="4"/>
        <v>48577.85447</v>
      </c>
      <c r="G2149" s="1">
        <f t="shared" si="5"/>
        <v>85725.62554</v>
      </c>
      <c r="H2149" s="1">
        <f t="shared" si="6"/>
        <v>157163.6468</v>
      </c>
      <c r="I2149" s="1">
        <f t="shared" si="7"/>
        <v>257176.8766</v>
      </c>
    </row>
    <row r="2150" hidden="1">
      <c r="A2150" s="266">
        <f>IFERROR(__xludf.DUMMYFUNCTION("""COMPUTED_VALUE"""),44788.99861111111)</f>
        <v>44788.99861</v>
      </c>
      <c r="B2150" s="1">
        <f>IFERROR(__xludf.DUMMYFUNCTION("""COMPUTED_VALUE"""),24101.31)</f>
        <v>24101.31</v>
      </c>
      <c r="C2150" s="58">
        <f t="shared" si="1"/>
        <v>4972.998611</v>
      </c>
      <c r="D2150" s="1">
        <f t="shared" si="2"/>
        <v>14304.27926</v>
      </c>
      <c r="E2150" s="1">
        <f t="shared" si="3"/>
        <v>25747.70267</v>
      </c>
      <c r="F2150" s="1">
        <f t="shared" si="4"/>
        <v>48634.5495</v>
      </c>
      <c r="G2150" s="1">
        <f t="shared" si="5"/>
        <v>85825.67558</v>
      </c>
      <c r="H2150" s="1">
        <f t="shared" si="6"/>
        <v>157347.0719</v>
      </c>
      <c r="I2150" s="1">
        <f t="shared" si="7"/>
        <v>257477.0267</v>
      </c>
    </row>
    <row r="2151" hidden="1">
      <c r="A2151" s="266">
        <f>IFERROR(__xludf.DUMMYFUNCTION("""COMPUTED_VALUE"""),44789.99861111111)</f>
        <v>44789.99861</v>
      </c>
      <c r="B2151" s="1">
        <f>IFERROR(__xludf.DUMMYFUNCTION("""COMPUTED_VALUE"""),23859.28)</f>
        <v>23859.28</v>
      </c>
      <c r="C2151" s="58">
        <f t="shared" si="1"/>
        <v>4973.998611</v>
      </c>
      <c r="D2151" s="1">
        <f t="shared" si="2"/>
        <v>14320.97037</v>
      </c>
      <c r="E2151" s="1">
        <f t="shared" si="3"/>
        <v>25777.74667</v>
      </c>
      <c r="F2151" s="1">
        <f t="shared" si="4"/>
        <v>48691.29927</v>
      </c>
      <c r="G2151" s="1">
        <f t="shared" si="5"/>
        <v>85925.82224</v>
      </c>
      <c r="H2151" s="1">
        <f t="shared" si="6"/>
        <v>157530.6741</v>
      </c>
      <c r="I2151" s="1">
        <f t="shared" si="7"/>
        <v>257777.4667</v>
      </c>
    </row>
    <row r="2152" hidden="1">
      <c r="A2152" s="266">
        <f>IFERROR(__xludf.DUMMYFUNCTION("""COMPUTED_VALUE"""),44790.99861111111)</f>
        <v>44790.99861</v>
      </c>
      <c r="B2152" s="1">
        <f>IFERROR(__xludf.DUMMYFUNCTION("""COMPUTED_VALUE"""),23336.89)</f>
        <v>23336.89</v>
      </c>
      <c r="C2152" s="58">
        <f t="shared" si="1"/>
        <v>4974.998611</v>
      </c>
      <c r="D2152" s="1">
        <f t="shared" si="2"/>
        <v>14337.6776</v>
      </c>
      <c r="E2152" s="1">
        <f t="shared" si="3"/>
        <v>25807.81968</v>
      </c>
      <c r="F2152" s="1">
        <f t="shared" si="4"/>
        <v>48748.10384</v>
      </c>
      <c r="G2152" s="1">
        <f t="shared" si="5"/>
        <v>86026.0656</v>
      </c>
      <c r="H2152" s="1">
        <f t="shared" si="6"/>
        <v>157714.4536</v>
      </c>
      <c r="I2152" s="1">
        <f t="shared" si="7"/>
        <v>258078.1968</v>
      </c>
    </row>
    <row r="2153" hidden="1">
      <c r="A2153" s="266">
        <f>IFERROR(__xludf.DUMMYFUNCTION("""COMPUTED_VALUE"""),44791.99861111111)</f>
        <v>44791.99861</v>
      </c>
      <c r="B2153" s="1">
        <f>IFERROR(__xludf.DUMMYFUNCTION("""COMPUTED_VALUE"""),23200.79)</f>
        <v>23200.79</v>
      </c>
      <c r="C2153" s="58">
        <f t="shared" si="1"/>
        <v>4975.998611</v>
      </c>
      <c r="D2153" s="1">
        <f t="shared" si="2"/>
        <v>14354.40095</v>
      </c>
      <c r="E2153" s="1">
        <f t="shared" si="3"/>
        <v>25837.92171</v>
      </c>
      <c r="F2153" s="1">
        <f t="shared" si="4"/>
        <v>48804.96324</v>
      </c>
      <c r="G2153" s="1">
        <f t="shared" si="5"/>
        <v>86126.40571</v>
      </c>
      <c r="H2153" s="1">
        <f t="shared" si="6"/>
        <v>157898.4105</v>
      </c>
      <c r="I2153" s="1">
        <f t="shared" si="7"/>
        <v>258379.2171</v>
      </c>
    </row>
    <row r="2154" hidden="1">
      <c r="A2154" s="266">
        <f>IFERROR(__xludf.DUMMYFUNCTION("""COMPUTED_VALUE"""),44792.99861111111)</f>
        <v>44792.99861</v>
      </c>
      <c r="B2154" s="1">
        <f>IFERROR(__xludf.DUMMYFUNCTION("""COMPUTED_VALUE"""),20832.04)</f>
        <v>20832.04</v>
      </c>
      <c r="C2154" s="58">
        <f t="shared" si="1"/>
        <v>4976.998611</v>
      </c>
      <c r="D2154" s="1">
        <f t="shared" si="2"/>
        <v>14371.14044</v>
      </c>
      <c r="E2154" s="1">
        <f t="shared" si="3"/>
        <v>25868.0528</v>
      </c>
      <c r="F2154" s="1">
        <f t="shared" si="4"/>
        <v>48861.87751</v>
      </c>
      <c r="G2154" s="1">
        <f t="shared" si="5"/>
        <v>86226.84267</v>
      </c>
      <c r="H2154" s="1">
        <f t="shared" si="6"/>
        <v>158082.5449</v>
      </c>
      <c r="I2154" s="1">
        <f t="shared" si="7"/>
        <v>258680.528</v>
      </c>
    </row>
    <row r="2155" hidden="1">
      <c r="A2155" s="266">
        <f>IFERROR(__xludf.DUMMYFUNCTION("""COMPUTED_VALUE"""),44793.99861111111)</f>
        <v>44793.99861</v>
      </c>
      <c r="B2155" s="1">
        <f>IFERROR(__xludf.DUMMYFUNCTION("""COMPUTED_VALUE"""),21139.86)</f>
        <v>21139.86</v>
      </c>
      <c r="C2155" s="58">
        <f t="shared" si="1"/>
        <v>4977.998611</v>
      </c>
      <c r="D2155" s="1">
        <f t="shared" si="2"/>
        <v>14387.89609</v>
      </c>
      <c r="E2155" s="1">
        <f t="shared" si="3"/>
        <v>25898.21296</v>
      </c>
      <c r="F2155" s="1">
        <f t="shared" si="4"/>
        <v>48918.8467</v>
      </c>
      <c r="G2155" s="1">
        <f t="shared" si="5"/>
        <v>86327.37654</v>
      </c>
      <c r="H2155" s="1">
        <f t="shared" si="6"/>
        <v>158266.857</v>
      </c>
      <c r="I2155" s="1">
        <f t="shared" si="7"/>
        <v>258982.1296</v>
      </c>
    </row>
    <row r="2156" hidden="1">
      <c r="A2156" s="266">
        <f>IFERROR(__xludf.DUMMYFUNCTION("""COMPUTED_VALUE"""),44794.99861111111)</f>
        <v>44794.99861</v>
      </c>
      <c r="B2156" s="1">
        <f>IFERROR(__xludf.DUMMYFUNCTION("""COMPUTED_VALUE"""),21514.74)</f>
        <v>21514.74</v>
      </c>
      <c r="C2156" s="58">
        <f t="shared" si="1"/>
        <v>4978.998611</v>
      </c>
      <c r="D2156" s="1">
        <f t="shared" si="2"/>
        <v>14404.6679</v>
      </c>
      <c r="E2156" s="1">
        <f t="shared" si="3"/>
        <v>25928.40222</v>
      </c>
      <c r="F2156" s="1">
        <f t="shared" si="4"/>
        <v>48975.87085</v>
      </c>
      <c r="G2156" s="1">
        <f t="shared" si="5"/>
        <v>86428.00739</v>
      </c>
      <c r="H2156" s="1">
        <f t="shared" si="6"/>
        <v>158451.3469</v>
      </c>
      <c r="I2156" s="1">
        <f t="shared" si="7"/>
        <v>259284.0222</v>
      </c>
    </row>
    <row r="2157" hidden="1">
      <c r="A2157" s="266">
        <f>IFERROR(__xludf.DUMMYFUNCTION("""COMPUTED_VALUE"""),44795.99861111111)</f>
        <v>44795.99861</v>
      </c>
      <c r="B2157" s="1">
        <f>IFERROR(__xludf.DUMMYFUNCTION("""COMPUTED_VALUE"""),21405.4)</f>
        <v>21405.4</v>
      </c>
      <c r="C2157" s="58">
        <f t="shared" si="1"/>
        <v>4979.998611</v>
      </c>
      <c r="D2157" s="1">
        <f t="shared" si="2"/>
        <v>14421.45588</v>
      </c>
      <c r="E2157" s="1">
        <f t="shared" si="3"/>
        <v>25958.62059</v>
      </c>
      <c r="F2157" s="1">
        <f t="shared" si="4"/>
        <v>49032.95</v>
      </c>
      <c r="G2157" s="1">
        <f t="shared" si="5"/>
        <v>86528.7353</v>
      </c>
      <c r="H2157" s="1">
        <f t="shared" si="6"/>
        <v>158636.0147</v>
      </c>
      <c r="I2157" s="1">
        <f t="shared" si="7"/>
        <v>259586.2059</v>
      </c>
    </row>
    <row r="2158" hidden="1">
      <c r="A2158" s="266">
        <f>IFERROR(__xludf.DUMMYFUNCTION("""COMPUTED_VALUE"""),44796.99861111111)</f>
        <v>44796.99861</v>
      </c>
      <c r="B2158" s="1">
        <f>IFERROR(__xludf.DUMMYFUNCTION("""COMPUTED_VALUE"""),21520.98)</f>
        <v>21520.98</v>
      </c>
      <c r="C2158" s="58">
        <f t="shared" si="1"/>
        <v>4980.998611</v>
      </c>
      <c r="D2158" s="1">
        <f t="shared" si="2"/>
        <v>14438.26006</v>
      </c>
      <c r="E2158" s="1">
        <f t="shared" si="3"/>
        <v>25988.8681</v>
      </c>
      <c r="F2158" s="1">
        <f t="shared" si="4"/>
        <v>49090.0842</v>
      </c>
      <c r="G2158" s="1">
        <f t="shared" si="5"/>
        <v>86629.56035</v>
      </c>
      <c r="H2158" s="1">
        <f t="shared" si="6"/>
        <v>158820.8606</v>
      </c>
      <c r="I2158" s="1">
        <f t="shared" si="7"/>
        <v>259888.681</v>
      </c>
    </row>
    <row r="2159" hidden="1">
      <c r="A2159" s="266">
        <f>IFERROR(__xludf.DUMMYFUNCTION("""COMPUTED_VALUE"""),44797.99861111111)</f>
        <v>44797.99861</v>
      </c>
      <c r="B2159" s="1">
        <f>IFERROR(__xludf.DUMMYFUNCTION("""COMPUTED_VALUE"""),21366.2)</f>
        <v>21366.2</v>
      </c>
      <c r="C2159" s="58">
        <f t="shared" si="1"/>
        <v>4981.998611</v>
      </c>
      <c r="D2159" s="1">
        <f t="shared" si="2"/>
        <v>14455.08043</v>
      </c>
      <c r="E2159" s="1">
        <f t="shared" si="3"/>
        <v>26019.14478</v>
      </c>
      <c r="F2159" s="1">
        <f t="shared" si="4"/>
        <v>49147.27347</v>
      </c>
      <c r="G2159" s="1">
        <f t="shared" si="5"/>
        <v>86730.4826</v>
      </c>
      <c r="H2159" s="1">
        <f t="shared" si="6"/>
        <v>159005.8848</v>
      </c>
      <c r="I2159" s="1">
        <f t="shared" si="7"/>
        <v>260191.4478</v>
      </c>
    </row>
    <row r="2160" hidden="1">
      <c r="A2160" s="266">
        <f>IFERROR(__xludf.DUMMYFUNCTION("""COMPUTED_VALUE"""),44798.99861111111)</f>
        <v>44798.99861</v>
      </c>
      <c r="B2160" s="1">
        <f>IFERROR(__xludf.DUMMYFUNCTION("""COMPUTED_VALUE"""),21565.53)</f>
        <v>21565.53</v>
      </c>
      <c r="C2160" s="58">
        <f t="shared" si="1"/>
        <v>4982.998611</v>
      </c>
      <c r="D2160" s="1">
        <f t="shared" si="2"/>
        <v>14471.91702</v>
      </c>
      <c r="E2160" s="1">
        <f t="shared" si="3"/>
        <v>26049.45064</v>
      </c>
      <c r="F2160" s="1">
        <f t="shared" si="4"/>
        <v>49204.51788</v>
      </c>
      <c r="G2160" s="1">
        <f t="shared" si="5"/>
        <v>86831.50214</v>
      </c>
      <c r="H2160" s="1">
        <f t="shared" si="6"/>
        <v>159191.0873</v>
      </c>
      <c r="I2160" s="1">
        <f t="shared" si="7"/>
        <v>260494.5064</v>
      </c>
    </row>
    <row r="2161" hidden="1">
      <c r="A2161" s="266">
        <f>IFERROR(__xludf.DUMMYFUNCTION("""COMPUTED_VALUE"""),44799.99861111111)</f>
        <v>44799.99861</v>
      </c>
      <c r="B2161" s="1">
        <f>IFERROR(__xludf.DUMMYFUNCTION("""COMPUTED_VALUE"""),20248.2)</f>
        <v>20248.2</v>
      </c>
      <c r="C2161" s="58">
        <f t="shared" si="1"/>
        <v>4983.998611</v>
      </c>
      <c r="D2161" s="1">
        <f t="shared" si="2"/>
        <v>14488.76984</v>
      </c>
      <c r="E2161" s="1">
        <f t="shared" si="3"/>
        <v>26079.78571</v>
      </c>
      <c r="F2161" s="1">
        <f t="shared" si="4"/>
        <v>49261.81745</v>
      </c>
      <c r="G2161" s="1">
        <f t="shared" si="5"/>
        <v>86932.61903</v>
      </c>
      <c r="H2161" s="1">
        <f t="shared" si="6"/>
        <v>159376.4682</v>
      </c>
      <c r="I2161" s="1">
        <f t="shared" si="7"/>
        <v>260797.8571</v>
      </c>
    </row>
    <row r="2162" hidden="1">
      <c r="A2162" s="266">
        <f>IFERROR(__xludf.DUMMYFUNCTION("""COMPUTED_VALUE"""),44800.99861111111)</f>
        <v>44800.99861</v>
      </c>
      <c r="B2162" s="1">
        <f>IFERROR(__xludf.DUMMYFUNCTION("""COMPUTED_VALUE"""),20032.95)</f>
        <v>20032.95</v>
      </c>
      <c r="C2162" s="58">
        <f t="shared" si="1"/>
        <v>4984.998611</v>
      </c>
      <c r="D2162" s="1">
        <f t="shared" si="2"/>
        <v>14505.63889</v>
      </c>
      <c r="E2162" s="1">
        <f t="shared" si="3"/>
        <v>26110.15001</v>
      </c>
      <c r="F2162" s="1">
        <f t="shared" si="4"/>
        <v>49319.17223</v>
      </c>
      <c r="G2162" s="1">
        <f t="shared" si="5"/>
        <v>87033.83335</v>
      </c>
      <c r="H2162" s="1">
        <f t="shared" si="6"/>
        <v>159562.0278</v>
      </c>
      <c r="I2162" s="1">
        <f t="shared" si="7"/>
        <v>261101.5001</v>
      </c>
    </row>
    <row r="2163" hidden="1">
      <c r="A2163" s="266">
        <f>IFERROR(__xludf.DUMMYFUNCTION("""COMPUTED_VALUE"""),44801.99861111111)</f>
        <v>44801.99861</v>
      </c>
      <c r="B2163" s="1">
        <f>IFERROR(__xludf.DUMMYFUNCTION("""COMPUTED_VALUE"""),19549.44)</f>
        <v>19549.44</v>
      </c>
      <c r="C2163" s="58">
        <f t="shared" si="1"/>
        <v>4985.998611</v>
      </c>
      <c r="D2163" s="1">
        <f t="shared" si="2"/>
        <v>14522.5242</v>
      </c>
      <c r="E2163" s="1">
        <f t="shared" si="3"/>
        <v>26140.54355</v>
      </c>
      <c r="F2163" s="1">
        <f t="shared" si="4"/>
        <v>49376.58227</v>
      </c>
      <c r="G2163" s="1">
        <f t="shared" si="5"/>
        <v>87135.14518</v>
      </c>
      <c r="H2163" s="1">
        <f t="shared" si="6"/>
        <v>159747.7662</v>
      </c>
      <c r="I2163" s="1">
        <f t="shared" si="7"/>
        <v>261405.4355</v>
      </c>
    </row>
    <row r="2164" hidden="1">
      <c r="A2164" s="266">
        <f>IFERROR(__xludf.DUMMYFUNCTION("""COMPUTED_VALUE"""),44802.99861111111)</f>
        <v>44802.99861</v>
      </c>
      <c r="B2164" s="1">
        <f>IFERROR(__xludf.DUMMYFUNCTION("""COMPUTED_VALUE"""),20295.56)</f>
        <v>20295.56</v>
      </c>
      <c r="C2164" s="58">
        <f t="shared" si="1"/>
        <v>4986.998611</v>
      </c>
      <c r="D2164" s="1">
        <f t="shared" si="2"/>
        <v>14539.42577</v>
      </c>
      <c r="E2164" s="1">
        <f t="shared" si="3"/>
        <v>26170.96638</v>
      </c>
      <c r="F2164" s="1">
        <f t="shared" si="4"/>
        <v>49434.0476</v>
      </c>
      <c r="G2164" s="1">
        <f t="shared" si="5"/>
        <v>87236.55459</v>
      </c>
      <c r="H2164" s="1">
        <f t="shared" si="6"/>
        <v>159933.6834</v>
      </c>
      <c r="I2164" s="1">
        <f t="shared" si="7"/>
        <v>261709.6638</v>
      </c>
    </row>
    <row r="2165" hidden="1">
      <c r="A2165" s="266">
        <f>IFERROR(__xludf.DUMMYFUNCTION("""COMPUTED_VALUE"""),44803.99861111111)</f>
        <v>44803.99861</v>
      </c>
      <c r="B2165" s="1">
        <f>IFERROR(__xludf.DUMMYFUNCTION("""COMPUTED_VALUE"""),19809.94)</f>
        <v>19809.94</v>
      </c>
      <c r="C2165" s="58">
        <f t="shared" si="1"/>
        <v>4987.998611</v>
      </c>
      <c r="D2165" s="1">
        <f t="shared" si="2"/>
        <v>14556.34361</v>
      </c>
      <c r="E2165" s="1">
        <f t="shared" si="3"/>
        <v>26201.4185</v>
      </c>
      <c r="F2165" s="1">
        <f t="shared" si="4"/>
        <v>49491.56827</v>
      </c>
      <c r="G2165" s="1">
        <f t="shared" si="5"/>
        <v>87338.06165</v>
      </c>
      <c r="H2165" s="1">
        <f t="shared" si="6"/>
        <v>160119.7797</v>
      </c>
      <c r="I2165" s="1">
        <f t="shared" si="7"/>
        <v>262014.185</v>
      </c>
    </row>
    <row r="2166" hidden="1">
      <c r="A2166" s="266">
        <f>IFERROR(__xludf.DUMMYFUNCTION("""COMPUTED_VALUE"""),44804.99861111111)</f>
        <v>44804.99861</v>
      </c>
      <c r="B2166" s="1">
        <f>IFERROR(__xludf.DUMMYFUNCTION("""COMPUTED_VALUE"""),20049.38)</f>
        <v>20049.38</v>
      </c>
      <c r="C2166" s="58">
        <f t="shared" si="1"/>
        <v>4988.998611</v>
      </c>
      <c r="D2166" s="1">
        <f t="shared" si="2"/>
        <v>14573.27774</v>
      </c>
      <c r="E2166" s="1">
        <f t="shared" si="3"/>
        <v>26231.89993</v>
      </c>
      <c r="F2166" s="1">
        <f t="shared" si="4"/>
        <v>49549.14432</v>
      </c>
      <c r="G2166" s="1">
        <f t="shared" si="5"/>
        <v>87439.66644</v>
      </c>
      <c r="H2166" s="1">
        <f t="shared" si="6"/>
        <v>160306.0551</v>
      </c>
      <c r="I2166" s="1">
        <f t="shared" si="7"/>
        <v>262318.9993</v>
      </c>
    </row>
    <row r="2167" hidden="1">
      <c r="A2167" s="266">
        <f>IFERROR(__xludf.DUMMYFUNCTION("""COMPUTED_VALUE"""),44805.99861111111)</f>
        <v>44805.99861</v>
      </c>
      <c r="B2167" s="1">
        <f>IFERROR(__xludf.DUMMYFUNCTION("""COMPUTED_VALUE"""),20126.31)</f>
        <v>20126.31</v>
      </c>
      <c r="C2167" s="58">
        <f t="shared" si="1"/>
        <v>4989.998611</v>
      </c>
      <c r="D2167" s="1">
        <f t="shared" si="2"/>
        <v>14590.22817</v>
      </c>
      <c r="E2167" s="1">
        <f t="shared" si="3"/>
        <v>26262.41071</v>
      </c>
      <c r="F2167" s="1">
        <f t="shared" si="4"/>
        <v>49606.77579</v>
      </c>
      <c r="G2167" s="1">
        <f t="shared" si="5"/>
        <v>87541.36904</v>
      </c>
      <c r="H2167" s="1">
        <f t="shared" si="6"/>
        <v>160492.5099</v>
      </c>
      <c r="I2167" s="1">
        <f t="shared" si="7"/>
        <v>262624.1071</v>
      </c>
    </row>
    <row r="2168" hidden="1">
      <c r="A2168" s="266">
        <f>IFERROR(__xludf.DUMMYFUNCTION("""COMPUTED_VALUE"""),44806.99861111111)</f>
        <v>44806.99861</v>
      </c>
      <c r="B2168" s="1">
        <f>IFERROR(__xludf.DUMMYFUNCTION("""COMPUTED_VALUE"""),19954.64)</f>
        <v>19954.64</v>
      </c>
      <c r="C2168" s="58">
        <f t="shared" si="1"/>
        <v>4990.998611</v>
      </c>
      <c r="D2168" s="1">
        <f t="shared" si="2"/>
        <v>14607.19492</v>
      </c>
      <c r="E2168" s="1">
        <f t="shared" si="3"/>
        <v>26292.95085</v>
      </c>
      <c r="F2168" s="1">
        <f t="shared" si="4"/>
        <v>49664.46272</v>
      </c>
      <c r="G2168" s="1">
        <f t="shared" si="5"/>
        <v>87643.16951</v>
      </c>
      <c r="H2168" s="1">
        <f t="shared" si="6"/>
        <v>160679.1441</v>
      </c>
      <c r="I2168" s="1">
        <f t="shared" si="7"/>
        <v>262929.5085</v>
      </c>
    </row>
    <row r="2169" hidden="1">
      <c r="A2169" s="266">
        <f>IFERROR(__xludf.DUMMYFUNCTION("""COMPUTED_VALUE"""),44807.99861111111)</f>
        <v>44807.99861</v>
      </c>
      <c r="B2169" s="1">
        <f>IFERROR(__xludf.DUMMYFUNCTION("""COMPUTED_VALUE"""),19831.3)</f>
        <v>19831.3</v>
      </c>
      <c r="C2169" s="58">
        <f t="shared" si="1"/>
        <v>4991.998611</v>
      </c>
      <c r="D2169" s="1">
        <f t="shared" si="2"/>
        <v>14624.17799</v>
      </c>
      <c r="E2169" s="1">
        <f t="shared" si="3"/>
        <v>26323.52038</v>
      </c>
      <c r="F2169" s="1">
        <f t="shared" si="4"/>
        <v>49722.20516</v>
      </c>
      <c r="G2169" s="1">
        <f t="shared" si="5"/>
        <v>87745.06793</v>
      </c>
      <c r="H2169" s="1">
        <f t="shared" si="6"/>
        <v>160865.9579</v>
      </c>
      <c r="I2169" s="1">
        <f t="shared" si="7"/>
        <v>263235.2038</v>
      </c>
    </row>
    <row r="2170" hidden="1">
      <c r="A2170" s="266">
        <f>IFERROR(__xludf.DUMMYFUNCTION("""COMPUTED_VALUE"""),44808.99861111111)</f>
        <v>44808.99861</v>
      </c>
      <c r="B2170" s="1">
        <f>IFERROR(__xludf.DUMMYFUNCTION("""COMPUTED_VALUE"""),19999.47)</f>
        <v>19999.47</v>
      </c>
      <c r="C2170" s="58">
        <f t="shared" si="1"/>
        <v>4992.998611</v>
      </c>
      <c r="D2170" s="1">
        <f t="shared" si="2"/>
        <v>14641.1774</v>
      </c>
      <c r="E2170" s="1">
        <f t="shared" si="3"/>
        <v>26354.11931</v>
      </c>
      <c r="F2170" s="1">
        <f t="shared" si="4"/>
        <v>49780.00315</v>
      </c>
      <c r="G2170" s="1">
        <f t="shared" si="5"/>
        <v>87847.06438</v>
      </c>
      <c r="H2170" s="1">
        <f t="shared" si="6"/>
        <v>161052.9514</v>
      </c>
      <c r="I2170" s="1">
        <f t="shared" si="7"/>
        <v>263541.1931</v>
      </c>
    </row>
    <row r="2171" hidden="1">
      <c r="A2171" s="266">
        <f>IFERROR(__xludf.DUMMYFUNCTION("""COMPUTED_VALUE"""),44809.99861111111)</f>
        <v>44809.99861</v>
      </c>
      <c r="B2171" s="1">
        <f>IFERROR(__xludf.DUMMYFUNCTION("""COMPUTED_VALUE"""),19793.39)</f>
        <v>19793.39</v>
      </c>
      <c r="C2171" s="58">
        <f t="shared" si="1"/>
        <v>4993.998611</v>
      </c>
      <c r="D2171" s="1">
        <f t="shared" si="2"/>
        <v>14658.19315</v>
      </c>
      <c r="E2171" s="1">
        <f t="shared" si="3"/>
        <v>26384.74768</v>
      </c>
      <c r="F2171" s="1">
        <f t="shared" si="4"/>
        <v>49837.85673</v>
      </c>
      <c r="G2171" s="1">
        <f t="shared" si="5"/>
        <v>87949.15893</v>
      </c>
      <c r="H2171" s="1">
        <f t="shared" si="6"/>
        <v>161240.1247</v>
      </c>
      <c r="I2171" s="1">
        <f t="shared" si="7"/>
        <v>263847.4768</v>
      </c>
    </row>
    <row r="2172" hidden="1">
      <c r="A2172" s="266">
        <f>IFERROR(__xludf.DUMMYFUNCTION("""COMPUTED_VALUE"""),44810.99861111111)</f>
        <v>44810.99861</v>
      </c>
      <c r="B2172" s="1">
        <f>IFERROR(__xludf.DUMMYFUNCTION("""COMPUTED_VALUE"""),18786.95)</f>
        <v>18786.95</v>
      </c>
      <c r="C2172" s="58">
        <f t="shared" si="1"/>
        <v>4994.998611</v>
      </c>
      <c r="D2172" s="1">
        <f t="shared" si="2"/>
        <v>14675.22528</v>
      </c>
      <c r="E2172" s="1">
        <f t="shared" si="3"/>
        <v>26415.4055</v>
      </c>
      <c r="F2172" s="1">
        <f t="shared" si="4"/>
        <v>49895.76594</v>
      </c>
      <c r="G2172" s="1">
        <f t="shared" si="5"/>
        <v>88051.35165</v>
      </c>
      <c r="H2172" s="1">
        <f t="shared" si="6"/>
        <v>161427.478</v>
      </c>
      <c r="I2172" s="1">
        <f t="shared" si="7"/>
        <v>264154.055</v>
      </c>
    </row>
    <row r="2173" hidden="1">
      <c r="A2173" s="266">
        <f>IFERROR(__xludf.DUMMYFUNCTION("""COMPUTED_VALUE"""),44811.99861111111)</f>
        <v>44811.99861</v>
      </c>
      <c r="B2173" s="1">
        <f>IFERROR(__xludf.DUMMYFUNCTION("""COMPUTED_VALUE"""),19285.02)</f>
        <v>19285.02</v>
      </c>
      <c r="C2173" s="58">
        <f t="shared" si="1"/>
        <v>4995.998611</v>
      </c>
      <c r="D2173" s="1">
        <f t="shared" si="2"/>
        <v>14692.27377</v>
      </c>
      <c r="E2173" s="1">
        <f t="shared" si="3"/>
        <v>26446.09279</v>
      </c>
      <c r="F2173" s="1">
        <f t="shared" si="4"/>
        <v>49953.73082</v>
      </c>
      <c r="G2173" s="1">
        <f t="shared" si="5"/>
        <v>88153.64263</v>
      </c>
      <c r="H2173" s="1">
        <f t="shared" si="6"/>
        <v>161615.0115</v>
      </c>
      <c r="I2173" s="1">
        <f t="shared" si="7"/>
        <v>264460.9279</v>
      </c>
    </row>
    <row r="2174" hidden="1">
      <c r="A2174" s="266">
        <f>IFERROR(__xludf.DUMMYFUNCTION("""COMPUTED_VALUE"""),44812.99861111111)</f>
        <v>44812.99861</v>
      </c>
      <c r="B2174" s="1">
        <f>IFERROR(__xludf.DUMMYFUNCTION("""COMPUTED_VALUE"""),19319.55)</f>
        <v>19319.55</v>
      </c>
      <c r="C2174" s="58">
        <f t="shared" si="1"/>
        <v>4996.998611</v>
      </c>
      <c r="D2174" s="1">
        <f t="shared" si="2"/>
        <v>14709.33866</v>
      </c>
      <c r="E2174" s="1">
        <f t="shared" si="3"/>
        <v>26476.80958</v>
      </c>
      <c r="F2174" s="1">
        <f t="shared" si="4"/>
        <v>50011.75143</v>
      </c>
      <c r="G2174" s="1">
        <f t="shared" si="5"/>
        <v>88256.03193</v>
      </c>
      <c r="H2174" s="1">
        <f t="shared" si="6"/>
        <v>161802.7252</v>
      </c>
      <c r="I2174" s="1">
        <f t="shared" si="7"/>
        <v>264768.0958</v>
      </c>
    </row>
    <row r="2175" hidden="1">
      <c r="A2175" s="266">
        <f>IFERROR(__xludf.DUMMYFUNCTION("""COMPUTED_VALUE"""),44813.99861111111)</f>
        <v>44813.99861</v>
      </c>
      <c r="B2175" s="1">
        <f>IFERROR(__xludf.DUMMYFUNCTION("""COMPUTED_VALUE"""),21369.86)</f>
        <v>21369.86</v>
      </c>
      <c r="C2175" s="58">
        <f t="shared" si="1"/>
        <v>4997.998611</v>
      </c>
      <c r="D2175" s="1">
        <f t="shared" si="2"/>
        <v>14726.41994</v>
      </c>
      <c r="E2175" s="1">
        <f t="shared" si="3"/>
        <v>26507.55589</v>
      </c>
      <c r="F2175" s="1">
        <f t="shared" si="4"/>
        <v>50069.82779</v>
      </c>
      <c r="G2175" s="1">
        <f t="shared" si="5"/>
        <v>88358.51963</v>
      </c>
      <c r="H2175" s="1">
        <f t="shared" si="6"/>
        <v>161990.6193</v>
      </c>
      <c r="I2175" s="1">
        <f t="shared" si="7"/>
        <v>265075.5589</v>
      </c>
    </row>
    <row r="2176" hidden="1">
      <c r="A2176" s="266">
        <f>IFERROR(__xludf.DUMMYFUNCTION("""COMPUTED_VALUE"""),44814.99861111111)</f>
        <v>44814.99861</v>
      </c>
      <c r="B2176" s="1">
        <f>IFERROR(__xludf.DUMMYFUNCTION("""COMPUTED_VALUE"""),21659.33)</f>
        <v>21659.33</v>
      </c>
      <c r="C2176" s="58">
        <f t="shared" si="1"/>
        <v>4998.998611</v>
      </c>
      <c r="D2176" s="1">
        <f t="shared" si="2"/>
        <v>14743.51763</v>
      </c>
      <c r="E2176" s="1">
        <f t="shared" si="3"/>
        <v>26538.33174</v>
      </c>
      <c r="F2176" s="1">
        <f t="shared" si="4"/>
        <v>50127.95996</v>
      </c>
      <c r="G2176" s="1">
        <f t="shared" si="5"/>
        <v>88461.10581</v>
      </c>
      <c r="H2176" s="1">
        <f t="shared" si="6"/>
        <v>162178.694</v>
      </c>
      <c r="I2176" s="1">
        <f t="shared" si="7"/>
        <v>265383.3174</v>
      </c>
    </row>
    <row r="2177" hidden="1">
      <c r="A2177" s="266">
        <f>IFERROR(__xludf.DUMMYFUNCTION("""COMPUTED_VALUE"""),44815.99861111111)</f>
        <v>44815.99861</v>
      </c>
      <c r="B2177" s="1">
        <f>IFERROR(__xludf.DUMMYFUNCTION("""COMPUTED_VALUE"""),21819.66)</f>
        <v>21819.66</v>
      </c>
      <c r="C2177" s="58">
        <f t="shared" si="1"/>
        <v>4999.998611</v>
      </c>
      <c r="D2177" s="1">
        <f t="shared" si="2"/>
        <v>14760.63176</v>
      </c>
      <c r="E2177" s="1">
        <f t="shared" si="3"/>
        <v>26569.13716</v>
      </c>
      <c r="F2177" s="1">
        <f t="shared" si="4"/>
        <v>50186.14797</v>
      </c>
      <c r="G2177" s="1">
        <f t="shared" si="5"/>
        <v>88563.79053</v>
      </c>
      <c r="H2177" s="1">
        <f t="shared" si="6"/>
        <v>162366.9493</v>
      </c>
      <c r="I2177" s="1">
        <f t="shared" si="7"/>
        <v>265691.3716</v>
      </c>
    </row>
    <row r="2178" hidden="1">
      <c r="A2178" s="266">
        <f>IFERROR(__xludf.DUMMYFUNCTION("""COMPUTED_VALUE"""),44816.99861111111)</f>
        <v>44816.99861</v>
      </c>
      <c r="B2178" s="1">
        <f>IFERROR(__xludf.DUMMYFUNCTION("""COMPUTED_VALUE"""),22394.26)</f>
        <v>22394.26</v>
      </c>
      <c r="C2178" s="58">
        <f t="shared" si="1"/>
        <v>5000.998611</v>
      </c>
      <c r="D2178" s="1">
        <f t="shared" si="2"/>
        <v>14777.76231</v>
      </c>
      <c r="E2178" s="1">
        <f t="shared" si="3"/>
        <v>26599.97217</v>
      </c>
      <c r="F2178" s="1">
        <f t="shared" si="4"/>
        <v>50244.39187</v>
      </c>
      <c r="G2178" s="1">
        <f t="shared" si="5"/>
        <v>88666.57388</v>
      </c>
      <c r="H2178" s="1">
        <f t="shared" si="6"/>
        <v>162555.3855</v>
      </c>
      <c r="I2178" s="1">
        <f t="shared" si="7"/>
        <v>265999.7217</v>
      </c>
    </row>
    <row r="2179" hidden="1">
      <c r="A2179" s="266">
        <f>IFERROR(__xludf.DUMMYFUNCTION("""COMPUTED_VALUE"""),44817.99861111111)</f>
        <v>44817.99861</v>
      </c>
      <c r="B2179" s="1">
        <f>IFERROR(__xludf.DUMMYFUNCTION("""COMPUTED_VALUE"""),20172.65)</f>
        <v>20172.65</v>
      </c>
      <c r="C2179" s="58">
        <f t="shared" si="1"/>
        <v>5001.998611</v>
      </c>
      <c r="D2179" s="1">
        <f t="shared" si="2"/>
        <v>14794.90932</v>
      </c>
      <c r="E2179" s="1">
        <f t="shared" si="3"/>
        <v>26630.83678</v>
      </c>
      <c r="F2179" s="1">
        <f t="shared" si="4"/>
        <v>50302.6917</v>
      </c>
      <c r="G2179" s="1">
        <f t="shared" si="5"/>
        <v>88769.45593</v>
      </c>
      <c r="H2179" s="1">
        <f t="shared" si="6"/>
        <v>162744.0025</v>
      </c>
      <c r="I2179" s="1">
        <f t="shared" si="7"/>
        <v>266308.3678</v>
      </c>
    </row>
    <row r="2180" hidden="1">
      <c r="A2180" s="266">
        <f>IFERROR(__xludf.DUMMYFUNCTION("""COMPUTED_VALUE"""),44818.99861111111)</f>
        <v>44818.99861</v>
      </c>
      <c r="B2180" s="1">
        <f>IFERROR(__xludf.DUMMYFUNCTION("""COMPUTED_VALUE"""),20222.53)</f>
        <v>20222.53</v>
      </c>
      <c r="C2180" s="58">
        <f t="shared" si="1"/>
        <v>5002.998611</v>
      </c>
      <c r="D2180" s="1">
        <f t="shared" si="2"/>
        <v>14812.07279</v>
      </c>
      <c r="E2180" s="1">
        <f t="shared" si="3"/>
        <v>26661.73103</v>
      </c>
      <c r="F2180" s="1">
        <f t="shared" si="4"/>
        <v>50361.0475</v>
      </c>
      <c r="G2180" s="1">
        <f t="shared" si="5"/>
        <v>88872.43676</v>
      </c>
      <c r="H2180" s="1">
        <f t="shared" si="6"/>
        <v>162932.8007</v>
      </c>
      <c r="I2180" s="1">
        <f t="shared" si="7"/>
        <v>266617.3103</v>
      </c>
    </row>
    <row r="2181" hidden="1">
      <c r="A2181" s="266">
        <f>IFERROR(__xludf.DUMMYFUNCTION("""COMPUTED_VALUE"""),44819.99861111111)</f>
        <v>44819.99861</v>
      </c>
      <c r="B2181" s="1">
        <f>IFERROR(__xludf.DUMMYFUNCTION("""COMPUTED_VALUE"""),19698.31)</f>
        <v>19698.31</v>
      </c>
      <c r="C2181" s="58">
        <f t="shared" si="1"/>
        <v>5003.998611</v>
      </c>
      <c r="D2181" s="1">
        <f t="shared" si="2"/>
        <v>14829.25274</v>
      </c>
      <c r="E2181" s="1">
        <f t="shared" si="3"/>
        <v>26692.65493</v>
      </c>
      <c r="F2181" s="1">
        <f t="shared" si="4"/>
        <v>50419.45931</v>
      </c>
      <c r="G2181" s="1">
        <f t="shared" si="5"/>
        <v>88975.51643</v>
      </c>
      <c r="H2181" s="1">
        <f t="shared" si="6"/>
        <v>163121.7801</v>
      </c>
      <c r="I2181" s="1">
        <f t="shared" si="7"/>
        <v>266926.5493</v>
      </c>
    </row>
    <row r="2182" hidden="1">
      <c r="A2182" s="266">
        <f>IFERROR(__xludf.DUMMYFUNCTION("""COMPUTED_VALUE"""),44820.99861111111)</f>
        <v>44820.99861</v>
      </c>
      <c r="B2182" s="1">
        <f>IFERROR(__xludf.DUMMYFUNCTION("""COMPUTED_VALUE"""),19800.92)</f>
        <v>19800.92</v>
      </c>
      <c r="C2182" s="58">
        <f t="shared" si="1"/>
        <v>5004.998611</v>
      </c>
      <c r="D2182" s="1">
        <f t="shared" si="2"/>
        <v>14846.44917</v>
      </c>
      <c r="E2182" s="1">
        <f t="shared" si="3"/>
        <v>26723.60851</v>
      </c>
      <c r="F2182" s="1">
        <f t="shared" si="4"/>
        <v>50477.92718</v>
      </c>
      <c r="G2182" s="1">
        <f t="shared" si="5"/>
        <v>89078.69503</v>
      </c>
      <c r="H2182" s="1">
        <f t="shared" si="6"/>
        <v>163310.9409</v>
      </c>
      <c r="I2182" s="1">
        <f t="shared" si="7"/>
        <v>267236.0851</v>
      </c>
    </row>
    <row r="2183" hidden="1">
      <c r="A2183" s="266">
        <f>IFERROR(__xludf.DUMMYFUNCTION("""COMPUTED_VALUE"""),44821.99861111111)</f>
        <v>44821.99861</v>
      </c>
      <c r="B2183" s="1">
        <f>IFERROR(__xludf.DUMMYFUNCTION("""COMPUTED_VALUE"""),20116.79)</f>
        <v>20116.79</v>
      </c>
      <c r="C2183" s="58">
        <f t="shared" si="1"/>
        <v>5005.998611</v>
      </c>
      <c r="D2183" s="1">
        <f t="shared" si="2"/>
        <v>14863.66211</v>
      </c>
      <c r="E2183" s="1">
        <f t="shared" si="3"/>
        <v>26754.59179</v>
      </c>
      <c r="F2183" s="1">
        <f t="shared" si="4"/>
        <v>50536.45116</v>
      </c>
      <c r="G2183" s="1">
        <f t="shared" si="5"/>
        <v>89181.97263</v>
      </c>
      <c r="H2183" s="1">
        <f t="shared" si="6"/>
        <v>163500.2832</v>
      </c>
      <c r="I2183" s="1">
        <f t="shared" si="7"/>
        <v>267545.9179</v>
      </c>
    </row>
    <row r="2184" hidden="1">
      <c r="A2184" s="266">
        <f>IFERROR(__xludf.DUMMYFUNCTION("""COMPUTED_VALUE"""),44822.99861111111)</f>
        <v>44822.99861</v>
      </c>
      <c r="B2184" s="1">
        <f>IFERROR(__xludf.DUMMYFUNCTION("""COMPUTED_VALUE"""),19417.64)</f>
        <v>19417.64</v>
      </c>
      <c r="C2184" s="58">
        <f t="shared" si="1"/>
        <v>5006.998611</v>
      </c>
      <c r="D2184" s="1">
        <f t="shared" si="2"/>
        <v>14880.89155</v>
      </c>
      <c r="E2184" s="1">
        <f t="shared" si="3"/>
        <v>26785.60479</v>
      </c>
      <c r="F2184" s="1">
        <f t="shared" si="4"/>
        <v>50595.03127</v>
      </c>
      <c r="G2184" s="1">
        <f t="shared" si="5"/>
        <v>89285.34931</v>
      </c>
      <c r="H2184" s="1">
        <f t="shared" si="6"/>
        <v>163689.8071</v>
      </c>
      <c r="I2184" s="1">
        <f t="shared" si="7"/>
        <v>267856.0479</v>
      </c>
    </row>
    <row r="2185" hidden="1">
      <c r="A2185" s="266">
        <f>IFERROR(__xludf.DUMMYFUNCTION("""COMPUTED_VALUE"""),44823.99861111111)</f>
        <v>44823.99861</v>
      </c>
      <c r="B2185" s="1">
        <f>IFERROR(__xludf.DUMMYFUNCTION("""COMPUTED_VALUE"""),19536.58)</f>
        <v>19536.58</v>
      </c>
      <c r="C2185" s="58">
        <f t="shared" si="1"/>
        <v>5007.998611</v>
      </c>
      <c r="D2185" s="1">
        <f t="shared" si="2"/>
        <v>14898.13752</v>
      </c>
      <c r="E2185" s="1">
        <f t="shared" si="3"/>
        <v>26816.64754</v>
      </c>
      <c r="F2185" s="1">
        <f t="shared" si="4"/>
        <v>50653.66757</v>
      </c>
      <c r="G2185" s="1">
        <f t="shared" si="5"/>
        <v>89388.82513</v>
      </c>
      <c r="H2185" s="1">
        <f t="shared" si="6"/>
        <v>163879.5127</v>
      </c>
      <c r="I2185" s="1">
        <f t="shared" si="7"/>
        <v>268166.4754</v>
      </c>
    </row>
    <row r="2186" hidden="1">
      <c r="A2186" s="266">
        <f>IFERROR(__xludf.DUMMYFUNCTION("""COMPUTED_VALUE"""),44824.99861111111)</f>
        <v>44824.99861</v>
      </c>
      <c r="B2186" s="1">
        <f>IFERROR(__xludf.DUMMYFUNCTION("""COMPUTED_VALUE"""),18875.99)</f>
        <v>18875.99</v>
      </c>
      <c r="C2186" s="58">
        <f t="shared" si="1"/>
        <v>5008.998611</v>
      </c>
      <c r="D2186" s="1">
        <f t="shared" si="2"/>
        <v>14915.40003</v>
      </c>
      <c r="E2186" s="1">
        <f t="shared" si="3"/>
        <v>26847.72005</v>
      </c>
      <c r="F2186" s="1">
        <f t="shared" si="4"/>
        <v>50712.3601</v>
      </c>
      <c r="G2186" s="1">
        <f t="shared" si="5"/>
        <v>89492.40018</v>
      </c>
      <c r="H2186" s="1">
        <f t="shared" si="6"/>
        <v>164069.4003</v>
      </c>
      <c r="I2186" s="1">
        <f t="shared" si="7"/>
        <v>268477.2005</v>
      </c>
    </row>
    <row r="2187" hidden="1">
      <c r="A2187" s="266">
        <f>IFERROR(__xludf.DUMMYFUNCTION("""COMPUTED_VALUE"""),44825.99861111111)</f>
        <v>44825.99861</v>
      </c>
      <c r="B2187" s="1">
        <f>IFERROR(__xludf.DUMMYFUNCTION("""COMPUTED_VALUE"""),18489.82)</f>
        <v>18489.82</v>
      </c>
      <c r="C2187" s="58">
        <f t="shared" si="1"/>
        <v>5009.998611</v>
      </c>
      <c r="D2187" s="1">
        <f t="shared" si="2"/>
        <v>14932.67909</v>
      </c>
      <c r="E2187" s="1">
        <f t="shared" si="3"/>
        <v>26878.82236</v>
      </c>
      <c r="F2187" s="1">
        <f t="shared" si="4"/>
        <v>50771.1089</v>
      </c>
      <c r="G2187" s="1">
        <f t="shared" si="5"/>
        <v>89596.07453</v>
      </c>
      <c r="H2187" s="1">
        <f t="shared" si="6"/>
        <v>164259.47</v>
      </c>
      <c r="I2187" s="1">
        <f t="shared" si="7"/>
        <v>268788.2236</v>
      </c>
    </row>
    <row r="2188" hidden="1">
      <c r="A2188" s="266">
        <f>IFERROR(__xludf.DUMMYFUNCTION("""COMPUTED_VALUE"""),44826.99861111111)</f>
        <v>44826.99861</v>
      </c>
      <c r="B2188" s="1">
        <f>IFERROR(__xludf.DUMMYFUNCTION("""COMPUTED_VALUE"""),19405.05)</f>
        <v>19405.05</v>
      </c>
      <c r="C2188" s="58">
        <f t="shared" si="1"/>
        <v>5010.998611</v>
      </c>
      <c r="D2188" s="1">
        <f t="shared" si="2"/>
        <v>14949.97471</v>
      </c>
      <c r="E2188" s="1">
        <f t="shared" si="3"/>
        <v>26909.95448</v>
      </c>
      <c r="F2188" s="1">
        <f t="shared" si="4"/>
        <v>50829.91401</v>
      </c>
      <c r="G2188" s="1">
        <f t="shared" si="5"/>
        <v>89699.84826</v>
      </c>
      <c r="H2188" s="1">
        <f t="shared" si="6"/>
        <v>164449.7218</v>
      </c>
      <c r="I2188" s="1">
        <f t="shared" si="7"/>
        <v>269099.5448</v>
      </c>
    </row>
    <row r="2189" hidden="1">
      <c r="A2189" s="266">
        <f>IFERROR(__xludf.DUMMYFUNCTION("""COMPUTED_VALUE"""),44827.99861111111)</f>
        <v>44827.99861</v>
      </c>
      <c r="B2189" s="1">
        <f>IFERROR(__xludf.DUMMYFUNCTION("""COMPUTED_VALUE"""),19291.41)</f>
        <v>19291.41</v>
      </c>
      <c r="C2189" s="58">
        <f t="shared" si="1"/>
        <v>5011.998611</v>
      </c>
      <c r="D2189" s="1">
        <f t="shared" si="2"/>
        <v>14967.28691</v>
      </c>
      <c r="E2189" s="1">
        <f t="shared" si="3"/>
        <v>26941.11643</v>
      </c>
      <c r="F2189" s="1">
        <f t="shared" si="4"/>
        <v>50888.77548</v>
      </c>
      <c r="G2189" s="1">
        <f t="shared" si="5"/>
        <v>89803.72144</v>
      </c>
      <c r="H2189" s="1">
        <f t="shared" si="6"/>
        <v>164640.156</v>
      </c>
      <c r="I2189" s="1">
        <f t="shared" si="7"/>
        <v>269411.1643</v>
      </c>
    </row>
    <row r="2190" hidden="1">
      <c r="A2190" s="266">
        <f>IFERROR(__xludf.DUMMYFUNCTION("""COMPUTED_VALUE"""),44828.99861111111)</f>
        <v>44828.99861</v>
      </c>
      <c r="B2190" s="1">
        <f>IFERROR(__xludf.DUMMYFUNCTION("""COMPUTED_VALUE"""),18921.97)</f>
        <v>18921.97</v>
      </c>
      <c r="C2190" s="58">
        <f t="shared" si="1"/>
        <v>5012.998611</v>
      </c>
      <c r="D2190" s="1">
        <f t="shared" si="2"/>
        <v>14984.61569</v>
      </c>
      <c r="E2190" s="1">
        <f t="shared" si="3"/>
        <v>26972.30824</v>
      </c>
      <c r="F2190" s="1">
        <f t="shared" si="4"/>
        <v>50947.69335</v>
      </c>
      <c r="G2190" s="1">
        <f t="shared" si="5"/>
        <v>89907.69415</v>
      </c>
      <c r="H2190" s="1">
        <f t="shared" si="6"/>
        <v>164830.7726</v>
      </c>
      <c r="I2190" s="1">
        <f t="shared" si="7"/>
        <v>269723.0824</v>
      </c>
    </row>
    <row r="2191" hidden="1">
      <c r="A2191" s="266">
        <f>IFERROR(__xludf.DUMMYFUNCTION("""COMPUTED_VALUE"""),44829.99861111111)</f>
        <v>44829.99861</v>
      </c>
      <c r="B2191" s="1">
        <f>IFERROR(__xludf.DUMMYFUNCTION("""COMPUTED_VALUE"""),18802.33)</f>
        <v>18802.33</v>
      </c>
      <c r="C2191" s="58">
        <f t="shared" si="1"/>
        <v>5013.998611</v>
      </c>
      <c r="D2191" s="1">
        <f t="shared" si="2"/>
        <v>15001.96108</v>
      </c>
      <c r="E2191" s="1">
        <f t="shared" si="3"/>
        <v>27003.52994</v>
      </c>
      <c r="F2191" s="1">
        <f t="shared" si="4"/>
        <v>51006.66766</v>
      </c>
      <c r="G2191" s="1">
        <f t="shared" si="5"/>
        <v>90011.76646</v>
      </c>
      <c r="H2191" s="1">
        <f t="shared" si="6"/>
        <v>165021.5718</v>
      </c>
      <c r="I2191" s="1">
        <f t="shared" si="7"/>
        <v>270035.2994</v>
      </c>
    </row>
    <row r="2192" hidden="1">
      <c r="A2192" s="266">
        <f>IFERROR(__xludf.DUMMYFUNCTION("""COMPUTED_VALUE"""),44830.99861111111)</f>
        <v>44830.99861</v>
      </c>
      <c r="B2192" s="1">
        <f>IFERROR(__xludf.DUMMYFUNCTION("""COMPUTED_VALUE"""),19225.28)</f>
        <v>19225.28</v>
      </c>
      <c r="C2192" s="58">
        <f t="shared" si="1"/>
        <v>5014.998611</v>
      </c>
      <c r="D2192" s="1">
        <f t="shared" si="2"/>
        <v>15019.32307</v>
      </c>
      <c r="E2192" s="1">
        <f t="shared" si="3"/>
        <v>27034.78153</v>
      </c>
      <c r="F2192" s="1">
        <f t="shared" si="4"/>
        <v>51065.69845</v>
      </c>
      <c r="G2192" s="1">
        <f t="shared" si="5"/>
        <v>90115.93844</v>
      </c>
      <c r="H2192" s="1">
        <f t="shared" si="6"/>
        <v>165212.5538</v>
      </c>
      <c r="I2192" s="1">
        <f t="shared" si="7"/>
        <v>270347.8153</v>
      </c>
    </row>
    <row r="2193" hidden="1">
      <c r="A2193" s="266">
        <f>IFERROR(__xludf.DUMMYFUNCTION("""COMPUTED_VALUE"""),44831.99861111111)</f>
        <v>44831.99861</v>
      </c>
      <c r="B2193" s="1">
        <f>IFERROR(__xludf.DUMMYFUNCTION("""COMPUTED_VALUE"""),19081.24)</f>
        <v>19081.24</v>
      </c>
      <c r="C2193" s="58">
        <f t="shared" si="1"/>
        <v>5015.998611</v>
      </c>
      <c r="D2193" s="1">
        <f t="shared" si="2"/>
        <v>15036.7017</v>
      </c>
      <c r="E2193" s="1">
        <f t="shared" si="3"/>
        <v>27066.06306</v>
      </c>
      <c r="F2193" s="1">
        <f t="shared" si="4"/>
        <v>51124.78577</v>
      </c>
      <c r="G2193" s="1">
        <f t="shared" si="5"/>
        <v>90220.21019</v>
      </c>
      <c r="H2193" s="1">
        <f t="shared" si="6"/>
        <v>165403.7187</v>
      </c>
      <c r="I2193" s="1">
        <f t="shared" si="7"/>
        <v>270660.6306</v>
      </c>
    </row>
    <row r="2194" hidden="1">
      <c r="A2194" s="266">
        <f>IFERROR(__xludf.DUMMYFUNCTION("""COMPUTED_VALUE"""),44832.99861111111)</f>
        <v>44832.99861</v>
      </c>
      <c r="B2194" s="1">
        <f>IFERROR(__xludf.DUMMYFUNCTION("""COMPUTED_VALUE"""),19413.34)</f>
        <v>19413.34</v>
      </c>
      <c r="C2194" s="58">
        <f t="shared" si="1"/>
        <v>5016.998611</v>
      </c>
      <c r="D2194" s="1">
        <f t="shared" si="2"/>
        <v>15054.09696</v>
      </c>
      <c r="E2194" s="1">
        <f t="shared" si="3"/>
        <v>27097.37453</v>
      </c>
      <c r="F2194" s="1">
        <f t="shared" si="4"/>
        <v>51183.92966</v>
      </c>
      <c r="G2194" s="1">
        <f t="shared" si="5"/>
        <v>90324.58176</v>
      </c>
      <c r="H2194" s="1">
        <f t="shared" si="6"/>
        <v>165595.0666</v>
      </c>
      <c r="I2194" s="1">
        <f t="shared" si="7"/>
        <v>270973.7453</v>
      </c>
    </row>
    <row r="2195" hidden="1">
      <c r="A2195" s="266">
        <f>IFERROR(__xludf.DUMMYFUNCTION("""COMPUTED_VALUE"""),44833.99861111111)</f>
        <v>44833.99861</v>
      </c>
      <c r="B2195" s="1">
        <f>IFERROR(__xludf.DUMMYFUNCTION("""COMPUTED_VALUE"""),19592.01)</f>
        <v>19592.01</v>
      </c>
      <c r="C2195" s="58">
        <f t="shared" si="1"/>
        <v>5017.998611</v>
      </c>
      <c r="D2195" s="1">
        <f t="shared" si="2"/>
        <v>15071.50887</v>
      </c>
      <c r="E2195" s="1">
        <f t="shared" si="3"/>
        <v>27128.71597</v>
      </c>
      <c r="F2195" s="1">
        <f t="shared" si="4"/>
        <v>51243.13017</v>
      </c>
      <c r="G2195" s="1">
        <f t="shared" si="5"/>
        <v>90429.05323</v>
      </c>
      <c r="H2195" s="1">
        <f t="shared" si="6"/>
        <v>165786.5976</v>
      </c>
      <c r="I2195" s="1">
        <f t="shared" si="7"/>
        <v>271287.1597</v>
      </c>
    </row>
    <row r="2196" hidden="1">
      <c r="A2196" s="266">
        <f>IFERROR(__xludf.DUMMYFUNCTION("""COMPUTED_VALUE"""),44834.99861111111)</f>
        <v>44834.99861</v>
      </c>
      <c r="B2196" s="1">
        <f>IFERROR(__xludf.DUMMYFUNCTION("""COMPUTED_VALUE"""),19424.58)</f>
        <v>19424.58</v>
      </c>
      <c r="C2196" s="58">
        <f t="shared" si="1"/>
        <v>5018.998611</v>
      </c>
      <c r="D2196" s="1">
        <f t="shared" si="2"/>
        <v>15088.93745</v>
      </c>
      <c r="E2196" s="1">
        <f t="shared" si="3"/>
        <v>27160.08741</v>
      </c>
      <c r="F2196" s="1">
        <f t="shared" si="4"/>
        <v>51302.38732</v>
      </c>
      <c r="G2196" s="1">
        <f t="shared" si="5"/>
        <v>90533.62469</v>
      </c>
      <c r="H2196" s="1">
        <f t="shared" si="6"/>
        <v>165978.3119</v>
      </c>
      <c r="I2196" s="1">
        <f t="shared" si="7"/>
        <v>271600.8741</v>
      </c>
    </row>
    <row r="2197" hidden="1">
      <c r="A2197" s="266">
        <f>IFERROR(__xludf.DUMMYFUNCTION("""COMPUTED_VALUE"""),44835.99861111111)</f>
        <v>44835.99861</v>
      </c>
      <c r="B2197" s="1">
        <f>IFERROR(__xludf.DUMMYFUNCTION("""COMPUTED_VALUE"""),19313.35)</f>
        <v>19313.35</v>
      </c>
      <c r="C2197" s="58">
        <f t="shared" si="1"/>
        <v>5019.998611</v>
      </c>
      <c r="D2197" s="1">
        <f t="shared" si="2"/>
        <v>15106.3827</v>
      </c>
      <c r="E2197" s="1">
        <f t="shared" si="3"/>
        <v>27191.48886</v>
      </c>
      <c r="F2197" s="1">
        <f t="shared" si="4"/>
        <v>51361.70118</v>
      </c>
      <c r="G2197" s="1">
        <f t="shared" si="5"/>
        <v>90638.2962</v>
      </c>
      <c r="H2197" s="1">
        <f t="shared" si="6"/>
        <v>166170.2097</v>
      </c>
      <c r="I2197" s="1">
        <f t="shared" si="7"/>
        <v>271914.8886</v>
      </c>
    </row>
    <row r="2198" hidden="1">
      <c r="A2198" s="266">
        <f>IFERROR(__xludf.DUMMYFUNCTION("""COMPUTED_VALUE"""),44836.99861111111)</f>
        <v>44836.99861</v>
      </c>
      <c r="B2198" s="1">
        <f>IFERROR(__xludf.DUMMYFUNCTION("""COMPUTED_VALUE"""),19049.65)</f>
        <v>19049.65</v>
      </c>
      <c r="C2198" s="58">
        <f t="shared" si="1"/>
        <v>5020.998611</v>
      </c>
      <c r="D2198" s="1">
        <f t="shared" si="2"/>
        <v>15123.84464</v>
      </c>
      <c r="E2198" s="1">
        <f t="shared" si="3"/>
        <v>27222.92035</v>
      </c>
      <c r="F2198" s="1">
        <f t="shared" si="4"/>
        <v>51421.07178</v>
      </c>
      <c r="G2198" s="1">
        <f t="shared" si="5"/>
        <v>90743.06785</v>
      </c>
      <c r="H2198" s="1">
        <f t="shared" si="6"/>
        <v>166362.2911</v>
      </c>
      <c r="I2198" s="1">
        <f t="shared" si="7"/>
        <v>272229.2035</v>
      </c>
    </row>
    <row r="2199" hidden="1">
      <c r="A2199" s="266">
        <f>IFERROR(__xludf.DUMMYFUNCTION("""COMPUTED_VALUE"""),44837.99861111111)</f>
        <v>44837.99861</v>
      </c>
      <c r="B2199" s="1">
        <f>IFERROR(__xludf.DUMMYFUNCTION("""COMPUTED_VALUE"""),19628.51)</f>
        <v>19628.51</v>
      </c>
      <c r="C2199" s="58">
        <f t="shared" si="1"/>
        <v>5021.998611</v>
      </c>
      <c r="D2199" s="1">
        <f t="shared" si="2"/>
        <v>15141.32328</v>
      </c>
      <c r="E2199" s="1">
        <f t="shared" si="3"/>
        <v>27254.38191</v>
      </c>
      <c r="F2199" s="1">
        <f t="shared" si="4"/>
        <v>51480.49916</v>
      </c>
      <c r="G2199" s="1">
        <f t="shared" si="5"/>
        <v>90847.9397</v>
      </c>
      <c r="H2199" s="1">
        <f t="shared" si="6"/>
        <v>166554.5561</v>
      </c>
      <c r="I2199" s="1">
        <f t="shared" si="7"/>
        <v>272543.8191</v>
      </c>
    </row>
    <row r="2200" hidden="1">
      <c r="A2200" s="266">
        <f>IFERROR(__xludf.DUMMYFUNCTION("""COMPUTED_VALUE"""),44838.99861111111)</f>
        <v>44838.99861</v>
      </c>
      <c r="B2200" s="1">
        <f>IFERROR(__xludf.DUMMYFUNCTION("""COMPUTED_VALUE"""),20339.85)</f>
        <v>20339.85</v>
      </c>
      <c r="C2200" s="58">
        <f t="shared" si="1"/>
        <v>5022.998611</v>
      </c>
      <c r="D2200" s="1">
        <f t="shared" si="2"/>
        <v>15158.81864</v>
      </c>
      <c r="E2200" s="1">
        <f t="shared" si="3"/>
        <v>27285.87355</v>
      </c>
      <c r="F2200" s="1">
        <f t="shared" si="4"/>
        <v>51539.98337</v>
      </c>
      <c r="G2200" s="1">
        <f t="shared" si="5"/>
        <v>90952.91184</v>
      </c>
      <c r="H2200" s="1">
        <f t="shared" si="6"/>
        <v>166747.005</v>
      </c>
      <c r="I2200" s="1">
        <f t="shared" si="7"/>
        <v>272858.7355</v>
      </c>
    </row>
    <row r="2201" hidden="1">
      <c r="A2201" s="266">
        <f>IFERROR(__xludf.DUMMYFUNCTION("""COMPUTED_VALUE"""),44839.99861111111)</f>
        <v>44839.99861</v>
      </c>
      <c r="B2201" s="1">
        <f>IFERROR(__xludf.DUMMYFUNCTION("""COMPUTED_VALUE"""),20159.57)</f>
        <v>20159.57</v>
      </c>
      <c r="C2201" s="58">
        <f t="shared" si="1"/>
        <v>5023.998611</v>
      </c>
      <c r="D2201" s="1">
        <f t="shared" si="2"/>
        <v>15176.33072</v>
      </c>
      <c r="E2201" s="1">
        <f t="shared" si="3"/>
        <v>27317.3953</v>
      </c>
      <c r="F2201" s="1">
        <f t="shared" si="4"/>
        <v>51599.52446</v>
      </c>
      <c r="G2201" s="1">
        <f t="shared" si="5"/>
        <v>91057.98433</v>
      </c>
      <c r="H2201" s="1">
        <f t="shared" si="6"/>
        <v>166939.6379</v>
      </c>
      <c r="I2201" s="1">
        <f t="shared" si="7"/>
        <v>273173.953</v>
      </c>
    </row>
    <row r="2202" hidden="1">
      <c r="A2202" s="266">
        <f>IFERROR(__xludf.DUMMYFUNCTION("""COMPUTED_VALUE"""),44840.99861111111)</f>
        <v>44840.99861</v>
      </c>
      <c r="B2202" s="1">
        <f>IFERROR(__xludf.DUMMYFUNCTION("""COMPUTED_VALUE"""),19961.14)</f>
        <v>19961.14</v>
      </c>
      <c r="C2202" s="58">
        <f t="shared" si="1"/>
        <v>5024.998611</v>
      </c>
      <c r="D2202" s="1">
        <f t="shared" si="2"/>
        <v>15193.85954</v>
      </c>
      <c r="E2202" s="1">
        <f t="shared" si="3"/>
        <v>27348.94718</v>
      </c>
      <c r="F2202" s="1">
        <f t="shared" si="4"/>
        <v>51659.12245</v>
      </c>
      <c r="G2202" s="1">
        <f t="shared" si="5"/>
        <v>91163.15727</v>
      </c>
      <c r="H2202" s="1">
        <f t="shared" si="6"/>
        <v>167132.455</v>
      </c>
      <c r="I2202" s="1">
        <f t="shared" si="7"/>
        <v>273489.4718</v>
      </c>
    </row>
    <row r="2203" hidden="1">
      <c r="A2203" s="266">
        <f>IFERROR(__xludf.DUMMYFUNCTION("""COMPUTED_VALUE"""),44841.99861111111)</f>
        <v>44841.99861</v>
      </c>
      <c r="B2203" s="1">
        <f>IFERROR(__xludf.DUMMYFUNCTION("""COMPUTED_VALUE"""),19531.26)</f>
        <v>19531.26</v>
      </c>
      <c r="C2203" s="58">
        <f t="shared" si="1"/>
        <v>5025.998611</v>
      </c>
      <c r="D2203" s="1">
        <f t="shared" si="2"/>
        <v>15211.40512</v>
      </c>
      <c r="E2203" s="1">
        <f t="shared" si="3"/>
        <v>27380.52921</v>
      </c>
      <c r="F2203" s="1">
        <f t="shared" si="4"/>
        <v>51718.7774</v>
      </c>
      <c r="G2203" s="1">
        <f t="shared" si="5"/>
        <v>91268.43071</v>
      </c>
      <c r="H2203" s="1">
        <f t="shared" si="6"/>
        <v>167325.4563</v>
      </c>
      <c r="I2203" s="1">
        <f t="shared" si="7"/>
        <v>273805.2921</v>
      </c>
    </row>
    <row r="2204" hidden="1">
      <c r="A2204" s="266">
        <f>IFERROR(__xludf.DUMMYFUNCTION("""COMPUTED_VALUE"""),44842.99861111111)</f>
        <v>44842.99861</v>
      </c>
      <c r="B2204" s="1">
        <f>IFERROR(__xludf.DUMMYFUNCTION("""COMPUTED_VALUE"""),19415.62)</f>
        <v>19415.62</v>
      </c>
      <c r="C2204" s="58">
        <f t="shared" si="1"/>
        <v>5026.998611</v>
      </c>
      <c r="D2204" s="1">
        <f t="shared" si="2"/>
        <v>15228.96746</v>
      </c>
      <c r="E2204" s="1">
        <f t="shared" si="3"/>
        <v>27412.14142</v>
      </c>
      <c r="F2204" s="1">
        <f t="shared" si="4"/>
        <v>51778.48935</v>
      </c>
      <c r="G2204" s="1">
        <f t="shared" si="5"/>
        <v>91373.80474</v>
      </c>
      <c r="H2204" s="1">
        <f t="shared" si="6"/>
        <v>167518.642</v>
      </c>
      <c r="I2204" s="1">
        <f t="shared" si="7"/>
        <v>274121.4142</v>
      </c>
    </row>
    <row r="2205" hidden="1">
      <c r="A2205" s="266">
        <f>IFERROR(__xludf.DUMMYFUNCTION("""COMPUTED_VALUE"""),44843.99861111111)</f>
        <v>44843.99861</v>
      </c>
      <c r="B2205" s="1">
        <f>IFERROR(__xludf.DUMMYFUNCTION("""COMPUTED_VALUE"""),19442.08)</f>
        <v>19442.08</v>
      </c>
      <c r="C2205" s="58">
        <f t="shared" si="1"/>
        <v>5027.998611</v>
      </c>
      <c r="D2205" s="1">
        <f t="shared" si="2"/>
        <v>15246.54657</v>
      </c>
      <c r="E2205" s="1">
        <f t="shared" si="3"/>
        <v>27443.78383</v>
      </c>
      <c r="F2205" s="1">
        <f t="shared" si="4"/>
        <v>51838.25835</v>
      </c>
      <c r="G2205" s="1">
        <f t="shared" si="5"/>
        <v>91479.27944</v>
      </c>
      <c r="H2205" s="1">
        <f t="shared" si="6"/>
        <v>167712.0123</v>
      </c>
      <c r="I2205" s="1">
        <f t="shared" si="7"/>
        <v>274437.8383</v>
      </c>
    </row>
    <row r="2206" hidden="1">
      <c r="A2206" s="266">
        <f>IFERROR(__xludf.DUMMYFUNCTION("""COMPUTED_VALUE"""),44844.99861111111)</f>
        <v>44844.99861</v>
      </c>
      <c r="B2206" s="1">
        <f>IFERROR(__xludf.DUMMYFUNCTION("""COMPUTED_VALUE"""),19130.02)</f>
        <v>19130.02</v>
      </c>
      <c r="C2206" s="58">
        <f t="shared" si="1"/>
        <v>5028.998611</v>
      </c>
      <c r="D2206" s="1">
        <f t="shared" si="2"/>
        <v>15264.14248</v>
      </c>
      <c r="E2206" s="1">
        <f t="shared" si="3"/>
        <v>27475.45646</v>
      </c>
      <c r="F2206" s="1">
        <f t="shared" si="4"/>
        <v>51898.08443</v>
      </c>
      <c r="G2206" s="1">
        <f t="shared" si="5"/>
        <v>91584.85488</v>
      </c>
      <c r="H2206" s="1">
        <f t="shared" si="6"/>
        <v>167905.5673</v>
      </c>
      <c r="I2206" s="1">
        <f t="shared" si="7"/>
        <v>274754.5646</v>
      </c>
    </row>
    <row r="2207" hidden="1">
      <c r="A2207" s="266">
        <f>IFERROR(__xludf.DUMMYFUNCTION("""COMPUTED_VALUE"""),44845.99861111111)</f>
        <v>44845.99861</v>
      </c>
      <c r="B2207" s="1">
        <f>IFERROR(__xludf.DUMMYFUNCTION("""COMPUTED_VALUE"""),19058.85)</f>
        <v>19058.85</v>
      </c>
      <c r="C2207" s="58">
        <f t="shared" si="1"/>
        <v>5029.998611</v>
      </c>
      <c r="D2207" s="1">
        <f t="shared" si="2"/>
        <v>15281.75519</v>
      </c>
      <c r="E2207" s="1">
        <f t="shared" si="3"/>
        <v>27507.15934</v>
      </c>
      <c r="F2207" s="1">
        <f t="shared" si="4"/>
        <v>51957.96764</v>
      </c>
      <c r="G2207" s="1">
        <f t="shared" si="5"/>
        <v>91690.53113</v>
      </c>
      <c r="H2207" s="1">
        <f t="shared" si="6"/>
        <v>168099.3071</v>
      </c>
      <c r="I2207" s="1">
        <f t="shared" si="7"/>
        <v>275071.5934</v>
      </c>
    </row>
    <row r="2208" hidden="1">
      <c r="A2208" s="266">
        <f>IFERROR(__xludf.DUMMYFUNCTION("""COMPUTED_VALUE"""),44846.99861111111)</f>
        <v>44846.99861</v>
      </c>
      <c r="B2208" s="1">
        <f>IFERROR(__xludf.DUMMYFUNCTION("""COMPUTED_VALUE"""),19154.69)</f>
        <v>19154.69</v>
      </c>
      <c r="C2208" s="58">
        <f t="shared" si="1"/>
        <v>5030.998611</v>
      </c>
      <c r="D2208" s="1">
        <f t="shared" si="2"/>
        <v>15299.38471</v>
      </c>
      <c r="E2208" s="1">
        <f t="shared" si="3"/>
        <v>27538.89248</v>
      </c>
      <c r="F2208" s="1">
        <f t="shared" si="4"/>
        <v>52017.90802</v>
      </c>
      <c r="G2208" s="1">
        <f t="shared" si="5"/>
        <v>91796.30827</v>
      </c>
      <c r="H2208" s="1">
        <f t="shared" si="6"/>
        <v>168293.2318</v>
      </c>
      <c r="I2208" s="1">
        <f t="shared" si="7"/>
        <v>275388.9248</v>
      </c>
    </row>
    <row r="2209" hidden="1">
      <c r="A2209" s="266">
        <f>IFERROR(__xludf.DUMMYFUNCTION("""COMPUTED_VALUE"""),44847.99861111111)</f>
        <v>44847.99861</v>
      </c>
      <c r="B2209" s="1">
        <f>IFERROR(__xludf.DUMMYFUNCTION("""COMPUTED_VALUE"""),19379.66)</f>
        <v>19379.66</v>
      </c>
      <c r="C2209" s="58">
        <f t="shared" si="1"/>
        <v>5031.998611</v>
      </c>
      <c r="D2209" s="1">
        <f t="shared" si="2"/>
        <v>15317.03106</v>
      </c>
      <c r="E2209" s="1">
        <f t="shared" si="3"/>
        <v>27570.65592</v>
      </c>
      <c r="F2209" s="1">
        <f t="shared" si="4"/>
        <v>52077.90562</v>
      </c>
      <c r="G2209" s="1">
        <f t="shared" si="5"/>
        <v>91902.18638</v>
      </c>
      <c r="H2209" s="1">
        <f t="shared" si="6"/>
        <v>168487.3417</v>
      </c>
      <c r="I2209" s="1">
        <f t="shared" si="7"/>
        <v>275706.5592</v>
      </c>
    </row>
    <row r="2210" hidden="1">
      <c r="A2210" s="266">
        <f>IFERROR(__xludf.DUMMYFUNCTION("""COMPUTED_VALUE"""),44848.99861111111)</f>
        <v>44848.99861</v>
      </c>
      <c r="B2210" s="1">
        <f>IFERROR(__xludf.DUMMYFUNCTION("""COMPUTED_VALUE"""),19179.87)</f>
        <v>19179.87</v>
      </c>
      <c r="C2210" s="58">
        <f t="shared" si="1"/>
        <v>5032.998611</v>
      </c>
      <c r="D2210" s="1">
        <f t="shared" si="2"/>
        <v>15334.69426</v>
      </c>
      <c r="E2210" s="1">
        <f t="shared" si="3"/>
        <v>27602.44966</v>
      </c>
      <c r="F2210" s="1">
        <f t="shared" si="4"/>
        <v>52137.96047</v>
      </c>
      <c r="G2210" s="1">
        <f t="shared" si="5"/>
        <v>92008.16554</v>
      </c>
      <c r="H2210" s="1">
        <f t="shared" si="6"/>
        <v>168681.6368</v>
      </c>
      <c r="I2210" s="1">
        <f t="shared" si="7"/>
        <v>276024.4966</v>
      </c>
    </row>
    <row r="2211" hidden="1">
      <c r="A2211" s="266">
        <f>IFERROR(__xludf.DUMMYFUNCTION("""COMPUTED_VALUE"""),44849.99861111111)</f>
        <v>44849.99861</v>
      </c>
      <c r="B2211" s="1">
        <f>IFERROR(__xludf.DUMMYFUNCTION("""COMPUTED_VALUE"""),19067.66)</f>
        <v>19067.66</v>
      </c>
      <c r="C2211" s="58">
        <f t="shared" si="1"/>
        <v>5033.998611</v>
      </c>
      <c r="D2211" s="1">
        <f t="shared" si="2"/>
        <v>15352.3743</v>
      </c>
      <c r="E2211" s="1">
        <f t="shared" si="3"/>
        <v>27634.27375</v>
      </c>
      <c r="F2211" s="1">
        <f t="shared" si="4"/>
        <v>52198.07263</v>
      </c>
      <c r="G2211" s="1">
        <f t="shared" si="5"/>
        <v>92114.24582</v>
      </c>
      <c r="H2211" s="1">
        <f t="shared" si="6"/>
        <v>168876.1173</v>
      </c>
      <c r="I2211" s="1">
        <f t="shared" si="7"/>
        <v>276342.7375</v>
      </c>
    </row>
    <row r="2212" hidden="1">
      <c r="A2212" s="266">
        <f>IFERROR(__xludf.DUMMYFUNCTION("""COMPUTED_VALUE"""),44850.99861111111)</f>
        <v>44850.99861</v>
      </c>
      <c r="B2212" s="1">
        <f>IFERROR(__xludf.DUMMYFUNCTION("""COMPUTED_VALUE"""),19262.56)</f>
        <v>19262.56</v>
      </c>
      <c r="C2212" s="58">
        <f t="shared" si="1"/>
        <v>5034.998611</v>
      </c>
      <c r="D2212" s="1">
        <f t="shared" si="2"/>
        <v>15370.07122</v>
      </c>
      <c r="E2212" s="1">
        <f t="shared" si="3"/>
        <v>27666.12819</v>
      </c>
      <c r="F2212" s="1">
        <f t="shared" si="4"/>
        <v>52258.24213</v>
      </c>
      <c r="G2212" s="1">
        <f t="shared" si="5"/>
        <v>92220.4273</v>
      </c>
      <c r="H2212" s="1">
        <f t="shared" si="6"/>
        <v>169070.7834</v>
      </c>
      <c r="I2212" s="1">
        <f t="shared" si="7"/>
        <v>276661.2819</v>
      </c>
    </row>
    <row r="2213" hidden="1">
      <c r="A2213" s="266">
        <f>IFERROR(__xludf.DUMMYFUNCTION("""COMPUTED_VALUE"""),44851.99861111111)</f>
        <v>44851.99861</v>
      </c>
      <c r="B2213" s="1">
        <f>IFERROR(__xludf.DUMMYFUNCTION("""COMPUTED_VALUE"""),19548.49)</f>
        <v>19548.49</v>
      </c>
      <c r="C2213" s="58">
        <f t="shared" si="1"/>
        <v>5035.998611</v>
      </c>
      <c r="D2213" s="1">
        <f t="shared" si="2"/>
        <v>15387.78501</v>
      </c>
      <c r="E2213" s="1">
        <f t="shared" si="3"/>
        <v>27698.01301</v>
      </c>
      <c r="F2213" s="1">
        <f t="shared" si="4"/>
        <v>52318.46903</v>
      </c>
      <c r="G2213" s="1">
        <f t="shared" si="5"/>
        <v>92326.71005</v>
      </c>
      <c r="H2213" s="1">
        <f t="shared" si="6"/>
        <v>169265.6351</v>
      </c>
      <c r="I2213" s="1">
        <f t="shared" si="7"/>
        <v>276980.1301</v>
      </c>
    </row>
    <row r="2214" hidden="1">
      <c r="A2214" s="266">
        <f>IFERROR(__xludf.DUMMYFUNCTION("""COMPUTED_VALUE"""),44852.99861111111)</f>
        <v>44852.99861</v>
      </c>
      <c r="B2214" s="1">
        <f>IFERROR(__xludf.DUMMYFUNCTION("""COMPUTED_VALUE"""),19328.7)</f>
        <v>19328.7</v>
      </c>
      <c r="C2214" s="58">
        <f t="shared" si="1"/>
        <v>5036.998611</v>
      </c>
      <c r="D2214" s="1">
        <f t="shared" si="2"/>
        <v>15405.51569</v>
      </c>
      <c r="E2214" s="1">
        <f t="shared" si="3"/>
        <v>27729.92824</v>
      </c>
      <c r="F2214" s="1">
        <f t="shared" si="4"/>
        <v>52378.75335</v>
      </c>
      <c r="G2214" s="1">
        <f t="shared" si="5"/>
        <v>92433.09415</v>
      </c>
      <c r="H2214" s="1">
        <f t="shared" si="6"/>
        <v>169460.6726</v>
      </c>
      <c r="I2214" s="1">
        <f t="shared" si="7"/>
        <v>277299.2824</v>
      </c>
    </row>
    <row r="2215" hidden="1">
      <c r="A2215" s="266">
        <f>IFERROR(__xludf.DUMMYFUNCTION("""COMPUTED_VALUE"""),44853.99861111111)</f>
        <v>44853.99861</v>
      </c>
      <c r="B2215" s="1">
        <f>IFERROR(__xludf.DUMMYFUNCTION("""COMPUTED_VALUE"""),19124.24)</f>
        <v>19124.24</v>
      </c>
      <c r="C2215" s="58">
        <f t="shared" si="1"/>
        <v>5037.998611</v>
      </c>
      <c r="D2215" s="1">
        <f t="shared" si="2"/>
        <v>15423.26328</v>
      </c>
      <c r="E2215" s="1">
        <f t="shared" si="3"/>
        <v>27761.8739</v>
      </c>
      <c r="F2215" s="1">
        <f t="shared" si="4"/>
        <v>52439.09515</v>
      </c>
      <c r="G2215" s="1">
        <f t="shared" si="5"/>
        <v>92539.57968</v>
      </c>
      <c r="H2215" s="1">
        <f t="shared" si="6"/>
        <v>169655.8961</v>
      </c>
      <c r="I2215" s="1">
        <f t="shared" si="7"/>
        <v>277618.739</v>
      </c>
    </row>
    <row r="2216" hidden="1">
      <c r="A2216" s="266">
        <f>IFERROR(__xludf.DUMMYFUNCTION("""COMPUTED_VALUE"""),44854.99861111111)</f>
        <v>44854.99861</v>
      </c>
      <c r="B2216" s="1">
        <f>IFERROR(__xludf.DUMMYFUNCTION("""COMPUTED_VALUE"""),19042.79)</f>
        <v>19042.79</v>
      </c>
      <c r="C2216" s="58">
        <f t="shared" si="1"/>
        <v>5038.998611</v>
      </c>
      <c r="D2216" s="1">
        <f t="shared" si="2"/>
        <v>15441.02778</v>
      </c>
      <c r="E2216" s="1">
        <f t="shared" si="3"/>
        <v>27793.85001</v>
      </c>
      <c r="F2216" s="1">
        <f t="shared" si="4"/>
        <v>52499.49447</v>
      </c>
      <c r="G2216" s="1">
        <f t="shared" si="5"/>
        <v>92646.16671</v>
      </c>
      <c r="H2216" s="1">
        <f t="shared" si="6"/>
        <v>169851.3056</v>
      </c>
      <c r="I2216" s="1">
        <f t="shared" si="7"/>
        <v>277938.5001</v>
      </c>
    </row>
    <row r="2217" hidden="1">
      <c r="A2217" s="266">
        <f>IFERROR(__xludf.DUMMYFUNCTION("""COMPUTED_VALUE"""),44855.99861111111)</f>
        <v>44855.99861</v>
      </c>
      <c r="B2217" s="1">
        <f>IFERROR(__xludf.DUMMYFUNCTION("""COMPUTED_VALUE"""),19163.11)</f>
        <v>19163.11</v>
      </c>
      <c r="C2217" s="58">
        <f t="shared" si="1"/>
        <v>5039.998611</v>
      </c>
      <c r="D2217" s="1">
        <f t="shared" si="2"/>
        <v>15458.80922</v>
      </c>
      <c r="E2217" s="1">
        <f t="shared" si="3"/>
        <v>27825.8566</v>
      </c>
      <c r="F2217" s="1">
        <f t="shared" si="4"/>
        <v>52559.95135</v>
      </c>
      <c r="G2217" s="1">
        <f t="shared" si="5"/>
        <v>92752.85532</v>
      </c>
      <c r="H2217" s="1">
        <f t="shared" si="6"/>
        <v>170046.9014</v>
      </c>
      <c r="I2217" s="1">
        <f t="shared" si="7"/>
        <v>278258.566</v>
      </c>
    </row>
    <row r="2218" hidden="1">
      <c r="A2218" s="266">
        <f>IFERROR(__xludf.DUMMYFUNCTION("""COMPUTED_VALUE"""),44856.99861111111)</f>
        <v>44856.99861</v>
      </c>
      <c r="B2218" s="1">
        <f>IFERROR(__xludf.DUMMYFUNCTION("""COMPUTED_VALUE"""),19205.42)</f>
        <v>19205.42</v>
      </c>
      <c r="C2218" s="58">
        <f t="shared" si="1"/>
        <v>5040.998611</v>
      </c>
      <c r="D2218" s="1">
        <f t="shared" si="2"/>
        <v>15476.6076</v>
      </c>
      <c r="E2218" s="1">
        <f t="shared" si="3"/>
        <v>27857.89368</v>
      </c>
      <c r="F2218" s="1">
        <f t="shared" si="4"/>
        <v>52620.46583</v>
      </c>
      <c r="G2218" s="1">
        <f t="shared" si="5"/>
        <v>92859.64558</v>
      </c>
      <c r="H2218" s="1">
        <f t="shared" si="6"/>
        <v>170242.6836</v>
      </c>
      <c r="I2218" s="1">
        <f t="shared" si="7"/>
        <v>278578.9368</v>
      </c>
    </row>
    <row r="2219" hidden="1">
      <c r="A2219" s="266">
        <f>IFERROR(__xludf.DUMMYFUNCTION("""COMPUTED_VALUE"""),44857.99861111111)</f>
        <v>44857.99861</v>
      </c>
      <c r="B2219" s="1">
        <f>IFERROR(__xludf.DUMMYFUNCTION("""COMPUTED_VALUE"""),19567.69)</f>
        <v>19567.69</v>
      </c>
      <c r="C2219" s="58">
        <f t="shared" si="1"/>
        <v>5041.998611</v>
      </c>
      <c r="D2219" s="1">
        <f t="shared" si="2"/>
        <v>15494.42293</v>
      </c>
      <c r="E2219" s="1">
        <f t="shared" si="3"/>
        <v>27889.96128</v>
      </c>
      <c r="F2219" s="1">
        <f t="shared" si="4"/>
        <v>52681.03796</v>
      </c>
      <c r="G2219" s="1">
        <f t="shared" si="5"/>
        <v>92966.53759</v>
      </c>
      <c r="H2219" s="1">
        <f t="shared" si="6"/>
        <v>170438.6522</v>
      </c>
      <c r="I2219" s="1">
        <f t="shared" si="7"/>
        <v>278899.6128</v>
      </c>
    </row>
    <row r="2220" hidden="1">
      <c r="A2220" s="266">
        <f>IFERROR(__xludf.DUMMYFUNCTION("""COMPUTED_VALUE"""),44858.99861111111)</f>
        <v>44858.99861</v>
      </c>
      <c r="B2220" s="1">
        <f>IFERROR(__xludf.DUMMYFUNCTION("""COMPUTED_VALUE"""),19328.92)</f>
        <v>19328.92</v>
      </c>
      <c r="C2220" s="58">
        <f t="shared" si="1"/>
        <v>5042.998611</v>
      </c>
      <c r="D2220" s="1">
        <f t="shared" si="2"/>
        <v>15512.25523</v>
      </c>
      <c r="E2220" s="1">
        <f t="shared" si="3"/>
        <v>27922.05942</v>
      </c>
      <c r="F2220" s="1">
        <f t="shared" si="4"/>
        <v>52741.66779</v>
      </c>
      <c r="G2220" s="1">
        <f t="shared" si="5"/>
        <v>93073.5314</v>
      </c>
      <c r="H2220" s="1">
        <f t="shared" si="6"/>
        <v>170634.8076</v>
      </c>
      <c r="I2220" s="1">
        <f t="shared" si="7"/>
        <v>279220.5942</v>
      </c>
    </row>
    <row r="2221" hidden="1">
      <c r="A2221" s="266">
        <f>IFERROR(__xludf.DUMMYFUNCTION("""COMPUTED_VALUE"""),44859.99861111111)</f>
        <v>44859.99861</v>
      </c>
      <c r="B2221" s="1">
        <f>IFERROR(__xludf.DUMMYFUNCTION("""COMPUTED_VALUE"""),20083.96)</f>
        <v>20083.96</v>
      </c>
      <c r="C2221" s="58">
        <f t="shared" si="1"/>
        <v>5043.998611</v>
      </c>
      <c r="D2221" s="1">
        <f t="shared" si="2"/>
        <v>15530.10452</v>
      </c>
      <c r="E2221" s="1">
        <f t="shared" si="3"/>
        <v>27954.18813</v>
      </c>
      <c r="F2221" s="1">
        <f t="shared" si="4"/>
        <v>52802.35535</v>
      </c>
      <c r="G2221" s="1">
        <f t="shared" si="5"/>
        <v>93180.62709</v>
      </c>
      <c r="H2221" s="1">
        <f t="shared" si="6"/>
        <v>170831.1497</v>
      </c>
      <c r="I2221" s="1">
        <f t="shared" si="7"/>
        <v>279541.8813</v>
      </c>
    </row>
    <row r="2222" hidden="1">
      <c r="A2222" s="266">
        <f>IFERROR(__xludf.DUMMYFUNCTION("""COMPUTED_VALUE"""),44860.99861111111)</f>
        <v>44860.99861</v>
      </c>
      <c r="B2222" s="1">
        <f>IFERROR(__xludf.DUMMYFUNCTION("""COMPUTED_VALUE"""),20775.2)</f>
        <v>20775.2</v>
      </c>
      <c r="C2222" s="58">
        <f t="shared" si="1"/>
        <v>5044.998611</v>
      </c>
      <c r="D2222" s="1">
        <f t="shared" si="2"/>
        <v>15547.97079</v>
      </c>
      <c r="E2222" s="1">
        <f t="shared" si="3"/>
        <v>27986.34743</v>
      </c>
      <c r="F2222" s="1">
        <f t="shared" si="4"/>
        <v>52863.10069</v>
      </c>
      <c r="G2222" s="1">
        <f t="shared" si="5"/>
        <v>93287.82475</v>
      </c>
      <c r="H2222" s="1">
        <f t="shared" si="6"/>
        <v>171027.6787</v>
      </c>
      <c r="I2222" s="1">
        <f t="shared" si="7"/>
        <v>279863.4743</v>
      </c>
    </row>
    <row r="2223" hidden="1">
      <c r="A2223" s="266">
        <f>IFERROR(__xludf.DUMMYFUNCTION("""COMPUTED_VALUE"""),44861.99861111111)</f>
        <v>44861.99861</v>
      </c>
      <c r="B2223" s="1">
        <f>IFERROR(__xludf.DUMMYFUNCTION("""COMPUTED_VALUE"""),20290.61)</f>
        <v>20290.61</v>
      </c>
      <c r="C2223" s="58">
        <f t="shared" si="1"/>
        <v>5045.998611</v>
      </c>
      <c r="D2223" s="1">
        <f t="shared" si="2"/>
        <v>15565.85408</v>
      </c>
      <c r="E2223" s="1">
        <f t="shared" si="3"/>
        <v>28018.53734</v>
      </c>
      <c r="F2223" s="1">
        <f t="shared" si="4"/>
        <v>52923.90386</v>
      </c>
      <c r="G2223" s="1">
        <f t="shared" si="5"/>
        <v>93395.12446</v>
      </c>
      <c r="H2223" s="1">
        <f t="shared" si="6"/>
        <v>171224.3948</v>
      </c>
      <c r="I2223" s="1">
        <f t="shared" si="7"/>
        <v>280185.3734</v>
      </c>
    </row>
    <row r="2224" hidden="1">
      <c r="A2224" s="266">
        <f>IFERROR(__xludf.DUMMYFUNCTION("""COMPUTED_VALUE"""),44862.99861111111)</f>
        <v>44862.99861</v>
      </c>
      <c r="B2224" s="1">
        <f>IFERROR(__xludf.DUMMYFUNCTION("""COMPUTED_VALUE"""),20596.03)</f>
        <v>20596.03</v>
      </c>
      <c r="C2224" s="58">
        <f t="shared" si="1"/>
        <v>5046.998611</v>
      </c>
      <c r="D2224" s="1">
        <f t="shared" si="2"/>
        <v>15583.75438</v>
      </c>
      <c r="E2224" s="1">
        <f t="shared" si="3"/>
        <v>28050.75788</v>
      </c>
      <c r="F2224" s="1">
        <f t="shared" si="4"/>
        <v>52984.76489</v>
      </c>
      <c r="G2224" s="1">
        <f t="shared" si="5"/>
        <v>93502.52627</v>
      </c>
      <c r="H2224" s="1">
        <f t="shared" si="6"/>
        <v>171421.2982</v>
      </c>
      <c r="I2224" s="1">
        <f t="shared" si="7"/>
        <v>280507.5788</v>
      </c>
    </row>
    <row r="2225" hidden="1">
      <c r="A2225" s="266">
        <f>IFERROR(__xludf.DUMMYFUNCTION("""COMPUTED_VALUE"""),44863.99861111111)</f>
        <v>44863.99861</v>
      </c>
      <c r="B2225" s="1">
        <f>IFERROR(__xludf.DUMMYFUNCTION("""COMPUTED_VALUE"""),20813.51)</f>
        <v>20813.51</v>
      </c>
      <c r="C2225" s="58">
        <f t="shared" si="1"/>
        <v>5047.998611</v>
      </c>
      <c r="D2225" s="1">
        <f t="shared" si="2"/>
        <v>15601.67171</v>
      </c>
      <c r="E2225" s="1">
        <f t="shared" si="3"/>
        <v>28083.00909</v>
      </c>
      <c r="F2225" s="1">
        <f t="shared" si="4"/>
        <v>53045.68383</v>
      </c>
      <c r="G2225" s="1">
        <f t="shared" si="5"/>
        <v>93610.03029</v>
      </c>
      <c r="H2225" s="1">
        <f t="shared" si="6"/>
        <v>171618.3889</v>
      </c>
      <c r="I2225" s="1">
        <f t="shared" si="7"/>
        <v>280830.0909</v>
      </c>
    </row>
    <row r="2226" hidden="1">
      <c r="A2226" s="266">
        <f>IFERROR(__xludf.DUMMYFUNCTION("""COMPUTED_VALUE"""),44864.99861111111)</f>
        <v>44864.99861</v>
      </c>
      <c r="B2226" s="1">
        <f>IFERROR(__xludf.DUMMYFUNCTION("""COMPUTED_VALUE"""),20624.13)</f>
        <v>20624.13</v>
      </c>
      <c r="C2226" s="58">
        <f t="shared" si="1"/>
        <v>5048.998611</v>
      </c>
      <c r="D2226" s="1">
        <f t="shared" si="2"/>
        <v>15619.6061</v>
      </c>
      <c r="E2226" s="1">
        <f t="shared" si="3"/>
        <v>28115.29097</v>
      </c>
      <c r="F2226" s="1">
        <f t="shared" si="4"/>
        <v>53106.66072</v>
      </c>
      <c r="G2226" s="1">
        <f t="shared" si="5"/>
        <v>93717.63657</v>
      </c>
      <c r="H2226" s="1">
        <f t="shared" si="6"/>
        <v>171815.667</v>
      </c>
      <c r="I2226" s="1">
        <f t="shared" si="7"/>
        <v>281152.9097</v>
      </c>
    </row>
    <row r="2227" hidden="1">
      <c r="A2227" s="266">
        <f>IFERROR(__xludf.DUMMYFUNCTION("""COMPUTED_VALUE"""),44865.99861111111)</f>
        <v>44865.99861</v>
      </c>
      <c r="B2227" s="1">
        <f>IFERROR(__xludf.DUMMYFUNCTION("""COMPUTED_VALUE"""),20492.16)</f>
        <v>20492.16</v>
      </c>
      <c r="C2227" s="58">
        <f t="shared" si="1"/>
        <v>5049.998611</v>
      </c>
      <c r="D2227" s="1">
        <f t="shared" si="2"/>
        <v>15637.55753</v>
      </c>
      <c r="E2227" s="1">
        <f t="shared" si="3"/>
        <v>28147.60356</v>
      </c>
      <c r="F2227" s="1">
        <f t="shared" si="4"/>
        <v>53167.69562</v>
      </c>
      <c r="G2227" s="1">
        <f t="shared" si="5"/>
        <v>93825.3452</v>
      </c>
      <c r="H2227" s="1">
        <f t="shared" si="6"/>
        <v>172013.1329</v>
      </c>
      <c r="I2227" s="1">
        <f t="shared" si="7"/>
        <v>281476.0356</v>
      </c>
    </row>
    <row r="2228" hidden="1">
      <c r="A2228" s="266">
        <f>IFERROR(__xludf.DUMMYFUNCTION("""COMPUTED_VALUE"""),44866.99861111111)</f>
        <v>44866.99861</v>
      </c>
      <c r="B2228" s="1">
        <f>IFERROR(__xludf.DUMMYFUNCTION("""COMPUTED_VALUE"""),20480.07)</f>
        <v>20480.07</v>
      </c>
      <c r="C2228" s="58">
        <f t="shared" si="1"/>
        <v>5050.998611</v>
      </c>
      <c r="D2228" s="1">
        <f t="shared" si="2"/>
        <v>15655.52604</v>
      </c>
      <c r="E2228" s="1">
        <f t="shared" si="3"/>
        <v>28179.94688</v>
      </c>
      <c r="F2228" s="1">
        <f t="shared" si="4"/>
        <v>53228.78855</v>
      </c>
      <c r="G2228" s="1">
        <f t="shared" si="5"/>
        <v>93933.15626</v>
      </c>
      <c r="H2228" s="1">
        <f t="shared" si="6"/>
        <v>172210.7865</v>
      </c>
      <c r="I2228" s="1">
        <f t="shared" si="7"/>
        <v>281799.4688</v>
      </c>
    </row>
    <row r="2229" hidden="1">
      <c r="A2229" s="266">
        <f>IFERROR(__xludf.DUMMYFUNCTION("""COMPUTED_VALUE"""),44867.99861111111)</f>
        <v>44867.99861</v>
      </c>
      <c r="B2229" s="1">
        <f>IFERROR(__xludf.DUMMYFUNCTION("""COMPUTED_VALUE"""),20151.43)</f>
        <v>20151.43</v>
      </c>
      <c r="C2229" s="58">
        <f t="shared" si="1"/>
        <v>5051.998611</v>
      </c>
      <c r="D2229" s="1">
        <f t="shared" si="2"/>
        <v>15673.51164</v>
      </c>
      <c r="E2229" s="1">
        <f t="shared" si="3"/>
        <v>28212.32095</v>
      </c>
      <c r="F2229" s="1">
        <f t="shared" si="4"/>
        <v>53289.93957</v>
      </c>
      <c r="G2229" s="1">
        <f t="shared" si="5"/>
        <v>94041.06982</v>
      </c>
      <c r="H2229" s="1">
        <f t="shared" si="6"/>
        <v>172408.628</v>
      </c>
      <c r="I2229" s="1">
        <f t="shared" si="7"/>
        <v>282123.2095</v>
      </c>
    </row>
    <row r="2230" hidden="1">
      <c r="A2230" s="266">
        <f>IFERROR(__xludf.DUMMYFUNCTION("""COMPUTED_VALUE"""),44868.99861111111)</f>
        <v>44868.99861</v>
      </c>
      <c r="B2230" s="1">
        <f>IFERROR(__xludf.DUMMYFUNCTION("""COMPUTED_VALUE"""),20206.75)</f>
        <v>20206.75</v>
      </c>
      <c r="C2230" s="58">
        <f t="shared" si="1"/>
        <v>5052.998611</v>
      </c>
      <c r="D2230" s="1">
        <f t="shared" si="2"/>
        <v>15691.51433</v>
      </c>
      <c r="E2230" s="1">
        <f t="shared" si="3"/>
        <v>28244.72579</v>
      </c>
      <c r="F2230" s="1">
        <f t="shared" si="4"/>
        <v>53351.14871</v>
      </c>
      <c r="G2230" s="1">
        <f t="shared" si="5"/>
        <v>94149.08596</v>
      </c>
      <c r="H2230" s="1">
        <f t="shared" si="6"/>
        <v>172606.6576</v>
      </c>
      <c r="I2230" s="1">
        <f t="shared" si="7"/>
        <v>282447.2579</v>
      </c>
    </row>
    <row r="2231" hidden="1">
      <c r="A2231" s="266">
        <f>IFERROR(__xludf.DUMMYFUNCTION("""COMPUTED_VALUE"""),44869.99861111111)</f>
        <v>44869.99861</v>
      </c>
      <c r="B2231" s="1">
        <f>IFERROR(__xludf.DUMMYFUNCTION("""COMPUTED_VALUE"""),21147.78)</f>
        <v>21147.78</v>
      </c>
      <c r="C2231" s="58">
        <f t="shared" si="1"/>
        <v>5053.998611</v>
      </c>
      <c r="D2231" s="1">
        <f t="shared" si="2"/>
        <v>15709.53413</v>
      </c>
      <c r="E2231" s="1">
        <f t="shared" si="3"/>
        <v>28277.16143</v>
      </c>
      <c r="F2231" s="1">
        <f t="shared" si="4"/>
        <v>53412.41603</v>
      </c>
      <c r="G2231" s="1">
        <f t="shared" si="5"/>
        <v>94257.20476</v>
      </c>
      <c r="H2231" s="1">
        <f t="shared" si="6"/>
        <v>172804.8754</v>
      </c>
      <c r="I2231" s="1">
        <f t="shared" si="7"/>
        <v>282771.6143</v>
      </c>
    </row>
    <row r="2232" hidden="1">
      <c r="A2232" s="266">
        <f>IFERROR(__xludf.DUMMYFUNCTION("""COMPUTED_VALUE"""),44870.99861111111)</f>
        <v>44870.99861</v>
      </c>
      <c r="B2232" s="1">
        <f>IFERROR(__xludf.DUMMYFUNCTION("""COMPUTED_VALUE"""),21298.16)</f>
        <v>21298.16</v>
      </c>
      <c r="C2232" s="58">
        <f t="shared" si="1"/>
        <v>5054.998611</v>
      </c>
      <c r="D2232" s="1">
        <f t="shared" si="2"/>
        <v>15727.57105</v>
      </c>
      <c r="E2232" s="1">
        <f t="shared" si="3"/>
        <v>28309.62789</v>
      </c>
      <c r="F2232" s="1">
        <f t="shared" si="4"/>
        <v>53473.74156</v>
      </c>
      <c r="G2232" s="1">
        <f t="shared" si="5"/>
        <v>94365.42629</v>
      </c>
      <c r="H2232" s="1">
        <f t="shared" si="6"/>
        <v>173003.2815</v>
      </c>
      <c r="I2232" s="1">
        <f t="shared" si="7"/>
        <v>283096.2789</v>
      </c>
    </row>
    <row r="2233" hidden="1">
      <c r="A2233" s="266">
        <f>IFERROR(__xludf.DUMMYFUNCTION("""COMPUTED_VALUE"""),44871.99861111111)</f>
        <v>44871.99861</v>
      </c>
      <c r="B2233" s="1">
        <f>IFERROR(__xludf.DUMMYFUNCTION("""COMPUTED_VALUE"""),20912.94)</f>
        <v>20912.94</v>
      </c>
      <c r="C2233" s="58">
        <f t="shared" si="1"/>
        <v>5055.998611</v>
      </c>
      <c r="D2233" s="1">
        <f t="shared" si="2"/>
        <v>15745.6251</v>
      </c>
      <c r="E2233" s="1">
        <f t="shared" si="3"/>
        <v>28342.12519</v>
      </c>
      <c r="F2233" s="1">
        <f t="shared" si="4"/>
        <v>53535.12536</v>
      </c>
      <c r="G2233" s="1">
        <f t="shared" si="5"/>
        <v>94473.75063</v>
      </c>
      <c r="H2233" s="1">
        <f t="shared" si="6"/>
        <v>173201.8761</v>
      </c>
      <c r="I2233" s="1">
        <f t="shared" si="7"/>
        <v>283421.2519</v>
      </c>
    </row>
    <row r="2234" hidden="1">
      <c r="A2234" s="266">
        <f>IFERROR(__xludf.DUMMYFUNCTION("""COMPUTED_VALUE"""),44872.99861111111)</f>
        <v>44872.99861</v>
      </c>
      <c r="B2234" s="1">
        <f>IFERROR(__xludf.DUMMYFUNCTION("""COMPUTED_VALUE"""),20588.9)</f>
        <v>20588.9</v>
      </c>
      <c r="C2234" s="58">
        <f t="shared" si="1"/>
        <v>5056.998611</v>
      </c>
      <c r="D2234" s="1">
        <f t="shared" si="2"/>
        <v>15763.69631</v>
      </c>
      <c r="E2234" s="1">
        <f t="shared" si="3"/>
        <v>28374.65336</v>
      </c>
      <c r="F2234" s="1">
        <f t="shared" si="4"/>
        <v>53596.56745</v>
      </c>
      <c r="G2234" s="1">
        <f t="shared" si="5"/>
        <v>94582.17786</v>
      </c>
      <c r="H2234" s="1">
        <f t="shared" si="6"/>
        <v>173400.6594</v>
      </c>
      <c r="I2234" s="1">
        <f t="shared" si="7"/>
        <v>283746.5336</v>
      </c>
    </row>
    <row r="2235" hidden="1">
      <c r="A2235" s="266">
        <f>IFERROR(__xludf.DUMMYFUNCTION("""COMPUTED_VALUE"""),44873.99861111111)</f>
        <v>44873.99861</v>
      </c>
      <c r="B2235" s="1">
        <f>IFERROR(__xludf.DUMMYFUNCTION("""COMPUTED_VALUE"""),18525.02)</f>
        <v>18525.02</v>
      </c>
      <c r="C2235" s="58">
        <f t="shared" si="1"/>
        <v>5057.998611</v>
      </c>
      <c r="D2235" s="1">
        <f t="shared" si="2"/>
        <v>15781.78468</v>
      </c>
      <c r="E2235" s="1">
        <f t="shared" si="3"/>
        <v>28407.21242</v>
      </c>
      <c r="F2235" s="1">
        <f t="shared" si="4"/>
        <v>53658.0679</v>
      </c>
      <c r="G2235" s="1">
        <f t="shared" si="5"/>
        <v>94690.70805</v>
      </c>
      <c r="H2235" s="1">
        <f t="shared" si="6"/>
        <v>173599.6314</v>
      </c>
      <c r="I2235" s="1">
        <f t="shared" si="7"/>
        <v>284072.1242</v>
      </c>
    </row>
    <row r="2236" hidden="1">
      <c r="A2236" s="266">
        <f>IFERROR(__xludf.DUMMYFUNCTION("""COMPUTED_VALUE"""),44874.99861111111)</f>
        <v>44874.99861</v>
      </c>
      <c r="B2236" s="1">
        <f>IFERROR(__xludf.DUMMYFUNCTION("""COMPUTED_VALUE"""),15866.11)</f>
        <v>15866.11</v>
      </c>
      <c r="C2236" s="58">
        <f t="shared" si="1"/>
        <v>5058.998611</v>
      </c>
      <c r="D2236" s="1">
        <f t="shared" si="2"/>
        <v>15799.89021</v>
      </c>
      <c r="E2236" s="1">
        <f t="shared" si="3"/>
        <v>28439.80239</v>
      </c>
      <c r="F2236" s="1">
        <f t="shared" si="4"/>
        <v>53719.62673</v>
      </c>
      <c r="G2236" s="1">
        <f t="shared" si="5"/>
        <v>94799.34129</v>
      </c>
      <c r="H2236" s="1">
        <f t="shared" si="6"/>
        <v>173798.7924</v>
      </c>
      <c r="I2236" s="1">
        <f t="shared" si="7"/>
        <v>284398.0239</v>
      </c>
    </row>
    <row r="2237" hidden="1">
      <c r="A2237" s="266">
        <f>IFERROR(__xludf.DUMMYFUNCTION("""COMPUTED_VALUE"""),44875.99861111111)</f>
        <v>44875.99861</v>
      </c>
      <c r="B2237" s="1">
        <f>IFERROR(__xludf.DUMMYFUNCTION("""COMPUTED_VALUE"""),17565.25)</f>
        <v>17565.25</v>
      </c>
      <c r="C2237" s="58">
        <f t="shared" si="1"/>
        <v>5059.998611</v>
      </c>
      <c r="D2237" s="1">
        <f t="shared" si="2"/>
        <v>15818.01294</v>
      </c>
      <c r="E2237" s="1">
        <f t="shared" si="3"/>
        <v>28472.42329</v>
      </c>
      <c r="F2237" s="1">
        <f t="shared" si="4"/>
        <v>53781.244</v>
      </c>
      <c r="G2237" s="1">
        <f t="shared" si="5"/>
        <v>94908.07765</v>
      </c>
      <c r="H2237" s="1">
        <f t="shared" si="6"/>
        <v>173998.1424</v>
      </c>
      <c r="I2237" s="1">
        <f t="shared" si="7"/>
        <v>284724.2329</v>
      </c>
    </row>
    <row r="2238" hidden="1">
      <c r="A2238" s="266">
        <f>IFERROR(__xludf.DUMMYFUNCTION("""COMPUTED_VALUE"""),44876.99861111111)</f>
        <v>44876.99861</v>
      </c>
      <c r="B2238" s="1">
        <f>IFERROR(__xludf.DUMMYFUNCTION("""COMPUTED_VALUE"""),17011.75)</f>
        <v>17011.75</v>
      </c>
      <c r="C2238" s="58">
        <f t="shared" si="1"/>
        <v>5060.998611</v>
      </c>
      <c r="D2238" s="1">
        <f t="shared" si="2"/>
        <v>15836.15287</v>
      </c>
      <c r="E2238" s="1">
        <f t="shared" si="3"/>
        <v>28505.07516</v>
      </c>
      <c r="F2238" s="1">
        <f t="shared" si="4"/>
        <v>53842.91975</v>
      </c>
      <c r="G2238" s="1">
        <f t="shared" si="5"/>
        <v>95016.91721</v>
      </c>
      <c r="H2238" s="1">
        <f t="shared" si="6"/>
        <v>174197.6815</v>
      </c>
      <c r="I2238" s="1">
        <f t="shared" si="7"/>
        <v>285050.7516</v>
      </c>
    </row>
    <row r="2239" hidden="1">
      <c r="A2239" s="266">
        <f>IFERROR(__xludf.DUMMYFUNCTION("""COMPUTED_VALUE"""),44877.99861111111)</f>
        <v>44877.99861</v>
      </c>
      <c r="B2239" s="1">
        <f>IFERROR(__xludf.DUMMYFUNCTION("""COMPUTED_VALUE"""),16782.38)</f>
        <v>16782.38</v>
      </c>
      <c r="C2239" s="58">
        <f t="shared" si="1"/>
        <v>5061.998611</v>
      </c>
      <c r="D2239" s="1">
        <f t="shared" si="2"/>
        <v>15854.31001</v>
      </c>
      <c r="E2239" s="1">
        <f t="shared" si="3"/>
        <v>28537.75801</v>
      </c>
      <c r="F2239" s="1">
        <f t="shared" si="4"/>
        <v>53904.65402</v>
      </c>
      <c r="G2239" s="1">
        <f t="shared" si="5"/>
        <v>95125.86004</v>
      </c>
      <c r="H2239" s="1">
        <f t="shared" si="6"/>
        <v>174397.4101</v>
      </c>
      <c r="I2239" s="1">
        <f t="shared" si="7"/>
        <v>285377.5801</v>
      </c>
    </row>
    <row r="2240" hidden="1">
      <c r="A2240" s="266">
        <f>IFERROR(__xludf.DUMMYFUNCTION("""COMPUTED_VALUE"""),44878.99861111111)</f>
        <v>44878.99861</v>
      </c>
      <c r="B2240" s="1">
        <f>IFERROR(__xludf.DUMMYFUNCTION("""COMPUTED_VALUE"""),16305.44)</f>
        <v>16305.44</v>
      </c>
      <c r="C2240" s="58">
        <f t="shared" si="1"/>
        <v>5062.998611</v>
      </c>
      <c r="D2240" s="1">
        <f t="shared" si="2"/>
        <v>15872.48437</v>
      </c>
      <c r="E2240" s="1">
        <f t="shared" si="3"/>
        <v>28570.47187</v>
      </c>
      <c r="F2240" s="1">
        <f t="shared" si="4"/>
        <v>53966.44686</v>
      </c>
      <c r="G2240" s="1">
        <f t="shared" si="5"/>
        <v>95234.90622</v>
      </c>
      <c r="H2240" s="1">
        <f t="shared" si="6"/>
        <v>174597.3281</v>
      </c>
      <c r="I2240" s="1">
        <f t="shared" si="7"/>
        <v>285704.7187</v>
      </c>
    </row>
    <row r="2241" hidden="1">
      <c r="A2241" s="266">
        <f>IFERROR(__xludf.DUMMYFUNCTION("""COMPUTED_VALUE"""),44879.99861111111)</f>
        <v>44879.99861</v>
      </c>
      <c r="B2241" s="1">
        <f>IFERROR(__xludf.DUMMYFUNCTION("""COMPUTED_VALUE"""),16597.69)</f>
        <v>16597.69</v>
      </c>
      <c r="C2241" s="58">
        <f t="shared" si="1"/>
        <v>5063.998611</v>
      </c>
      <c r="D2241" s="1">
        <f t="shared" si="2"/>
        <v>15890.67597</v>
      </c>
      <c r="E2241" s="1">
        <f t="shared" si="3"/>
        <v>28603.21675</v>
      </c>
      <c r="F2241" s="1">
        <f t="shared" si="4"/>
        <v>54028.29831</v>
      </c>
      <c r="G2241" s="1">
        <f t="shared" si="5"/>
        <v>95344.05584</v>
      </c>
      <c r="H2241" s="1">
        <f t="shared" si="6"/>
        <v>174797.4357</v>
      </c>
      <c r="I2241" s="1">
        <f t="shared" si="7"/>
        <v>286032.1675</v>
      </c>
    </row>
    <row r="2242" hidden="1">
      <c r="A2242" s="266">
        <f>IFERROR(__xludf.DUMMYFUNCTION("""COMPUTED_VALUE"""),44880.99861111111)</f>
        <v>44880.99861</v>
      </c>
      <c r="B2242" s="1">
        <f>IFERROR(__xludf.DUMMYFUNCTION("""COMPUTED_VALUE"""),16877.02)</f>
        <v>16877.02</v>
      </c>
      <c r="C2242" s="58">
        <f t="shared" si="1"/>
        <v>5064.998611</v>
      </c>
      <c r="D2242" s="1">
        <f t="shared" si="2"/>
        <v>15908.88483</v>
      </c>
      <c r="E2242" s="1">
        <f t="shared" si="3"/>
        <v>28635.99269</v>
      </c>
      <c r="F2242" s="1">
        <f t="shared" si="4"/>
        <v>54090.20841</v>
      </c>
      <c r="G2242" s="1">
        <f t="shared" si="5"/>
        <v>95453.30897</v>
      </c>
      <c r="H2242" s="1">
        <f t="shared" si="6"/>
        <v>174997.7331</v>
      </c>
      <c r="I2242" s="1">
        <f t="shared" si="7"/>
        <v>286359.9269</v>
      </c>
    </row>
    <row r="2243" hidden="1">
      <c r="A2243" s="266">
        <f>IFERROR(__xludf.DUMMYFUNCTION("""COMPUTED_VALUE"""),44881.99861111111)</f>
        <v>44881.99861</v>
      </c>
      <c r="B2243" s="1">
        <f>IFERROR(__xludf.DUMMYFUNCTION("""COMPUTED_VALUE"""),16659.37)</f>
        <v>16659.37</v>
      </c>
      <c r="C2243" s="58">
        <f t="shared" si="1"/>
        <v>5065.998611</v>
      </c>
      <c r="D2243" s="1">
        <f t="shared" si="2"/>
        <v>15927.11095</v>
      </c>
      <c r="E2243" s="1">
        <f t="shared" si="3"/>
        <v>28668.7997</v>
      </c>
      <c r="F2243" s="1">
        <f t="shared" si="4"/>
        <v>54152.17722</v>
      </c>
      <c r="G2243" s="1">
        <f t="shared" si="5"/>
        <v>95562.66568</v>
      </c>
      <c r="H2243" s="1">
        <f t="shared" si="6"/>
        <v>175198.2204</v>
      </c>
      <c r="I2243" s="1">
        <f t="shared" si="7"/>
        <v>286687.997</v>
      </c>
    </row>
    <row r="2244" hidden="1">
      <c r="A2244" s="266">
        <f>IFERROR(__xludf.DUMMYFUNCTION("""COMPUTED_VALUE"""),44882.99861111111)</f>
        <v>44882.99861</v>
      </c>
      <c r="B2244" s="1">
        <f>IFERROR(__xludf.DUMMYFUNCTION("""COMPUTED_VALUE"""),16681.11)</f>
        <v>16681.11</v>
      </c>
      <c r="C2244" s="58">
        <f t="shared" si="1"/>
        <v>5066.998611</v>
      </c>
      <c r="D2244" s="1">
        <f t="shared" si="2"/>
        <v>15945.35434</v>
      </c>
      <c r="E2244" s="1">
        <f t="shared" si="3"/>
        <v>28701.63782</v>
      </c>
      <c r="F2244" s="1">
        <f t="shared" si="4"/>
        <v>54214.20476</v>
      </c>
      <c r="G2244" s="1">
        <f t="shared" si="5"/>
        <v>95672.12605</v>
      </c>
      <c r="H2244" s="1">
        <f t="shared" si="6"/>
        <v>175398.8978</v>
      </c>
      <c r="I2244" s="1">
        <f t="shared" si="7"/>
        <v>287016.3782</v>
      </c>
    </row>
    <row r="2245" hidden="1">
      <c r="A2245" s="266">
        <f>IFERROR(__xludf.DUMMYFUNCTION("""COMPUTED_VALUE"""),44883.99861111111)</f>
        <v>44883.99861</v>
      </c>
      <c r="B2245" s="1">
        <f>IFERROR(__xludf.DUMMYFUNCTION("""COMPUTED_VALUE"""),16683.38)</f>
        <v>16683.38</v>
      </c>
      <c r="C2245" s="58">
        <f t="shared" si="1"/>
        <v>5067.998611</v>
      </c>
      <c r="D2245" s="1">
        <f t="shared" si="2"/>
        <v>15963.61503</v>
      </c>
      <c r="E2245" s="1">
        <f t="shared" si="3"/>
        <v>28734.50705</v>
      </c>
      <c r="F2245" s="1">
        <f t="shared" si="4"/>
        <v>54276.29109</v>
      </c>
      <c r="G2245" s="1">
        <f t="shared" si="5"/>
        <v>95781.69017</v>
      </c>
      <c r="H2245" s="1">
        <f t="shared" si="6"/>
        <v>175599.7653</v>
      </c>
      <c r="I2245" s="1">
        <f t="shared" si="7"/>
        <v>287345.0705</v>
      </c>
    </row>
    <row r="2246" hidden="1">
      <c r="A2246" s="266">
        <f>IFERROR(__xludf.DUMMYFUNCTION("""COMPUTED_VALUE"""),44884.99861111111)</f>
        <v>44884.99861</v>
      </c>
      <c r="B2246" s="1">
        <f>IFERROR(__xludf.DUMMYFUNCTION("""COMPUTED_VALUE"""),16692.46)</f>
        <v>16692.46</v>
      </c>
      <c r="C2246" s="58">
        <f t="shared" si="1"/>
        <v>5068.998611</v>
      </c>
      <c r="D2246" s="1">
        <f t="shared" si="2"/>
        <v>15981.89302</v>
      </c>
      <c r="E2246" s="1">
        <f t="shared" si="3"/>
        <v>28767.40743</v>
      </c>
      <c r="F2246" s="1">
        <f t="shared" si="4"/>
        <v>54338.43626</v>
      </c>
      <c r="G2246" s="1">
        <f t="shared" si="5"/>
        <v>95891.3581</v>
      </c>
      <c r="H2246" s="1">
        <f t="shared" si="6"/>
        <v>175800.8232</v>
      </c>
      <c r="I2246" s="1">
        <f t="shared" si="7"/>
        <v>287674.0743</v>
      </c>
    </row>
    <row r="2247" hidden="1">
      <c r="A2247" s="266">
        <f>IFERROR(__xludf.DUMMYFUNCTION("""COMPUTED_VALUE"""),44885.99861111111)</f>
        <v>44885.99861</v>
      </c>
      <c r="B2247" s="1">
        <f>IFERROR(__xludf.DUMMYFUNCTION("""COMPUTED_VALUE"""),16263.55)</f>
        <v>16263.55</v>
      </c>
      <c r="C2247" s="58">
        <f t="shared" si="1"/>
        <v>5069.998611</v>
      </c>
      <c r="D2247" s="1">
        <f t="shared" si="2"/>
        <v>16000.18832</v>
      </c>
      <c r="E2247" s="1">
        <f t="shared" si="3"/>
        <v>28800.33898</v>
      </c>
      <c r="F2247" s="1">
        <f t="shared" si="4"/>
        <v>54400.6403</v>
      </c>
      <c r="G2247" s="1">
        <f t="shared" si="5"/>
        <v>96001.12994</v>
      </c>
      <c r="H2247" s="1">
        <f t="shared" si="6"/>
        <v>176002.0716</v>
      </c>
      <c r="I2247" s="1">
        <f t="shared" si="7"/>
        <v>288003.3898</v>
      </c>
    </row>
    <row r="2248" hidden="1">
      <c r="A2248" s="266">
        <f>IFERROR(__xludf.DUMMYFUNCTION("""COMPUTED_VALUE"""),44886.99861111111)</f>
        <v>44886.99861</v>
      </c>
      <c r="B2248" s="1">
        <f>IFERROR(__xludf.DUMMYFUNCTION("""COMPUTED_VALUE"""),15768.67)</f>
        <v>15768.67</v>
      </c>
      <c r="C2248" s="58">
        <f t="shared" si="1"/>
        <v>5070.998611</v>
      </c>
      <c r="D2248" s="1">
        <f t="shared" si="2"/>
        <v>16018.50096</v>
      </c>
      <c r="E2248" s="1">
        <f t="shared" si="3"/>
        <v>28833.30172</v>
      </c>
      <c r="F2248" s="1">
        <f t="shared" si="4"/>
        <v>54462.90326</v>
      </c>
      <c r="G2248" s="1">
        <f t="shared" si="5"/>
        <v>96111.00575</v>
      </c>
      <c r="H2248" s="1">
        <f t="shared" si="6"/>
        <v>176203.5105</v>
      </c>
      <c r="I2248" s="1">
        <f t="shared" si="7"/>
        <v>288333.0172</v>
      </c>
    </row>
    <row r="2249" hidden="1">
      <c r="A2249" s="266">
        <f>IFERROR(__xludf.DUMMYFUNCTION("""COMPUTED_VALUE"""),44887.99861111111)</f>
        <v>44887.99861</v>
      </c>
      <c r="B2249" s="1">
        <f>IFERROR(__xludf.DUMMYFUNCTION("""COMPUTED_VALUE"""),16195.35)</f>
        <v>16195.35</v>
      </c>
      <c r="C2249" s="58">
        <f t="shared" si="1"/>
        <v>5071.998611</v>
      </c>
      <c r="D2249" s="1">
        <f t="shared" si="2"/>
        <v>16036.83093</v>
      </c>
      <c r="E2249" s="1">
        <f t="shared" si="3"/>
        <v>28866.29568</v>
      </c>
      <c r="F2249" s="1">
        <f t="shared" si="4"/>
        <v>54525.22518</v>
      </c>
      <c r="G2249" s="1">
        <f t="shared" si="5"/>
        <v>96220.98561</v>
      </c>
      <c r="H2249" s="1">
        <f t="shared" si="6"/>
        <v>176405.1403</v>
      </c>
      <c r="I2249" s="1">
        <f t="shared" si="7"/>
        <v>288662.9568</v>
      </c>
    </row>
    <row r="2250" hidden="1">
      <c r="A2250" s="266">
        <f>IFERROR(__xludf.DUMMYFUNCTION("""COMPUTED_VALUE"""),44888.99861111111)</f>
        <v>44888.99861</v>
      </c>
      <c r="B2250" s="1">
        <f>IFERROR(__xludf.DUMMYFUNCTION("""COMPUTED_VALUE"""),16598.29)</f>
        <v>16598.29</v>
      </c>
      <c r="C2250" s="58">
        <f t="shared" si="1"/>
        <v>5072.998611</v>
      </c>
      <c r="D2250" s="1">
        <f t="shared" si="2"/>
        <v>16055.17827</v>
      </c>
      <c r="E2250" s="1">
        <f t="shared" si="3"/>
        <v>28899.32088</v>
      </c>
      <c r="F2250" s="1">
        <f t="shared" si="4"/>
        <v>54587.60611</v>
      </c>
      <c r="G2250" s="1">
        <f t="shared" si="5"/>
        <v>96331.0696</v>
      </c>
      <c r="H2250" s="1">
        <f t="shared" si="6"/>
        <v>176606.9609</v>
      </c>
      <c r="I2250" s="1">
        <f t="shared" si="7"/>
        <v>288993.2088</v>
      </c>
    </row>
    <row r="2251" hidden="1">
      <c r="A2251" s="266">
        <f>IFERROR(__xludf.DUMMYFUNCTION("""COMPUTED_VALUE"""),44889.99861111111)</f>
        <v>44889.99861</v>
      </c>
      <c r="B2251" s="1">
        <f>IFERROR(__xludf.DUMMYFUNCTION("""COMPUTED_VALUE"""),16593.78)</f>
        <v>16593.78</v>
      </c>
      <c r="C2251" s="58">
        <f t="shared" si="1"/>
        <v>5073.998611</v>
      </c>
      <c r="D2251" s="1">
        <f t="shared" si="2"/>
        <v>16073.54297</v>
      </c>
      <c r="E2251" s="1">
        <f t="shared" si="3"/>
        <v>28932.37734</v>
      </c>
      <c r="F2251" s="1">
        <f t="shared" si="4"/>
        <v>54650.04609</v>
      </c>
      <c r="G2251" s="1">
        <f t="shared" si="5"/>
        <v>96441.2578</v>
      </c>
      <c r="H2251" s="1">
        <f t="shared" si="6"/>
        <v>176808.9726</v>
      </c>
      <c r="I2251" s="1">
        <f t="shared" si="7"/>
        <v>289323.7734</v>
      </c>
    </row>
    <row r="2252" hidden="1">
      <c r="A2252" s="266">
        <f>IFERROR(__xludf.DUMMYFUNCTION("""COMPUTED_VALUE"""),44890.99861111111)</f>
        <v>44890.99861</v>
      </c>
      <c r="B2252" s="1">
        <f>IFERROR(__xludf.DUMMYFUNCTION("""COMPUTED_VALUE"""),16507.52)</f>
        <v>16507.52</v>
      </c>
      <c r="C2252" s="58">
        <f t="shared" si="1"/>
        <v>5074.998611</v>
      </c>
      <c r="D2252" s="1">
        <f t="shared" si="2"/>
        <v>16091.92505</v>
      </c>
      <c r="E2252" s="1">
        <f t="shared" si="3"/>
        <v>28965.46509</v>
      </c>
      <c r="F2252" s="1">
        <f t="shared" si="4"/>
        <v>54712.54517</v>
      </c>
      <c r="G2252" s="1">
        <f t="shared" si="5"/>
        <v>96551.55029</v>
      </c>
      <c r="H2252" s="1">
        <f t="shared" si="6"/>
        <v>177011.1755</v>
      </c>
      <c r="I2252" s="1">
        <f t="shared" si="7"/>
        <v>289654.6509</v>
      </c>
    </row>
    <row r="2253" hidden="1">
      <c r="A2253" s="266">
        <f>IFERROR(__xludf.DUMMYFUNCTION("""COMPUTED_VALUE"""),44891.99861111111)</f>
        <v>44891.99861</v>
      </c>
      <c r="B2253" s="1">
        <f>IFERROR(__xludf.DUMMYFUNCTION("""COMPUTED_VALUE"""),16449.59)</f>
        <v>16449.59</v>
      </c>
      <c r="C2253" s="58">
        <f t="shared" si="1"/>
        <v>5075.998611</v>
      </c>
      <c r="D2253" s="1">
        <f t="shared" si="2"/>
        <v>16110.32452</v>
      </c>
      <c r="E2253" s="1">
        <f t="shared" si="3"/>
        <v>28998.58414</v>
      </c>
      <c r="F2253" s="1">
        <f t="shared" si="4"/>
        <v>54775.10338</v>
      </c>
      <c r="G2253" s="1">
        <f t="shared" si="5"/>
        <v>96661.94715</v>
      </c>
      <c r="H2253" s="1">
        <f t="shared" si="6"/>
        <v>177213.5698</v>
      </c>
      <c r="I2253" s="1">
        <f t="shared" si="7"/>
        <v>289985.8414</v>
      </c>
    </row>
    <row r="2254" hidden="1">
      <c r="A2254" s="266">
        <f>IFERROR(__xludf.DUMMYFUNCTION("""COMPUTED_VALUE"""),44892.99861111111)</f>
        <v>44892.99861</v>
      </c>
      <c r="B2254" s="1">
        <f>IFERROR(__xludf.DUMMYFUNCTION("""COMPUTED_VALUE"""),16419.52)</f>
        <v>16419.52</v>
      </c>
      <c r="C2254" s="58">
        <f t="shared" si="1"/>
        <v>5076.998611</v>
      </c>
      <c r="D2254" s="1">
        <f t="shared" si="2"/>
        <v>16128.74141</v>
      </c>
      <c r="E2254" s="1">
        <f t="shared" si="3"/>
        <v>29031.73453</v>
      </c>
      <c r="F2254" s="1">
        <f t="shared" si="4"/>
        <v>54837.72079</v>
      </c>
      <c r="G2254" s="1">
        <f t="shared" si="5"/>
        <v>96772.44844</v>
      </c>
      <c r="H2254" s="1">
        <f t="shared" si="6"/>
        <v>177416.1555</v>
      </c>
      <c r="I2254" s="1">
        <f t="shared" si="7"/>
        <v>290317.3453</v>
      </c>
    </row>
    <row r="2255" hidden="1">
      <c r="A2255" s="266">
        <f>IFERROR(__xludf.DUMMYFUNCTION("""COMPUTED_VALUE"""),44893.99861111111)</f>
        <v>44893.99861</v>
      </c>
      <c r="B2255" s="1">
        <f>IFERROR(__xludf.DUMMYFUNCTION("""COMPUTED_VALUE"""),16206.38)</f>
        <v>16206.38</v>
      </c>
      <c r="C2255" s="58">
        <f t="shared" si="1"/>
        <v>5077.998611</v>
      </c>
      <c r="D2255" s="1">
        <f t="shared" si="2"/>
        <v>16147.17571</v>
      </c>
      <c r="E2255" s="1">
        <f t="shared" si="3"/>
        <v>29064.91628</v>
      </c>
      <c r="F2255" s="1">
        <f t="shared" si="4"/>
        <v>54900.39742</v>
      </c>
      <c r="G2255" s="1">
        <f t="shared" si="5"/>
        <v>96883.05426</v>
      </c>
      <c r="H2255" s="1">
        <f t="shared" si="6"/>
        <v>177618.9328</v>
      </c>
      <c r="I2255" s="1">
        <f t="shared" si="7"/>
        <v>290649.1628</v>
      </c>
    </row>
    <row r="2256" hidden="1">
      <c r="A2256" s="266">
        <f>IFERROR(__xludf.DUMMYFUNCTION("""COMPUTED_VALUE"""),44894.99861111111)</f>
        <v>44894.99861</v>
      </c>
      <c r="B2256" s="1">
        <f>IFERROR(__xludf.DUMMYFUNCTION("""COMPUTED_VALUE"""),16433.22)</f>
        <v>16433.22</v>
      </c>
      <c r="C2256" s="58">
        <f t="shared" si="1"/>
        <v>5078.998611</v>
      </c>
      <c r="D2256" s="1">
        <f t="shared" si="2"/>
        <v>16165.62745</v>
      </c>
      <c r="E2256" s="1">
        <f t="shared" si="3"/>
        <v>29098.12941</v>
      </c>
      <c r="F2256" s="1">
        <f t="shared" si="4"/>
        <v>54963.13332</v>
      </c>
      <c r="G2256" s="1">
        <f t="shared" si="5"/>
        <v>96993.76469</v>
      </c>
      <c r="H2256" s="1">
        <f t="shared" si="6"/>
        <v>177821.9019</v>
      </c>
      <c r="I2256" s="1">
        <f t="shared" si="7"/>
        <v>290981.2941</v>
      </c>
    </row>
    <row r="2257" hidden="1">
      <c r="A2257" s="266">
        <f>IFERROR(__xludf.DUMMYFUNCTION("""COMPUTED_VALUE"""),44895.99861111111)</f>
        <v>44895.99861</v>
      </c>
      <c r="B2257" s="1">
        <f>IFERROR(__xludf.DUMMYFUNCTION("""COMPUTED_VALUE"""),17162.97)</f>
        <v>17162.97</v>
      </c>
      <c r="C2257" s="58">
        <f t="shared" si="1"/>
        <v>5079.998611</v>
      </c>
      <c r="D2257" s="1">
        <f t="shared" si="2"/>
        <v>16184.09663</v>
      </c>
      <c r="E2257" s="1">
        <f t="shared" si="3"/>
        <v>29131.37394</v>
      </c>
      <c r="F2257" s="1">
        <f t="shared" si="4"/>
        <v>55025.92854</v>
      </c>
      <c r="G2257" s="1">
        <f t="shared" si="5"/>
        <v>97104.57978</v>
      </c>
      <c r="H2257" s="1">
        <f t="shared" si="6"/>
        <v>178025.0629</v>
      </c>
      <c r="I2257" s="1">
        <f t="shared" si="7"/>
        <v>291313.7394</v>
      </c>
    </row>
    <row r="2258" hidden="1">
      <c r="A2258" s="266">
        <f>IFERROR(__xludf.DUMMYFUNCTION("""COMPUTED_VALUE"""),44896.99861111111)</f>
        <v>44896.99861</v>
      </c>
      <c r="B2258" s="1">
        <f>IFERROR(__xludf.DUMMYFUNCTION("""COMPUTED_VALUE"""),16969.37)</f>
        <v>16969.37</v>
      </c>
      <c r="C2258" s="58">
        <f t="shared" si="1"/>
        <v>5080.998611</v>
      </c>
      <c r="D2258" s="1">
        <f t="shared" si="2"/>
        <v>16202.58327</v>
      </c>
      <c r="E2258" s="1">
        <f t="shared" si="3"/>
        <v>29164.64989</v>
      </c>
      <c r="F2258" s="1">
        <f t="shared" si="4"/>
        <v>55088.78313</v>
      </c>
      <c r="G2258" s="1">
        <f t="shared" si="5"/>
        <v>97215.49964</v>
      </c>
      <c r="H2258" s="1">
        <f t="shared" si="6"/>
        <v>178228.416</v>
      </c>
      <c r="I2258" s="1">
        <f t="shared" si="7"/>
        <v>291646.4989</v>
      </c>
    </row>
    <row r="2259" hidden="1">
      <c r="A2259" s="266">
        <f>IFERROR(__xludf.DUMMYFUNCTION("""COMPUTED_VALUE"""),44897.99861111111)</f>
        <v>44897.99861</v>
      </c>
      <c r="B2259" s="1">
        <f>IFERROR(__xludf.DUMMYFUNCTION("""COMPUTED_VALUE"""),17089.62)</f>
        <v>17089.62</v>
      </c>
      <c r="C2259" s="58">
        <f t="shared" si="1"/>
        <v>5081.998611</v>
      </c>
      <c r="D2259" s="1">
        <f t="shared" si="2"/>
        <v>16221.08739</v>
      </c>
      <c r="E2259" s="1">
        <f t="shared" si="3"/>
        <v>29197.9573</v>
      </c>
      <c r="F2259" s="1">
        <f t="shared" si="4"/>
        <v>55151.69712</v>
      </c>
      <c r="G2259" s="1">
        <f t="shared" si="5"/>
        <v>97326.52433</v>
      </c>
      <c r="H2259" s="1">
        <f t="shared" si="6"/>
        <v>178431.9613</v>
      </c>
      <c r="I2259" s="1">
        <f t="shared" si="7"/>
        <v>291979.573</v>
      </c>
    </row>
    <row r="2260" hidden="1">
      <c r="A2260" s="266">
        <f>IFERROR(__xludf.DUMMYFUNCTION("""COMPUTED_VALUE"""),44898.99861111111)</f>
        <v>44898.99861</v>
      </c>
      <c r="B2260" s="1">
        <f>IFERROR(__xludf.DUMMYFUNCTION("""COMPUTED_VALUE"""),16884.0)</f>
        <v>16884</v>
      </c>
      <c r="C2260" s="58">
        <f t="shared" si="1"/>
        <v>5082.998611</v>
      </c>
      <c r="D2260" s="1">
        <f t="shared" si="2"/>
        <v>16239.60899</v>
      </c>
      <c r="E2260" s="1">
        <f t="shared" si="3"/>
        <v>29231.29618</v>
      </c>
      <c r="F2260" s="1">
        <f t="shared" si="4"/>
        <v>55214.67056</v>
      </c>
      <c r="G2260" s="1">
        <f t="shared" si="5"/>
        <v>97437.65393</v>
      </c>
      <c r="H2260" s="1">
        <f t="shared" si="6"/>
        <v>178635.6989</v>
      </c>
      <c r="I2260" s="1">
        <f t="shared" si="7"/>
        <v>292312.9618</v>
      </c>
    </row>
    <row r="2261" hidden="1">
      <c r="A2261" s="266">
        <f>IFERROR(__xludf.DUMMYFUNCTION("""COMPUTED_VALUE"""),44899.99861111111)</f>
        <v>44899.99861</v>
      </c>
      <c r="B2261" s="1">
        <f>IFERROR(__xludf.DUMMYFUNCTION("""COMPUTED_VALUE"""),17107.33)</f>
        <v>17107.33</v>
      </c>
      <c r="C2261" s="58">
        <f t="shared" si="1"/>
        <v>5083.998611</v>
      </c>
      <c r="D2261" s="1">
        <f t="shared" si="2"/>
        <v>16258.14809</v>
      </c>
      <c r="E2261" s="1">
        <f t="shared" si="3"/>
        <v>29264.66656</v>
      </c>
      <c r="F2261" s="1">
        <f t="shared" si="4"/>
        <v>55277.7035</v>
      </c>
      <c r="G2261" s="1">
        <f t="shared" si="5"/>
        <v>97548.88853</v>
      </c>
      <c r="H2261" s="1">
        <f t="shared" si="6"/>
        <v>178839.629</v>
      </c>
      <c r="I2261" s="1">
        <f t="shared" si="7"/>
        <v>292646.6656</v>
      </c>
    </row>
    <row r="2262" hidden="1">
      <c r="A2262" s="266">
        <f>IFERROR(__xludf.DUMMYFUNCTION("""COMPUTED_VALUE"""),44900.99861111111)</f>
        <v>44900.99861</v>
      </c>
      <c r="B2262" s="1">
        <f>IFERROR(__xludf.DUMMYFUNCTION("""COMPUTED_VALUE"""),16965.47)</f>
        <v>16965.47</v>
      </c>
      <c r="C2262" s="58">
        <f t="shared" si="1"/>
        <v>5084.998611</v>
      </c>
      <c r="D2262" s="1">
        <f t="shared" si="2"/>
        <v>16276.7047</v>
      </c>
      <c r="E2262" s="1">
        <f t="shared" si="3"/>
        <v>29298.06846</v>
      </c>
      <c r="F2262" s="1">
        <f t="shared" si="4"/>
        <v>55340.79598</v>
      </c>
      <c r="G2262" s="1">
        <f t="shared" si="5"/>
        <v>97660.2282</v>
      </c>
      <c r="H2262" s="1">
        <f t="shared" si="6"/>
        <v>179043.7517</v>
      </c>
      <c r="I2262" s="1">
        <f t="shared" si="7"/>
        <v>292980.6846</v>
      </c>
    </row>
    <row r="2263" hidden="1">
      <c r="A2263" s="266">
        <f>IFERROR(__xludf.DUMMYFUNCTION("""COMPUTED_VALUE"""),44901.99861111111)</f>
        <v>44901.99861</v>
      </c>
      <c r="B2263" s="1">
        <f>IFERROR(__xludf.DUMMYFUNCTION("""COMPUTED_VALUE"""),17083.02)</f>
        <v>17083.02</v>
      </c>
      <c r="C2263" s="58">
        <f t="shared" si="1"/>
        <v>5085.998611</v>
      </c>
      <c r="D2263" s="1">
        <f t="shared" si="2"/>
        <v>16295.27884</v>
      </c>
      <c r="E2263" s="1">
        <f t="shared" si="3"/>
        <v>29331.5019</v>
      </c>
      <c r="F2263" s="1">
        <f t="shared" si="4"/>
        <v>55403.94804</v>
      </c>
      <c r="G2263" s="1">
        <f t="shared" si="5"/>
        <v>97771.67301</v>
      </c>
      <c r="H2263" s="1">
        <f t="shared" si="6"/>
        <v>179248.0672</v>
      </c>
      <c r="I2263" s="1">
        <f t="shared" si="7"/>
        <v>293315.019</v>
      </c>
    </row>
    <row r="2264" hidden="1">
      <c r="A2264" s="266">
        <f>IFERROR(__xludf.DUMMYFUNCTION("""COMPUTED_VALUE"""),44902.99861111111)</f>
        <v>44902.99861</v>
      </c>
      <c r="B2264" s="1">
        <f>IFERROR(__xludf.DUMMYFUNCTION("""COMPUTED_VALUE"""),16836.91)</f>
        <v>16836.91</v>
      </c>
      <c r="C2264" s="58">
        <f t="shared" si="1"/>
        <v>5086.998611</v>
      </c>
      <c r="D2264" s="1">
        <f t="shared" si="2"/>
        <v>16313.87051</v>
      </c>
      <c r="E2264" s="1">
        <f t="shared" si="3"/>
        <v>29364.96692</v>
      </c>
      <c r="F2264" s="1">
        <f t="shared" si="4"/>
        <v>55467.15973</v>
      </c>
      <c r="G2264" s="1">
        <f t="shared" si="5"/>
        <v>97883.22305</v>
      </c>
      <c r="H2264" s="1">
        <f t="shared" si="6"/>
        <v>179452.5756</v>
      </c>
      <c r="I2264" s="1">
        <f t="shared" si="7"/>
        <v>293649.6692</v>
      </c>
    </row>
    <row r="2265" hidden="1">
      <c r="A2265" s="266">
        <f>IFERROR(__xludf.DUMMYFUNCTION("""COMPUTED_VALUE"""),44903.99861111111)</f>
        <v>44903.99861</v>
      </c>
      <c r="B2265" s="1">
        <f>IFERROR(__xludf.DUMMYFUNCTION("""COMPUTED_VALUE"""),17227.73)</f>
        <v>17227.73</v>
      </c>
      <c r="C2265" s="58">
        <f t="shared" si="1"/>
        <v>5087.998611</v>
      </c>
      <c r="D2265" s="1">
        <f t="shared" si="2"/>
        <v>16332.47973</v>
      </c>
      <c r="E2265" s="1">
        <f t="shared" si="3"/>
        <v>29398.46352</v>
      </c>
      <c r="F2265" s="1">
        <f t="shared" si="4"/>
        <v>55530.4311</v>
      </c>
      <c r="G2265" s="1">
        <f t="shared" si="5"/>
        <v>97994.8784</v>
      </c>
      <c r="H2265" s="1">
        <f t="shared" si="6"/>
        <v>179657.2771</v>
      </c>
      <c r="I2265" s="1">
        <f t="shared" si="7"/>
        <v>293984.6352</v>
      </c>
    </row>
    <row r="2266" hidden="1">
      <c r="A2266" s="266">
        <f>IFERROR(__xludf.DUMMYFUNCTION("""COMPUTED_VALUE"""),44904.99861111111)</f>
        <v>44904.99861</v>
      </c>
      <c r="B2266" s="1">
        <f>IFERROR(__xludf.DUMMYFUNCTION("""COMPUTED_VALUE"""),17126.82)</f>
        <v>17126.82</v>
      </c>
      <c r="C2266" s="58">
        <f t="shared" si="1"/>
        <v>5088.998611</v>
      </c>
      <c r="D2266" s="1">
        <f t="shared" si="2"/>
        <v>16351.10652</v>
      </c>
      <c r="E2266" s="1">
        <f t="shared" si="3"/>
        <v>29431.99174</v>
      </c>
      <c r="F2266" s="1">
        <f t="shared" si="4"/>
        <v>55593.76218</v>
      </c>
      <c r="G2266" s="1">
        <f t="shared" si="5"/>
        <v>98106.63914</v>
      </c>
      <c r="H2266" s="1">
        <f t="shared" si="6"/>
        <v>179862.1718</v>
      </c>
      <c r="I2266" s="1">
        <f t="shared" si="7"/>
        <v>294319.9174</v>
      </c>
    </row>
    <row r="2267" hidden="1">
      <c r="A2267" s="266">
        <f>IFERROR(__xludf.DUMMYFUNCTION("""COMPUTED_VALUE"""),44905.99861111111)</f>
        <v>44905.99861</v>
      </c>
      <c r="B2267" s="1">
        <f>IFERROR(__xludf.DUMMYFUNCTION("""COMPUTED_VALUE"""),17126.43)</f>
        <v>17126.43</v>
      </c>
      <c r="C2267" s="58">
        <f t="shared" si="1"/>
        <v>5089.998611</v>
      </c>
      <c r="D2267" s="1">
        <f t="shared" si="2"/>
        <v>16369.75089</v>
      </c>
      <c r="E2267" s="1">
        <f t="shared" si="3"/>
        <v>29465.5516</v>
      </c>
      <c r="F2267" s="1">
        <f t="shared" si="4"/>
        <v>55657.15302</v>
      </c>
      <c r="G2267" s="1">
        <f t="shared" si="5"/>
        <v>98218.50534</v>
      </c>
      <c r="H2267" s="1">
        <f t="shared" si="6"/>
        <v>180067.2598</v>
      </c>
      <c r="I2267" s="1">
        <f t="shared" si="7"/>
        <v>294655.516</v>
      </c>
    </row>
    <row r="2268" hidden="1">
      <c r="A2268" s="266">
        <f>IFERROR(__xludf.DUMMYFUNCTION("""COMPUTED_VALUE"""),44906.99861111111)</f>
        <v>44906.99861</v>
      </c>
      <c r="B2268" s="1">
        <f>IFERROR(__xludf.DUMMYFUNCTION("""COMPUTED_VALUE"""),17092.67)</f>
        <v>17092.67</v>
      </c>
      <c r="C2268" s="58">
        <f t="shared" si="1"/>
        <v>5090.998611</v>
      </c>
      <c r="D2268" s="1">
        <f t="shared" si="2"/>
        <v>16388.41285</v>
      </c>
      <c r="E2268" s="1">
        <f t="shared" si="3"/>
        <v>29499.14312</v>
      </c>
      <c r="F2268" s="1">
        <f t="shared" si="4"/>
        <v>55720.60368</v>
      </c>
      <c r="G2268" s="1">
        <f t="shared" si="5"/>
        <v>98330.47708</v>
      </c>
      <c r="H2268" s="1">
        <f t="shared" si="6"/>
        <v>180272.5413</v>
      </c>
      <c r="I2268" s="1">
        <f t="shared" si="7"/>
        <v>294991.4312</v>
      </c>
    </row>
    <row r="2269" hidden="1">
      <c r="A2269" s="266">
        <f>IFERROR(__xludf.DUMMYFUNCTION("""COMPUTED_VALUE"""),44907.99861111111)</f>
        <v>44907.99861</v>
      </c>
      <c r="B2269" s="1">
        <f>IFERROR(__xludf.DUMMYFUNCTION("""COMPUTED_VALUE"""),17206.42)</f>
        <v>17206.42</v>
      </c>
      <c r="C2269" s="58">
        <f t="shared" si="1"/>
        <v>5091.998611</v>
      </c>
      <c r="D2269" s="1">
        <f t="shared" si="2"/>
        <v>16407.09241</v>
      </c>
      <c r="E2269" s="1">
        <f t="shared" si="3"/>
        <v>29532.76633</v>
      </c>
      <c r="F2269" s="1">
        <f t="shared" si="4"/>
        <v>55784.11418</v>
      </c>
      <c r="G2269" s="1">
        <f t="shared" si="5"/>
        <v>98442.55444</v>
      </c>
      <c r="H2269" s="1">
        <f t="shared" si="6"/>
        <v>180478.0165</v>
      </c>
      <c r="I2269" s="1">
        <f t="shared" si="7"/>
        <v>295327.6633</v>
      </c>
    </row>
    <row r="2270" hidden="1">
      <c r="A2270" s="266">
        <f>IFERROR(__xludf.DUMMYFUNCTION("""COMPUTED_VALUE"""),44908.99861111111)</f>
        <v>44908.99861</v>
      </c>
      <c r="B2270" s="1">
        <f>IFERROR(__xludf.DUMMYFUNCTION("""COMPUTED_VALUE"""),17777.01)</f>
        <v>17777.01</v>
      </c>
      <c r="C2270" s="58">
        <f t="shared" si="1"/>
        <v>5092.998611</v>
      </c>
      <c r="D2270" s="1">
        <f t="shared" si="2"/>
        <v>16425.78958</v>
      </c>
      <c r="E2270" s="1">
        <f t="shared" si="3"/>
        <v>29566.42125</v>
      </c>
      <c r="F2270" s="1">
        <f t="shared" si="4"/>
        <v>55847.68458</v>
      </c>
      <c r="G2270" s="1">
        <f t="shared" si="5"/>
        <v>98554.7375</v>
      </c>
      <c r="H2270" s="1">
        <f t="shared" si="6"/>
        <v>180683.6854</v>
      </c>
      <c r="I2270" s="1">
        <f t="shared" si="7"/>
        <v>295664.2125</v>
      </c>
    </row>
    <row r="2271" hidden="1">
      <c r="A2271" s="266">
        <f>IFERROR(__xludf.DUMMYFUNCTION("""COMPUTED_VALUE"""),44909.99861111111)</f>
        <v>44909.99861</v>
      </c>
      <c r="B2271" s="1">
        <f>IFERROR(__xludf.DUMMYFUNCTION("""COMPUTED_VALUE"""),17800.52)</f>
        <v>17800.52</v>
      </c>
      <c r="C2271" s="58">
        <f t="shared" si="1"/>
        <v>5093.998611</v>
      </c>
      <c r="D2271" s="1">
        <f t="shared" si="2"/>
        <v>16444.50439</v>
      </c>
      <c r="E2271" s="1">
        <f t="shared" si="3"/>
        <v>29600.1079</v>
      </c>
      <c r="F2271" s="1">
        <f t="shared" si="4"/>
        <v>55911.31493</v>
      </c>
      <c r="G2271" s="1">
        <f t="shared" si="5"/>
        <v>98667.02634</v>
      </c>
      <c r="H2271" s="1">
        <f t="shared" si="6"/>
        <v>180889.5483</v>
      </c>
      <c r="I2271" s="1">
        <f t="shared" si="7"/>
        <v>296001.079</v>
      </c>
    </row>
    <row r="2272" hidden="1">
      <c r="A2272" s="266">
        <f>IFERROR(__xludf.DUMMYFUNCTION("""COMPUTED_VALUE"""),44910.99861111111)</f>
        <v>44910.99861</v>
      </c>
      <c r="B2272" s="1">
        <f>IFERROR(__xludf.DUMMYFUNCTION("""COMPUTED_VALUE"""),17356.58)</f>
        <v>17356.58</v>
      </c>
      <c r="C2272" s="58">
        <f t="shared" si="1"/>
        <v>5094.998611</v>
      </c>
      <c r="D2272" s="1">
        <f t="shared" si="2"/>
        <v>16463.23684</v>
      </c>
      <c r="E2272" s="1">
        <f t="shared" si="3"/>
        <v>29633.82631</v>
      </c>
      <c r="F2272" s="1">
        <f t="shared" si="4"/>
        <v>55975.00526</v>
      </c>
      <c r="G2272" s="1">
        <f t="shared" si="5"/>
        <v>98779.42104</v>
      </c>
      <c r="H2272" s="1">
        <f t="shared" si="6"/>
        <v>181095.6052</v>
      </c>
      <c r="I2272" s="1">
        <f t="shared" si="7"/>
        <v>296338.2631</v>
      </c>
    </row>
    <row r="2273" hidden="1">
      <c r="A2273" s="266">
        <f>IFERROR(__xludf.DUMMYFUNCTION("""COMPUTED_VALUE"""),44911.99861111111)</f>
        <v>44911.99861</v>
      </c>
      <c r="B2273" s="1">
        <f>IFERROR(__xludf.DUMMYFUNCTION("""COMPUTED_VALUE"""),16630.27)</f>
        <v>16630.27</v>
      </c>
      <c r="C2273" s="58">
        <f t="shared" si="1"/>
        <v>5095.998611</v>
      </c>
      <c r="D2273" s="1">
        <f t="shared" si="2"/>
        <v>16481.98695</v>
      </c>
      <c r="E2273" s="1">
        <f t="shared" si="3"/>
        <v>29667.5765</v>
      </c>
      <c r="F2273" s="1">
        <f t="shared" si="4"/>
        <v>56038.75562</v>
      </c>
      <c r="G2273" s="1">
        <f t="shared" si="5"/>
        <v>98891.92168</v>
      </c>
      <c r="H2273" s="1">
        <f t="shared" si="6"/>
        <v>181301.8564</v>
      </c>
      <c r="I2273" s="1">
        <f t="shared" si="7"/>
        <v>296675.765</v>
      </c>
    </row>
    <row r="2274" hidden="1">
      <c r="A2274" s="266">
        <f>IFERROR(__xludf.DUMMYFUNCTION("""COMPUTED_VALUE"""),44912.99861111111)</f>
        <v>44912.99861</v>
      </c>
      <c r="B2274" s="1">
        <f>IFERROR(__xludf.DUMMYFUNCTION("""COMPUTED_VALUE"""),16778.62)</f>
        <v>16778.62</v>
      </c>
      <c r="C2274" s="58">
        <f t="shared" si="1"/>
        <v>5096.998611</v>
      </c>
      <c r="D2274" s="1">
        <f t="shared" si="2"/>
        <v>16500.75472</v>
      </c>
      <c r="E2274" s="1">
        <f t="shared" si="3"/>
        <v>29701.3585</v>
      </c>
      <c r="F2274" s="1">
        <f t="shared" si="4"/>
        <v>56102.56605</v>
      </c>
      <c r="G2274" s="1">
        <f t="shared" si="5"/>
        <v>99004.52833</v>
      </c>
      <c r="H2274" s="1">
        <f t="shared" si="6"/>
        <v>181508.3019</v>
      </c>
      <c r="I2274" s="1">
        <f t="shared" si="7"/>
        <v>297013.585</v>
      </c>
    </row>
    <row r="2275" hidden="1">
      <c r="A2275" s="266">
        <f>IFERROR(__xludf.DUMMYFUNCTION("""COMPUTED_VALUE"""),44913.99861111111)</f>
        <v>44913.99861</v>
      </c>
      <c r="B2275" s="1">
        <f>IFERROR(__xludf.DUMMYFUNCTION("""COMPUTED_VALUE"""),16742.15)</f>
        <v>16742.15</v>
      </c>
      <c r="C2275" s="58">
        <f t="shared" si="1"/>
        <v>5097.998611</v>
      </c>
      <c r="D2275" s="1">
        <f t="shared" si="2"/>
        <v>16519.54018</v>
      </c>
      <c r="E2275" s="1">
        <f t="shared" si="3"/>
        <v>29735.17232</v>
      </c>
      <c r="F2275" s="1">
        <f t="shared" si="4"/>
        <v>56166.43661</v>
      </c>
      <c r="G2275" s="1">
        <f t="shared" si="5"/>
        <v>99117.24107</v>
      </c>
      <c r="H2275" s="1">
        <f t="shared" si="6"/>
        <v>181714.942</v>
      </c>
      <c r="I2275" s="1">
        <f t="shared" si="7"/>
        <v>297351.7232</v>
      </c>
    </row>
    <row r="2276" hidden="1">
      <c r="A2276" s="266">
        <f>IFERROR(__xludf.DUMMYFUNCTION("""COMPUTED_VALUE"""),44914.99861111111)</f>
        <v>44914.99861</v>
      </c>
      <c r="B2276" s="1">
        <f>IFERROR(__xludf.DUMMYFUNCTION("""COMPUTED_VALUE"""),16440.61)</f>
        <v>16440.61</v>
      </c>
      <c r="C2276" s="58">
        <f t="shared" si="1"/>
        <v>5098.998611</v>
      </c>
      <c r="D2276" s="1">
        <f t="shared" si="2"/>
        <v>16538.34333</v>
      </c>
      <c r="E2276" s="1">
        <f t="shared" si="3"/>
        <v>29769.018</v>
      </c>
      <c r="F2276" s="1">
        <f t="shared" si="4"/>
        <v>56230.36733</v>
      </c>
      <c r="G2276" s="1">
        <f t="shared" si="5"/>
        <v>99230.06</v>
      </c>
      <c r="H2276" s="1">
        <f t="shared" si="6"/>
        <v>181921.7767</v>
      </c>
      <c r="I2276" s="1">
        <f t="shared" si="7"/>
        <v>297690.18</v>
      </c>
    </row>
    <row r="2277" hidden="1">
      <c r="A2277" s="266">
        <f>IFERROR(__xludf.DUMMYFUNCTION("""COMPUTED_VALUE"""),44915.99861111111)</f>
        <v>44915.99861</v>
      </c>
      <c r="B2277" s="1">
        <f>IFERROR(__xludf.DUMMYFUNCTION("""COMPUTED_VALUE"""),16900.58)</f>
        <v>16900.58</v>
      </c>
      <c r="C2277" s="58">
        <f t="shared" si="1"/>
        <v>5099.998611</v>
      </c>
      <c r="D2277" s="1">
        <f t="shared" si="2"/>
        <v>16557.16419</v>
      </c>
      <c r="E2277" s="1">
        <f t="shared" si="3"/>
        <v>29802.89555</v>
      </c>
      <c r="F2277" s="1">
        <f t="shared" si="4"/>
        <v>56294.35826</v>
      </c>
      <c r="G2277" s="1">
        <f t="shared" si="5"/>
        <v>99342.98517</v>
      </c>
      <c r="H2277" s="1">
        <f t="shared" si="6"/>
        <v>182128.8061</v>
      </c>
      <c r="I2277" s="1">
        <f t="shared" si="7"/>
        <v>298028.9555</v>
      </c>
    </row>
    <row r="2278" hidden="1">
      <c r="A2278" s="266">
        <f>IFERROR(__xludf.DUMMYFUNCTION("""COMPUTED_VALUE"""),44916.99861111111)</f>
        <v>44916.99861</v>
      </c>
      <c r="B2278" s="1">
        <f>IFERROR(__xludf.DUMMYFUNCTION("""COMPUTED_VALUE"""),16825.72)</f>
        <v>16825.72</v>
      </c>
      <c r="C2278" s="58">
        <f t="shared" si="1"/>
        <v>5100.998611</v>
      </c>
      <c r="D2278" s="1">
        <f t="shared" si="2"/>
        <v>16576.00278</v>
      </c>
      <c r="E2278" s="1">
        <f t="shared" si="3"/>
        <v>29836.805</v>
      </c>
      <c r="F2278" s="1">
        <f t="shared" si="4"/>
        <v>56358.40945</v>
      </c>
      <c r="G2278" s="1">
        <f t="shared" si="5"/>
        <v>99456.01668</v>
      </c>
      <c r="H2278" s="1">
        <f t="shared" si="6"/>
        <v>182336.0306</v>
      </c>
      <c r="I2278" s="1">
        <f t="shared" si="7"/>
        <v>298368.05</v>
      </c>
    </row>
    <row r="2279" hidden="1">
      <c r="A2279" s="266">
        <f>IFERROR(__xludf.DUMMYFUNCTION("""COMPUTED_VALUE"""),44917.99861111111)</f>
        <v>44917.99861</v>
      </c>
      <c r="B2279" s="1">
        <f>IFERROR(__xludf.DUMMYFUNCTION("""COMPUTED_VALUE"""),16816.22)</f>
        <v>16816.22</v>
      </c>
      <c r="C2279" s="58">
        <f t="shared" si="1"/>
        <v>5101.998611</v>
      </c>
      <c r="D2279" s="1">
        <f t="shared" si="2"/>
        <v>16594.8591</v>
      </c>
      <c r="E2279" s="1">
        <f t="shared" si="3"/>
        <v>29870.74638</v>
      </c>
      <c r="F2279" s="1">
        <f t="shared" si="4"/>
        <v>56422.52094</v>
      </c>
      <c r="G2279" s="1">
        <f t="shared" si="5"/>
        <v>99569.1546</v>
      </c>
      <c r="H2279" s="1">
        <f t="shared" si="6"/>
        <v>182543.4501</v>
      </c>
      <c r="I2279" s="1">
        <f t="shared" si="7"/>
        <v>298707.4638</v>
      </c>
    </row>
    <row r="2280" hidden="1">
      <c r="A2280" s="266">
        <f>IFERROR(__xludf.DUMMYFUNCTION("""COMPUTED_VALUE"""),44918.99861111111)</f>
        <v>44918.99861</v>
      </c>
      <c r="B2280" s="1">
        <f>IFERROR(__xludf.DUMMYFUNCTION("""COMPUTED_VALUE"""),16780.65)</f>
        <v>16780.65</v>
      </c>
      <c r="C2280" s="58">
        <f t="shared" si="1"/>
        <v>5102.998611</v>
      </c>
      <c r="D2280" s="1">
        <f t="shared" si="2"/>
        <v>16613.73317</v>
      </c>
      <c r="E2280" s="1">
        <f t="shared" si="3"/>
        <v>29904.7197</v>
      </c>
      <c r="F2280" s="1">
        <f t="shared" si="4"/>
        <v>56486.69277</v>
      </c>
      <c r="G2280" s="1">
        <f t="shared" si="5"/>
        <v>99682.39901</v>
      </c>
      <c r="H2280" s="1">
        <f t="shared" si="6"/>
        <v>182751.0648</v>
      </c>
      <c r="I2280" s="1">
        <f t="shared" si="7"/>
        <v>299047.197</v>
      </c>
    </row>
    <row r="2281" hidden="1">
      <c r="A2281" s="266">
        <f>IFERROR(__xludf.DUMMYFUNCTION("""COMPUTED_VALUE"""),44919.99861111111)</f>
        <v>44919.99861</v>
      </c>
      <c r="B2281" s="1">
        <f>IFERROR(__xludf.DUMMYFUNCTION("""COMPUTED_VALUE"""),16835.31)</f>
        <v>16835.31</v>
      </c>
      <c r="C2281" s="58">
        <f t="shared" si="1"/>
        <v>5103.998611</v>
      </c>
      <c r="D2281" s="1">
        <f t="shared" si="2"/>
        <v>16632.625</v>
      </c>
      <c r="E2281" s="1">
        <f t="shared" si="3"/>
        <v>29938.725</v>
      </c>
      <c r="F2281" s="1">
        <f t="shared" si="4"/>
        <v>56550.92499</v>
      </c>
      <c r="G2281" s="1">
        <f t="shared" si="5"/>
        <v>99795.74999</v>
      </c>
      <c r="H2281" s="1">
        <f t="shared" si="6"/>
        <v>182958.875</v>
      </c>
      <c r="I2281" s="1">
        <f t="shared" si="7"/>
        <v>299387.25</v>
      </c>
    </row>
    <row r="2282" hidden="1">
      <c r="A2282" s="266">
        <f>IFERROR(__xludf.DUMMYFUNCTION("""COMPUTED_VALUE"""),44920.99861111111)</f>
        <v>44920.99861</v>
      </c>
      <c r="B2282" s="1">
        <f>IFERROR(__xludf.DUMMYFUNCTION("""COMPUTED_VALUE"""),16827.57)</f>
        <v>16827.57</v>
      </c>
      <c r="C2282" s="58">
        <f t="shared" si="1"/>
        <v>5104.998611</v>
      </c>
      <c r="D2282" s="1">
        <f t="shared" si="2"/>
        <v>16651.5346</v>
      </c>
      <c r="E2282" s="1">
        <f t="shared" si="3"/>
        <v>29972.76229</v>
      </c>
      <c r="F2282" s="1">
        <f t="shared" si="4"/>
        <v>56615.21765</v>
      </c>
      <c r="G2282" s="1">
        <f t="shared" si="5"/>
        <v>99909.20762</v>
      </c>
      <c r="H2282" s="1">
        <f t="shared" si="6"/>
        <v>183166.8806</v>
      </c>
      <c r="I2282" s="1">
        <f t="shared" si="7"/>
        <v>299727.6229</v>
      </c>
    </row>
    <row r="2283" hidden="1">
      <c r="A2283" s="266">
        <f>IFERROR(__xludf.DUMMYFUNCTION("""COMPUTED_VALUE"""),44921.99861111111)</f>
        <v>44921.99861</v>
      </c>
      <c r="B2283" s="1">
        <f>IFERROR(__xludf.DUMMYFUNCTION("""COMPUTED_VALUE"""),16915.04)</f>
        <v>16915.04</v>
      </c>
      <c r="C2283" s="58">
        <f t="shared" si="1"/>
        <v>5105.998611</v>
      </c>
      <c r="D2283" s="1">
        <f t="shared" si="2"/>
        <v>16670.462</v>
      </c>
      <c r="E2283" s="1">
        <f t="shared" si="3"/>
        <v>30006.83159</v>
      </c>
      <c r="F2283" s="1">
        <f t="shared" si="4"/>
        <v>56679.57079</v>
      </c>
      <c r="G2283" s="1">
        <f t="shared" si="5"/>
        <v>100022.772</v>
      </c>
      <c r="H2283" s="1">
        <f t="shared" si="6"/>
        <v>183375.082</v>
      </c>
      <c r="I2283" s="1">
        <f t="shared" si="7"/>
        <v>300068.3159</v>
      </c>
    </row>
    <row r="2284" hidden="1">
      <c r="A2284" s="266">
        <f>IFERROR(__xludf.DUMMYFUNCTION("""COMPUTED_VALUE"""),44922.99861111111)</f>
        <v>44922.99861</v>
      </c>
      <c r="B2284" s="1">
        <f>IFERROR(__xludf.DUMMYFUNCTION("""COMPUTED_VALUE"""),16701.23)</f>
        <v>16701.23</v>
      </c>
      <c r="C2284" s="58">
        <f t="shared" si="1"/>
        <v>5106.998611</v>
      </c>
      <c r="D2284" s="1">
        <f t="shared" si="2"/>
        <v>16689.40719</v>
      </c>
      <c r="E2284" s="1">
        <f t="shared" si="3"/>
        <v>30040.93294</v>
      </c>
      <c r="F2284" s="1">
        <f t="shared" si="4"/>
        <v>56743.98445</v>
      </c>
      <c r="G2284" s="1">
        <f t="shared" si="5"/>
        <v>100136.4431</v>
      </c>
      <c r="H2284" s="1">
        <f t="shared" si="6"/>
        <v>183583.4791</v>
      </c>
      <c r="I2284" s="1">
        <f t="shared" si="7"/>
        <v>300409.3294</v>
      </c>
    </row>
    <row r="2285" hidden="1">
      <c r="A2285" s="266">
        <f>IFERROR(__xludf.DUMMYFUNCTION("""COMPUTED_VALUE"""),44923.99861111111)</f>
        <v>44923.99861</v>
      </c>
      <c r="B2285" s="1">
        <f>IFERROR(__xludf.DUMMYFUNCTION("""COMPUTED_VALUE"""),16540.76)</f>
        <v>16540.76</v>
      </c>
      <c r="C2285" s="58">
        <f t="shared" si="1"/>
        <v>5107.998611</v>
      </c>
      <c r="D2285" s="1">
        <f t="shared" si="2"/>
        <v>16708.3702</v>
      </c>
      <c r="E2285" s="1">
        <f t="shared" si="3"/>
        <v>30075.06636</v>
      </c>
      <c r="F2285" s="1">
        <f t="shared" si="4"/>
        <v>56808.45868</v>
      </c>
      <c r="G2285" s="1">
        <f t="shared" si="5"/>
        <v>100250.2212</v>
      </c>
      <c r="H2285" s="1">
        <f t="shared" si="6"/>
        <v>183792.0722</v>
      </c>
      <c r="I2285" s="1">
        <f t="shared" si="7"/>
        <v>300750.6636</v>
      </c>
    </row>
    <row r="2286" hidden="1">
      <c r="A2286" s="266">
        <f>IFERROR(__xludf.DUMMYFUNCTION("""COMPUTED_VALUE"""),44924.99861111111)</f>
        <v>44924.99861</v>
      </c>
      <c r="B2286" s="1">
        <f>IFERROR(__xludf.DUMMYFUNCTION("""COMPUTED_VALUE"""),16632.69)</f>
        <v>16632.69</v>
      </c>
      <c r="C2286" s="58">
        <f t="shared" si="1"/>
        <v>5108.998611</v>
      </c>
      <c r="D2286" s="1">
        <f t="shared" si="2"/>
        <v>16727.35104</v>
      </c>
      <c r="E2286" s="1">
        <f t="shared" si="3"/>
        <v>30109.23187</v>
      </c>
      <c r="F2286" s="1">
        <f t="shared" si="4"/>
        <v>56872.99353</v>
      </c>
      <c r="G2286" s="1">
        <f t="shared" si="5"/>
        <v>100364.1062</v>
      </c>
      <c r="H2286" s="1">
        <f t="shared" si="6"/>
        <v>184000.8614</v>
      </c>
      <c r="I2286" s="1">
        <f t="shared" si="7"/>
        <v>301092.3187</v>
      </c>
    </row>
    <row r="2287" hidden="1">
      <c r="A2287" s="266">
        <f>IFERROR(__xludf.DUMMYFUNCTION("""COMPUTED_VALUE"""),44925.99861111111)</f>
        <v>44925.99861</v>
      </c>
      <c r="B2287" s="1">
        <f>IFERROR(__xludf.DUMMYFUNCTION("""COMPUTED_VALUE"""),16601.38)</f>
        <v>16601.38</v>
      </c>
      <c r="C2287" s="58">
        <f t="shared" si="1"/>
        <v>5109.998611</v>
      </c>
      <c r="D2287" s="1">
        <f t="shared" si="2"/>
        <v>16746.34972</v>
      </c>
      <c r="E2287" s="1">
        <f t="shared" si="3"/>
        <v>30143.42949</v>
      </c>
      <c r="F2287" s="1">
        <f t="shared" si="4"/>
        <v>56937.58904</v>
      </c>
      <c r="G2287" s="1">
        <f t="shared" si="5"/>
        <v>100478.0983</v>
      </c>
      <c r="H2287" s="1">
        <f t="shared" si="6"/>
        <v>184209.8469</v>
      </c>
      <c r="I2287" s="1">
        <f t="shared" si="7"/>
        <v>301434.2949</v>
      </c>
    </row>
    <row r="2288" hidden="1">
      <c r="A2288" s="266">
        <f>IFERROR(__xludf.DUMMYFUNCTION("""COMPUTED_VALUE"""),44926.99861111111)</f>
        <v>44926.99861</v>
      </c>
      <c r="B2288" s="1">
        <f>IFERROR(__xludf.DUMMYFUNCTION("""COMPUTED_VALUE"""),16529.2)</f>
        <v>16529.2</v>
      </c>
      <c r="C2288" s="58">
        <f t="shared" si="1"/>
        <v>5110.998611</v>
      </c>
      <c r="D2288" s="1">
        <f t="shared" si="2"/>
        <v>16765.36625</v>
      </c>
      <c r="E2288" s="1">
        <f t="shared" si="3"/>
        <v>30177.65925</v>
      </c>
      <c r="F2288" s="1">
        <f t="shared" si="4"/>
        <v>57002.24525</v>
      </c>
      <c r="G2288" s="1">
        <f t="shared" si="5"/>
        <v>100592.1975</v>
      </c>
      <c r="H2288" s="1">
        <f t="shared" si="6"/>
        <v>184419.0287</v>
      </c>
      <c r="I2288" s="1">
        <f t="shared" si="7"/>
        <v>301776.5925</v>
      </c>
    </row>
    <row r="2289" hidden="1">
      <c r="A2289" s="266">
        <f>IFERROR(__xludf.DUMMYFUNCTION("""COMPUTED_VALUE"""),44927.99861111111)</f>
        <v>44927.99861</v>
      </c>
      <c r="B2289" s="1">
        <f>IFERROR(__xludf.DUMMYFUNCTION("""COMPUTED_VALUE"""),16613.4)</f>
        <v>16613.4</v>
      </c>
      <c r="C2289" s="58">
        <f t="shared" si="1"/>
        <v>5111.998611</v>
      </c>
      <c r="D2289" s="1">
        <f t="shared" si="2"/>
        <v>16784.40065</v>
      </c>
      <c r="E2289" s="1">
        <f t="shared" si="3"/>
        <v>30211.92117</v>
      </c>
      <c r="F2289" s="1">
        <f t="shared" si="4"/>
        <v>57066.96221</v>
      </c>
      <c r="G2289" s="1">
        <f t="shared" si="5"/>
        <v>100706.4039</v>
      </c>
      <c r="H2289" s="1">
        <f t="shared" si="6"/>
        <v>184628.4072</v>
      </c>
      <c r="I2289" s="1">
        <f t="shared" si="7"/>
        <v>302119.2117</v>
      </c>
    </row>
    <row r="2290" hidden="1">
      <c r="A2290" s="266">
        <f>IFERROR(__xludf.DUMMYFUNCTION("""COMPUTED_VALUE"""),44928.99861111111)</f>
        <v>44928.99861</v>
      </c>
      <c r="B2290" s="1">
        <f>IFERROR(__xludf.DUMMYFUNCTION("""COMPUTED_VALUE"""),16670.31)</f>
        <v>16670.31</v>
      </c>
      <c r="C2290" s="58">
        <f t="shared" si="1"/>
        <v>5112.998611</v>
      </c>
      <c r="D2290" s="1">
        <f t="shared" si="2"/>
        <v>16803.45293</v>
      </c>
      <c r="E2290" s="1">
        <f t="shared" si="3"/>
        <v>30246.21528</v>
      </c>
      <c r="F2290" s="1">
        <f t="shared" si="4"/>
        <v>57131.73997</v>
      </c>
      <c r="G2290" s="1">
        <f t="shared" si="5"/>
        <v>100820.7176</v>
      </c>
      <c r="H2290" s="1">
        <f t="shared" si="6"/>
        <v>184837.9823</v>
      </c>
      <c r="I2290" s="1">
        <f t="shared" si="7"/>
        <v>302462.1528</v>
      </c>
    </row>
    <row r="2291" hidden="1">
      <c r="A2291" s="266">
        <f>IFERROR(__xludf.DUMMYFUNCTION("""COMPUTED_VALUE"""),44929.99861111111)</f>
        <v>44929.99861</v>
      </c>
      <c r="B2291" s="1">
        <f>IFERROR(__xludf.DUMMYFUNCTION("""COMPUTED_VALUE"""),16670.35)</f>
        <v>16670.35</v>
      </c>
      <c r="C2291" s="58">
        <f t="shared" si="1"/>
        <v>5113.998611</v>
      </c>
      <c r="D2291" s="1">
        <f t="shared" si="2"/>
        <v>16822.52311</v>
      </c>
      <c r="E2291" s="1">
        <f t="shared" si="3"/>
        <v>30280.5416</v>
      </c>
      <c r="F2291" s="1">
        <f t="shared" si="4"/>
        <v>57196.57857</v>
      </c>
      <c r="G2291" s="1">
        <f t="shared" si="5"/>
        <v>100935.1387</v>
      </c>
      <c r="H2291" s="1">
        <f t="shared" si="6"/>
        <v>185047.7542</v>
      </c>
      <c r="I2291" s="1">
        <f t="shared" si="7"/>
        <v>302805.416</v>
      </c>
    </row>
    <row r="2292" hidden="1">
      <c r="A2292" s="266">
        <f>IFERROR(__xludf.DUMMYFUNCTION("""COMPUTED_VALUE"""),44930.99861111111)</f>
        <v>44930.99861</v>
      </c>
      <c r="B2292" s="1">
        <f>IFERROR(__xludf.DUMMYFUNCTION("""COMPUTED_VALUE"""),16847.59)</f>
        <v>16847.59</v>
      </c>
      <c r="C2292" s="58">
        <f t="shared" si="1"/>
        <v>5114.998611</v>
      </c>
      <c r="D2292" s="1">
        <f t="shared" si="2"/>
        <v>16841.61119</v>
      </c>
      <c r="E2292" s="1">
        <f t="shared" si="3"/>
        <v>30314.90015</v>
      </c>
      <c r="F2292" s="1">
        <f t="shared" si="4"/>
        <v>57261.47806</v>
      </c>
      <c r="G2292" s="1">
        <f t="shared" si="5"/>
        <v>101049.6672</v>
      </c>
      <c r="H2292" s="1">
        <f t="shared" si="6"/>
        <v>185257.7231</v>
      </c>
      <c r="I2292" s="1">
        <f t="shared" si="7"/>
        <v>303149.0015</v>
      </c>
    </row>
    <row r="2293" hidden="1">
      <c r="A2293" s="266">
        <f>IFERROR(__xludf.DUMMYFUNCTION("""COMPUTED_VALUE"""),44931.99861111111)</f>
        <v>44931.99861</v>
      </c>
      <c r="B2293" s="1">
        <f>IFERROR(__xludf.DUMMYFUNCTION("""COMPUTED_VALUE"""),16825.97)</f>
        <v>16825.97</v>
      </c>
      <c r="C2293" s="58">
        <f t="shared" si="1"/>
        <v>5115.998611</v>
      </c>
      <c r="D2293" s="1">
        <f t="shared" si="2"/>
        <v>16860.7172</v>
      </c>
      <c r="E2293" s="1">
        <f t="shared" si="3"/>
        <v>30349.29096</v>
      </c>
      <c r="F2293" s="1">
        <f t="shared" si="4"/>
        <v>57326.43847</v>
      </c>
      <c r="G2293" s="1">
        <f t="shared" si="5"/>
        <v>101164.3032</v>
      </c>
      <c r="H2293" s="1">
        <f t="shared" si="6"/>
        <v>185467.8892</v>
      </c>
      <c r="I2293" s="1">
        <f t="shared" si="7"/>
        <v>303492.9096</v>
      </c>
    </row>
    <row r="2294" hidden="1">
      <c r="A2294" s="266">
        <f>IFERROR(__xludf.DUMMYFUNCTION("""COMPUTED_VALUE"""),44932.99861111111)</f>
        <v>44932.99861</v>
      </c>
      <c r="B2294" s="1">
        <f>IFERROR(__xludf.DUMMYFUNCTION("""COMPUTED_VALUE"""),16949.97)</f>
        <v>16949.97</v>
      </c>
      <c r="C2294" s="58">
        <f t="shared" si="1"/>
        <v>5116.998611</v>
      </c>
      <c r="D2294" s="1">
        <f t="shared" si="2"/>
        <v>16879.84114</v>
      </c>
      <c r="E2294" s="1">
        <f t="shared" si="3"/>
        <v>30383.71405</v>
      </c>
      <c r="F2294" s="1">
        <f t="shared" si="4"/>
        <v>57391.45987</v>
      </c>
      <c r="G2294" s="1">
        <f t="shared" si="5"/>
        <v>101279.0468</v>
      </c>
      <c r="H2294" s="1">
        <f t="shared" si="6"/>
        <v>185678.2525</v>
      </c>
      <c r="I2294" s="1">
        <f t="shared" si="7"/>
        <v>303837.1405</v>
      </c>
    </row>
    <row r="2295" hidden="1">
      <c r="A2295" s="266">
        <f>IFERROR(__xludf.DUMMYFUNCTION("""COMPUTED_VALUE"""),44933.99861111111)</f>
        <v>44933.99861</v>
      </c>
      <c r="B2295" s="1">
        <f>IFERROR(__xludf.DUMMYFUNCTION("""COMPUTED_VALUE"""),16942.31)</f>
        <v>16942.31</v>
      </c>
      <c r="C2295" s="58">
        <f t="shared" si="1"/>
        <v>5117.998611</v>
      </c>
      <c r="D2295" s="1">
        <f t="shared" si="2"/>
        <v>16898.98302</v>
      </c>
      <c r="E2295" s="1">
        <f t="shared" si="3"/>
        <v>30418.16944</v>
      </c>
      <c r="F2295" s="1">
        <f t="shared" si="4"/>
        <v>57456.54228</v>
      </c>
      <c r="G2295" s="1">
        <f t="shared" si="5"/>
        <v>101393.8981</v>
      </c>
      <c r="H2295" s="1">
        <f t="shared" si="6"/>
        <v>185888.8133</v>
      </c>
      <c r="I2295" s="1">
        <f t="shared" si="7"/>
        <v>304181.6944</v>
      </c>
    </row>
    <row r="2296" hidden="1">
      <c r="A2296" s="266">
        <f>IFERROR(__xludf.DUMMYFUNCTION("""COMPUTED_VALUE"""),44934.99861111111)</f>
        <v>44934.99861</v>
      </c>
      <c r="B2296" s="1">
        <f>IFERROR(__xludf.DUMMYFUNCTION("""COMPUTED_VALUE"""),17115.5)</f>
        <v>17115.5</v>
      </c>
      <c r="C2296" s="58">
        <f t="shared" si="1"/>
        <v>5118.998611</v>
      </c>
      <c r="D2296" s="1">
        <f t="shared" si="2"/>
        <v>16918.14287</v>
      </c>
      <c r="E2296" s="1">
        <f t="shared" si="3"/>
        <v>30452.65717</v>
      </c>
      <c r="F2296" s="1">
        <f t="shared" si="4"/>
        <v>57521.68576</v>
      </c>
      <c r="G2296" s="1">
        <f t="shared" si="5"/>
        <v>101508.8572</v>
      </c>
      <c r="H2296" s="1">
        <f t="shared" si="6"/>
        <v>186099.5716</v>
      </c>
      <c r="I2296" s="1">
        <f t="shared" si="7"/>
        <v>304526.5717</v>
      </c>
    </row>
    <row r="2297" hidden="1">
      <c r="A2297" s="266">
        <f>IFERROR(__xludf.DUMMYFUNCTION("""COMPUTED_VALUE"""),44935.99861111111)</f>
        <v>44935.99861</v>
      </c>
      <c r="B2297" s="1">
        <f>IFERROR(__xludf.DUMMYFUNCTION("""COMPUTED_VALUE"""),17184.72)</f>
        <v>17184.72</v>
      </c>
      <c r="C2297" s="58">
        <f t="shared" si="1"/>
        <v>5119.998611</v>
      </c>
      <c r="D2297" s="1">
        <f t="shared" si="2"/>
        <v>16937.32069</v>
      </c>
      <c r="E2297" s="1">
        <f t="shared" si="3"/>
        <v>30487.17725</v>
      </c>
      <c r="F2297" s="1">
        <f t="shared" si="4"/>
        <v>57586.89036</v>
      </c>
      <c r="G2297" s="1">
        <f t="shared" si="5"/>
        <v>101623.9242</v>
      </c>
      <c r="H2297" s="1">
        <f t="shared" si="6"/>
        <v>186310.5276</v>
      </c>
      <c r="I2297" s="1">
        <f t="shared" si="7"/>
        <v>304871.7725</v>
      </c>
    </row>
    <row r="2298" hidden="1">
      <c r="A2298" s="266">
        <f>IFERROR(__xludf.DUMMYFUNCTION("""COMPUTED_VALUE"""),44936.99861111111)</f>
        <v>44936.99861</v>
      </c>
      <c r="B2298" s="1">
        <f>IFERROR(__xludf.DUMMYFUNCTION("""COMPUTED_VALUE"""),17441.84)</f>
        <v>17441.84</v>
      </c>
      <c r="C2298" s="58">
        <f t="shared" si="1"/>
        <v>5120.998611</v>
      </c>
      <c r="D2298" s="1">
        <f t="shared" si="2"/>
        <v>16956.5165</v>
      </c>
      <c r="E2298" s="1">
        <f t="shared" si="3"/>
        <v>30521.72971</v>
      </c>
      <c r="F2298" s="1">
        <f t="shared" si="4"/>
        <v>57652.15611</v>
      </c>
      <c r="G2298" s="1">
        <f t="shared" si="5"/>
        <v>101739.099</v>
      </c>
      <c r="H2298" s="1">
        <f t="shared" si="6"/>
        <v>186521.6815</v>
      </c>
      <c r="I2298" s="1">
        <f t="shared" si="7"/>
        <v>305217.2971</v>
      </c>
    </row>
    <row r="2299" hidden="1">
      <c r="A2299" s="266">
        <f>IFERROR(__xludf.DUMMYFUNCTION("""COMPUTED_VALUE"""),44937.99861111111)</f>
        <v>44937.99861</v>
      </c>
      <c r="B2299" s="1">
        <f>IFERROR(__xludf.DUMMYFUNCTION("""COMPUTED_VALUE"""),17933.75)</f>
        <v>17933.75</v>
      </c>
      <c r="C2299" s="58">
        <f t="shared" si="1"/>
        <v>5121.998611</v>
      </c>
      <c r="D2299" s="1">
        <f t="shared" si="2"/>
        <v>16975.73031</v>
      </c>
      <c r="E2299" s="1">
        <f t="shared" si="3"/>
        <v>30556.31457</v>
      </c>
      <c r="F2299" s="1">
        <f t="shared" si="4"/>
        <v>57717.48307</v>
      </c>
      <c r="G2299" s="1">
        <f t="shared" si="5"/>
        <v>101854.3819</v>
      </c>
      <c r="H2299" s="1">
        <f t="shared" si="6"/>
        <v>186733.0335</v>
      </c>
      <c r="I2299" s="1">
        <f t="shared" si="7"/>
        <v>305563.1457</v>
      </c>
    </row>
    <row r="2300" hidden="1">
      <c r="A2300" s="266">
        <f>IFERROR(__xludf.DUMMYFUNCTION("""COMPUTED_VALUE"""),44938.99861111111)</f>
        <v>44938.99861</v>
      </c>
      <c r="B2300" s="1">
        <f>IFERROR(__xludf.DUMMYFUNCTION("""COMPUTED_VALUE"""),18849.24)</f>
        <v>18849.24</v>
      </c>
      <c r="C2300" s="58">
        <f t="shared" si="1"/>
        <v>5122.998611</v>
      </c>
      <c r="D2300" s="1">
        <f t="shared" si="2"/>
        <v>16994.96214</v>
      </c>
      <c r="E2300" s="1">
        <f t="shared" si="3"/>
        <v>30590.93185</v>
      </c>
      <c r="F2300" s="1">
        <f t="shared" si="4"/>
        <v>57782.87128</v>
      </c>
      <c r="G2300" s="1">
        <f t="shared" si="5"/>
        <v>101969.7728</v>
      </c>
      <c r="H2300" s="1">
        <f t="shared" si="6"/>
        <v>186944.5835</v>
      </c>
      <c r="I2300" s="1">
        <f t="shared" si="7"/>
        <v>305909.3185</v>
      </c>
    </row>
    <row r="2301" hidden="1">
      <c r="A2301" s="266">
        <f>IFERROR(__xludf.DUMMYFUNCTION("""COMPUTED_VALUE"""),44939.99861111111)</f>
        <v>44939.99861</v>
      </c>
      <c r="B2301" s="1">
        <f>IFERROR(__xludf.DUMMYFUNCTION("""COMPUTED_VALUE"""),19932.03)</f>
        <v>19932.03</v>
      </c>
      <c r="C2301" s="58">
        <f t="shared" si="1"/>
        <v>5123.998611</v>
      </c>
      <c r="D2301" s="1">
        <f t="shared" si="2"/>
        <v>17014.21199</v>
      </c>
      <c r="E2301" s="1">
        <f t="shared" si="3"/>
        <v>30625.58159</v>
      </c>
      <c r="F2301" s="1">
        <f t="shared" si="4"/>
        <v>57848.32078</v>
      </c>
      <c r="G2301" s="1">
        <f t="shared" si="5"/>
        <v>102085.272</v>
      </c>
      <c r="H2301" s="1">
        <f t="shared" si="6"/>
        <v>187156.3319</v>
      </c>
      <c r="I2301" s="1">
        <f t="shared" si="7"/>
        <v>306255.8159</v>
      </c>
    </row>
    <row r="2302" hidden="1">
      <c r="A2302" s="266">
        <f>IFERROR(__xludf.DUMMYFUNCTION("""COMPUTED_VALUE"""),44940.99861111111)</f>
        <v>44940.99861</v>
      </c>
      <c r="B2302" s="1">
        <f>IFERROR(__xludf.DUMMYFUNCTION("""COMPUTED_VALUE"""),20959.2)</f>
        <v>20959.2</v>
      </c>
      <c r="C2302" s="58">
        <f t="shared" si="1"/>
        <v>5124.998611</v>
      </c>
      <c r="D2302" s="1">
        <f t="shared" si="2"/>
        <v>17033.47989</v>
      </c>
      <c r="E2302" s="1">
        <f t="shared" si="3"/>
        <v>30660.2638</v>
      </c>
      <c r="F2302" s="1">
        <f t="shared" si="4"/>
        <v>57913.83162</v>
      </c>
      <c r="G2302" s="1">
        <f t="shared" si="5"/>
        <v>102200.8793</v>
      </c>
      <c r="H2302" s="1">
        <f t="shared" si="6"/>
        <v>187368.2788</v>
      </c>
      <c r="I2302" s="1">
        <f t="shared" si="7"/>
        <v>306602.638</v>
      </c>
    </row>
    <row r="2303" hidden="1">
      <c r="A2303" s="266">
        <f>IFERROR(__xludf.DUMMYFUNCTION("""COMPUTED_VALUE"""),44941.99861111111)</f>
        <v>44941.99861</v>
      </c>
      <c r="B2303" s="1">
        <f>IFERROR(__xludf.DUMMYFUNCTION("""COMPUTED_VALUE"""),20874.57)</f>
        <v>20874.57</v>
      </c>
      <c r="C2303" s="58">
        <f t="shared" si="1"/>
        <v>5125.998611</v>
      </c>
      <c r="D2303" s="1">
        <f t="shared" si="2"/>
        <v>17052.76584</v>
      </c>
      <c r="E2303" s="1">
        <f t="shared" si="3"/>
        <v>30694.9785</v>
      </c>
      <c r="F2303" s="1">
        <f t="shared" si="4"/>
        <v>57979.40384</v>
      </c>
      <c r="G2303" s="1">
        <f t="shared" si="5"/>
        <v>102316.595</v>
      </c>
      <c r="H2303" s="1">
        <f t="shared" si="6"/>
        <v>187580.4242</v>
      </c>
      <c r="I2303" s="1">
        <f t="shared" si="7"/>
        <v>306949.785</v>
      </c>
    </row>
    <row r="2304" hidden="1">
      <c r="A2304" s="266">
        <f>IFERROR(__xludf.DUMMYFUNCTION("""COMPUTED_VALUE"""),44942.99861111111)</f>
        <v>44942.99861</v>
      </c>
      <c r="B2304" s="1">
        <f>IFERROR(__xludf.DUMMYFUNCTION("""COMPUTED_VALUE"""),21185.93)</f>
        <v>21185.93</v>
      </c>
      <c r="C2304" s="58">
        <f t="shared" si="1"/>
        <v>5126.998611</v>
      </c>
      <c r="D2304" s="1">
        <f t="shared" si="2"/>
        <v>17072.06985</v>
      </c>
      <c r="E2304" s="1">
        <f t="shared" si="3"/>
        <v>30729.72573</v>
      </c>
      <c r="F2304" s="1">
        <f t="shared" si="4"/>
        <v>58045.0375</v>
      </c>
      <c r="G2304" s="1">
        <f t="shared" si="5"/>
        <v>102432.4191</v>
      </c>
      <c r="H2304" s="1">
        <f t="shared" si="6"/>
        <v>187792.7684</v>
      </c>
      <c r="I2304" s="1">
        <f t="shared" si="7"/>
        <v>307297.2573</v>
      </c>
    </row>
    <row r="2305" hidden="1">
      <c r="A2305" s="266">
        <f>IFERROR(__xludf.DUMMYFUNCTION("""COMPUTED_VALUE"""),44943.99861111111)</f>
        <v>44943.99861</v>
      </c>
      <c r="B2305" s="1">
        <f>IFERROR(__xludf.DUMMYFUNCTION("""COMPUTED_VALUE"""),21131.81)</f>
        <v>21131.81</v>
      </c>
      <c r="C2305" s="58">
        <f t="shared" si="1"/>
        <v>5127.998611</v>
      </c>
      <c r="D2305" s="1">
        <f t="shared" si="2"/>
        <v>17091.39195</v>
      </c>
      <c r="E2305" s="1">
        <f t="shared" si="3"/>
        <v>30764.50551</v>
      </c>
      <c r="F2305" s="1">
        <f t="shared" si="4"/>
        <v>58110.73263</v>
      </c>
      <c r="G2305" s="1">
        <f t="shared" si="5"/>
        <v>102548.3517</v>
      </c>
      <c r="H2305" s="1">
        <f t="shared" si="6"/>
        <v>188005.3114</v>
      </c>
      <c r="I2305" s="1">
        <f t="shared" si="7"/>
        <v>307645.0551</v>
      </c>
    </row>
    <row r="2306" hidden="1">
      <c r="A2306" s="266">
        <f>IFERROR(__xludf.DUMMYFUNCTION("""COMPUTED_VALUE"""),44944.99861111111)</f>
        <v>44944.99861</v>
      </c>
      <c r="B2306" s="1">
        <f>IFERROR(__xludf.DUMMYFUNCTION("""COMPUTED_VALUE"""),20676.36)</f>
        <v>20676.36</v>
      </c>
      <c r="C2306" s="58">
        <f t="shared" si="1"/>
        <v>5128.998611</v>
      </c>
      <c r="D2306" s="1">
        <f t="shared" si="2"/>
        <v>17110.73214</v>
      </c>
      <c r="E2306" s="1">
        <f t="shared" si="3"/>
        <v>30799.31786</v>
      </c>
      <c r="F2306" s="1">
        <f t="shared" si="4"/>
        <v>58176.48928</v>
      </c>
      <c r="G2306" s="1">
        <f t="shared" si="5"/>
        <v>102664.3929</v>
      </c>
      <c r="H2306" s="1">
        <f t="shared" si="6"/>
        <v>188218.0536</v>
      </c>
      <c r="I2306" s="1">
        <f t="shared" si="7"/>
        <v>307993.1786</v>
      </c>
    </row>
    <row r="2307" hidden="1">
      <c r="A2307" s="266">
        <f>IFERROR(__xludf.DUMMYFUNCTION("""COMPUTED_VALUE"""),44945.99861111111)</f>
        <v>44945.99861</v>
      </c>
      <c r="B2307" s="1">
        <f>IFERROR(__xludf.DUMMYFUNCTION("""COMPUTED_VALUE"""),21082.08)</f>
        <v>21082.08</v>
      </c>
      <c r="C2307" s="58">
        <f t="shared" si="1"/>
        <v>5129.998611</v>
      </c>
      <c r="D2307" s="1">
        <f t="shared" si="2"/>
        <v>17130.09044</v>
      </c>
      <c r="E2307" s="1">
        <f t="shared" si="3"/>
        <v>30834.1628</v>
      </c>
      <c r="F2307" s="1">
        <f t="shared" si="4"/>
        <v>58242.3075</v>
      </c>
      <c r="G2307" s="1">
        <f t="shared" si="5"/>
        <v>102780.5427</v>
      </c>
      <c r="H2307" s="1">
        <f t="shared" si="6"/>
        <v>188430.9949</v>
      </c>
      <c r="I2307" s="1">
        <f t="shared" si="7"/>
        <v>308341.628</v>
      </c>
    </row>
    <row r="2308" hidden="1">
      <c r="A2308" s="266">
        <f>IFERROR(__xludf.DUMMYFUNCTION("""COMPUTED_VALUE"""),44946.99861111111)</f>
        <v>44946.99861</v>
      </c>
      <c r="B2308" s="1">
        <f>IFERROR(__xludf.DUMMYFUNCTION("""COMPUTED_VALUE"""),22690.95)</f>
        <v>22690.95</v>
      </c>
      <c r="C2308" s="58">
        <f t="shared" si="1"/>
        <v>5130.998611</v>
      </c>
      <c r="D2308" s="1">
        <f t="shared" si="2"/>
        <v>17149.46686</v>
      </c>
      <c r="E2308" s="1">
        <f t="shared" si="3"/>
        <v>30869.04036</v>
      </c>
      <c r="F2308" s="1">
        <f t="shared" si="4"/>
        <v>58308.18734</v>
      </c>
      <c r="G2308" s="1">
        <f t="shared" si="5"/>
        <v>102896.8012</v>
      </c>
      <c r="H2308" s="1">
        <f t="shared" si="6"/>
        <v>188644.1355</v>
      </c>
      <c r="I2308" s="1">
        <f t="shared" si="7"/>
        <v>308690.4036</v>
      </c>
    </row>
    <row r="2309" hidden="1">
      <c r="A2309" s="266">
        <f>IFERROR(__xludf.DUMMYFUNCTION("""COMPUTED_VALUE"""),44947.99861111111)</f>
        <v>44947.99861</v>
      </c>
      <c r="B2309" s="1">
        <f>IFERROR(__xludf.DUMMYFUNCTION("""COMPUTED_VALUE"""),22776.37)</f>
        <v>22776.37</v>
      </c>
      <c r="C2309" s="58">
        <f t="shared" si="1"/>
        <v>5131.998611</v>
      </c>
      <c r="D2309" s="1">
        <f t="shared" si="2"/>
        <v>17168.86142</v>
      </c>
      <c r="E2309" s="1">
        <f t="shared" si="3"/>
        <v>30903.95056</v>
      </c>
      <c r="F2309" s="1">
        <f t="shared" si="4"/>
        <v>58374.12883</v>
      </c>
      <c r="G2309" s="1">
        <f t="shared" si="5"/>
        <v>103013.1685</v>
      </c>
      <c r="H2309" s="1">
        <f t="shared" si="6"/>
        <v>188857.4756</v>
      </c>
      <c r="I2309" s="1">
        <f t="shared" si="7"/>
        <v>309039.5056</v>
      </c>
    </row>
    <row r="2310" hidden="1">
      <c r="A2310" s="266">
        <f>IFERROR(__xludf.DUMMYFUNCTION("""COMPUTED_VALUE"""),44948.99861111111)</f>
        <v>44948.99861</v>
      </c>
      <c r="B2310" s="1">
        <f>IFERROR(__xludf.DUMMYFUNCTION("""COMPUTED_VALUE"""),22717.66)</f>
        <v>22717.66</v>
      </c>
      <c r="C2310" s="58">
        <f t="shared" si="1"/>
        <v>5132.998611</v>
      </c>
      <c r="D2310" s="1">
        <f t="shared" si="2"/>
        <v>17188.27413</v>
      </c>
      <c r="E2310" s="1">
        <f t="shared" si="3"/>
        <v>30938.89343</v>
      </c>
      <c r="F2310" s="1">
        <f t="shared" si="4"/>
        <v>58440.13203</v>
      </c>
      <c r="G2310" s="1">
        <f t="shared" si="5"/>
        <v>103129.6448</v>
      </c>
      <c r="H2310" s="1">
        <f t="shared" si="6"/>
        <v>189071.0154</v>
      </c>
      <c r="I2310" s="1">
        <f t="shared" si="7"/>
        <v>309388.9343</v>
      </c>
    </row>
    <row r="2311" hidden="1">
      <c r="A2311" s="266">
        <f>IFERROR(__xludf.DUMMYFUNCTION("""COMPUTED_VALUE"""),44949.99861111111)</f>
        <v>44949.99861</v>
      </c>
      <c r="B2311" s="1">
        <f>IFERROR(__xludf.DUMMYFUNCTION("""COMPUTED_VALUE"""),22915.43)</f>
        <v>22915.43</v>
      </c>
      <c r="C2311" s="58">
        <f t="shared" si="1"/>
        <v>5133.998611</v>
      </c>
      <c r="D2311" s="1">
        <f t="shared" si="2"/>
        <v>17207.70499</v>
      </c>
      <c r="E2311" s="1">
        <f t="shared" si="3"/>
        <v>30973.86899</v>
      </c>
      <c r="F2311" s="1">
        <f t="shared" si="4"/>
        <v>58506.19698</v>
      </c>
      <c r="G2311" s="1">
        <f t="shared" si="5"/>
        <v>103246.23</v>
      </c>
      <c r="H2311" s="1">
        <f t="shared" si="6"/>
        <v>189284.7549</v>
      </c>
      <c r="I2311" s="1">
        <f t="shared" si="7"/>
        <v>309738.6899</v>
      </c>
    </row>
    <row r="2312" hidden="1">
      <c r="A2312" s="266">
        <f>IFERROR(__xludf.DUMMYFUNCTION("""COMPUTED_VALUE"""),44950.99861111111)</f>
        <v>44950.99861</v>
      </c>
      <c r="B2312" s="1">
        <f>IFERROR(__xludf.DUMMYFUNCTION("""COMPUTED_VALUE"""),22632.03)</f>
        <v>22632.03</v>
      </c>
      <c r="C2312" s="58">
        <f t="shared" si="1"/>
        <v>5134.998611</v>
      </c>
      <c r="D2312" s="1">
        <f t="shared" si="2"/>
        <v>17227.15404</v>
      </c>
      <c r="E2312" s="1">
        <f t="shared" si="3"/>
        <v>31008.87726</v>
      </c>
      <c r="F2312" s="1">
        <f t="shared" si="4"/>
        <v>58572.32372</v>
      </c>
      <c r="G2312" s="1">
        <f t="shared" si="5"/>
        <v>103362.9242</v>
      </c>
      <c r="H2312" s="1">
        <f t="shared" si="6"/>
        <v>189498.6944</v>
      </c>
      <c r="I2312" s="1">
        <f t="shared" si="7"/>
        <v>310088.7726</v>
      </c>
    </row>
    <row r="2313" hidden="1">
      <c r="A2313" s="266">
        <f>IFERROR(__xludf.DUMMYFUNCTION("""COMPUTED_VALUE"""),44951.99861111111)</f>
        <v>44951.99861</v>
      </c>
      <c r="B2313" s="1">
        <f>IFERROR(__xludf.DUMMYFUNCTION("""COMPUTED_VALUE"""),23042.07)</f>
        <v>23042.07</v>
      </c>
      <c r="C2313" s="58">
        <f t="shared" si="1"/>
        <v>5135.998611</v>
      </c>
      <c r="D2313" s="1">
        <f t="shared" si="2"/>
        <v>17246.62127</v>
      </c>
      <c r="E2313" s="1">
        <f t="shared" si="3"/>
        <v>31043.91828</v>
      </c>
      <c r="F2313" s="1">
        <f t="shared" si="4"/>
        <v>58638.51231</v>
      </c>
      <c r="G2313" s="1">
        <f t="shared" si="5"/>
        <v>103479.7276</v>
      </c>
      <c r="H2313" s="1">
        <f t="shared" si="6"/>
        <v>189712.8339</v>
      </c>
      <c r="I2313" s="1">
        <f t="shared" si="7"/>
        <v>310439.1828</v>
      </c>
    </row>
    <row r="2314" hidden="1">
      <c r="A2314" s="266">
        <f>IFERROR(__xludf.DUMMYFUNCTION("""COMPUTED_VALUE"""),44952.99861111111)</f>
        <v>44952.99861</v>
      </c>
      <c r="B2314" s="1">
        <f>IFERROR(__xludf.DUMMYFUNCTION("""COMPUTED_VALUE"""),23011.24)</f>
        <v>23011.24</v>
      </c>
      <c r="C2314" s="58">
        <f t="shared" si="1"/>
        <v>5136.998611</v>
      </c>
      <c r="D2314" s="1">
        <f t="shared" si="2"/>
        <v>17266.1067</v>
      </c>
      <c r="E2314" s="1">
        <f t="shared" si="3"/>
        <v>31078.99206</v>
      </c>
      <c r="F2314" s="1">
        <f t="shared" si="4"/>
        <v>58704.76278</v>
      </c>
      <c r="G2314" s="1">
        <f t="shared" si="5"/>
        <v>103596.6402</v>
      </c>
      <c r="H2314" s="1">
        <f t="shared" si="6"/>
        <v>189927.1737</v>
      </c>
      <c r="I2314" s="1">
        <f t="shared" si="7"/>
        <v>310789.9206</v>
      </c>
    </row>
    <row r="2315" hidden="1">
      <c r="A2315" s="266">
        <f>IFERROR(__xludf.DUMMYFUNCTION("""COMPUTED_VALUE"""),44953.99861111111)</f>
        <v>44953.99861</v>
      </c>
      <c r="B2315" s="1">
        <f>IFERROR(__xludf.DUMMYFUNCTION("""COMPUTED_VALUE"""),23076.87)</f>
        <v>23076.87</v>
      </c>
      <c r="C2315" s="58">
        <f t="shared" si="1"/>
        <v>5137.998611</v>
      </c>
      <c r="D2315" s="1">
        <f t="shared" si="2"/>
        <v>17285.61035</v>
      </c>
      <c r="E2315" s="1">
        <f t="shared" si="3"/>
        <v>31114.09863</v>
      </c>
      <c r="F2315" s="1">
        <f t="shared" si="4"/>
        <v>58771.07519</v>
      </c>
      <c r="G2315" s="1">
        <f t="shared" si="5"/>
        <v>103713.6621</v>
      </c>
      <c r="H2315" s="1">
        <f t="shared" si="6"/>
        <v>190141.7138</v>
      </c>
      <c r="I2315" s="1">
        <f t="shared" si="7"/>
        <v>311140.9863</v>
      </c>
    </row>
    <row r="2316" hidden="1">
      <c r="A2316" s="266">
        <f>IFERROR(__xludf.DUMMYFUNCTION("""COMPUTED_VALUE"""),44954.99861111111)</f>
        <v>44954.99861</v>
      </c>
      <c r="B2316" s="1">
        <f>IFERROR(__xludf.DUMMYFUNCTION("""COMPUTED_VALUE"""),23027.19)</f>
        <v>23027.19</v>
      </c>
      <c r="C2316" s="58">
        <f t="shared" si="1"/>
        <v>5138.998611</v>
      </c>
      <c r="D2316" s="1">
        <f t="shared" si="2"/>
        <v>17305.13223</v>
      </c>
      <c r="E2316" s="1">
        <f t="shared" si="3"/>
        <v>31149.23801</v>
      </c>
      <c r="F2316" s="1">
        <f t="shared" si="4"/>
        <v>58837.44957</v>
      </c>
      <c r="G2316" s="1">
        <f t="shared" si="5"/>
        <v>103830.7934</v>
      </c>
      <c r="H2316" s="1">
        <f t="shared" si="6"/>
        <v>190356.4545</v>
      </c>
      <c r="I2316" s="1">
        <f t="shared" si="7"/>
        <v>311492.3801</v>
      </c>
    </row>
    <row r="2317" hidden="1">
      <c r="A2317" s="266">
        <f>IFERROR(__xludf.DUMMYFUNCTION("""COMPUTED_VALUE"""),44955.99861111111)</f>
        <v>44955.99861</v>
      </c>
      <c r="B2317" s="1">
        <f>IFERROR(__xludf.DUMMYFUNCTION("""COMPUTED_VALUE"""),23746.97)</f>
        <v>23746.97</v>
      </c>
      <c r="C2317" s="58">
        <f t="shared" si="1"/>
        <v>5139.998611</v>
      </c>
      <c r="D2317" s="1">
        <f t="shared" si="2"/>
        <v>17324.67235</v>
      </c>
      <c r="E2317" s="1">
        <f t="shared" si="3"/>
        <v>31184.41023</v>
      </c>
      <c r="F2317" s="1">
        <f t="shared" si="4"/>
        <v>58903.88598</v>
      </c>
      <c r="G2317" s="1">
        <f t="shared" si="5"/>
        <v>103948.0341</v>
      </c>
      <c r="H2317" s="1">
        <f t="shared" si="6"/>
        <v>190571.3958</v>
      </c>
      <c r="I2317" s="1">
        <f t="shared" si="7"/>
        <v>311844.1023</v>
      </c>
    </row>
    <row r="2318" hidden="1">
      <c r="A2318" s="266">
        <f>IFERROR(__xludf.DUMMYFUNCTION("""COMPUTED_VALUE"""),44956.99861111111)</f>
        <v>44956.99861</v>
      </c>
      <c r="B2318" s="1">
        <f>IFERROR(__xludf.DUMMYFUNCTION("""COMPUTED_VALUE"""),22832.76)</f>
        <v>22832.76</v>
      </c>
      <c r="C2318" s="58">
        <f t="shared" si="1"/>
        <v>5140.998611</v>
      </c>
      <c r="D2318" s="1">
        <f t="shared" si="2"/>
        <v>17344.23072</v>
      </c>
      <c r="E2318" s="1">
        <f t="shared" si="3"/>
        <v>31219.6153</v>
      </c>
      <c r="F2318" s="1">
        <f t="shared" si="4"/>
        <v>58970.38446</v>
      </c>
      <c r="G2318" s="1">
        <f t="shared" si="5"/>
        <v>104065.3843</v>
      </c>
      <c r="H2318" s="1">
        <f t="shared" si="6"/>
        <v>190786.538</v>
      </c>
      <c r="I2318" s="1">
        <f t="shared" si="7"/>
        <v>312196.153</v>
      </c>
    </row>
    <row r="2319" hidden="1">
      <c r="A2319" s="266">
        <f>IFERROR(__xludf.DUMMYFUNCTION("""COMPUTED_VALUE"""),44957.99861111111)</f>
        <v>44957.99861</v>
      </c>
      <c r="B2319" s="1">
        <f>IFERROR(__xludf.DUMMYFUNCTION("""COMPUTED_VALUE"""),23129.07)</f>
        <v>23129.07</v>
      </c>
      <c r="C2319" s="58">
        <f t="shared" si="1"/>
        <v>5141.998611</v>
      </c>
      <c r="D2319" s="1">
        <f t="shared" si="2"/>
        <v>17363.80737</v>
      </c>
      <c r="E2319" s="1">
        <f t="shared" si="3"/>
        <v>31254.85327</v>
      </c>
      <c r="F2319" s="1">
        <f t="shared" si="4"/>
        <v>59036.94506</v>
      </c>
      <c r="G2319" s="1">
        <f t="shared" si="5"/>
        <v>104182.8442</v>
      </c>
      <c r="H2319" s="1">
        <f t="shared" si="6"/>
        <v>191001.8811</v>
      </c>
      <c r="I2319" s="1">
        <f t="shared" si="7"/>
        <v>312548.5327</v>
      </c>
    </row>
    <row r="2320" hidden="1">
      <c r="A2320" s="266">
        <f>IFERROR(__xludf.DUMMYFUNCTION("""COMPUTED_VALUE"""),44958.99861111111)</f>
        <v>44958.99861</v>
      </c>
      <c r="B2320" s="1">
        <f>IFERROR(__xludf.DUMMYFUNCTION("""COMPUTED_VALUE"""),23726.49)</f>
        <v>23726.49</v>
      </c>
      <c r="C2320" s="58">
        <f t="shared" si="1"/>
        <v>5142.998611</v>
      </c>
      <c r="D2320" s="1">
        <f t="shared" si="2"/>
        <v>17383.4023</v>
      </c>
      <c r="E2320" s="1">
        <f t="shared" si="3"/>
        <v>31290.12414</v>
      </c>
      <c r="F2320" s="1">
        <f t="shared" si="4"/>
        <v>59103.56782</v>
      </c>
      <c r="G2320" s="1">
        <f t="shared" si="5"/>
        <v>104300.4138</v>
      </c>
      <c r="H2320" s="1">
        <f t="shared" si="6"/>
        <v>191217.4253</v>
      </c>
      <c r="I2320" s="1">
        <f t="shared" si="7"/>
        <v>312901.2414</v>
      </c>
    </row>
    <row r="2321" hidden="1">
      <c r="A2321" s="266">
        <f>IFERROR(__xludf.DUMMYFUNCTION("""COMPUTED_VALUE"""),44959.99861111111)</f>
        <v>44959.99861</v>
      </c>
      <c r="B2321" s="1">
        <f>IFERROR(__xludf.DUMMYFUNCTION("""COMPUTED_VALUE"""),23466.61)</f>
        <v>23466.61</v>
      </c>
      <c r="C2321" s="58">
        <f t="shared" si="1"/>
        <v>5143.998611</v>
      </c>
      <c r="D2321" s="1">
        <f t="shared" si="2"/>
        <v>17403.01553</v>
      </c>
      <c r="E2321" s="1">
        <f t="shared" si="3"/>
        <v>31325.42795</v>
      </c>
      <c r="F2321" s="1">
        <f t="shared" si="4"/>
        <v>59170.25279</v>
      </c>
      <c r="G2321" s="1">
        <f t="shared" si="5"/>
        <v>104418.0932</v>
      </c>
      <c r="H2321" s="1">
        <f t="shared" si="6"/>
        <v>191433.1708</v>
      </c>
      <c r="I2321" s="1">
        <f t="shared" si="7"/>
        <v>313254.2795</v>
      </c>
    </row>
    <row r="2322" hidden="1">
      <c r="A2322" s="266">
        <f>IFERROR(__xludf.DUMMYFUNCTION("""COMPUTED_VALUE"""),44960.99861111111)</f>
        <v>44960.99861</v>
      </c>
      <c r="B2322" s="1">
        <f>IFERROR(__xludf.DUMMYFUNCTION("""COMPUTED_VALUE"""),23433.82)</f>
        <v>23433.82</v>
      </c>
      <c r="C2322" s="58">
        <f t="shared" si="1"/>
        <v>5144.998611</v>
      </c>
      <c r="D2322" s="1">
        <f t="shared" si="2"/>
        <v>17422.64706</v>
      </c>
      <c r="E2322" s="1">
        <f t="shared" si="3"/>
        <v>31360.76471</v>
      </c>
      <c r="F2322" s="1">
        <f t="shared" si="4"/>
        <v>59237.00001</v>
      </c>
      <c r="G2322" s="1">
        <f t="shared" si="5"/>
        <v>104535.8824</v>
      </c>
      <c r="H2322" s="1">
        <f t="shared" si="6"/>
        <v>191649.1177</v>
      </c>
      <c r="I2322" s="1">
        <f t="shared" si="7"/>
        <v>313607.6471</v>
      </c>
    </row>
    <row r="2323" hidden="1">
      <c r="A2323" s="266">
        <f>IFERROR(__xludf.DUMMYFUNCTION("""COMPUTED_VALUE"""),44961.99861111111)</f>
        <v>44961.99861</v>
      </c>
      <c r="B2323" s="1">
        <f>IFERROR(__xludf.DUMMYFUNCTION("""COMPUTED_VALUE"""),23326.39)</f>
        <v>23326.39</v>
      </c>
      <c r="C2323" s="58">
        <f t="shared" si="1"/>
        <v>5145.998611</v>
      </c>
      <c r="D2323" s="1">
        <f t="shared" si="2"/>
        <v>17442.29692</v>
      </c>
      <c r="E2323" s="1">
        <f t="shared" si="3"/>
        <v>31396.13446</v>
      </c>
      <c r="F2323" s="1">
        <f t="shared" si="4"/>
        <v>59303.80954</v>
      </c>
      <c r="G2323" s="1">
        <f t="shared" si="5"/>
        <v>104653.7815</v>
      </c>
      <c r="H2323" s="1">
        <f t="shared" si="6"/>
        <v>191865.2662</v>
      </c>
      <c r="I2323" s="1">
        <f t="shared" si="7"/>
        <v>313961.3446</v>
      </c>
    </row>
    <row r="2324" hidden="1">
      <c r="A2324" s="266">
        <f>IFERROR(__xludf.DUMMYFUNCTION("""COMPUTED_VALUE"""),44962.99861111111)</f>
        <v>44962.99861</v>
      </c>
      <c r="B2324" s="1">
        <f>IFERROR(__xludf.DUMMYFUNCTION("""COMPUTED_VALUE"""),22935.36)</f>
        <v>22935.36</v>
      </c>
      <c r="C2324" s="58">
        <f t="shared" si="1"/>
        <v>5146.998611</v>
      </c>
      <c r="D2324" s="1">
        <f t="shared" si="2"/>
        <v>17461.96512</v>
      </c>
      <c r="E2324" s="1">
        <f t="shared" si="3"/>
        <v>31431.53722</v>
      </c>
      <c r="F2324" s="1">
        <f t="shared" si="4"/>
        <v>59370.68141</v>
      </c>
      <c r="G2324" s="1">
        <f t="shared" si="5"/>
        <v>104771.7907</v>
      </c>
      <c r="H2324" s="1">
        <f t="shared" si="6"/>
        <v>192081.6163</v>
      </c>
      <c r="I2324" s="1">
        <f t="shared" si="7"/>
        <v>314315.3722</v>
      </c>
    </row>
    <row r="2325" hidden="1">
      <c r="A2325" s="266">
        <f>IFERROR(__xludf.DUMMYFUNCTION("""COMPUTED_VALUE"""),44963.99861111111)</f>
        <v>44963.99861</v>
      </c>
      <c r="B2325" s="1">
        <f>IFERROR(__xludf.DUMMYFUNCTION("""COMPUTED_VALUE"""),22759.66)</f>
        <v>22759.66</v>
      </c>
      <c r="C2325" s="58">
        <f t="shared" si="1"/>
        <v>5147.998611</v>
      </c>
      <c r="D2325" s="1">
        <f t="shared" si="2"/>
        <v>17481.65167</v>
      </c>
      <c r="E2325" s="1">
        <f t="shared" si="3"/>
        <v>31466.973</v>
      </c>
      <c r="F2325" s="1">
        <f t="shared" si="4"/>
        <v>59437.61567</v>
      </c>
      <c r="G2325" s="1">
        <f t="shared" si="5"/>
        <v>104889.91</v>
      </c>
      <c r="H2325" s="1">
        <f t="shared" si="6"/>
        <v>192298.1683</v>
      </c>
      <c r="I2325" s="1">
        <f t="shared" si="7"/>
        <v>314669.73</v>
      </c>
    </row>
    <row r="2326" hidden="1">
      <c r="A2326" s="266">
        <f>IFERROR(__xludf.DUMMYFUNCTION("""COMPUTED_VALUE"""),44964.99861111111)</f>
        <v>44964.99861</v>
      </c>
      <c r="B2326" s="1">
        <f>IFERROR(__xludf.DUMMYFUNCTION("""COMPUTED_VALUE"""),23249.69)</f>
        <v>23249.69</v>
      </c>
      <c r="C2326" s="58">
        <f t="shared" si="1"/>
        <v>5148.998611</v>
      </c>
      <c r="D2326" s="1">
        <f t="shared" si="2"/>
        <v>17501.35658</v>
      </c>
      <c r="E2326" s="1">
        <f t="shared" si="3"/>
        <v>31502.44184</v>
      </c>
      <c r="F2326" s="1">
        <f t="shared" si="4"/>
        <v>59504.61237</v>
      </c>
      <c r="G2326" s="1">
        <f t="shared" si="5"/>
        <v>105008.1395</v>
      </c>
      <c r="H2326" s="1">
        <f t="shared" si="6"/>
        <v>192514.9224</v>
      </c>
      <c r="I2326" s="1">
        <f t="shared" si="7"/>
        <v>315024.4184</v>
      </c>
    </row>
    <row r="2327" hidden="1">
      <c r="A2327" s="266">
        <f>IFERROR(__xludf.DUMMYFUNCTION("""COMPUTED_VALUE"""),44965.99861111111)</f>
        <v>44965.99861</v>
      </c>
      <c r="B2327" s="1">
        <f>IFERROR(__xludf.DUMMYFUNCTION("""COMPUTED_VALUE"""),22962.82)</f>
        <v>22962.82</v>
      </c>
      <c r="C2327" s="58">
        <f t="shared" si="1"/>
        <v>5149.998611</v>
      </c>
      <c r="D2327" s="1">
        <f t="shared" si="2"/>
        <v>17521.07987</v>
      </c>
      <c r="E2327" s="1">
        <f t="shared" si="3"/>
        <v>31537.94377</v>
      </c>
      <c r="F2327" s="1">
        <f t="shared" si="4"/>
        <v>59571.67156</v>
      </c>
      <c r="G2327" s="1">
        <f t="shared" si="5"/>
        <v>105126.4792</v>
      </c>
      <c r="H2327" s="1">
        <f t="shared" si="6"/>
        <v>192731.8786</v>
      </c>
      <c r="I2327" s="1">
        <f t="shared" si="7"/>
        <v>315379.4377</v>
      </c>
    </row>
    <row r="2328" hidden="1">
      <c r="A2328" s="266">
        <f>IFERROR(__xludf.DUMMYFUNCTION("""COMPUTED_VALUE"""),44966.99861111111)</f>
        <v>44966.99861</v>
      </c>
      <c r="B2328" s="1">
        <f>IFERROR(__xludf.DUMMYFUNCTION("""COMPUTED_VALUE"""),21796.41)</f>
        <v>21796.41</v>
      </c>
      <c r="C2328" s="58">
        <f t="shared" si="1"/>
        <v>5150.998611</v>
      </c>
      <c r="D2328" s="1">
        <f t="shared" si="2"/>
        <v>17540.82155</v>
      </c>
      <c r="E2328" s="1">
        <f t="shared" si="3"/>
        <v>31573.47879</v>
      </c>
      <c r="F2328" s="1">
        <f t="shared" si="4"/>
        <v>59638.79328</v>
      </c>
      <c r="G2328" s="1">
        <f t="shared" si="5"/>
        <v>105244.9293</v>
      </c>
      <c r="H2328" s="1">
        <f t="shared" si="6"/>
        <v>192949.0371</v>
      </c>
      <c r="I2328" s="1">
        <f t="shared" si="7"/>
        <v>315734.7879</v>
      </c>
    </row>
    <row r="2329" hidden="1">
      <c r="A2329" s="266">
        <f>IFERROR(__xludf.DUMMYFUNCTION("""COMPUTED_VALUE"""),44967.99861111111)</f>
        <v>44967.99861</v>
      </c>
      <c r="B2329" s="1">
        <f>IFERROR(__xludf.DUMMYFUNCTION("""COMPUTED_VALUE"""),21633.82)</f>
        <v>21633.82</v>
      </c>
      <c r="C2329" s="58">
        <f t="shared" si="1"/>
        <v>5151.998611</v>
      </c>
      <c r="D2329" s="1">
        <f t="shared" si="2"/>
        <v>17560.58164</v>
      </c>
      <c r="E2329" s="1">
        <f t="shared" si="3"/>
        <v>31609.04695</v>
      </c>
      <c r="F2329" s="1">
        <f t="shared" si="4"/>
        <v>59705.97757</v>
      </c>
      <c r="G2329" s="1">
        <f t="shared" si="5"/>
        <v>105363.4898</v>
      </c>
      <c r="H2329" s="1">
        <f t="shared" si="6"/>
        <v>193166.398</v>
      </c>
      <c r="I2329" s="1">
        <f t="shared" si="7"/>
        <v>316090.4695</v>
      </c>
    </row>
    <row r="2330" hidden="1">
      <c r="A2330" s="266">
        <f>IFERROR(__xludf.DUMMYFUNCTION("""COMPUTED_VALUE"""),44968.99861111111)</f>
        <v>44968.99861</v>
      </c>
      <c r="B2330" s="1">
        <f>IFERROR(__xludf.DUMMYFUNCTION("""COMPUTED_VALUE"""),21862.51)</f>
        <v>21862.51</v>
      </c>
      <c r="C2330" s="58">
        <f t="shared" si="1"/>
        <v>5152.998611</v>
      </c>
      <c r="D2330" s="1">
        <f t="shared" si="2"/>
        <v>17580.36014</v>
      </c>
      <c r="E2330" s="1">
        <f t="shared" si="3"/>
        <v>31644.64826</v>
      </c>
      <c r="F2330" s="1">
        <f t="shared" si="4"/>
        <v>59773.22449</v>
      </c>
      <c r="G2330" s="1">
        <f t="shared" si="5"/>
        <v>105482.1609</v>
      </c>
      <c r="H2330" s="1">
        <f t="shared" si="6"/>
        <v>193383.9616</v>
      </c>
      <c r="I2330" s="1">
        <f t="shared" si="7"/>
        <v>316446.4826</v>
      </c>
    </row>
    <row r="2331" hidden="1">
      <c r="A2331" s="266">
        <f>IFERROR(__xludf.DUMMYFUNCTION("""COMPUTED_VALUE"""),44969.99861111111)</f>
        <v>44969.99861</v>
      </c>
      <c r="B2331" s="1">
        <f>IFERROR(__xludf.DUMMYFUNCTION("""COMPUTED_VALUE"""),21789.02)</f>
        <v>21789.02</v>
      </c>
      <c r="C2331" s="58">
        <f t="shared" si="1"/>
        <v>5153.998611</v>
      </c>
      <c r="D2331" s="1">
        <f t="shared" si="2"/>
        <v>17600.15708</v>
      </c>
      <c r="E2331" s="1">
        <f t="shared" si="3"/>
        <v>31680.28275</v>
      </c>
      <c r="F2331" s="1">
        <f t="shared" si="4"/>
        <v>59840.53408</v>
      </c>
      <c r="G2331" s="1">
        <f t="shared" si="5"/>
        <v>105600.9425</v>
      </c>
      <c r="H2331" s="1">
        <f t="shared" si="6"/>
        <v>193601.7279</v>
      </c>
      <c r="I2331" s="1">
        <f t="shared" si="7"/>
        <v>316802.8275</v>
      </c>
    </row>
    <row r="2332" hidden="1">
      <c r="A2332" s="266">
        <f>IFERROR(__xludf.DUMMYFUNCTION("""COMPUTED_VALUE"""),44970.99861111111)</f>
        <v>44970.99861</v>
      </c>
      <c r="B2332" s="1">
        <f>IFERROR(__xludf.DUMMYFUNCTION("""COMPUTED_VALUE"""),21786.16)</f>
        <v>21786.16</v>
      </c>
      <c r="C2332" s="58">
        <f t="shared" si="1"/>
        <v>5154.998611</v>
      </c>
      <c r="D2332" s="1">
        <f t="shared" si="2"/>
        <v>17619.97246</v>
      </c>
      <c r="E2332" s="1">
        <f t="shared" si="3"/>
        <v>31715.95044</v>
      </c>
      <c r="F2332" s="1">
        <f t="shared" si="4"/>
        <v>59907.90638</v>
      </c>
      <c r="G2332" s="1">
        <f t="shared" si="5"/>
        <v>105719.8348</v>
      </c>
      <c r="H2332" s="1">
        <f t="shared" si="6"/>
        <v>193819.6971</v>
      </c>
      <c r="I2332" s="1">
        <f t="shared" si="7"/>
        <v>317159.5044</v>
      </c>
    </row>
    <row r="2333" hidden="1">
      <c r="A2333" s="266">
        <f>IFERROR(__xludf.DUMMYFUNCTION("""COMPUTED_VALUE"""),44971.99861111111)</f>
        <v>44971.99861</v>
      </c>
      <c r="B2333" s="1">
        <f>IFERROR(__xludf.DUMMYFUNCTION("""COMPUTED_VALUE"""),22206.75)</f>
        <v>22206.75</v>
      </c>
      <c r="C2333" s="58">
        <f t="shared" si="1"/>
        <v>5155.998611</v>
      </c>
      <c r="D2333" s="1">
        <f t="shared" si="2"/>
        <v>17639.80631</v>
      </c>
      <c r="E2333" s="1">
        <f t="shared" si="3"/>
        <v>31751.65135</v>
      </c>
      <c r="F2333" s="1">
        <f t="shared" si="4"/>
        <v>59975.34144</v>
      </c>
      <c r="G2333" s="1">
        <f t="shared" si="5"/>
        <v>105838.8378</v>
      </c>
      <c r="H2333" s="1">
        <f t="shared" si="6"/>
        <v>194037.8694</v>
      </c>
      <c r="I2333" s="1">
        <f t="shared" si="7"/>
        <v>317516.5135</v>
      </c>
    </row>
    <row r="2334" hidden="1">
      <c r="A2334" s="266">
        <f>IFERROR(__xludf.DUMMYFUNCTION("""COMPUTED_VALUE"""),44972.99861111111)</f>
        <v>44972.99861</v>
      </c>
      <c r="B2334" s="1">
        <f>IFERROR(__xludf.DUMMYFUNCTION("""COMPUTED_VALUE"""),24331.48)</f>
        <v>24331.48</v>
      </c>
      <c r="C2334" s="58">
        <f t="shared" si="1"/>
        <v>5156.998611</v>
      </c>
      <c r="D2334" s="1">
        <f t="shared" si="2"/>
        <v>17659.65862</v>
      </c>
      <c r="E2334" s="1">
        <f t="shared" si="3"/>
        <v>31787.38552</v>
      </c>
      <c r="F2334" s="1">
        <f t="shared" si="4"/>
        <v>60042.83932</v>
      </c>
      <c r="G2334" s="1">
        <f t="shared" si="5"/>
        <v>105957.9517</v>
      </c>
      <c r="H2334" s="1">
        <f t="shared" si="6"/>
        <v>194256.2448</v>
      </c>
      <c r="I2334" s="1">
        <f t="shared" si="7"/>
        <v>317873.8552</v>
      </c>
    </row>
    <row r="2335" hidden="1">
      <c r="A2335" s="266">
        <f>IFERROR(__xludf.DUMMYFUNCTION("""COMPUTED_VALUE"""),44973.99861111111)</f>
        <v>44973.99861</v>
      </c>
      <c r="B2335" s="1">
        <f>IFERROR(__xludf.DUMMYFUNCTION("""COMPUTED_VALUE"""),23553.45)</f>
        <v>23553.45</v>
      </c>
      <c r="C2335" s="58">
        <f t="shared" si="1"/>
        <v>5157.998611</v>
      </c>
      <c r="D2335" s="1">
        <f t="shared" si="2"/>
        <v>17679.52942</v>
      </c>
      <c r="E2335" s="1">
        <f t="shared" si="3"/>
        <v>31823.15296</v>
      </c>
      <c r="F2335" s="1">
        <f t="shared" si="4"/>
        <v>60110.40004</v>
      </c>
      <c r="G2335" s="1">
        <f t="shared" si="5"/>
        <v>106077.1765</v>
      </c>
      <c r="H2335" s="1">
        <f t="shared" si="6"/>
        <v>194474.8237</v>
      </c>
      <c r="I2335" s="1">
        <f t="shared" si="7"/>
        <v>318231.5296</v>
      </c>
    </row>
    <row r="2336" hidden="1">
      <c r="A2336" s="266">
        <f>IFERROR(__xludf.DUMMYFUNCTION("""COMPUTED_VALUE"""),44974.99861111111)</f>
        <v>44974.99861</v>
      </c>
      <c r="B2336" s="1">
        <f>IFERROR(__xludf.DUMMYFUNCTION("""COMPUTED_VALUE"""),24574.44)</f>
        <v>24574.44</v>
      </c>
      <c r="C2336" s="58">
        <f t="shared" si="1"/>
        <v>5158.998611</v>
      </c>
      <c r="D2336" s="1">
        <f t="shared" si="2"/>
        <v>17699.41873</v>
      </c>
      <c r="E2336" s="1">
        <f t="shared" si="3"/>
        <v>31858.95371</v>
      </c>
      <c r="F2336" s="1">
        <f t="shared" si="4"/>
        <v>60178.02367</v>
      </c>
      <c r="G2336" s="1">
        <f t="shared" si="5"/>
        <v>106196.5124</v>
      </c>
      <c r="H2336" s="1">
        <f t="shared" si="6"/>
        <v>194693.606</v>
      </c>
      <c r="I2336" s="1">
        <f t="shared" si="7"/>
        <v>318589.5371</v>
      </c>
    </row>
    <row r="2337" hidden="1">
      <c r="A2337" s="266">
        <f>IFERROR(__xludf.DUMMYFUNCTION("""COMPUTED_VALUE"""),44975.99861111111)</f>
        <v>44975.99861</v>
      </c>
      <c r="B2337" s="1">
        <f>IFERROR(__xludf.DUMMYFUNCTION("""COMPUTED_VALUE"""),24634.69)</f>
        <v>24634.69</v>
      </c>
      <c r="C2337" s="58">
        <f t="shared" si="1"/>
        <v>5159.998611</v>
      </c>
      <c r="D2337" s="1">
        <f t="shared" si="2"/>
        <v>17719.32654</v>
      </c>
      <c r="E2337" s="1">
        <f t="shared" si="3"/>
        <v>31894.78778</v>
      </c>
      <c r="F2337" s="1">
        <f t="shared" si="4"/>
        <v>60245.71025</v>
      </c>
      <c r="G2337" s="1">
        <f t="shared" si="5"/>
        <v>106315.9593</v>
      </c>
      <c r="H2337" s="1">
        <f t="shared" si="6"/>
        <v>194912.592</v>
      </c>
      <c r="I2337" s="1">
        <f t="shared" si="7"/>
        <v>318947.8778</v>
      </c>
    </row>
    <row r="2338" hidden="1">
      <c r="A2338" s="266">
        <f>IFERROR(__xludf.DUMMYFUNCTION("""COMPUTED_VALUE"""),44976.99861111111)</f>
        <v>44976.99861</v>
      </c>
      <c r="B2338" s="1">
        <f>IFERROR(__xludf.DUMMYFUNCTION("""COMPUTED_VALUE"""),24290.05)</f>
        <v>24290.05</v>
      </c>
      <c r="C2338" s="58">
        <f t="shared" si="1"/>
        <v>5160.998611</v>
      </c>
      <c r="D2338" s="1">
        <f t="shared" si="2"/>
        <v>17739.25289</v>
      </c>
      <c r="E2338" s="1">
        <f t="shared" si="3"/>
        <v>31930.6552</v>
      </c>
      <c r="F2338" s="1">
        <f t="shared" si="4"/>
        <v>60313.45982</v>
      </c>
      <c r="G2338" s="1">
        <f t="shared" si="5"/>
        <v>106435.5173</v>
      </c>
      <c r="H2338" s="1">
        <f t="shared" si="6"/>
        <v>195131.7818</v>
      </c>
      <c r="I2338" s="1">
        <f t="shared" si="7"/>
        <v>319306.552</v>
      </c>
    </row>
    <row r="2339" hidden="1">
      <c r="A2339" s="266">
        <f>IFERROR(__xludf.DUMMYFUNCTION("""COMPUTED_VALUE"""),44977.99861111111)</f>
        <v>44977.99861</v>
      </c>
      <c r="B2339" s="1">
        <f>IFERROR(__xludf.DUMMYFUNCTION("""COMPUTED_VALUE"""),24841.51)</f>
        <v>24841.51</v>
      </c>
      <c r="C2339" s="58">
        <f t="shared" si="1"/>
        <v>5161.998611</v>
      </c>
      <c r="D2339" s="1">
        <f t="shared" si="2"/>
        <v>17759.19777</v>
      </c>
      <c r="E2339" s="1">
        <f t="shared" si="3"/>
        <v>31966.55599</v>
      </c>
      <c r="F2339" s="1">
        <f t="shared" si="4"/>
        <v>60381.27243</v>
      </c>
      <c r="G2339" s="1">
        <f t="shared" si="5"/>
        <v>106555.1866</v>
      </c>
      <c r="H2339" s="1">
        <f t="shared" si="6"/>
        <v>195351.1755</v>
      </c>
      <c r="I2339" s="1">
        <f t="shared" si="7"/>
        <v>319665.5599</v>
      </c>
    </row>
    <row r="2340" hidden="1">
      <c r="A2340" s="266">
        <f>IFERROR(__xludf.DUMMYFUNCTION("""COMPUTED_VALUE"""),44978.99861111111)</f>
        <v>44978.99861</v>
      </c>
      <c r="B2340" s="1">
        <f>IFERROR(__xludf.DUMMYFUNCTION("""COMPUTED_VALUE"""),24447.45)</f>
        <v>24447.45</v>
      </c>
      <c r="C2340" s="58">
        <f t="shared" si="1"/>
        <v>5162.998611</v>
      </c>
      <c r="D2340" s="1">
        <f t="shared" si="2"/>
        <v>17779.16121</v>
      </c>
      <c r="E2340" s="1">
        <f t="shared" si="3"/>
        <v>32002.49018</v>
      </c>
      <c r="F2340" s="1">
        <f t="shared" si="4"/>
        <v>60449.14812</v>
      </c>
      <c r="G2340" s="1">
        <f t="shared" si="5"/>
        <v>106674.9673</v>
      </c>
      <c r="H2340" s="1">
        <f t="shared" si="6"/>
        <v>195570.7733</v>
      </c>
      <c r="I2340" s="1">
        <f t="shared" si="7"/>
        <v>320024.9018</v>
      </c>
    </row>
    <row r="2341" hidden="1">
      <c r="A2341" s="266">
        <f>IFERROR(__xludf.DUMMYFUNCTION("""COMPUTED_VALUE"""),44979.99861111111)</f>
        <v>44979.99861</v>
      </c>
      <c r="B2341" s="1">
        <f>IFERROR(__xludf.DUMMYFUNCTION("""COMPUTED_VALUE"""),24184.45)</f>
        <v>24184.45</v>
      </c>
      <c r="C2341" s="58">
        <f t="shared" si="1"/>
        <v>5163.998611</v>
      </c>
      <c r="D2341" s="1">
        <f t="shared" si="2"/>
        <v>17799.14322</v>
      </c>
      <c r="E2341" s="1">
        <f t="shared" si="3"/>
        <v>32038.4578</v>
      </c>
      <c r="F2341" s="1">
        <f t="shared" si="4"/>
        <v>60517.08695</v>
      </c>
      <c r="G2341" s="1">
        <f t="shared" si="5"/>
        <v>106794.8593</v>
      </c>
      <c r="H2341" s="1">
        <f t="shared" si="6"/>
        <v>195790.5754</v>
      </c>
      <c r="I2341" s="1">
        <f t="shared" si="7"/>
        <v>320384.578</v>
      </c>
    </row>
    <row r="2342" hidden="1">
      <c r="A2342" s="266">
        <f>IFERROR(__xludf.DUMMYFUNCTION("""COMPUTED_VALUE"""),44980.99861111111)</f>
        <v>44980.99861</v>
      </c>
      <c r="B2342" s="1">
        <f>IFERROR(__xludf.DUMMYFUNCTION("""COMPUTED_VALUE"""),23937.51)</f>
        <v>23937.51</v>
      </c>
      <c r="C2342" s="58">
        <f t="shared" si="1"/>
        <v>5164.998611</v>
      </c>
      <c r="D2342" s="1">
        <f t="shared" si="2"/>
        <v>17819.14381</v>
      </c>
      <c r="E2342" s="1">
        <f t="shared" si="3"/>
        <v>32074.45886</v>
      </c>
      <c r="F2342" s="1">
        <f t="shared" si="4"/>
        <v>60585.08896</v>
      </c>
      <c r="G2342" s="1">
        <f t="shared" si="5"/>
        <v>106914.8629</v>
      </c>
      <c r="H2342" s="1">
        <f t="shared" si="6"/>
        <v>196010.5819</v>
      </c>
      <c r="I2342" s="1">
        <f t="shared" si="7"/>
        <v>320744.5886</v>
      </c>
    </row>
    <row r="2343" hidden="1">
      <c r="A2343" s="266">
        <f>IFERROR(__xludf.DUMMYFUNCTION("""COMPUTED_VALUE"""),44981.99861111111)</f>
        <v>44981.99861</v>
      </c>
      <c r="B2343" s="1">
        <f>IFERROR(__xludf.DUMMYFUNCTION("""COMPUTED_VALUE"""),23192.77)</f>
        <v>23192.77</v>
      </c>
      <c r="C2343" s="58">
        <f t="shared" si="1"/>
        <v>5165.998611</v>
      </c>
      <c r="D2343" s="1">
        <f t="shared" si="2"/>
        <v>17839.163</v>
      </c>
      <c r="E2343" s="1">
        <f t="shared" si="3"/>
        <v>32110.4934</v>
      </c>
      <c r="F2343" s="1">
        <f t="shared" si="4"/>
        <v>60653.15419</v>
      </c>
      <c r="G2343" s="1">
        <f t="shared" si="5"/>
        <v>107034.978</v>
      </c>
      <c r="H2343" s="1">
        <f t="shared" si="6"/>
        <v>196230.793</v>
      </c>
      <c r="I2343" s="1">
        <f t="shared" si="7"/>
        <v>321104.934</v>
      </c>
    </row>
    <row r="2344" hidden="1">
      <c r="A2344" s="266">
        <f>IFERROR(__xludf.DUMMYFUNCTION("""COMPUTED_VALUE"""),44982.99861111111)</f>
        <v>44982.99861</v>
      </c>
      <c r="B2344" s="1">
        <f>IFERROR(__xludf.DUMMYFUNCTION("""COMPUTED_VALUE"""),23164.06)</f>
        <v>23164.06</v>
      </c>
      <c r="C2344" s="58">
        <f t="shared" si="1"/>
        <v>5166.998611</v>
      </c>
      <c r="D2344" s="1">
        <f t="shared" si="2"/>
        <v>17859.20079</v>
      </c>
      <c r="E2344" s="1">
        <f t="shared" si="3"/>
        <v>32146.56143</v>
      </c>
      <c r="F2344" s="1">
        <f t="shared" si="4"/>
        <v>60721.2827</v>
      </c>
      <c r="G2344" s="1">
        <f t="shared" si="5"/>
        <v>107155.2048</v>
      </c>
      <c r="H2344" s="1">
        <f t="shared" si="6"/>
        <v>196451.2087</v>
      </c>
      <c r="I2344" s="1">
        <f t="shared" si="7"/>
        <v>321465.6143</v>
      </c>
    </row>
    <row r="2345" hidden="1">
      <c r="A2345" s="266">
        <f>IFERROR(__xludf.DUMMYFUNCTION("""COMPUTED_VALUE"""),44983.99861111111)</f>
        <v>44983.99861</v>
      </c>
      <c r="B2345" s="1">
        <f>IFERROR(__xludf.DUMMYFUNCTION("""COMPUTED_VALUE"""),23558.26)</f>
        <v>23558.26</v>
      </c>
      <c r="C2345" s="58">
        <f t="shared" si="1"/>
        <v>5167.998611</v>
      </c>
      <c r="D2345" s="1">
        <f t="shared" si="2"/>
        <v>17879.25721</v>
      </c>
      <c r="E2345" s="1">
        <f t="shared" si="3"/>
        <v>32182.66298</v>
      </c>
      <c r="F2345" s="1">
        <f t="shared" si="4"/>
        <v>60789.47452</v>
      </c>
      <c r="G2345" s="1">
        <f t="shared" si="5"/>
        <v>107275.5433</v>
      </c>
      <c r="H2345" s="1">
        <f t="shared" si="6"/>
        <v>196671.8293</v>
      </c>
      <c r="I2345" s="1">
        <f t="shared" si="7"/>
        <v>321826.6298</v>
      </c>
    </row>
    <row r="2346" hidden="1">
      <c r="A2346" s="266">
        <f>IFERROR(__xludf.DUMMYFUNCTION("""COMPUTED_VALUE"""),44984.99861111111)</f>
        <v>44984.99861</v>
      </c>
      <c r="B2346" s="1">
        <f>IFERROR(__xludf.DUMMYFUNCTION("""COMPUTED_VALUE"""),23491.26)</f>
        <v>23491.26</v>
      </c>
      <c r="C2346" s="58">
        <f t="shared" si="1"/>
        <v>5168.998611</v>
      </c>
      <c r="D2346" s="1">
        <f t="shared" si="2"/>
        <v>17899.33227</v>
      </c>
      <c r="E2346" s="1">
        <f t="shared" si="3"/>
        <v>32218.79808</v>
      </c>
      <c r="F2346" s="1">
        <f t="shared" si="4"/>
        <v>60857.72971</v>
      </c>
      <c r="G2346" s="1">
        <f t="shared" si="5"/>
        <v>107395.9936</v>
      </c>
      <c r="H2346" s="1">
        <f t="shared" si="6"/>
        <v>196892.655</v>
      </c>
      <c r="I2346" s="1">
        <f t="shared" si="7"/>
        <v>322187.9808</v>
      </c>
    </row>
    <row r="2347" hidden="1">
      <c r="A2347" s="266">
        <f>IFERROR(__xludf.DUMMYFUNCTION("""COMPUTED_VALUE"""),44985.99861111111)</f>
        <v>44985.99861</v>
      </c>
      <c r="B2347" s="1">
        <f>IFERROR(__xludf.DUMMYFUNCTION("""COMPUTED_VALUE"""),23131.85)</f>
        <v>23131.85</v>
      </c>
      <c r="C2347" s="58">
        <f t="shared" si="1"/>
        <v>5169.998611</v>
      </c>
      <c r="D2347" s="1">
        <f t="shared" si="2"/>
        <v>17919.42598</v>
      </c>
      <c r="E2347" s="1">
        <f t="shared" si="3"/>
        <v>32254.96676</v>
      </c>
      <c r="F2347" s="1">
        <f t="shared" si="4"/>
        <v>60926.04832</v>
      </c>
      <c r="G2347" s="1">
        <f t="shared" si="5"/>
        <v>107516.5559</v>
      </c>
      <c r="H2347" s="1">
        <f t="shared" si="6"/>
        <v>197113.6857</v>
      </c>
      <c r="I2347" s="1">
        <f t="shared" si="7"/>
        <v>322549.6676</v>
      </c>
    </row>
    <row r="2348" hidden="1">
      <c r="A2348" s="266">
        <f>IFERROR(__xludf.DUMMYFUNCTION("""COMPUTED_VALUE"""),44986.99861111111)</f>
        <v>44986.99861</v>
      </c>
      <c r="B2348" s="1">
        <f>IFERROR(__xludf.DUMMYFUNCTION("""COMPUTED_VALUE"""),23636.86)</f>
        <v>23636.86</v>
      </c>
      <c r="C2348" s="58">
        <f t="shared" si="1"/>
        <v>5170.998611</v>
      </c>
      <c r="D2348" s="1">
        <f t="shared" si="2"/>
        <v>17939.53835</v>
      </c>
      <c r="E2348" s="1">
        <f t="shared" si="3"/>
        <v>32291.16902</v>
      </c>
      <c r="F2348" s="1">
        <f t="shared" si="4"/>
        <v>60994.43038</v>
      </c>
      <c r="G2348" s="1">
        <f t="shared" si="5"/>
        <v>107637.2301</v>
      </c>
      <c r="H2348" s="1">
        <f t="shared" si="6"/>
        <v>197334.9218</v>
      </c>
      <c r="I2348" s="1">
        <f t="shared" si="7"/>
        <v>322911.6902</v>
      </c>
    </row>
    <row r="2349" hidden="1">
      <c r="A2349" s="266">
        <f>IFERROR(__xludf.DUMMYFUNCTION("""COMPUTED_VALUE"""),44987.99861111111)</f>
        <v>44987.99861</v>
      </c>
      <c r="B2349" s="1">
        <f>IFERROR(__xludf.DUMMYFUNCTION("""COMPUTED_VALUE"""),23464.47)</f>
        <v>23464.47</v>
      </c>
      <c r="C2349" s="58">
        <f t="shared" si="1"/>
        <v>5171.998611</v>
      </c>
      <c r="D2349" s="1">
        <f t="shared" si="2"/>
        <v>17959.6694</v>
      </c>
      <c r="E2349" s="1">
        <f t="shared" si="3"/>
        <v>32327.40491</v>
      </c>
      <c r="F2349" s="1">
        <f t="shared" si="4"/>
        <v>61062.87594</v>
      </c>
      <c r="G2349" s="1">
        <f t="shared" si="5"/>
        <v>107758.0164</v>
      </c>
      <c r="H2349" s="1">
        <f t="shared" si="6"/>
        <v>197556.3633</v>
      </c>
      <c r="I2349" s="1">
        <f t="shared" si="7"/>
        <v>323274.0491</v>
      </c>
    </row>
    <row r="2350" hidden="1">
      <c r="A2350" s="266">
        <f>IFERROR(__xludf.DUMMYFUNCTION("""COMPUTED_VALUE"""),44988.99861111111)</f>
        <v>44988.99861</v>
      </c>
      <c r="B2350" s="1">
        <f>IFERROR(__xludf.DUMMYFUNCTION("""COMPUTED_VALUE"""),22351.32)</f>
        <v>22351.32</v>
      </c>
      <c r="C2350" s="58">
        <f t="shared" si="1"/>
        <v>5172.998611</v>
      </c>
      <c r="D2350" s="1">
        <f t="shared" si="2"/>
        <v>17979.81914</v>
      </c>
      <c r="E2350" s="1">
        <f t="shared" si="3"/>
        <v>32363.67444</v>
      </c>
      <c r="F2350" s="1">
        <f t="shared" si="4"/>
        <v>61131.38506</v>
      </c>
      <c r="G2350" s="1">
        <f t="shared" si="5"/>
        <v>107878.9148</v>
      </c>
      <c r="H2350" s="1">
        <f t="shared" si="6"/>
        <v>197778.0105</v>
      </c>
      <c r="I2350" s="1">
        <f t="shared" si="7"/>
        <v>323636.7444</v>
      </c>
    </row>
    <row r="2351" hidden="1">
      <c r="A2351" s="266">
        <f>IFERROR(__xludf.DUMMYFUNCTION("""COMPUTED_VALUE"""),44989.99861111111)</f>
        <v>44989.99861</v>
      </c>
      <c r="B2351" s="1">
        <f>IFERROR(__xludf.DUMMYFUNCTION("""COMPUTED_VALUE"""),22348.56)</f>
        <v>22348.56</v>
      </c>
      <c r="C2351" s="58">
        <f t="shared" si="1"/>
        <v>5173.998611</v>
      </c>
      <c r="D2351" s="1">
        <f t="shared" si="2"/>
        <v>17999.98758</v>
      </c>
      <c r="E2351" s="1">
        <f t="shared" si="3"/>
        <v>32399.97765</v>
      </c>
      <c r="F2351" s="1">
        <f t="shared" si="4"/>
        <v>61199.95778</v>
      </c>
      <c r="G2351" s="1">
        <f t="shared" si="5"/>
        <v>107999.9255</v>
      </c>
      <c r="H2351" s="1">
        <f t="shared" si="6"/>
        <v>197999.8634</v>
      </c>
      <c r="I2351" s="1">
        <f t="shared" si="7"/>
        <v>323999.7765</v>
      </c>
    </row>
    <row r="2352" hidden="1">
      <c r="A2352" s="266">
        <f>IFERROR(__xludf.DUMMYFUNCTION("""COMPUTED_VALUE"""),44990.99861111111)</f>
        <v>44990.99861</v>
      </c>
      <c r="B2352" s="1">
        <f>IFERROR(__xludf.DUMMYFUNCTION("""COMPUTED_VALUE"""),22430.08)</f>
        <v>22430.08</v>
      </c>
      <c r="C2352" s="58">
        <f t="shared" si="1"/>
        <v>5174.998611</v>
      </c>
      <c r="D2352" s="1">
        <f t="shared" si="2"/>
        <v>18020.17475</v>
      </c>
      <c r="E2352" s="1">
        <f t="shared" si="3"/>
        <v>32436.31455</v>
      </c>
      <c r="F2352" s="1">
        <f t="shared" si="4"/>
        <v>61268.59414</v>
      </c>
      <c r="G2352" s="1">
        <f t="shared" si="5"/>
        <v>108121.0485</v>
      </c>
      <c r="H2352" s="1">
        <f t="shared" si="6"/>
        <v>198221.9222</v>
      </c>
      <c r="I2352" s="1">
        <f t="shared" si="7"/>
        <v>324363.1455</v>
      </c>
    </row>
    <row r="2353" hidden="1">
      <c r="A2353" s="266">
        <f>IFERROR(__xludf.DUMMYFUNCTION("""COMPUTED_VALUE"""),44991.99861111111)</f>
        <v>44991.99861</v>
      </c>
      <c r="B2353" s="1">
        <f>IFERROR(__xludf.DUMMYFUNCTION("""COMPUTED_VALUE"""),22409.14)</f>
        <v>22409.14</v>
      </c>
      <c r="C2353" s="58">
        <f t="shared" si="1"/>
        <v>5175.998611</v>
      </c>
      <c r="D2353" s="1">
        <f t="shared" si="2"/>
        <v>18040.38065</v>
      </c>
      <c r="E2353" s="1">
        <f t="shared" si="3"/>
        <v>32472.68516</v>
      </c>
      <c r="F2353" s="1">
        <f t="shared" si="4"/>
        <v>61337.2942</v>
      </c>
      <c r="G2353" s="1">
        <f t="shared" si="5"/>
        <v>108242.2839</v>
      </c>
      <c r="H2353" s="1">
        <f t="shared" si="6"/>
        <v>198444.1871</v>
      </c>
      <c r="I2353" s="1">
        <f t="shared" si="7"/>
        <v>324726.8516</v>
      </c>
    </row>
    <row r="2354" hidden="1">
      <c r="A2354" s="266">
        <f>IFERROR(__xludf.DUMMYFUNCTION("""COMPUTED_VALUE"""),44992.99861111111)</f>
        <v>44992.99861</v>
      </c>
      <c r="B2354" s="1">
        <f>IFERROR(__xludf.DUMMYFUNCTION("""COMPUTED_VALUE"""),22199.27)</f>
        <v>22199.27</v>
      </c>
      <c r="C2354" s="58">
        <f t="shared" si="1"/>
        <v>5176.998611</v>
      </c>
      <c r="D2354" s="1">
        <f t="shared" si="2"/>
        <v>18060.60529</v>
      </c>
      <c r="E2354" s="1">
        <f t="shared" si="3"/>
        <v>32509.08952</v>
      </c>
      <c r="F2354" s="1">
        <f t="shared" si="4"/>
        <v>61406.05799</v>
      </c>
      <c r="G2354" s="1">
        <f t="shared" si="5"/>
        <v>108363.6317</v>
      </c>
      <c r="H2354" s="1">
        <f t="shared" si="6"/>
        <v>198666.6582</v>
      </c>
      <c r="I2354" s="1">
        <f t="shared" si="7"/>
        <v>325090.8952</v>
      </c>
    </row>
    <row r="2355" hidden="1">
      <c r="A2355" s="266">
        <f>IFERROR(__xludf.DUMMYFUNCTION("""COMPUTED_VALUE"""),44993.99861111111)</f>
        <v>44993.99861</v>
      </c>
      <c r="B2355" s="1">
        <f>IFERROR(__xludf.DUMMYFUNCTION("""COMPUTED_VALUE"""),21702.5)</f>
        <v>21702.5</v>
      </c>
      <c r="C2355" s="58">
        <f t="shared" si="1"/>
        <v>5177.998611</v>
      </c>
      <c r="D2355" s="1">
        <f t="shared" si="2"/>
        <v>18080.8487</v>
      </c>
      <c r="E2355" s="1">
        <f t="shared" si="3"/>
        <v>32545.52766</v>
      </c>
      <c r="F2355" s="1">
        <f t="shared" si="4"/>
        <v>61474.88557</v>
      </c>
      <c r="G2355" s="1">
        <f t="shared" si="5"/>
        <v>108485.0922</v>
      </c>
      <c r="H2355" s="1">
        <f t="shared" si="6"/>
        <v>198889.3357</v>
      </c>
      <c r="I2355" s="1">
        <f t="shared" si="7"/>
        <v>325455.2766</v>
      </c>
    </row>
    <row r="2356" hidden="1">
      <c r="A2356" s="266">
        <f>IFERROR(__xludf.DUMMYFUNCTION("""COMPUTED_VALUE"""),44994.99861111111)</f>
        <v>44994.99861</v>
      </c>
      <c r="B2356" s="1">
        <f>IFERROR(__xludf.DUMMYFUNCTION("""COMPUTED_VALUE"""),20364.74)</f>
        <v>20364.74</v>
      </c>
      <c r="C2356" s="58">
        <f t="shared" si="1"/>
        <v>5178.998611</v>
      </c>
      <c r="D2356" s="1">
        <f t="shared" si="2"/>
        <v>18101.11088</v>
      </c>
      <c r="E2356" s="1">
        <f t="shared" si="3"/>
        <v>32581.99958</v>
      </c>
      <c r="F2356" s="1">
        <f t="shared" si="4"/>
        <v>61543.77698</v>
      </c>
      <c r="G2356" s="1">
        <f t="shared" si="5"/>
        <v>108606.6653</v>
      </c>
      <c r="H2356" s="1">
        <f t="shared" si="6"/>
        <v>199112.2197</v>
      </c>
      <c r="I2356" s="1">
        <f t="shared" si="7"/>
        <v>325819.9958</v>
      </c>
    </row>
    <row r="2357" hidden="1">
      <c r="A2357" s="266">
        <f>IFERROR(__xludf.DUMMYFUNCTION("""COMPUTED_VALUE"""),44995.99861111111)</f>
        <v>44995.99861</v>
      </c>
      <c r="B2357" s="1">
        <f>IFERROR(__xludf.DUMMYFUNCTION("""COMPUTED_VALUE"""),20208.31)</f>
        <v>20208.31</v>
      </c>
      <c r="C2357" s="58">
        <f t="shared" si="1"/>
        <v>5179.998611</v>
      </c>
      <c r="D2357" s="1">
        <f t="shared" si="2"/>
        <v>18121.39185</v>
      </c>
      <c r="E2357" s="1">
        <f t="shared" si="3"/>
        <v>32618.50532</v>
      </c>
      <c r="F2357" s="1">
        <f t="shared" si="4"/>
        <v>61612.73228</v>
      </c>
      <c r="G2357" s="1">
        <f t="shared" si="5"/>
        <v>108728.3511</v>
      </c>
      <c r="H2357" s="1">
        <f t="shared" si="6"/>
        <v>199335.3103</v>
      </c>
      <c r="I2357" s="1">
        <f t="shared" si="7"/>
        <v>326185.0532</v>
      </c>
    </row>
    <row r="2358" hidden="1">
      <c r="A2358" s="266">
        <f>IFERROR(__xludf.DUMMYFUNCTION("""COMPUTED_VALUE"""),44996.99861111111)</f>
        <v>44996.99861</v>
      </c>
      <c r="B2358" s="1">
        <f>IFERROR(__xludf.DUMMYFUNCTION("""COMPUTED_VALUE"""),20575.93)</f>
        <v>20575.93</v>
      </c>
      <c r="C2358" s="58">
        <f t="shared" si="1"/>
        <v>5180.998611</v>
      </c>
      <c r="D2358" s="1">
        <f t="shared" si="2"/>
        <v>18141.69162</v>
      </c>
      <c r="E2358" s="1">
        <f t="shared" si="3"/>
        <v>32655.04491</v>
      </c>
      <c r="F2358" s="1">
        <f t="shared" si="4"/>
        <v>61681.7515</v>
      </c>
      <c r="G2358" s="1">
        <f t="shared" si="5"/>
        <v>108850.1497</v>
      </c>
      <c r="H2358" s="1">
        <f t="shared" si="6"/>
        <v>199558.6078</v>
      </c>
      <c r="I2358" s="1">
        <f t="shared" si="7"/>
        <v>326550.4491</v>
      </c>
    </row>
    <row r="2359" hidden="1">
      <c r="A2359" s="266">
        <f>IFERROR(__xludf.DUMMYFUNCTION("""COMPUTED_VALUE"""),44997.99861111111)</f>
        <v>44997.99861</v>
      </c>
      <c r="B2359" s="1">
        <f>IFERROR(__xludf.DUMMYFUNCTION("""COMPUTED_VALUE"""),22113.55)</f>
        <v>22113.55</v>
      </c>
      <c r="C2359" s="58">
        <f t="shared" si="1"/>
        <v>5181.998611</v>
      </c>
      <c r="D2359" s="1">
        <f t="shared" si="2"/>
        <v>18162.0102</v>
      </c>
      <c r="E2359" s="1">
        <f t="shared" si="3"/>
        <v>32691.61836</v>
      </c>
      <c r="F2359" s="1">
        <f t="shared" si="4"/>
        <v>61750.83469</v>
      </c>
      <c r="G2359" s="1">
        <f t="shared" si="5"/>
        <v>108972.0612</v>
      </c>
      <c r="H2359" s="1">
        <f t="shared" si="6"/>
        <v>199782.1122</v>
      </c>
      <c r="I2359" s="1">
        <f t="shared" si="7"/>
        <v>326916.1836</v>
      </c>
    </row>
    <row r="2360" hidden="1">
      <c r="A2360" s="266">
        <f>IFERROR(__xludf.DUMMYFUNCTION("""COMPUTED_VALUE"""),44998.99861111111)</f>
        <v>44998.99861</v>
      </c>
      <c r="B2360" s="1">
        <f>IFERROR(__xludf.DUMMYFUNCTION("""COMPUTED_VALUE"""),24194.49)</f>
        <v>24194.49</v>
      </c>
      <c r="C2360" s="58">
        <f t="shared" si="1"/>
        <v>5182.998611</v>
      </c>
      <c r="D2360" s="1">
        <f t="shared" si="2"/>
        <v>18182.34762</v>
      </c>
      <c r="E2360" s="1">
        <f t="shared" si="3"/>
        <v>32728.22571</v>
      </c>
      <c r="F2360" s="1">
        <f t="shared" si="4"/>
        <v>61819.9819</v>
      </c>
      <c r="G2360" s="1">
        <f t="shared" si="5"/>
        <v>109094.0857</v>
      </c>
      <c r="H2360" s="1">
        <f t="shared" si="6"/>
        <v>200005.8238</v>
      </c>
      <c r="I2360" s="1">
        <f t="shared" si="7"/>
        <v>327282.2571</v>
      </c>
    </row>
    <row r="2361" hidden="1">
      <c r="A2361" s="266">
        <f>IFERROR(__xludf.DUMMYFUNCTION("""COMPUTED_VALUE"""),44999.99861111111)</f>
        <v>44999.99861</v>
      </c>
      <c r="B2361" s="1">
        <f>IFERROR(__xludf.DUMMYFUNCTION("""COMPUTED_VALUE"""),24760.07)</f>
        <v>24760.07</v>
      </c>
      <c r="C2361" s="58">
        <f t="shared" si="1"/>
        <v>5183.998611</v>
      </c>
      <c r="D2361" s="1">
        <f t="shared" si="2"/>
        <v>18202.70388</v>
      </c>
      <c r="E2361" s="1">
        <f t="shared" si="3"/>
        <v>32764.86698</v>
      </c>
      <c r="F2361" s="1">
        <f t="shared" si="4"/>
        <v>61889.19318</v>
      </c>
      <c r="G2361" s="1">
        <f t="shared" si="5"/>
        <v>109216.2233</v>
      </c>
      <c r="H2361" s="1">
        <f t="shared" si="6"/>
        <v>200229.7426</v>
      </c>
      <c r="I2361" s="1">
        <f t="shared" si="7"/>
        <v>327648.6698</v>
      </c>
    </row>
    <row r="2362" hidden="1">
      <c r="A2362" s="266">
        <f>IFERROR(__xludf.DUMMYFUNCTION("""COMPUTED_VALUE"""),45000.99861111111)</f>
        <v>45000.99861</v>
      </c>
      <c r="B2362" s="1">
        <f>IFERROR(__xludf.DUMMYFUNCTION("""COMPUTED_VALUE"""),24353.13)</f>
        <v>24353.13</v>
      </c>
      <c r="C2362" s="58">
        <f t="shared" si="1"/>
        <v>5184.998611</v>
      </c>
      <c r="D2362" s="1">
        <f t="shared" si="2"/>
        <v>18223.07899</v>
      </c>
      <c r="E2362" s="1">
        <f t="shared" si="3"/>
        <v>32801.54219</v>
      </c>
      <c r="F2362" s="1">
        <f t="shared" si="4"/>
        <v>61958.46857</v>
      </c>
      <c r="G2362" s="1">
        <f t="shared" si="5"/>
        <v>109338.474</v>
      </c>
      <c r="H2362" s="1">
        <f t="shared" si="6"/>
        <v>200453.8689</v>
      </c>
      <c r="I2362" s="1">
        <f t="shared" si="7"/>
        <v>328015.4219</v>
      </c>
    </row>
    <row r="2363" hidden="1">
      <c r="A2363" s="266">
        <f>IFERROR(__xludf.DUMMYFUNCTION("""COMPUTED_VALUE"""),45001.99861111111)</f>
        <v>45001.99861</v>
      </c>
      <c r="B2363" s="1">
        <f>IFERROR(__xludf.DUMMYFUNCTION("""COMPUTED_VALUE"""),25048.39)</f>
        <v>25048.39</v>
      </c>
      <c r="C2363" s="58">
        <f t="shared" si="1"/>
        <v>5185.998611</v>
      </c>
      <c r="D2363" s="1">
        <f t="shared" si="2"/>
        <v>18243.47298</v>
      </c>
      <c r="E2363" s="1">
        <f t="shared" si="3"/>
        <v>32838.25136</v>
      </c>
      <c r="F2363" s="1">
        <f t="shared" si="4"/>
        <v>62027.80813</v>
      </c>
      <c r="G2363" s="1">
        <f t="shared" si="5"/>
        <v>109460.8379</v>
      </c>
      <c r="H2363" s="1">
        <f t="shared" si="6"/>
        <v>200678.2028</v>
      </c>
      <c r="I2363" s="1">
        <f t="shared" si="7"/>
        <v>328382.5136</v>
      </c>
    </row>
    <row r="2364" hidden="1">
      <c r="A2364" s="266">
        <f>IFERROR(__xludf.DUMMYFUNCTION("""COMPUTED_VALUE"""),45002.99861111111)</f>
        <v>45002.99861</v>
      </c>
      <c r="B2364" s="1">
        <f>IFERROR(__xludf.DUMMYFUNCTION("""COMPUTED_VALUE"""),27410.82)</f>
        <v>27410.82</v>
      </c>
      <c r="C2364" s="58">
        <f t="shared" si="1"/>
        <v>5186.998611</v>
      </c>
      <c r="D2364" s="1">
        <f t="shared" si="2"/>
        <v>18263.88585</v>
      </c>
      <c r="E2364" s="1">
        <f t="shared" si="3"/>
        <v>32874.99453</v>
      </c>
      <c r="F2364" s="1">
        <f t="shared" si="4"/>
        <v>62097.21189</v>
      </c>
      <c r="G2364" s="1">
        <f t="shared" si="5"/>
        <v>109583.3151</v>
      </c>
      <c r="H2364" s="1">
        <f t="shared" si="6"/>
        <v>200902.7444</v>
      </c>
      <c r="I2364" s="1">
        <f t="shared" si="7"/>
        <v>328749.9453</v>
      </c>
    </row>
    <row r="2365" hidden="1">
      <c r="A2365" s="266">
        <f>IFERROR(__xludf.DUMMYFUNCTION("""COMPUTED_VALUE"""),45003.99861111111)</f>
        <v>45003.99861</v>
      </c>
      <c r="B2365" s="1">
        <f>IFERROR(__xludf.DUMMYFUNCTION("""COMPUTED_VALUE"""),26965.2)</f>
        <v>26965.2</v>
      </c>
      <c r="C2365" s="58">
        <f t="shared" si="1"/>
        <v>5187.998611</v>
      </c>
      <c r="D2365" s="1">
        <f t="shared" si="2"/>
        <v>18284.31762</v>
      </c>
      <c r="E2365" s="1">
        <f t="shared" si="3"/>
        <v>32911.77172</v>
      </c>
      <c r="F2365" s="1">
        <f t="shared" si="4"/>
        <v>62166.67991</v>
      </c>
      <c r="G2365" s="1">
        <f t="shared" si="5"/>
        <v>109705.9057</v>
      </c>
      <c r="H2365" s="1">
        <f t="shared" si="6"/>
        <v>201127.4938</v>
      </c>
      <c r="I2365" s="1">
        <f t="shared" si="7"/>
        <v>329117.7172</v>
      </c>
    </row>
    <row r="2366" hidden="1">
      <c r="A2366" s="266">
        <f>IFERROR(__xludf.DUMMYFUNCTION("""COMPUTED_VALUE"""),45004.99861111111)</f>
        <v>45004.99861</v>
      </c>
      <c r="B2366" s="1">
        <f>IFERROR(__xludf.DUMMYFUNCTION("""COMPUTED_VALUE"""),28028.15)</f>
        <v>28028.15</v>
      </c>
      <c r="C2366" s="58">
        <f t="shared" si="1"/>
        <v>5188.998611</v>
      </c>
      <c r="D2366" s="1">
        <f t="shared" si="2"/>
        <v>18304.7683</v>
      </c>
      <c r="E2366" s="1">
        <f t="shared" si="3"/>
        <v>32948.58295</v>
      </c>
      <c r="F2366" s="1">
        <f t="shared" si="4"/>
        <v>62236.21223</v>
      </c>
      <c r="G2366" s="1">
        <f t="shared" si="5"/>
        <v>109828.6098</v>
      </c>
      <c r="H2366" s="1">
        <f t="shared" si="6"/>
        <v>201352.4513</v>
      </c>
      <c r="I2366" s="1">
        <f t="shared" si="7"/>
        <v>329485.8295</v>
      </c>
    </row>
    <row r="2367" hidden="1">
      <c r="A2367" s="266">
        <f>IFERROR(__xludf.DUMMYFUNCTION("""COMPUTED_VALUE"""),45005.99861111111)</f>
        <v>45005.99861</v>
      </c>
      <c r="B2367" s="1">
        <f>IFERROR(__xludf.DUMMYFUNCTION("""COMPUTED_VALUE"""),27787.94)</f>
        <v>27787.94</v>
      </c>
      <c r="C2367" s="58">
        <f t="shared" si="1"/>
        <v>5189.998611</v>
      </c>
      <c r="D2367" s="1">
        <f t="shared" si="2"/>
        <v>18325.23791</v>
      </c>
      <c r="E2367" s="1">
        <f t="shared" si="3"/>
        <v>32985.42824</v>
      </c>
      <c r="F2367" s="1">
        <f t="shared" si="4"/>
        <v>62305.8089</v>
      </c>
      <c r="G2367" s="1">
        <f t="shared" si="5"/>
        <v>109951.4275</v>
      </c>
      <c r="H2367" s="1">
        <f t="shared" si="6"/>
        <v>201577.617</v>
      </c>
      <c r="I2367" s="1">
        <f t="shared" si="7"/>
        <v>329854.2824</v>
      </c>
    </row>
    <row r="2368" hidden="1">
      <c r="A2368" s="266">
        <f>IFERROR(__xludf.DUMMYFUNCTION("""COMPUTED_VALUE"""),45006.99861111111)</f>
        <v>45006.99861</v>
      </c>
      <c r="B2368" s="1">
        <f>IFERROR(__xludf.DUMMYFUNCTION("""COMPUTED_VALUE"""),28181.73)</f>
        <v>28181.73</v>
      </c>
      <c r="C2368" s="58">
        <f t="shared" si="1"/>
        <v>5190.998611</v>
      </c>
      <c r="D2368" s="1">
        <f t="shared" si="2"/>
        <v>18345.72646</v>
      </c>
      <c r="E2368" s="1">
        <f t="shared" si="3"/>
        <v>33022.30763</v>
      </c>
      <c r="F2368" s="1">
        <f t="shared" si="4"/>
        <v>62375.46997</v>
      </c>
      <c r="G2368" s="1">
        <f t="shared" si="5"/>
        <v>110074.3588</v>
      </c>
      <c r="H2368" s="1">
        <f t="shared" si="6"/>
        <v>201802.9911</v>
      </c>
      <c r="I2368" s="1">
        <f t="shared" si="7"/>
        <v>330223.0763</v>
      </c>
    </row>
    <row r="2369" hidden="1">
      <c r="A2369" s="266">
        <f>IFERROR(__xludf.DUMMYFUNCTION("""COMPUTED_VALUE"""),45007.99861111111)</f>
        <v>45007.99861</v>
      </c>
      <c r="B2369" s="1">
        <f>IFERROR(__xludf.DUMMYFUNCTION("""COMPUTED_VALUE"""),27311.64)</f>
        <v>27311.64</v>
      </c>
      <c r="C2369" s="58">
        <f t="shared" si="1"/>
        <v>5191.998611</v>
      </c>
      <c r="D2369" s="1">
        <f t="shared" si="2"/>
        <v>18366.23396</v>
      </c>
      <c r="E2369" s="1">
        <f t="shared" si="3"/>
        <v>33059.22114</v>
      </c>
      <c r="F2369" s="1">
        <f t="shared" si="4"/>
        <v>62445.19548</v>
      </c>
      <c r="G2369" s="1">
        <f t="shared" si="5"/>
        <v>110197.4038</v>
      </c>
      <c r="H2369" s="1">
        <f t="shared" si="6"/>
        <v>202028.5736</v>
      </c>
      <c r="I2369" s="1">
        <f t="shared" si="7"/>
        <v>330592.2114</v>
      </c>
    </row>
    <row r="2370" hidden="1">
      <c r="A2370" s="266">
        <f>IFERROR(__xludf.DUMMYFUNCTION("""COMPUTED_VALUE"""),45008.99861111111)</f>
        <v>45008.99861</v>
      </c>
      <c r="B2370" s="1">
        <f>IFERROR(__xludf.DUMMYFUNCTION("""COMPUTED_VALUE"""),28333.66)</f>
        <v>28333.66</v>
      </c>
      <c r="C2370" s="58">
        <f t="shared" si="1"/>
        <v>5192.998611</v>
      </c>
      <c r="D2370" s="1">
        <f t="shared" si="2"/>
        <v>18386.76044</v>
      </c>
      <c r="E2370" s="1">
        <f t="shared" si="3"/>
        <v>33096.16878</v>
      </c>
      <c r="F2370" s="1">
        <f t="shared" si="4"/>
        <v>62514.98548</v>
      </c>
      <c r="G2370" s="1">
        <f t="shared" si="5"/>
        <v>110320.5626</v>
      </c>
      <c r="H2370" s="1">
        <f t="shared" si="6"/>
        <v>202254.3648</v>
      </c>
      <c r="I2370" s="1">
        <f t="shared" si="7"/>
        <v>330961.6878</v>
      </c>
    </row>
    <row r="2371" hidden="1">
      <c r="A2371" s="266">
        <f>IFERROR(__xludf.DUMMYFUNCTION("""COMPUTED_VALUE"""),45009.99861111111)</f>
        <v>45009.99861</v>
      </c>
      <c r="B2371" s="1">
        <f>IFERROR(__xludf.DUMMYFUNCTION("""COMPUTED_VALUE"""),27477.05)</f>
        <v>27477.05</v>
      </c>
      <c r="C2371" s="58">
        <f t="shared" si="1"/>
        <v>5193.998611</v>
      </c>
      <c r="D2371" s="1">
        <f t="shared" si="2"/>
        <v>18407.30589</v>
      </c>
      <c r="E2371" s="1">
        <f t="shared" si="3"/>
        <v>33133.1506</v>
      </c>
      <c r="F2371" s="1">
        <f t="shared" si="4"/>
        <v>62584.84002</v>
      </c>
      <c r="G2371" s="1">
        <f t="shared" si="5"/>
        <v>110443.8353</v>
      </c>
      <c r="H2371" s="1">
        <f t="shared" si="6"/>
        <v>202480.3648</v>
      </c>
      <c r="I2371" s="1">
        <f t="shared" si="7"/>
        <v>331331.506</v>
      </c>
    </row>
    <row r="2372" hidden="1">
      <c r="A2372" s="266">
        <f>IFERROR(__xludf.DUMMYFUNCTION("""COMPUTED_VALUE"""),45010.99861111111)</f>
        <v>45010.99861</v>
      </c>
      <c r="B2372" s="1">
        <f>IFERROR(__xludf.DUMMYFUNCTION("""COMPUTED_VALUE"""),27487.04)</f>
        <v>27487.04</v>
      </c>
      <c r="C2372" s="58">
        <f t="shared" si="1"/>
        <v>5194.998611</v>
      </c>
      <c r="D2372" s="1">
        <f t="shared" si="2"/>
        <v>18427.87034</v>
      </c>
      <c r="E2372" s="1">
        <f t="shared" si="3"/>
        <v>33170.16661</v>
      </c>
      <c r="F2372" s="1">
        <f t="shared" si="4"/>
        <v>62654.75915</v>
      </c>
      <c r="G2372" s="1">
        <f t="shared" si="5"/>
        <v>110567.222</v>
      </c>
      <c r="H2372" s="1">
        <f t="shared" si="6"/>
        <v>202706.5737</v>
      </c>
      <c r="I2372" s="1">
        <f t="shared" si="7"/>
        <v>331701.6661</v>
      </c>
    </row>
    <row r="2373" hidden="1">
      <c r="A2373" s="266">
        <f>IFERROR(__xludf.DUMMYFUNCTION("""COMPUTED_VALUE"""),45011.99861111111)</f>
        <v>45011.99861</v>
      </c>
      <c r="B2373" s="1">
        <f>IFERROR(__xludf.DUMMYFUNCTION("""COMPUTED_VALUE"""),27993.43)</f>
        <v>27993.43</v>
      </c>
      <c r="C2373" s="58">
        <f t="shared" si="1"/>
        <v>5195.998611</v>
      </c>
      <c r="D2373" s="1">
        <f t="shared" si="2"/>
        <v>18448.4538</v>
      </c>
      <c r="E2373" s="1">
        <f t="shared" si="3"/>
        <v>33207.21683</v>
      </c>
      <c r="F2373" s="1">
        <f t="shared" si="4"/>
        <v>62724.74291</v>
      </c>
      <c r="G2373" s="1">
        <f t="shared" si="5"/>
        <v>110690.7228</v>
      </c>
      <c r="H2373" s="1">
        <f t="shared" si="6"/>
        <v>202932.9918</v>
      </c>
      <c r="I2373" s="1">
        <f t="shared" si="7"/>
        <v>332072.1683</v>
      </c>
    </row>
    <row r="2374" hidden="1">
      <c r="A2374" s="266">
        <f>IFERROR(__xludf.DUMMYFUNCTION("""COMPUTED_VALUE"""),45012.99861111111)</f>
        <v>45012.99861</v>
      </c>
      <c r="B2374" s="1">
        <f>IFERROR(__xludf.DUMMYFUNCTION("""COMPUTED_VALUE"""),27135.23)</f>
        <v>27135.23</v>
      </c>
      <c r="C2374" s="58">
        <f t="shared" si="1"/>
        <v>5196.998611</v>
      </c>
      <c r="D2374" s="1">
        <f t="shared" si="2"/>
        <v>18469.05628</v>
      </c>
      <c r="E2374" s="1">
        <f t="shared" si="3"/>
        <v>33244.3013</v>
      </c>
      <c r="F2374" s="1">
        <f t="shared" si="4"/>
        <v>62794.79134</v>
      </c>
      <c r="G2374" s="1">
        <f t="shared" si="5"/>
        <v>110814.3377</v>
      </c>
      <c r="H2374" s="1">
        <f t="shared" si="6"/>
        <v>203159.6191</v>
      </c>
      <c r="I2374" s="1">
        <f t="shared" si="7"/>
        <v>332443.013</v>
      </c>
    </row>
    <row r="2375" hidden="1">
      <c r="A2375" s="266">
        <f>IFERROR(__xludf.DUMMYFUNCTION("""COMPUTED_VALUE"""),45013.99861111111)</f>
        <v>45013.99861</v>
      </c>
      <c r="B2375" s="1">
        <f>IFERROR(__xludf.DUMMYFUNCTION("""COMPUTED_VALUE"""),27270.56)</f>
        <v>27270.56</v>
      </c>
      <c r="C2375" s="58">
        <f t="shared" si="1"/>
        <v>5197.998611</v>
      </c>
      <c r="D2375" s="1">
        <f t="shared" si="2"/>
        <v>18489.6778</v>
      </c>
      <c r="E2375" s="1">
        <f t="shared" si="3"/>
        <v>33281.42003</v>
      </c>
      <c r="F2375" s="1">
        <f t="shared" si="4"/>
        <v>62864.90451</v>
      </c>
      <c r="G2375" s="1">
        <f t="shared" si="5"/>
        <v>110938.0668</v>
      </c>
      <c r="H2375" s="1">
        <f t="shared" si="6"/>
        <v>203386.4558</v>
      </c>
      <c r="I2375" s="1">
        <f t="shared" si="7"/>
        <v>332814.2003</v>
      </c>
    </row>
    <row r="2376" hidden="1">
      <c r="A2376" s="266">
        <f>IFERROR(__xludf.DUMMYFUNCTION("""COMPUTED_VALUE"""),45014.99861111111)</f>
        <v>45014.99861</v>
      </c>
      <c r="B2376" s="1">
        <f>IFERROR(__xludf.DUMMYFUNCTION("""COMPUTED_VALUE"""),28352.95)</f>
        <v>28352.95</v>
      </c>
      <c r="C2376" s="58">
        <f t="shared" si="1"/>
        <v>5198.998611</v>
      </c>
      <c r="D2376" s="1">
        <f t="shared" si="2"/>
        <v>18510.31837</v>
      </c>
      <c r="E2376" s="1">
        <f t="shared" si="3"/>
        <v>33318.57306</v>
      </c>
      <c r="F2376" s="1">
        <f t="shared" si="4"/>
        <v>62935.08245</v>
      </c>
      <c r="G2376" s="1">
        <f t="shared" si="5"/>
        <v>111061.9102</v>
      </c>
      <c r="H2376" s="1">
        <f t="shared" si="6"/>
        <v>203613.502</v>
      </c>
      <c r="I2376" s="1">
        <f t="shared" si="7"/>
        <v>333185.7306</v>
      </c>
    </row>
    <row r="2377" hidden="1">
      <c r="A2377" s="266">
        <f>IFERROR(__xludf.DUMMYFUNCTION("""COMPUTED_VALUE"""),45015.99861111111)</f>
        <v>45015.99861</v>
      </c>
      <c r="B2377" s="1">
        <f>IFERROR(__xludf.DUMMYFUNCTION("""COMPUTED_VALUE"""),28036.68)</f>
        <v>28036.68</v>
      </c>
      <c r="C2377" s="58">
        <f t="shared" si="1"/>
        <v>5199.998611</v>
      </c>
      <c r="D2377" s="1">
        <f t="shared" si="2"/>
        <v>18530.978</v>
      </c>
      <c r="E2377" s="1">
        <f t="shared" si="3"/>
        <v>33355.76041</v>
      </c>
      <c r="F2377" s="1">
        <f t="shared" si="4"/>
        <v>63005.32521</v>
      </c>
      <c r="G2377" s="1">
        <f t="shared" si="5"/>
        <v>111185.868</v>
      </c>
      <c r="H2377" s="1">
        <f t="shared" si="6"/>
        <v>203840.758</v>
      </c>
      <c r="I2377" s="1">
        <f t="shared" si="7"/>
        <v>333557.6041</v>
      </c>
    </row>
    <row r="2378" hidden="1">
      <c r="A2378" s="266">
        <f>IFERROR(__xludf.DUMMYFUNCTION("""COMPUTED_VALUE"""),45016.99861111111)</f>
        <v>45016.99861</v>
      </c>
      <c r="B2378" s="1">
        <f>IFERROR(__xludf.DUMMYFUNCTION("""COMPUTED_VALUE"""),28474.26)</f>
        <v>28474.26</v>
      </c>
      <c r="C2378" s="58">
        <f t="shared" si="1"/>
        <v>5200.998611</v>
      </c>
      <c r="D2378" s="1">
        <f t="shared" si="2"/>
        <v>18551.65672</v>
      </c>
      <c r="E2378" s="1">
        <f t="shared" si="3"/>
        <v>33392.98209</v>
      </c>
      <c r="F2378" s="1">
        <f t="shared" si="4"/>
        <v>63075.63284</v>
      </c>
      <c r="G2378" s="1">
        <f t="shared" si="5"/>
        <v>111309.9403</v>
      </c>
      <c r="H2378" s="1">
        <f t="shared" si="6"/>
        <v>204068.2239</v>
      </c>
      <c r="I2378" s="1">
        <f t="shared" si="7"/>
        <v>333929.8209</v>
      </c>
    </row>
    <row r="2379" hidden="1">
      <c r="A2379" s="266">
        <f>IFERROR(__xludf.DUMMYFUNCTION("""COMPUTED_VALUE"""),45017.99861111111)</f>
        <v>45017.99861</v>
      </c>
      <c r="B2379" s="1">
        <f>IFERROR(__xludf.DUMMYFUNCTION("""COMPUTED_VALUE"""),28463.44)</f>
        <v>28463.44</v>
      </c>
      <c r="C2379" s="58">
        <f t="shared" si="1"/>
        <v>5201.998611</v>
      </c>
      <c r="D2379" s="1">
        <f t="shared" si="2"/>
        <v>18572.35453</v>
      </c>
      <c r="E2379" s="1">
        <f t="shared" si="3"/>
        <v>33430.23815</v>
      </c>
      <c r="F2379" s="1">
        <f t="shared" si="4"/>
        <v>63146.00539</v>
      </c>
      <c r="G2379" s="1">
        <f t="shared" si="5"/>
        <v>111434.1272</v>
      </c>
      <c r="H2379" s="1">
        <f t="shared" si="6"/>
        <v>204295.8998</v>
      </c>
      <c r="I2379" s="1">
        <f t="shared" si="7"/>
        <v>334302.3815</v>
      </c>
    </row>
    <row r="2380" hidden="1">
      <c r="A2380" s="266">
        <f>IFERROR(__xludf.DUMMYFUNCTION("""COMPUTED_VALUE"""),45018.99861111111)</f>
        <v>45018.99861</v>
      </c>
      <c r="B2380" s="1">
        <f>IFERROR(__xludf.DUMMYFUNCTION("""COMPUTED_VALUE"""),28188.3)</f>
        <v>28188.3</v>
      </c>
      <c r="C2380" s="58">
        <f t="shared" si="1"/>
        <v>5202.998611</v>
      </c>
      <c r="D2380" s="1">
        <f t="shared" si="2"/>
        <v>18593.07144</v>
      </c>
      <c r="E2380" s="1">
        <f t="shared" si="3"/>
        <v>33467.5286</v>
      </c>
      <c r="F2380" s="1">
        <f t="shared" si="4"/>
        <v>63216.44291</v>
      </c>
      <c r="G2380" s="1">
        <f t="shared" si="5"/>
        <v>111558.4287</v>
      </c>
      <c r="H2380" s="1">
        <f t="shared" si="6"/>
        <v>204523.7859</v>
      </c>
      <c r="I2380" s="1">
        <f t="shared" si="7"/>
        <v>334675.286</v>
      </c>
    </row>
    <row r="2381" hidden="1">
      <c r="A2381" s="266">
        <f>IFERROR(__xludf.DUMMYFUNCTION("""COMPUTED_VALUE"""),45019.99861111111)</f>
        <v>45019.99861</v>
      </c>
      <c r="B2381" s="1">
        <f>IFERROR(__xludf.DUMMYFUNCTION("""COMPUTED_VALUE"""),27805.71)</f>
        <v>27805.71</v>
      </c>
      <c r="C2381" s="58">
        <f t="shared" si="1"/>
        <v>5203.998611</v>
      </c>
      <c r="D2381" s="1">
        <f t="shared" si="2"/>
        <v>18613.80748</v>
      </c>
      <c r="E2381" s="1">
        <f t="shared" si="3"/>
        <v>33504.85346</v>
      </c>
      <c r="F2381" s="1">
        <f t="shared" si="4"/>
        <v>63286.94543</v>
      </c>
      <c r="G2381" s="1">
        <f t="shared" si="5"/>
        <v>111682.8449</v>
      </c>
      <c r="H2381" s="1">
        <f t="shared" si="6"/>
        <v>204751.8823</v>
      </c>
      <c r="I2381" s="1">
        <f t="shared" si="7"/>
        <v>335048.5346</v>
      </c>
    </row>
    <row r="2382" hidden="1">
      <c r="A2382" s="266">
        <f>IFERROR(__xludf.DUMMYFUNCTION("""COMPUTED_VALUE"""),45020.99861111111)</f>
        <v>45020.99861</v>
      </c>
      <c r="B2382" s="1">
        <f>IFERROR(__xludf.DUMMYFUNCTION("""COMPUTED_VALUE"""),28169.03)</f>
        <v>28169.03</v>
      </c>
      <c r="C2382" s="58">
        <f t="shared" si="1"/>
        <v>5204.998611</v>
      </c>
      <c r="D2382" s="1">
        <f t="shared" si="2"/>
        <v>18634.56265</v>
      </c>
      <c r="E2382" s="1">
        <f t="shared" si="3"/>
        <v>33542.21277</v>
      </c>
      <c r="F2382" s="1">
        <f t="shared" si="4"/>
        <v>63357.51301</v>
      </c>
      <c r="G2382" s="1">
        <f t="shared" si="5"/>
        <v>111807.3759</v>
      </c>
      <c r="H2382" s="1">
        <f t="shared" si="6"/>
        <v>204980.1892</v>
      </c>
      <c r="I2382" s="1">
        <f t="shared" si="7"/>
        <v>335422.1277</v>
      </c>
    </row>
    <row r="2383" hidden="1">
      <c r="A2383" s="266">
        <f>IFERROR(__xludf.DUMMYFUNCTION("""COMPUTED_VALUE"""),45021.99861111111)</f>
        <v>45021.99861</v>
      </c>
      <c r="B2383" s="1">
        <f>IFERROR(__xludf.DUMMYFUNCTION("""COMPUTED_VALUE"""),28176.88)</f>
        <v>28176.88</v>
      </c>
      <c r="C2383" s="58">
        <f t="shared" si="1"/>
        <v>5205.998611</v>
      </c>
      <c r="D2383" s="1">
        <f t="shared" si="2"/>
        <v>18655.33697</v>
      </c>
      <c r="E2383" s="1">
        <f t="shared" si="3"/>
        <v>33579.60655</v>
      </c>
      <c r="F2383" s="1">
        <f t="shared" si="4"/>
        <v>63428.1457</v>
      </c>
      <c r="G2383" s="1">
        <f t="shared" si="5"/>
        <v>111932.0218</v>
      </c>
      <c r="H2383" s="1">
        <f t="shared" si="6"/>
        <v>205208.7067</v>
      </c>
      <c r="I2383" s="1">
        <f t="shared" si="7"/>
        <v>335796.0655</v>
      </c>
    </row>
    <row r="2384" hidden="1">
      <c r="A2384" s="266">
        <f>IFERROR(__xludf.DUMMYFUNCTION("""COMPUTED_VALUE"""),45022.99861111111)</f>
        <v>45022.99861</v>
      </c>
      <c r="B2384" s="1">
        <f>IFERROR(__xludf.DUMMYFUNCTION("""COMPUTED_VALUE"""),28044.15)</f>
        <v>28044.15</v>
      </c>
      <c r="C2384" s="58">
        <f t="shared" si="1"/>
        <v>5206.998611</v>
      </c>
      <c r="D2384" s="1">
        <f t="shared" si="2"/>
        <v>18676.13046</v>
      </c>
      <c r="E2384" s="1">
        <f t="shared" si="3"/>
        <v>33617.03482</v>
      </c>
      <c r="F2384" s="1">
        <f t="shared" si="4"/>
        <v>63498.84355</v>
      </c>
      <c r="G2384" s="1">
        <f t="shared" si="5"/>
        <v>112056.7827</v>
      </c>
      <c r="H2384" s="1">
        <f t="shared" si="6"/>
        <v>205437.435</v>
      </c>
      <c r="I2384" s="1">
        <f t="shared" si="7"/>
        <v>336170.3482</v>
      </c>
    </row>
    <row r="2385" hidden="1">
      <c r="A2385" s="266">
        <f>IFERROR(__xludf.DUMMYFUNCTION("""COMPUTED_VALUE"""),45023.99861111111)</f>
        <v>45023.99861</v>
      </c>
      <c r="B2385" s="1">
        <f>IFERROR(__xludf.DUMMYFUNCTION("""COMPUTED_VALUE"""),27920.95)</f>
        <v>27920.95</v>
      </c>
      <c r="C2385" s="58">
        <f t="shared" si="1"/>
        <v>5207.998611</v>
      </c>
      <c r="D2385" s="1">
        <f t="shared" si="2"/>
        <v>18696.94312</v>
      </c>
      <c r="E2385" s="1">
        <f t="shared" si="3"/>
        <v>33654.49761</v>
      </c>
      <c r="F2385" s="1">
        <f t="shared" si="4"/>
        <v>63569.6066</v>
      </c>
      <c r="G2385" s="1">
        <f t="shared" si="5"/>
        <v>112181.6587</v>
      </c>
      <c r="H2385" s="1">
        <f t="shared" si="6"/>
        <v>205666.3743</v>
      </c>
      <c r="I2385" s="1">
        <f t="shared" si="7"/>
        <v>336544.9761</v>
      </c>
    </row>
    <row r="2386" hidden="1">
      <c r="A2386" s="266">
        <f>IFERROR(__xludf.DUMMYFUNCTION("""COMPUTED_VALUE"""),45024.99861111111)</f>
        <v>45024.99861</v>
      </c>
      <c r="B2386" s="1">
        <f>IFERROR(__xludf.DUMMYFUNCTION("""COMPUTED_VALUE"""),27952.19)</f>
        <v>27952.19</v>
      </c>
      <c r="C2386" s="58">
        <f t="shared" si="1"/>
        <v>5208.998611</v>
      </c>
      <c r="D2386" s="1">
        <f t="shared" si="2"/>
        <v>18717.77497</v>
      </c>
      <c r="E2386" s="1">
        <f t="shared" si="3"/>
        <v>33691.99494</v>
      </c>
      <c r="F2386" s="1">
        <f t="shared" si="4"/>
        <v>63640.43489</v>
      </c>
      <c r="G2386" s="1">
        <f t="shared" si="5"/>
        <v>112306.6498</v>
      </c>
      <c r="H2386" s="1">
        <f t="shared" si="6"/>
        <v>205895.5247</v>
      </c>
      <c r="I2386" s="1">
        <f t="shared" si="7"/>
        <v>336919.9494</v>
      </c>
    </row>
    <row r="2387" hidden="1">
      <c r="A2387" s="266">
        <f>IFERROR(__xludf.DUMMYFUNCTION("""COMPUTED_VALUE"""),45025.99861111111)</f>
        <v>45025.99861</v>
      </c>
      <c r="B2387" s="1">
        <f>IFERROR(__xludf.DUMMYFUNCTION("""COMPUTED_VALUE"""),28335.4)</f>
        <v>28335.4</v>
      </c>
      <c r="C2387" s="58">
        <f t="shared" si="1"/>
        <v>5209.998611</v>
      </c>
      <c r="D2387" s="1">
        <f t="shared" si="2"/>
        <v>18738.62603</v>
      </c>
      <c r="E2387" s="1">
        <f t="shared" si="3"/>
        <v>33729.52685</v>
      </c>
      <c r="F2387" s="1">
        <f t="shared" si="4"/>
        <v>63711.32849</v>
      </c>
      <c r="G2387" s="1">
        <f t="shared" si="5"/>
        <v>112431.7562</v>
      </c>
      <c r="H2387" s="1">
        <f t="shared" si="6"/>
        <v>206124.8863</v>
      </c>
      <c r="I2387" s="1">
        <f t="shared" si="7"/>
        <v>337295.2685</v>
      </c>
    </row>
    <row r="2388" hidden="1">
      <c r="A2388" s="266">
        <f>IFERROR(__xludf.DUMMYFUNCTION("""COMPUTED_VALUE"""),45026.99861111111)</f>
        <v>45026.99861</v>
      </c>
      <c r="B2388" s="1">
        <f>IFERROR(__xludf.DUMMYFUNCTION("""COMPUTED_VALUE"""),29651.67)</f>
        <v>29651.67</v>
      </c>
      <c r="C2388" s="58">
        <f t="shared" si="1"/>
        <v>5210.998611</v>
      </c>
      <c r="D2388" s="1">
        <f t="shared" si="2"/>
        <v>18759.4963</v>
      </c>
      <c r="E2388" s="1">
        <f t="shared" si="3"/>
        <v>33767.09334</v>
      </c>
      <c r="F2388" s="1">
        <f t="shared" si="4"/>
        <v>63782.28743</v>
      </c>
      <c r="G2388" s="1">
        <f t="shared" si="5"/>
        <v>112556.9778</v>
      </c>
      <c r="H2388" s="1">
        <f t="shared" si="6"/>
        <v>206354.4593</v>
      </c>
      <c r="I2388" s="1">
        <f t="shared" si="7"/>
        <v>337670.9334</v>
      </c>
    </row>
    <row r="2389" hidden="1">
      <c r="A2389" s="266">
        <f>IFERROR(__xludf.DUMMYFUNCTION("""COMPUTED_VALUE"""),45027.99861111111)</f>
        <v>45027.99861</v>
      </c>
      <c r="B2389" s="1">
        <f>IFERROR(__xludf.DUMMYFUNCTION("""COMPUTED_VALUE"""),30222.64)</f>
        <v>30222.64</v>
      </c>
      <c r="C2389" s="58">
        <f t="shared" si="1"/>
        <v>5211.998611</v>
      </c>
      <c r="D2389" s="1">
        <f t="shared" si="2"/>
        <v>18780.38581</v>
      </c>
      <c r="E2389" s="1">
        <f t="shared" si="3"/>
        <v>33804.69446</v>
      </c>
      <c r="F2389" s="1">
        <f t="shared" si="4"/>
        <v>63853.31176</v>
      </c>
      <c r="G2389" s="1">
        <f t="shared" si="5"/>
        <v>112682.3149</v>
      </c>
      <c r="H2389" s="1">
        <f t="shared" si="6"/>
        <v>206584.2439</v>
      </c>
      <c r="I2389" s="1">
        <f t="shared" si="7"/>
        <v>338046.9446</v>
      </c>
    </row>
    <row r="2390" hidden="1">
      <c r="A2390" s="266">
        <f>IFERROR(__xludf.DUMMYFUNCTION("""COMPUTED_VALUE"""),45028.99861111111)</f>
        <v>45028.99861</v>
      </c>
      <c r="B2390" s="1">
        <f>IFERROR(__xludf.DUMMYFUNCTION("""COMPUTED_VALUE"""),29896.73)</f>
        <v>29896.73</v>
      </c>
      <c r="C2390" s="58">
        <f t="shared" si="1"/>
        <v>5212.998611</v>
      </c>
      <c r="D2390" s="1">
        <f t="shared" si="2"/>
        <v>18801.29457</v>
      </c>
      <c r="E2390" s="1">
        <f t="shared" si="3"/>
        <v>33842.33022</v>
      </c>
      <c r="F2390" s="1">
        <f t="shared" si="4"/>
        <v>63924.40153</v>
      </c>
      <c r="G2390" s="1">
        <f t="shared" si="5"/>
        <v>112807.7674</v>
      </c>
      <c r="H2390" s="1">
        <f t="shared" si="6"/>
        <v>206814.2402</v>
      </c>
      <c r="I2390" s="1">
        <f t="shared" si="7"/>
        <v>338423.3022</v>
      </c>
    </row>
    <row r="2391" hidden="1">
      <c r="A2391" s="266">
        <f>IFERROR(__xludf.DUMMYFUNCTION("""COMPUTED_VALUE"""),45029.99861111111)</f>
        <v>45029.99861</v>
      </c>
      <c r="B2391" s="1">
        <f>IFERROR(__xludf.DUMMYFUNCTION("""COMPUTED_VALUE"""),30394.77)</f>
        <v>30394.77</v>
      </c>
      <c r="C2391" s="58">
        <f t="shared" si="1"/>
        <v>5213.998611</v>
      </c>
      <c r="D2391" s="1">
        <f t="shared" si="2"/>
        <v>18822.22258</v>
      </c>
      <c r="E2391" s="1">
        <f t="shared" si="3"/>
        <v>33880.00065</v>
      </c>
      <c r="F2391" s="1">
        <f t="shared" si="4"/>
        <v>63995.55679</v>
      </c>
      <c r="G2391" s="1">
        <f t="shared" si="5"/>
        <v>112933.3355</v>
      </c>
      <c r="H2391" s="1">
        <f t="shared" si="6"/>
        <v>207044.4484</v>
      </c>
      <c r="I2391" s="1">
        <f t="shared" si="7"/>
        <v>338800.0065</v>
      </c>
    </row>
    <row r="2392" hidden="1">
      <c r="A2392" s="266">
        <f>IFERROR(__xludf.DUMMYFUNCTION("""COMPUTED_VALUE"""),45030.99861111111)</f>
        <v>45030.99861</v>
      </c>
      <c r="B2392" s="1">
        <f>IFERROR(__xludf.DUMMYFUNCTION("""COMPUTED_VALUE"""),30479.65)</f>
        <v>30479.65</v>
      </c>
      <c r="C2392" s="58">
        <f t="shared" si="1"/>
        <v>5214.998611</v>
      </c>
      <c r="D2392" s="1">
        <f t="shared" si="2"/>
        <v>18843.16988</v>
      </c>
      <c r="E2392" s="1">
        <f t="shared" si="3"/>
        <v>33917.70578</v>
      </c>
      <c r="F2392" s="1">
        <f t="shared" si="4"/>
        <v>64066.77758</v>
      </c>
      <c r="G2392" s="1">
        <f t="shared" si="5"/>
        <v>113059.0193</v>
      </c>
      <c r="H2392" s="1">
        <f t="shared" si="6"/>
        <v>207274.8686</v>
      </c>
      <c r="I2392" s="1">
        <f t="shared" si="7"/>
        <v>339177.0578</v>
      </c>
    </row>
    <row r="2393" hidden="1">
      <c r="A2393" s="266">
        <f>IFERROR(__xludf.DUMMYFUNCTION("""COMPUTED_VALUE"""),45031.99861111111)</f>
        <v>45031.99861</v>
      </c>
      <c r="B2393" s="1">
        <f>IFERROR(__xludf.DUMMYFUNCTION("""COMPUTED_VALUE"""),30312.92)</f>
        <v>30312.92</v>
      </c>
      <c r="C2393" s="58">
        <f t="shared" si="1"/>
        <v>5215.998611</v>
      </c>
      <c r="D2393" s="1">
        <f t="shared" si="2"/>
        <v>18864.13646</v>
      </c>
      <c r="E2393" s="1">
        <f t="shared" si="3"/>
        <v>33955.44562</v>
      </c>
      <c r="F2393" s="1">
        <f t="shared" si="4"/>
        <v>64138.06396</v>
      </c>
      <c r="G2393" s="1">
        <f t="shared" si="5"/>
        <v>113184.8187</v>
      </c>
      <c r="H2393" s="1">
        <f t="shared" si="6"/>
        <v>207505.501</v>
      </c>
      <c r="I2393" s="1">
        <f t="shared" si="7"/>
        <v>339554.4562</v>
      </c>
    </row>
    <row r="2394" hidden="1">
      <c r="A2394" s="266">
        <f>IFERROR(__xludf.DUMMYFUNCTION("""COMPUTED_VALUE"""),45032.99861111111)</f>
        <v>45032.99861</v>
      </c>
      <c r="B2394" s="1">
        <f>IFERROR(__xludf.DUMMYFUNCTION("""COMPUTED_VALUE"""),30313.36)</f>
        <v>30313.36</v>
      </c>
      <c r="C2394" s="58">
        <f t="shared" si="1"/>
        <v>5216.998611</v>
      </c>
      <c r="D2394" s="1">
        <f t="shared" si="2"/>
        <v>18885.12234</v>
      </c>
      <c r="E2394" s="1">
        <f t="shared" si="3"/>
        <v>33993.22022</v>
      </c>
      <c r="F2394" s="1">
        <f t="shared" si="4"/>
        <v>64209.41597</v>
      </c>
      <c r="G2394" s="1">
        <f t="shared" si="5"/>
        <v>113310.7341</v>
      </c>
      <c r="H2394" s="1">
        <f t="shared" si="6"/>
        <v>207736.3458</v>
      </c>
      <c r="I2394" s="1">
        <f t="shared" si="7"/>
        <v>339932.2022</v>
      </c>
    </row>
    <row r="2395" hidden="1">
      <c r="A2395" s="266">
        <f>IFERROR(__xludf.DUMMYFUNCTION("""COMPUTED_VALUE"""),45033.99861111111)</f>
        <v>45033.99861</v>
      </c>
      <c r="B2395" s="1">
        <f>IFERROR(__xludf.DUMMYFUNCTION("""COMPUTED_VALUE"""),29443.38)</f>
        <v>29443.38</v>
      </c>
      <c r="C2395" s="58">
        <f t="shared" si="1"/>
        <v>5217.998611</v>
      </c>
      <c r="D2395" s="1">
        <f t="shared" si="2"/>
        <v>18906.12755</v>
      </c>
      <c r="E2395" s="1">
        <f t="shared" si="3"/>
        <v>34031.02958</v>
      </c>
      <c r="F2395" s="1">
        <f t="shared" si="4"/>
        <v>64280.83365</v>
      </c>
      <c r="G2395" s="1">
        <f t="shared" si="5"/>
        <v>113436.7653</v>
      </c>
      <c r="H2395" s="1">
        <f t="shared" si="6"/>
        <v>207967.403</v>
      </c>
      <c r="I2395" s="1">
        <f t="shared" si="7"/>
        <v>340310.2958</v>
      </c>
    </row>
    <row r="2396" hidden="1">
      <c r="A2396" s="266">
        <f>IFERROR(__xludf.DUMMYFUNCTION("""COMPUTED_VALUE"""),45034.99861111111)</f>
        <v>45034.99861</v>
      </c>
      <c r="B2396" s="1">
        <f>IFERROR(__xludf.DUMMYFUNCTION("""COMPUTED_VALUE"""),30389.2)</f>
        <v>30389.2</v>
      </c>
      <c r="C2396" s="58">
        <f t="shared" si="1"/>
        <v>5218.998611</v>
      </c>
      <c r="D2396" s="1">
        <f t="shared" si="2"/>
        <v>18927.15208</v>
      </c>
      <c r="E2396" s="1">
        <f t="shared" si="3"/>
        <v>34068.87374</v>
      </c>
      <c r="F2396" s="1">
        <f t="shared" si="4"/>
        <v>64352.31707</v>
      </c>
      <c r="G2396" s="1">
        <f t="shared" si="5"/>
        <v>113562.9125</v>
      </c>
      <c r="H2396" s="1">
        <f t="shared" si="6"/>
        <v>208198.6729</v>
      </c>
      <c r="I2396" s="1">
        <f t="shared" si="7"/>
        <v>340688.7374</v>
      </c>
    </row>
    <row r="2397" hidden="1">
      <c r="A2397" s="266">
        <f>IFERROR(__xludf.DUMMYFUNCTION("""COMPUTED_VALUE"""),45035.99861111111)</f>
        <v>45035.99861</v>
      </c>
      <c r="B2397" s="1">
        <f>IFERROR(__xludf.DUMMYFUNCTION("""COMPUTED_VALUE"""),28816.74)</f>
        <v>28816.74</v>
      </c>
      <c r="C2397" s="58">
        <f t="shared" si="1"/>
        <v>5219.998611</v>
      </c>
      <c r="D2397" s="1">
        <f t="shared" si="2"/>
        <v>18948.19596</v>
      </c>
      <c r="E2397" s="1">
        <f t="shared" si="3"/>
        <v>34106.75272</v>
      </c>
      <c r="F2397" s="1">
        <f t="shared" si="4"/>
        <v>64423.86626</v>
      </c>
      <c r="G2397" s="1">
        <f t="shared" si="5"/>
        <v>113689.1757</v>
      </c>
      <c r="H2397" s="1">
        <f t="shared" si="6"/>
        <v>208430.1555</v>
      </c>
      <c r="I2397" s="1">
        <f t="shared" si="7"/>
        <v>341067.5272</v>
      </c>
    </row>
    <row r="2398" hidden="1">
      <c r="A2398" s="266">
        <f>IFERROR(__xludf.DUMMYFUNCTION("""COMPUTED_VALUE"""),45036.99861111111)</f>
        <v>45036.99861</v>
      </c>
      <c r="B2398" s="1">
        <f>IFERROR(__xludf.DUMMYFUNCTION("""COMPUTED_VALUE"""),28238.7)</f>
        <v>28238.7</v>
      </c>
      <c r="C2398" s="58">
        <f t="shared" si="1"/>
        <v>5220.998611</v>
      </c>
      <c r="D2398" s="1">
        <f t="shared" si="2"/>
        <v>18969.2592</v>
      </c>
      <c r="E2398" s="1">
        <f t="shared" si="3"/>
        <v>34144.66655</v>
      </c>
      <c r="F2398" s="1">
        <f t="shared" si="4"/>
        <v>64495.48127</v>
      </c>
      <c r="G2398" s="1">
        <f t="shared" si="5"/>
        <v>113815.5552</v>
      </c>
      <c r="H2398" s="1">
        <f t="shared" si="6"/>
        <v>208661.8512</v>
      </c>
      <c r="I2398" s="1">
        <f t="shared" si="7"/>
        <v>341446.6655</v>
      </c>
    </row>
    <row r="2399" hidden="1">
      <c r="A2399" s="266">
        <f>IFERROR(__xludf.DUMMYFUNCTION("""COMPUTED_VALUE"""),45037.99861111111)</f>
        <v>45037.99861</v>
      </c>
      <c r="B2399" s="1">
        <f>IFERROR(__xludf.DUMMYFUNCTION("""COMPUTED_VALUE"""),27260.15)</f>
        <v>27260.15</v>
      </c>
      <c r="C2399" s="58">
        <f t="shared" si="1"/>
        <v>5221.998611</v>
      </c>
      <c r="D2399" s="1">
        <f t="shared" si="2"/>
        <v>18990.34181</v>
      </c>
      <c r="E2399" s="1">
        <f t="shared" si="3"/>
        <v>34182.61526</v>
      </c>
      <c r="F2399" s="1">
        <f t="shared" si="4"/>
        <v>64567.16215</v>
      </c>
      <c r="G2399" s="1">
        <f t="shared" si="5"/>
        <v>113942.0509</v>
      </c>
      <c r="H2399" s="1">
        <f t="shared" si="6"/>
        <v>208893.7599</v>
      </c>
      <c r="I2399" s="1">
        <f t="shared" si="7"/>
        <v>341826.1526</v>
      </c>
    </row>
    <row r="2400" hidden="1">
      <c r="A2400" s="266">
        <f>IFERROR(__xludf.DUMMYFUNCTION("""COMPUTED_VALUE"""),45038.99861111111)</f>
        <v>45038.99861</v>
      </c>
      <c r="B2400" s="1">
        <f>IFERROR(__xludf.DUMMYFUNCTION("""COMPUTED_VALUE"""),27816.5)</f>
        <v>27816.5</v>
      </c>
      <c r="C2400" s="58">
        <f t="shared" si="1"/>
        <v>5222.998611</v>
      </c>
      <c r="D2400" s="1">
        <f t="shared" si="2"/>
        <v>19011.44381</v>
      </c>
      <c r="E2400" s="1">
        <f t="shared" si="3"/>
        <v>34220.59886</v>
      </c>
      <c r="F2400" s="1">
        <f t="shared" si="4"/>
        <v>64638.90895</v>
      </c>
      <c r="G2400" s="1">
        <f t="shared" si="5"/>
        <v>114068.6629</v>
      </c>
      <c r="H2400" s="1">
        <f t="shared" si="6"/>
        <v>209125.8819</v>
      </c>
      <c r="I2400" s="1">
        <f t="shared" si="7"/>
        <v>342205.9886</v>
      </c>
    </row>
    <row r="2401" hidden="1">
      <c r="A2401" s="266">
        <f>IFERROR(__xludf.DUMMYFUNCTION("""COMPUTED_VALUE"""),45039.99861111111)</f>
        <v>45039.99861</v>
      </c>
      <c r="B2401" s="1">
        <f>IFERROR(__xludf.DUMMYFUNCTION("""COMPUTED_VALUE"""),27591.99)</f>
        <v>27591.99</v>
      </c>
      <c r="C2401" s="58">
        <f t="shared" si="1"/>
        <v>5223.998611</v>
      </c>
      <c r="D2401" s="1">
        <f t="shared" si="2"/>
        <v>19032.56521</v>
      </c>
      <c r="E2401" s="1">
        <f t="shared" si="3"/>
        <v>34258.61738</v>
      </c>
      <c r="F2401" s="1">
        <f t="shared" si="4"/>
        <v>64710.72172</v>
      </c>
      <c r="G2401" s="1">
        <f t="shared" si="5"/>
        <v>114195.3913</v>
      </c>
      <c r="H2401" s="1">
        <f t="shared" si="6"/>
        <v>209358.2173</v>
      </c>
      <c r="I2401" s="1">
        <f t="shared" si="7"/>
        <v>342586.1738</v>
      </c>
    </row>
    <row r="2402" hidden="1">
      <c r="A2402" s="266">
        <f>IFERROR(__xludf.DUMMYFUNCTION("""COMPUTED_VALUE"""),45040.99861111111)</f>
        <v>45040.99861</v>
      </c>
      <c r="B2402" s="1">
        <f>IFERROR(__xludf.DUMMYFUNCTION("""COMPUTED_VALUE"""),27514.24)</f>
        <v>27514.24</v>
      </c>
      <c r="C2402" s="58">
        <f t="shared" si="1"/>
        <v>5224.998611</v>
      </c>
      <c r="D2402" s="1">
        <f t="shared" si="2"/>
        <v>19053.70603</v>
      </c>
      <c r="E2402" s="1">
        <f t="shared" si="3"/>
        <v>34296.67085</v>
      </c>
      <c r="F2402" s="1">
        <f t="shared" si="4"/>
        <v>64782.6005</v>
      </c>
      <c r="G2402" s="1">
        <f t="shared" si="5"/>
        <v>114322.2362</v>
      </c>
      <c r="H2402" s="1">
        <f t="shared" si="6"/>
        <v>209590.7663</v>
      </c>
      <c r="I2402" s="1">
        <f t="shared" si="7"/>
        <v>342966.7085</v>
      </c>
    </row>
    <row r="2403" hidden="1">
      <c r="A2403" s="266">
        <f>IFERROR(__xludf.DUMMYFUNCTION("""COMPUTED_VALUE"""),45041.99861111111)</f>
        <v>45041.99861</v>
      </c>
      <c r="B2403" s="1">
        <f>IFERROR(__xludf.DUMMYFUNCTION("""COMPUTED_VALUE"""),28300.83)</f>
        <v>28300.83</v>
      </c>
      <c r="C2403" s="58">
        <f t="shared" si="1"/>
        <v>5225.998611</v>
      </c>
      <c r="D2403" s="1">
        <f t="shared" si="2"/>
        <v>19074.86628</v>
      </c>
      <c r="E2403" s="1">
        <f t="shared" si="3"/>
        <v>34334.7593</v>
      </c>
      <c r="F2403" s="1">
        <f t="shared" si="4"/>
        <v>64854.54535</v>
      </c>
      <c r="G2403" s="1">
        <f t="shared" si="5"/>
        <v>114449.1977</v>
      </c>
      <c r="H2403" s="1">
        <f t="shared" si="6"/>
        <v>209823.5291</v>
      </c>
      <c r="I2403" s="1">
        <f t="shared" si="7"/>
        <v>343347.593</v>
      </c>
    </row>
    <row r="2404" hidden="1">
      <c r="A2404" s="266">
        <f>IFERROR(__xludf.DUMMYFUNCTION("""COMPUTED_VALUE"""),45042.99861111111)</f>
        <v>45042.99861</v>
      </c>
      <c r="B2404" s="1">
        <f>IFERROR(__xludf.DUMMYFUNCTION("""COMPUTED_VALUE"""),28423.93)</f>
        <v>28423.93</v>
      </c>
      <c r="C2404" s="58">
        <f t="shared" si="1"/>
        <v>5226.998611</v>
      </c>
      <c r="D2404" s="1">
        <f t="shared" si="2"/>
        <v>19096.04597</v>
      </c>
      <c r="E2404" s="1">
        <f t="shared" si="3"/>
        <v>34372.88275</v>
      </c>
      <c r="F2404" s="1">
        <f t="shared" si="4"/>
        <v>64926.5563</v>
      </c>
      <c r="G2404" s="1">
        <f t="shared" si="5"/>
        <v>114576.2758</v>
      </c>
      <c r="H2404" s="1">
        <f t="shared" si="6"/>
        <v>210056.5057</v>
      </c>
      <c r="I2404" s="1">
        <f t="shared" si="7"/>
        <v>343728.8275</v>
      </c>
    </row>
    <row r="2405" hidden="1">
      <c r="A2405" s="266">
        <f>IFERROR(__xludf.DUMMYFUNCTION("""COMPUTED_VALUE"""),45043.99861111111)</f>
        <v>45043.99861</v>
      </c>
      <c r="B2405" s="1">
        <f>IFERROR(__xludf.DUMMYFUNCTION("""COMPUTED_VALUE"""),29476.64)</f>
        <v>29476.64</v>
      </c>
      <c r="C2405" s="58">
        <f t="shared" si="1"/>
        <v>5227.998611</v>
      </c>
      <c r="D2405" s="1">
        <f t="shared" si="2"/>
        <v>19117.24512</v>
      </c>
      <c r="E2405" s="1">
        <f t="shared" si="3"/>
        <v>34411.04122</v>
      </c>
      <c r="F2405" s="1">
        <f t="shared" si="4"/>
        <v>64998.63342</v>
      </c>
      <c r="G2405" s="1">
        <f t="shared" si="5"/>
        <v>114703.4707</v>
      </c>
      <c r="H2405" s="1">
        <f t="shared" si="6"/>
        <v>210289.6963</v>
      </c>
      <c r="I2405" s="1">
        <f t="shared" si="7"/>
        <v>344110.4122</v>
      </c>
    </row>
    <row r="2406" hidden="1">
      <c r="A2406" s="266">
        <f>IFERROR(__xludf.DUMMYFUNCTION("""COMPUTED_VALUE"""),45044.99861111111)</f>
        <v>45044.99861</v>
      </c>
      <c r="B2406" s="1">
        <f>IFERROR(__xludf.DUMMYFUNCTION("""COMPUTED_VALUE"""),29328.54)</f>
        <v>29328.54</v>
      </c>
      <c r="C2406" s="58">
        <f t="shared" si="1"/>
        <v>5228.998611</v>
      </c>
      <c r="D2406" s="1">
        <f t="shared" si="2"/>
        <v>19138.46375</v>
      </c>
      <c r="E2406" s="1">
        <f t="shared" si="3"/>
        <v>34449.23474</v>
      </c>
      <c r="F2406" s="1">
        <f t="shared" si="4"/>
        <v>65070.77674</v>
      </c>
      <c r="G2406" s="1">
        <f t="shared" si="5"/>
        <v>114830.7825</v>
      </c>
      <c r="H2406" s="1">
        <f t="shared" si="6"/>
        <v>210523.1012</v>
      </c>
      <c r="I2406" s="1">
        <f t="shared" si="7"/>
        <v>344492.3474</v>
      </c>
    </row>
    <row r="2407" hidden="1">
      <c r="A2407" s="266">
        <f>IFERROR(__xludf.DUMMYFUNCTION("""COMPUTED_VALUE"""),45045.99861111111)</f>
        <v>45045.99861</v>
      </c>
      <c r="B2407" s="1">
        <f>IFERROR(__xludf.DUMMYFUNCTION("""COMPUTED_VALUE"""),29239.68)</f>
        <v>29239.68</v>
      </c>
      <c r="C2407" s="58">
        <f t="shared" si="1"/>
        <v>5229.998611</v>
      </c>
      <c r="D2407" s="1">
        <f t="shared" si="2"/>
        <v>19159.70186</v>
      </c>
      <c r="E2407" s="1">
        <f t="shared" si="3"/>
        <v>34487.46334</v>
      </c>
      <c r="F2407" s="1">
        <f t="shared" si="4"/>
        <v>65142.98631</v>
      </c>
      <c r="G2407" s="1">
        <f t="shared" si="5"/>
        <v>114958.2111</v>
      </c>
      <c r="H2407" s="1">
        <f t="shared" si="6"/>
        <v>210756.7204</v>
      </c>
      <c r="I2407" s="1">
        <f t="shared" si="7"/>
        <v>344874.6334</v>
      </c>
    </row>
    <row r="2408" hidden="1">
      <c r="A2408" s="266">
        <f>IFERROR(__xludf.DUMMYFUNCTION("""COMPUTED_VALUE"""),45046.99861111111)</f>
        <v>45046.99861</v>
      </c>
      <c r="B2408" s="1">
        <f>IFERROR(__xludf.DUMMYFUNCTION("""COMPUTED_VALUE"""),29253.14)</f>
        <v>29253.14</v>
      </c>
      <c r="C2408" s="58">
        <f t="shared" si="1"/>
        <v>5230.998611</v>
      </c>
      <c r="D2408" s="1">
        <f t="shared" si="2"/>
        <v>19180.95947</v>
      </c>
      <c r="E2408" s="1">
        <f t="shared" si="3"/>
        <v>34525.72704</v>
      </c>
      <c r="F2408" s="1">
        <f t="shared" si="4"/>
        <v>65215.26219</v>
      </c>
      <c r="G2408" s="1">
        <f t="shared" si="5"/>
        <v>115085.7568</v>
      </c>
      <c r="H2408" s="1">
        <f t="shared" si="6"/>
        <v>210990.5541</v>
      </c>
      <c r="I2408" s="1">
        <f t="shared" si="7"/>
        <v>345257.2704</v>
      </c>
    </row>
    <row r="2409" hidden="1">
      <c r="A2409" s="266">
        <f>IFERROR(__xludf.DUMMYFUNCTION("""COMPUTED_VALUE"""),45047.99861111111)</f>
        <v>45047.99861</v>
      </c>
      <c r="B2409" s="1">
        <f>IFERROR(__xludf.DUMMYFUNCTION("""COMPUTED_VALUE"""),28082.84)</f>
        <v>28082.84</v>
      </c>
      <c r="C2409" s="58">
        <f t="shared" si="1"/>
        <v>5231.998611</v>
      </c>
      <c r="D2409" s="1">
        <f t="shared" si="2"/>
        <v>19202.23659</v>
      </c>
      <c r="E2409" s="1">
        <f t="shared" si="3"/>
        <v>34564.02587</v>
      </c>
      <c r="F2409" s="1">
        <f t="shared" si="4"/>
        <v>65287.60442</v>
      </c>
      <c r="G2409" s="1">
        <f t="shared" si="5"/>
        <v>115213.4196</v>
      </c>
      <c r="H2409" s="1">
        <f t="shared" si="6"/>
        <v>211224.6025</v>
      </c>
      <c r="I2409" s="1">
        <f t="shared" si="7"/>
        <v>345640.2587</v>
      </c>
    </row>
    <row r="2410" hidden="1">
      <c r="A2410" s="266">
        <f>IFERROR(__xludf.DUMMYFUNCTION("""COMPUTED_VALUE"""),45048.99861111111)</f>
        <v>45048.99861</v>
      </c>
      <c r="B2410" s="1">
        <f>IFERROR(__xludf.DUMMYFUNCTION("""COMPUTED_VALUE"""),28675.0)</f>
        <v>28675</v>
      </c>
      <c r="C2410" s="58">
        <f t="shared" si="1"/>
        <v>5232.998611</v>
      </c>
      <c r="D2410" s="1">
        <f t="shared" si="2"/>
        <v>19223.53325</v>
      </c>
      <c r="E2410" s="1">
        <f t="shared" si="3"/>
        <v>34602.35985</v>
      </c>
      <c r="F2410" s="1">
        <f t="shared" si="4"/>
        <v>65360.01305</v>
      </c>
      <c r="G2410" s="1">
        <f t="shared" si="5"/>
        <v>115341.1995</v>
      </c>
      <c r="H2410" s="1">
        <f t="shared" si="6"/>
        <v>211458.8658</v>
      </c>
      <c r="I2410" s="1">
        <f t="shared" si="7"/>
        <v>346023.5985</v>
      </c>
    </row>
    <row r="2411" hidden="1">
      <c r="A2411" s="266">
        <f>IFERROR(__xludf.DUMMYFUNCTION("""COMPUTED_VALUE"""),45049.99861111111)</f>
        <v>45049.99861</v>
      </c>
      <c r="B2411" s="1">
        <f>IFERROR(__xludf.DUMMYFUNCTION("""COMPUTED_VALUE"""),29031.25)</f>
        <v>29031.25</v>
      </c>
      <c r="C2411" s="58">
        <f t="shared" si="1"/>
        <v>5233.998611</v>
      </c>
      <c r="D2411" s="1">
        <f t="shared" si="2"/>
        <v>19244.84945</v>
      </c>
      <c r="E2411" s="1">
        <f t="shared" si="3"/>
        <v>34640.72901</v>
      </c>
      <c r="F2411" s="1">
        <f t="shared" si="4"/>
        <v>65432.48813</v>
      </c>
      <c r="G2411" s="1">
        <f t="shared" si="5"/>
        <v>115469.0967</v>
      </c>
      <c r="H2411" s="1">
        <f t="shared" si="6"/>
        <v>211693.3439</v>
      </c>
      <c r="I2411" s="1">
        <f t="shared" si="7"/>
        <v>346407.2901</v>
      </c>
    </row>
    <row r="2412" hidden="1">
      <c r="A2412" s="266">
        <f>IFERROR(__xludf.DUMMYFUNCTION("""COMPUTED_VALUE"""),45050.99861111111)</f>
        <v>45050.99861</v>
      </c>
      <c r="B2412" s="1">
        <f>IFERROR(__xludf.DUMMYFUNCTION("""COMPUTED_VALUE"""),28848.39)</f>
        <v>28848.39</v>
      </c>
      <c r="C2412" s="58">
        <f t="shared" si="1"/>
        <v>5234.998611</v>
      </c>
      <c r="D2412" s="1">
        <f t="shared" si="2"/>
        <v>19266.18521</v>
      </c>
      <c r="E2412" s="1">
        <f t="shared" si="3"/>
        <v>34679.13337</v>
      </c>
      <c r="F2412" s="1">
        <f t="shared" si="4"/>
        <v>65505.0297</v>
      </c>
      <c r="G2412" s="1">
        <f t="shared" si="5"/>
        <v>115597.1112</v>
      </c>
      <c r="H2412" s="1">
        <f t="shared" si="6"/>
        <v>211928.0373</v>
      </c>
      <c r="I2412" s="1">
        <f t="shared" si="7"/>
        <v>346791.3337</v>
      </c>
    </row>
    <row r="2413" hidden="1">
      <c r="A2413" s="266">
        <f>IFERROR(__xludf.DUMMYFUNCTION("""COMPUTED_VALUE"""),45051.99861111111)</f>
        <v>45051.99861</v>
      </c>
      <c r="B2413" s="1">
        <f>IFERROR(__xludf.DUMMYFUNCTION("""COMPUTED_VALUE"""),29530.53)</f>
        <v>29530.53</v>
      </c>
      <c r="C2413" s="58">
        <f t="shared" si="1"/>
        <v>5235.998611</v>
      </c>
      <c r="D2413" s="1">
        <f t="shared" si="2"/>
        <v>19287.54053</v>
      </c>
      <c r="E2413" s="1">
        <f t="shared" si="3"/>
        <v>34717.57296</v>
      </c>
      <c r="F2413" s="1">
        <f t="shared" si="4"/>
        <v>65577.63782</v>
      </c>
      <c r="G2413" s="1">
        <f t="shared" si="5"/>
        <v>115725.2432</v>
      </c>
      <c r="H2413" s="1">
        <f t="shared" si="6"/>
        <v>212162.9459</v>
      </c>
      <c r="I2413" s="1">
        <f t="shared" si="7"/>
        <v>347175.7296</v>
      </c>
    </row>
    <row r="2414" hidden="1">
      <c r="A2414" s="266">
        <f>IFERROR(__xludf.DUMMYFUNCTION("""COMPUTED_VALUE"""),45052.99861111111)</f>
        <v>45052.99861</v>
      </c>
      <c r="B2414" s="1">
        <f>IFERROR(__xludf.DUMMYFUNCTION("""COMPUTED_VALUE"""),28902.17)</f>
        <v>28902.17</v>
      </c>
      <c r="C2414" s="58">
        <f t="shared" si="1"/>
        <v>5236.998611</v>
      </c>
      <c r="D2414" s="1">
        <f t="shared" si="2"/>
        <v>19308.91545</v>
      </c>
      <c r="E2414" s="1">
        <f t="shared" si="3"/>
        <v>34756.04781</v>
      </c>
      <c r="F2414" s="1">
        <f t="shared" si="4"/>
        <v>65650.31253</v>
      </c>
      <c r="G2414" s="1">
        <f t="shared" si="5"/>
        <v>115853.4927</v>
      </c>
      <c r="H2414" s="1">
        <f t="shared" si="6"/>
        <v>212398.0699</v>
      </c>
      <c r="I2414" s="1">
        <f t="shared" si="7"/>
        <v>347560.4781</v>
      </c>
    </row>
    <row r="2415" hidden="1">
      <c r="A2415" s="266">
        <f>IFERROR(__xludf.DUMMYFUNCTION("""COMPUTED_VALUE"""),45053.99861111111)</f>
        <v>45053.99861</v>
      </c>
      <c r="B2415" s="1">
        <f>IFERROR(__xludf.DUMMYFUNCTION("""COMPUTED_VALUE"""),28450.92)</f>
        <v>28450.92</v>
      </c>
      <c r="C2415" s="58">
        <f t="shared" si="1"/>
        <v>5237.998611</v>
      </c>
      <c r="D2415" s="1">
        <f t="shared" si="2"/>
        <v>19330.30996</v>
      </c>
      <c r="E2415" s="1">
        <f t="shared" si="3"/>
        <v>34794.55794</v>
      </c>
      <c r="F2415" s="1">
        <f t="shared" si="4"/>
        <v>65723.05388</v>
      </c>
      <c r="G2415" s="1">
        <f t="shared" si="5"/>
        <v>115981.8598</v>
      </c>
      <c r="H2415" s="1">
        <f t="shared" si="6"/>
        <v>212633.4096</v>
      </c>
      <c r="I2415" s="1">
        <f t="shared" si="7"/>
        <v>347945.5794</v>
      </c>
    </row>
    <row r="2416" hidden="1">
      <c r="A2416" s="266">
        <f>IFERROR(__xludf.DUMMYFUNCTION("""COMPUTED_VALUE"""),45054.99861111111)</f>
        <v>45054.99861</v>
      </c>
      <c r="B2416" s="1">
        <f>IFERROR(__xludf.DUMMYFUNCTION("""COMPUTED_VALUE"""),27685.34)</f>
        <v>27685.34</v>
      </c>
      <c r="C2416" s="58">
        <f t="shared" si="1"/>
        <v>5238.998611</v>
      </c>
      <c r="D2416" s="1">
        <f t="shared" si="2"/>
        <v>19351.72409</v>
      </c>
      <c r="E2416" s="1">
        <f t="shared" si="3"/>
        <v>34833.10337</v>
      </c>
      <c r="F2416" s="1">
        <f t="shared" si="4"/>
        <v>65795.86192</v>
      </c>
      <c r="G2416" s="1">
        <f t="shared" si="5"/>
        <v>116110.3446</v>
      </c>
      <c r="H2416" s="1">
        <f t="shared" si="6"/>
        <v>212868.965</v>
      </c>
      <c r="I2416" s="1">
        <f t="shared" si="7"/>
        <v>348331.0337</v>
      </c>
    </row>
    <row r="2417" hidden="1">
      <c r="A2417" s="266">
        <f>IFERROR(__xludf.DUMMYFUNCTION("""COMPUTED_VALUE"""),45055.99861111111)</f>
        <v>45055.99861</v>
      </c>
      <c r="B2417" s="1">
        <f>IFERROR(__xludf.DUMMYFUNCTION("""COMPUTED_VALUE"""),27640.28)</f>
        <v>27640.28</v>
      </c>
      <c r="C2417" s="58">
        <f t="shared" si="1"/>
        <v>5239.998611</v>
      </c>
      <c r="D2417" s="1">
        <f t="shared" si="2"/>
        <v>19373.15785</v>
      </c>
      <c r="E2417" s="1">
        <f t="shared" si="3"/>
        <v>34871.68413</v>
      </c>
      <c r="F2417" s="1">
        <f t="shared" si="4"/>
        <v>65868.7367</v>
      </c>
      <c r="G2417" s="1">
        <f t="shared" si="5"/>
        <v>116238.9471</v>
      </c>
      <c r="H2417" s="1">
        <f t="shared" si="6"/>
        <v>213104.7364</v>
      </c>
      <c r="I2417" s="1">
        <f t="shared" si="7"/>
        <v>348716.8413</v>
      </c>
    </row>
    <row r="2418" hidden="1">
      <c r="A2418" s="266">
        <f>IFERROR(__xludf.DUMMYFUNCTION("""COMPUTED_VALUE"""),45056.99861111111)</f>
        <v>45056.99861</v>
      </c>
      <c r="B2418" s="1">
        <f>IFERROR(__xludf.DUMMYFUNCTION("""COMPUTED_VALUE"""),27618.24)</f>
        <v>27618.24</v>
      </c>
      <c r="C2418" s="58">
        <f t="shared" si="1"/>
        <v>5240.998611</v>
      </c>
      <c r="D2418" s="1">
        <f t="shared" si="2"/>
        <v>19394.61125</v>
      </c>
      <c r="E2418" s="1">
        <f t="shared" si="3"/>
        <v>34910.30026</v>
      </c>
      <c r="F2418" s="1">
        <f t="shared" si="4"/>
        <v>65941.67826</v>
      </c>
      <c r="G2418" s="1">
        <f t="shared" si="5"/>
        <v>116367.6675</v>
      </c>
      <c r="H2418" s="1">
        <f t="shared" si="6"/>
        <v>213340.7238</v>
      </c>
      <c r="I2418" s="1">
        <f t="shared" si="7"/>
        <v>349103.0026</v>
      </c>
    </row>
    <row r="2419" hidden="1">
      <c r="A2419" s="266">
        <f>IFERROR(__xludf.DUMMYFUNCTION("""COMPUTED_VALUE"""),45057.99861111111)</f>
        <v>45057.99861</v>
      </c>
      <c r="B2419" s="1">
        <f>IFERROR(__xludf.DUMMYFUNCTION("""COMPUTED_VALUE"""),26986.38)</f>
        <v>26986.38</v>
      </c>
      <c r="C2419" s="58">
        <f t="shared" si="1"/>
        <v>5241.998611</v>
      </c>
      <c r="D2419" s="1">
        <f t="shared" si="2"/>
        <v>19416.08431</v>
      </c>
      <c r="E2419" s="1">
        <f t="shared" si="3"/>
        <v>34948.95176</v>
      </c>
      <c r="F2419" s="1">
        <f t="shared" si="4"/>
        <v>66014.68666</v>
      </c>
      <c r="G2419" s="1">
        <f t="shared" si="5"/>
        <v>116496.5059</v>
      </c>
      <c r="H2419" s="1">
        <f t="shared" si="6"/>
        <v>213576.9274</v>
      </c>
      <c r="I2419" s="1">
        <f t="shared" si="7"/>
        <v>349489.5176</v>
      </c>
    </row>
    <row r="2420" hidden="1">
      <c r="A2420" s="266">
        <f>IFERROR(__xludf.DUMMYFUNCTION("""COMPUTED_VALUE"""),45058.99861111111)</f>
        <v>45058.99861</v>
      </c>
      <c r="B2420" s="1">
        <f>IFERROR(__xludf.DUMMYFUNCTION("""COMPUTED_VALUE"""),26800.62)</f>
        <v>26800.62</v>
      </c>
      <c r="C2420" s="58">
        <f t="shared" si="1"/>
        <v>5242.998611</v>
      </c>
      <c r="D2420" s="1">
        <f t="shared" si="2"/>
        <v>19437.57704</v>
      </c>
      <c r="E2420" s="1">
        <f t="shared" si="3"/>
        <v>34987.63868</v>
      </c>
      <c r="F2420" s="1">
        <f t="shared" si="4"/>
        <v>66087.76194</v>
      </c>
      <c r="G2420" s="1">
        <f t="shared" si="5"/>
        <v>116625.4623</v>
      </c>
      <c r="H2420" s="1">
        <f t="shared" si="6"/>
        <v>213813.3475</v>
      </c>
      <c r="I2420" s="1">
        <f t="shared" si="7"/>
        <v>349876.3868</v>
      </c>
    </row>
    <row r="2421" hidden="1">
      <c r="A2421" s="266">
        <f>IFERROR(__xludf.DUMMYFUNCTION("""COMPUTED_VALUE"""),45059.99861111111)</f>
        <v>45059.99861</v>
      </c>
      <c r="B2421" s="1">
        <f>IFERROR(__xludf.DUMMYFUNCTION("""COMPUTED_VALUE"""),26780.87)</f>
        <v>26780.87</v>
      </c>
      <c r="C2421" s="58">
        <f t="shared" si="1"/>
        <v>5243.998611</v>
      </c>
      <c r="D2421" s="1">
        <f t="shared" si="2"/>
        <v>19459.08946</v>
      </c>
      <c r="E2421" s="1">
        <f t="shared" si="3"/>
        <v>35026.36102</v>
      </c>
      <c r="F2421" s="1">
        <f t="shared" si="4"/>
        <v>66160.90416</v>
      </c>
      <c r="G2421" s="1">
        <f t="shared" si="5"/>
        <v>116754.5367</v>
      </c>
      <c r="H2421" s="1">
        <f t="shared" si="6"/>
        <v>214049.984</v>
      </c>
      <c r="I2421" s="1">
        <f t="shared" si="7"/>
        <v>350263.6102</v>
      </c>
    </row>
    <row r="2422" hidden="1">
      <c r="A2422" s="266">
        <f>IFERROR(__xludf.DUMMYFUNCTION("""COMPUTED_VALUE"""),45060.99861111111)</f>
        <v>45060.99861</v>
      </c>
      <c r="B2422" s="1">
        <f>IFERROR(__xludf.DUMMYFUNCTION("""COMPUTED_VALUE"""),26922.28)</f>
        <v>26922.28</v>
      </c>
      <c r="C2422" s="58">
        <f t="shared" si="1"/>
        <v>5244.998611</v>
      </c>
      <c r="D2422" s="1">
        <f t="shared" si="2"/>
        <v>19480.62157</v>
      </c>
      <c r="E2422" s="1">
        <f t="shared" si="3"/>
        <v>35065.11883</v>
      </c>
      <c r="F2422" s="1">
        <f t="shared" si="4"/>
        <v>66234.11335</v>
      </c>
      <c r="G2422" s="1">
        <f t="shared" si="5"/>
        <v>116883.7294</v>
      </c>
      <c r="H2422" s="1">
        <f t="shared" si="6"/>
        <v>214286.8373</v>
      </c>
      <c r="I2422" s="1">
        <f t="shared" si="7"/>
        <v>350651.1883</v>
      </c>
    </row>
    <row r="2423" hidden="1">
      <c r="A2423" s="266">
        <f>IFERROR(__xludf.DUMMYFUNCTION("""COMPUTED_VALUE"""),45061.99861111111)</f>
        <v>45061.99861</v>
      </c>
      <c r="B2423" s="1">
        <f>IFERROR(__xludf.DUMMYFUNCTION("""COMPUTED_VALUE"""),27176.95)</f>
        <v>27176.95</v>
      </c>
      <c r="C2423" s="58">
        <f t="shared" si="1"/>
        <v>5245.998611</v>
      </c>
      <c r="D2423" s="1">
        <f t="shared" si="2"/>
        <v>19502.1734</v>
      </c>
      <c r="E2423" s="1">
        <f t="shared" si="3"/>
        <v>35103.91213</v>
      </c>
      <c r="F2423" s="1">
        <f t="shared" si="4"/>
        <v>66307.38957</v>
      </c>
      <c r="G2423" s="1">
        <f t="shared" si="5"/>
        <v>117013.0404</v>
      </c>
      <c r="H2423" s="1">
        <f t="shared" si="6"/>
        <v>214523.9074</v>
      </c>
      <c r="I2423" s="1">
        <f t="shared" si="7"/>
        <v>351039.1213</v>
      </c>
    </row>
    <row r="2424" hidden="1">
      <c r="A2424" s="266">
        <f>IFERROR(__xludf.DUMMYFUNCTION("""COMPUTED_VALUE"""),45062.99861111111)</f>
        <v>45062.99861</v>
      </c>
      <c r="B2424" s="1">
        <f>IFERROR(__xludf.DUMMYFUNCTION("""COMPUTED_VALUE"""),27035.87)</f>
        <v>27035.87</v>
      </c>
      <c r="C2424" s="58">
        <f t="shared" si="1"/>
        <v>5246.998611</v>
      </c>
      <c r="D2424" s="1">
        <f t="shared" si="2"/>
        <v>19523.74496</v>
      </c>
      <c r="E2424" s="1">
        <f t="shared" si="3"/>
        <v>35142.74093</v>
      </c>
      <c r="F2424" s="1">
        <f t="shared" si="4"/>
        <v>66380.73287</v>
      </c>
      <c r="G2424" s="1">
        <f t="shared" si="5"/>
        <v>117142.4698</v>
      </c>
      <c r="H2424" s="1">
        <f t="shared" si="6"/>
        <v>214761.1946</v>
      </c>
      <c r="I2424" s="1">
        <f t="shared" si="7"/>
        <v>351427.4093</v>
      </c>
    </row>
    <row r="2425" hidden="1">
      <c r="A2425" s="266">
        <f>IFERROR(__xludf.DUMMYFUNCTION("""COMPUTED_VALUE"""),45063.99861111111)</f>
        <v>45063.99861</v>
      </c>
      <c r="B2425" s="1">
        <f>IFERROR(__xludf.DUMMYFUNCTION("""COMPUTED_VALUE"""),27401.65)</f>
        <v>27401.65</v>
      </c>
      <c r="C2425" s="58">
        <f t="shared" si="1"/>
        <v>5247.998611</v>
      </c>
      <c r="D2425" s="1">
        <f t="shared" si="2"/>
        <v>19545.33626</v>
      </c>
      <c r="E2425" s="1">
        <f t="shared" si="3"/>
        <v>35181.60527</v>
      </c>
      <c r="F2425" s="1">
        <f t="shared" si="4"/>
        <v>66454.14329</v>
      </c>
      <c r="G2425" s="1">
        <f t="shared" si="5"/>
        <v>117272.0176</v>
      </c>
      <c r="H2425" s="1">
        <f t="shared" si="6"/>
        <v>214998.6989</v>
      </c>
      <c r="I2425" s="1">
        <f t="shared" si="7"/>
        <v>351816.0527</v>
      </c>
    </row>
    <row r="2426" hidden="1">
      <c r="A2426" s="266">
        <f>IFERROR(__xludf.DUMMYFUNCTION("""COMPUTED_VALUE"""),45064.99861111111)</f>
        <v>45064.99861</v>
      </c>
      <c r="B2426" s="1">
        <f>IFERROR(__xludf.DUMMYFUNCTION("""COMPUTED_VALUE"""),26828.17)</f>
        <v>26828.17</v>
      </c>
      <c r="C2426" s="58">
        <f t="shared" si="1"/>
        <v>5248.998611</v>
      </c>
      <c r="D2426" s="1">
        <f t="shared" si="2"/>
        <v>19566.94732</v>
      </c>
      <c r="E2426" s="1">
        <f t="shared" si="3"/>
        <v>35220.50518</v>
      </c>
      <c r="F2426" s="1">
        <f t="shared" si="4"/>
        <v>66527.62089</v>
      </c>
      <c r="G2426" s="1">
        <f t="shared" si="5"/>
        <v>117401.6839</v>
      </c>
      <c r="H2426" s="1">
        <f t="shared" si="6"/>
        <v>215236.4205</v>
      </c>
      <c r="I2426" s="1">
        <f t="shared" si="7"/>
        <v>352205.0518</v>
      </c>
    </row>
    <row r="2427" hidden="1">
      <c r="A2427" s="266">
        <f>IFERROR(__xludf.DUMMYFUNCTION("""COMPUTED_VALUE"""),45065.99861111111)</f>
        <v>45065.99861</v>
      </c>
      <c r="B2427" s="1">
        <f>IFERROR(__xludf.DUMMYFUNCTION("""COMPUTED_VALUE"""),26887.22)</f>
        <v>26887.22</v>
      </c>
      <c r="C2427" s="58">
        <f t="shared" si="1"/>
        <v>5249.998611</v>
      </c>
      <c r="D2427" s="1">
        <f t="shared" si="2"/>
        <v>19588.57815</v>
      </c>
      <c r="E2427" s="1">
        <f t="shared" si="3"/>
        <v>35259.44067</v>
      </c>
      <c r="F2427" s="1">
        <f t="shared" si="4"/>
        <v>66601.16572</v>
      </c>
      <c r="G2427" s="1">
        <f t="shared" si="5"/>
        <v>117531.4689</v>
      </c>
      <c r="H2427" s="1">
        <f t="shared" si="6"/>
        <v>215474.3597</v>
      </c>
      <c r="I2427" s="1">
        <f t="shared" si="7"/>
        <v>352594.4067</v>
      </c>
    </row>
    <row r="2428" hidden="1">
      <c r="A2428" s="266">
        <f>IFERROR(__xludf.DUMMYFUNCTION("""COMPUTED_VALUE"""),45066.99861111111)</f>
        <v>45066.99861</v>
      </c>
      <c r="B2428" s="1">
        <f>IFERROR(__xludf.DUMMYFUNCTION("""COMPUTED_VALUE"""),27118.38)</f>
        <v>27118.38</v>
      </c>
      <c r="C2428" s="58">
        <f t="shared" si="1"/>
        <v>5250.998611</v>
      </c>
      <c r="D2428" s="1">
        <f t="shared" si="2"/>
        <v>19610.22877</v>
      </c>
      <c r="E2428" s="1">
        <f t="shared" si="3"/>
        <v>35298.41178</v>
      </c>
      <c r="F2428" s="1">
        <f t="shared" si="4"/>
        <v>66674.77781</v>
      </c>
      <c r="G2428" s="1">
        <f t="shared" si="5"/>
        <v>117661.3726</v>
      </c>
      <c r="H2428" s="1">
        <f t="shared" si="6"/>
        <v>215712.5164</v>
      </c>
      <c r="I2428" s="1">
        <f t="shared" si="7"/>
        <v>352984.1178</v>
      </c>
    </row>
    <row r="2429" hidden="1">
      <c r="A2429" s="266">
        <f>IFERROR(__xludf.DUMMYFUNCTION("""COMPUTED_VALUE"""),45067.99861111111)</f>
        <v>45067.99861</v>
      </c>
      <c r="B2429" s="1">
        <f>IFERROR(__xludf.DUMMYFUNCTION("""COMPUTED_VALUE"""),26750.97)</f>
        <v>26750.97</v>
      </c>
      <c r="C2429" s="58">
        <f t="shared" si="1"/>
        <v>5251.998611</v>
      </c>
      <c r="D2429" s="1">
        <f t="shared" si="2"/>
        <v>19631.89918</v>
      </c>
      <c r="E2429" s="1">
        <f t="shared" si="3"/>
        <v>35337.41853</v>
      </c>
      <c r="F2429" s="1">
        <f t="shared" si="4"/>
        <v>66748.45723</v>
      </c>
      <c r="G2429" s="1">
        <f t="shared" si="5"/>
        <v>117791.3951</v>
      </c>
      <c r="H2429" s="1">
        <f t="shared" si="6"/>
        <v>215950.891</v>
      </c>
      <c r="I2429" s="1">
        <f t="shared" si="7"/>
        <v>353374.1853</v>
      </c>
    </row>
    <row r="2430" hidden="1">
      <c r="A2430" s="266">
        <f>IFERROR(__xludf.DUMMYFUNCTION("""COMPUTED_VALUE"""),45068.99861111111)</f>
        <v>45068.99861</v>
      </c>
      <c r="B2430" s="1">
        <f>IFERROR(__xludf.DUMMYFUNCTION("""COMPUTED_VALUE"""),26852.15)</f>
        <v>26852.15</v>
      </c>
      <c r="C2430" s="58">
        <f t="shared" si="1"/>
        <v>5252.998611</v>
      </c>
      <c r="D2430" s="1">
        <f t="shared" si="2"/>
        <v>19653.58941</v>
      </c>
      <c r="E2430" s="1">
        <f t="shared" si="3"/>
        <v>35376.46095</v>
      </c>
      <c r="F2430" s="1">
        <f t="shared" si="4"/>
        <v>66822.20401</v>
      </c>
      <c r="G2430" s="1">
        <f t="shared" si="5"/>
        <v>117921.5365</v>
      </c>
      <c r="H2430" s="1">
        <f t="shared" si="6"/>
        <v>216189.4836</v>
      </c>
      <c r="I2430" s="1">
        <f t="shared" si="7"/>
        <v>353764.6095</v>
      </c>
    </row>
    <row r="2431" hidden="1">
      <c r="A2431" s="266">
        <f>IFERROR(__xludf.DUMMYFUNCTION("""COMPUTED_VALUE"""),45069.99861111111)</f>
        <v>45069.99861</v>
      </c>
      <c r="B2431" s="1">
        <f>IFERROR(__xludf.DUMMYFUNCTION("""COMPUTED_VALUE"""),27220.68)</f>
        <v>27220.68</v>
      </c>
      <c r="C2431" s="58">
        <f t="shared" si="1"/>
        <v>5253.998611</v>
      </c>
      <c r="D2431" s="1">
        <f t="shared" si="2"/>
        <v>19675.29947</v>
      </c>
      <c r="E2431" s="1">
        <f t="shared" si="3"/>
        <v>35415.53905</v>
      </c>
      <c r="F2431" s="1">
        <f t="shared" si="4"/>
        <v>66896.01821</v>
      </c>
      <c r="G2431" s="1">
        <f t="shared" si="5"/>
        <v>118051.7968</v>
      </c>
      <c r="H2431" s="1">
        <f t="shared" si="6"/>
        <v>216428.2942</v>
      </c>
      <c r="I2431" s="1">
        <f t="shared" si="7"/>
        <v>354155.3905</v>
      </c>
    </row>
    <row r="2432" hidden="1">
      <c r="A2432" s="266">
        <f>IFERROR(__xludf.DUMMYFUNCTION("""COMPUTED_VALUE"""),45070.99861111111)</f>
        <v>45070.99861</v>
      </c>
      <c r="B2432" s="1">
        <f>IFERROR(__xludf.DUMMYFUNCTION("""COMPUTED_VALUE"""),26325.69)</f>
        <v>26325.69</v>
      </c>
      <c r="C2432" s="58">
        <f t="shared" si="1"/>
        <v>5254.998611</v>
      </c>
      <c r="D2432" s="1">
        <f t="shared" si="2"/>
        <v>19697.02938</v>
      </c>
      <c r="E2432" s="1">
        <f t="shared" si="3"/>
        <v>35454.65288</v>
      </c>
      <c r="F2432" s="1">
        <f t="shared" si="4"/>
        <v>66969.89988</v>
      </c>
      <c r="G2432" s="1">
        <f t="shared" si="5"/>
        <v>118182.1763</v>
      </c>
      <c r="H2432" s="1">
        <f t="shared" si="6"/>
        <v>216667.3231</v>
      </c>
      <c r="I2432" s="1">
        <f t="shared" si="7"/>
        <v>354546.5288</v>
      </c>
    </row>
    <row r="2433" hidden="1">
      <c r="A2433" s="266">
        <f>IFERROR(__xludf.DUMMYFUNCTION("""COMPUTED_VALUE"""),45071.99861111111)</f>
        <v>45071.99861</v>
      </c>
      <c r="B2433" s="1">
        <f>IFERROR(__xludf.DUMMYFUNCTION("""COMPUTED_VALUE"""),26477.4)</f>
        <v>26477.4</v>
      </c>
      <c r="C2433" s="58">
        <f t="shared" si="1"/>
        <v>5255.998611</v>
      </c>
      <c r="D2433" s="1">
        <f t="shared" si="2"/>
        <v>19718.77914</v>
      </c>
      <c r="E2433" s="1">
        <f t="shared" si="3"/>
        <v>35493.80245</v>
      </c>
      <c r="F2433" s="1">
        <f t="shared" si="4"/>
        <v>67043.84906</v>
      </c>
      <c r="G2433" s="1">
        <f t="shared" si="5"/>
        <v>118312.6748</v>
      </c>
      <c r="H2433" s="1">
        <f t="shared" si="6"/>
        <v>216906.5705</v>
      </c>
      <c r="I2433" s="1">
        <f t="shared" si="7"/>
        <v>354938.0245</v>
      </c>
    </row>
    <row r="2434" hidden="1">
      <c r="A2434" s="266">
        <f>IFERROR(__xludf.DUMMYFUNCTION("""COMPUTED_VALUE"""),45072.99861111111)</f>
        <v>45072.99861</v>
      </c>
      <c r="B2434" s="1">
        <f>IFERROR(__xludf.DUMMYFUNCTION("""COMPUTED_VALUE"""),26713.51)</f>
        <v>26713.51</v>
      </c>
      <c r="C2434" s="58">
        <f t="shared" si="1"/>
        <v>5256.998611</v>
      </c>
      <c r="D2434" s="1">
        <f t="shared" si="2"/>
        <v>19740.54877</v>
      </c>
      <c r="E2434" s="1">
        <f t="shared" si="3"/>
        <v>35532.98778</v>
      </c>
      <c r="F2434" s="1">
        <f t="shared" si="4"/>
        <v>67117.86581</v>
      </c>
      <c r="G2434" s="1">
        <f t="shared" si="5"/>
        <v>118443.2926</v>
      </c>
      <c r="H2434" s="1">
        <f t="shared" si="6"/>
        <v>217146.0364</v>
      </c>
      <c r="I2434" s="1">
        <f t="shared" si="7"/>
        <v>355329.8778</v>
      </c>
    </row>
    <row r="2435" hidden="1">
      <c r="A2435" s="266">
        <f>IFERROR(__xludf.DUMMYFUNCTION("""COMPUTED_VALUE"""),45073.99861111111)</f>
        <v>45073.99861</v>
      </c>
      <c r="B2435" s="1">
        <f>IFERROR(__xludf.DUMMYFUNCTION("""COMPUTED_VALUE"""),26865.48)</f>
        <v>26865.48</v>
      </c>
      <c r="C2435" s="58">
        <f t="shared" si="1"/>
        <v>5257.998611</v>
      </c>
      <c r="D2435" s="1">
        <f t="shared" si="2"/>
        <v>19762.33829</v>
      </c>
      <c r="E2435" s="1">
        <f t="shared" si="3"/>
        <v>35572.20892</v>
      </c>
      <c r="F2435" s="1">
        <f t="shared" si="4"/>
        <v>67191.95017</v>
      </c>
      <c r="G2435" s="1">
        <f t="shared" si="5"/>
        <v>118574.0297</v>
      </c>
      <c r="H2435" s="1">
        <f t="shared" si="6"/>
        <v>217385.7211</v>
      </c>
      <c r="I2435" s="1">
        <f t="shared" si="7"/>
        <v>355722.0892</v>
      </c>
    </row>
    <row r="2436" hidden="1">
      <c r="A2436" s="266">
        <f>IFERROR(__xludf.DUMMYFUNCTION("""COMPUTED_VALUE"""),45074.99861111111)</f>
        <v>45074.99861</v>
      </c>
      <c r="B2436" s="1">
        <f>IFERROR(__xludf.DUMMYFUNCTION("""COMPUTED_VALUE"""),28079.08)</f>
        <v>28079.08</v>
      </c>
      <c r="C2436" s="58">
        <f t="shared" si="1"/>
        <v>5258.998611</v>
      </c>
      <c r="D2436" s="1">
        <f t="shared" si="2"/>
        <v>19784.1477</v>
      </c>
      <c r="E2436" s="1">
        <f t="shared" si="3"/>
        <v>35611.46587</v>
      </c>
      <c r="F2436" s="1">
        <f t="shared" si="4"/>
        <v>67266.1022</v>
      </c>
      <c r="G2436" s="1">
        <f t="shared" si="5"/>
        <v>118704.8862</v>
      </c>
      <c r="H2436" s="1">
        <f t="shared" si="6"/>
        <v>217625.6248</v>
      </c>
      <c r="I2436" s="1">
        <f t="shared" si="7"/>
        <v>356114.6587</v>
      </c>
    </row>
    <row r="2437" hidden="1">
      <c r="A2437" s="266">
        <f>IFERROR(__xludf.DUMMYFUNCTION("""COMPUTED_VALUE"""),45075.99861111111)</f>
        <v>45075.99861</v>
      </c>
      <c r="B2437" s="1">
        <f>IFERROR(__xludf.DUMMYFUNCTION("""COMPUTED_VALUE"""),27743.0)</f>
        <v>27743</v>
      </c>
      <c r="C2437" s="58">
        <f t="shared" si="1"/>
        <v>5259.998611</v>
      </c>
      <c r="D2437" s="1">
        <f t="shared" si="2"/>
        <v>19805.97704</v>
      </c>
      <c r="E2437" s="1">
        <f t="shared" si="3"/>
        <v>35650.75867</v>
      </c>
      <c r="F2437" s="1">
        <f t="shared" si="4"/>
        <v>67340.32193</v>
      </c>
      <c r="G2437" s="1">
        <f t="shared" si="5"/>
        <v>118835.8622</v>
      </c>
      <c r="H2437" s="1">
        <f t="shared" si="6"/>
        <v>217865.7474</v>
      </c>
      <c r="I2437" s="1">
        <f t="shared" si="7"/>
        <v>356507.5867</v>
      </c>
    </row>
    <row r="2438" hidden="1">
      <c r="A2438" s="266">
        <f>IFERROR(__xludf.DUMMYFUNCTION("""COMPUTED_VALUE"""),45076.99861111111)</f>
        <v>45076.99861</v>
      </c>
      <c r="B2438" s="1">
        <f>IFERROR(__xludf.DUMMYFUNCTION("""COMPUTED_VALUE"""),27698.92)</f>
        <v>27698.92</v>
      </c>
      <c r="C2438" s="58">
        <f t="shared" si="1"/>
        <v>5260.998611</v>
      </c>
      <c r="D2438" s="1">
        <f t="shared" si="2"/>
        <v>19827.8263</v>
      </c>
      <c r="E2438" s="1">
        <f t="shared" si="3"/>
        <v>35690.08734</v>
      </c>
      <c r="F2438" s="1">
        <f t="shared" si="4"/>
        <v>67414.60943</v>
      </c>
      <c r="G2438" s="1">
        <f t="shared" si="5"/>
        <v>118966.9578</v>
      </c>
      <c r="H2438" s="1">
        <f t="shared" si="6"/>
        <v>218106.0893</v>
      </c>
      <c r="I2438" s="1">
        <f t="shared" si="7"/>
        <v>356900.8734</v>
      </c>
    </row>
    <row r="2439" hidden="1">
      <c r="A2439" s="266">
        <f>IFERROR(__xludf.DUMMYFUNCTION("""COMPUTED_VALUE"""),45077.99861111111)</f>
        <v>45077.99861</v>
      </c>
      <c r="B2439" s="1">
        <f>IFERROR(__xludf.DUMMYFUNCTION("""COMPUTED_VALUE"""),27218.21)</f>
        <v>27218.21</v>
      </c>
      <c r="C2439" s="58">
        <f t="shared" si="1"/>
        <v>5261.998611</v>
      </c>
      <c r="D2439" s="1">
        <f t="shared" si="2"/>
        <v>19849.69551</v>
      </c>
      <c r="E2439" s="1">
        <f t="shared" si="3"/>
        <v>35729.45192</v>
      </c>
      <c r="F2439" s="1">
        <f t="shared" si="4"/>
        <v>67488.96473</v>
      </c>
      <c r="G2439" s="1">
        <f t="shared" si="5"/>
        <v>119098.1731</v>
      </c>
      <c r="H2439" s="1">
        <f t="shared" si="6"/>
        <v>218346.6506</v>
      </c>
      <c r="I2439" s="1">
        <f t="shared" si="7"/>
        <v>357294.5192</v>
      </c>
    </row>
    <row r="2440" hidden="1">
      <c r="A2440" s="266">
        <f>IFERROR(__xludf.DUMMYFUNCTION("""COMPUTED_VALUE"""),45078.99861111111)</f>
        <v>45078.99861</v>
      </c>
      <c r="B2440" s="1">
        <f>IFERROR(__xludf.DUMMYFUNCTION("""COMPUTED_VALUE"""),26819.79)</f>
        <v>26819.79</v>
      </c>
      <c r="C2440" s="58">
        <f t="shared" si="1"/>
        <v>5262.998611</v>
      </c>
      <c r="D2440" s="1">
        <f t="shared" si="2"/>
        <v>19871.58467</v>
      </c>
      <c r="E2440" s="1">
        <f t="shared" si="3"/>
        <v>35768.85241</v>
      </c>
      <c r="F2440" s="1">
        <f t="shared" si="4"/>
        <v>67563.38789</v>
      </c>
      <c r="G2440" s="1">
        <f t="shared" si="5"/>
        <v>119229.508</v>
      </c>
      <c r="H2440" s="1">
        <f t="shared" si="6"/>
        <v>218587.4314</v>
      </c>
      <c r="I2440" s="1">
        <f t="shared" si="7"/>
        <v>357688.5241</v>
      </c>
    </row>
    <row r="2441" hidden="1">
      <c r="A2441" s="266">
        <f>IFERROR(__xludf.DUMMYFUNCTION("""COMPUTED_VALUE"""),45079.99861111111)</f>
        <v>45079.99861</v>
      </c>
      <c r="B2441" s="1">
        <f>IFERROR(__xludf.DUMMYFUNCTION("""COMPUTED_VALUE"""),27249.86)</f>
        <v>27249.86</v>
      </c>
      <c r="C2441" s="58">
        <f t="shared" si="1"/>
        <v>5263.998611</v>
      </c>
      <c r="D2441" s="1">
        <f t="shared" si="2"/>
        <v>19893.49381</v>
      </c>
      <c r="E2441" s="1">
        <f t="shared" si="3"/>
        <v>35808.28886</v>
      </c>
      <c r="F2441" s="1">
        <f t="shared" si="4"/>
        <v>67637.87896</v>
      </c>
      <c r="G2441" s="1">
        <f t="shared" si="5"/>
        <v>119360.9629</v>
      </c>
      <c r="H2441" s="1">
        <f t="shared" si="6"/>
        <v>218828.4319</v>
      </c>
      <c r="I2441" s="1">
        <f t="shared" si="7"/>
        <v>358082.8886</v>
      </c>
    </row>
    <row r="2442" hidden="1">
      <c r="A2442" s="266">
        <f>IFERROR(__xludf.DUMMYFUNCTION("""COMPUTED_VALUE"""),45080.99861111111)</f>
        <v>45080.99861</v>
      </c>
      <c r="B2442" s="1">
        <f>IFERROR(__xludf.DUMMYFUNCTION("""COMPUTED_VALUE"""),27072.09)</f>
        <v>27072.09</v>
      </c>
      <c r="C2442" s="58">
        <f t="shared" si="1"/>
        <v>5264.998611</v>
      </c>
      <c r="D2442" s="1">
        <f t="shared" si="2"/>
        <v>19915.42294</v>
      </c>
      <c r="E2442" s="1">
        <f t="shared" si="3"/>
        <v>35847.76129</v>
      </c>
      <c r="F2442" s="1">
        <f t="shared" si="4"/>
        <v>67712.43798</v>
      </c>
      <c r="G2442" s="1">
        <f t="shared" si="5"/>
        <v>119492.5376</v>
      </c>
      <c r="H2442" s="1">
        <f t="shared" si="6"/>
        <v>219069.6523</v>
      </c>
      <c r="I2442" s="1">
        <f t="shared" si="7"/>
        <v>358477.6129</v>
      </c>
    </row>
    <row r="2443" hidden="1">
      <c r="A2443" s="266">
        <f>IFERROR(__xludf.DUMMYFUNCTION("""COMPUTED_VALUE"""),45081.99861111111)</f>
        <v>45081.99861</v>
      </c>
      <c r="B2443" s="1">
        <f>IFERROR(__xludf.DUMMYFUNCTION("""COMPUTED_VALUE"""),27126.87)</f>
        <v>27126.87</v>
      </c>
      <c r="C2443" s="58">
        <f t="shared" si="1"/>
        <v>5265.998611</v>
      </c>
      <c r="D2443" s="1">
        <f t="shared" si="2"/>
        <v>19937.37206</v>
      </c>
      <c r="E2443" s="1">
        <f t="shared" si="3"/>
        <v>35887.26971</v>
      </c>
      <c r="F2443" s="1">
        <f t="shared" si="4"/>
        <v>67787.06501</v>
      </c>
      <c r="G2443" s="1">
        <f t="shared" si="5"/>
        <v>119624.2324</v>
      </c>
      <c r="H2443" s="1">
        <f t="shared" si="6"/>
        <v>219311.0927</v>
      </c>
      <c r="I2443" s="1">
        <f t="shared" si="7"/>
        <v>358872.6971</v>
      </c>
    </row>
    <row r="2444" hidden="1">
      <c r="A2444" s="266">
        <f>IFERROR(__xludf.DUMMYFUNCTION("""COMPUTED_VALUE"""),45082.99861111111)</f>
        <v>45082.99861</v>
      </c>
      <c r="B2444" s="1">
        <f>IFERROR(__xludf.DUMMYFUNCTION("""COMPUTED_VALUE"""),25736.08)</f>
        <v>25736.08</v>
      </c>
      <c r="C2444" s="58">
        <f t="shared" si="1"/>
        <v>5266.998611</v>
      </c>
      <c r="D2444" s="1">
        <f t="shared" si="2"/>
        <v>19959.34121</v>
      </c>
      <c r="E2444" s="1">
        <f t="shared" si="3"/>
        <v>35926.81417</v>
      </c>
      <c r="F2444" s="1">
        <f t="shared" si="4"/>
        <v>67861.7601</v>
      </c>
      <c r="G2444" s="1">
        <f t="shared" si="5"/>
        <v>119756.0472</v>
      </c>
      <c r="H2444" s="1">
        <f t="shared" si="6"/>
        <v>219552.7533</v>
      </c>
      <c r="I2444" s="1">
        <f t="shared" si="7"/>
        <v>359268.1417</v>
      </c>
    </row>
    <row r="2445" hidden="1">
      <c r="A2445" s="266">
        <f>IFERROR(__xludf.DUMMYFUNCTION("""COMPUTED_VALUE"""),45083.99861111111)</f>
        <v>45083.99861</v>
      </c>
      <c r="B2445" s="1">
        <f>IFERROR(__xludf.DUMMYFUNCTION("""COMPUTED_VALUE"""),27232.56)</f>
        <v>27232.56</v>
      </c>
      <c r="C2445" s="58">
        <f t="shared" si="1"/>
        <v>5267.998611</v>
      </c>
      <c r="D2445" s="1">
        <f t="shared" si="2"/>
        <v>19981.33038</v>
      </c>
      <c r="E2445" s="1">
        <f t="shared" si="3"/>
        <v>35966.39468</v>
      </c>
      <c r="F2445" s="1">
        <f t="shared" si="4"/>
        <v>67936.52328</v>
      </c>
      <c r="G2445" s="1">
        <f t="shared" si="5"/>
        <v>119887.9823</v>
      </c>
      <c r="H2445" s="1">
        <f t="shared" si="6"/>
        <v>219794.6342</v>
      </c>
      <c r="I2445" s="1">
        <f t="shared" si="7"/>
        <v>359663.9468</v>
      </c>
    </row>
    <row r="2446" hidden="1">
      <c r="A2446" s="266">
        <f>IFERROR(__xludf.DUMMYFUNCTION("""COMPUTED_VALUE"""),45084.99861111111)</f>
        <v>45084.99861</v>
      </c>
      <c r="B2446" s="1">
        <f>IFERROR(__xludf.DUMMYFUNCTION("""COMPUTED_VALUE"""),26349.59)</f>
        <v>26349.59</v>
      </c>
      <c r="C2446" s="58">
        <f t="shared" si="1"/>
        <v>5268.998611</v>
      </c>
      <c r="D2446" s="1">
        <f t="shared" si="2"/>
        <v>20003.3396</v>
      </c>
      <c r="E2446" s="1">
        <f t="shared" si="3"/>
        <v>36006.01127</v>
      </c>
      <c r="F2446" s="1">
        <f t="shared" si="4"/>
        <v>68011.35462</v>
      </c>
      <c r="G2446" s="1">
        <f t="shared" si="5"/>
        <v>120020.0376</v>
      </c>
      <c r="H2446" s="1">
        <f t="shared" si="6"/>
        <v>220036.7355</v>
      </c>
      <c r="I2446" s="1">
        <f t="shared" si="7"/>
        <v>360060.1127</v>
      </c>
    </row>
    <row r="2447" hidden="1">
      <c r="A2447" s="266">
        <f>IFERROR(__xludf.DUMMYFUNCTION("""COMPUTED_VALUE"""),45085.99861111111)</f>
        <v>45085.99861</v>
      </c>
      <c r="B2447" s="1">
        <f>IFERROR(__xludf.DUMMYFUNCTION("""COMPUTED_VALUE"""),26506.83)</f>
        <v>26506.83</v>
      </c>
      <c r="C2447" s="58">
        <f t="shared" si="1"/>
        <v>5269.998611</v>
      </c>
      <c r="D2447" s="1">
        <f t="shared" si="2"/>
        <v>20025.36887</v>
      </c>
      <c r="E2447" s="1">
        <f t="shared" si="3"/>
        <v>36045.66397</v>
      </c>
      <c r="F2447" s="1">
        <f t="shared" si="4"/>
        <v>68086.25416</v>
      </c>
      <c r="G2447" s="1">
        <f t="shared" si="5"/>
        <v>120152.2132</v>
      </c>
      <c r="H2447" s="1">
        <f t="shared" si="6"/>
        <v>220279.0576</v>
      </c>
      <c r="I2447" s="1">
        <f t="shared" si="7"/>
        <v>360456.6397</v>
      </c>
    </row>
    <row r="2448" hidden="1">
      <c r="A2448" s="266">
        <f>IFERROR(__xludf.DUMMYFUNCTION("""COMPUTED_VALUE"""),45086.99861111111)</f>
        <v>45086.99861</v>
      </c>
      <c r="B2448" s="1">
        <f>IFERROR(__xludf.DUMMYFUNCTION("""COMPUTED_VALUE"""),26483.8)</f>
        <v>26483.8</v>
      </c>
      <c r="C2448" s="58">
        <f t="shared" si="1"/>
        <v>5270.998611</v>
      </c>
      <c r="D2448" s="1">
        <f t="shared" si="2"/>
        <v>20047.41822</v>
      </c>
      <c r="E2448" s="1">
        <f t="shared" si="3"/>
        <v>36085.3528</v>
      </c>
      <c r="F2448" s="1">
        <f t="shared" si="4"/>
        <v>68161.22196</v>
      </c>
      <c r="G2448" s="1">
        <f t="shared" si="5"/>
        <v>120284.5093</v>
      </c>
      <c r="H2448" s="1">
        <f t="shared" si="6"/>
        <v>220521.6004</v>
      </c>
      <c r="I2448" s="1">
        <f t="shared" si="7"/>
        <v>360853.528</v>
      </c>
    </row>
    <row r="2449" hidden="1">
      <c r="A2449" s="266">
        <f>IFERROR(__xludf.DUMMYFUNCTION("""COMPUTED_VALUE"""),45087.99861111111)</f>
        <v>45087.99861</v>
      </c>
      <c r="B2449" s="1">
        <f>IFERROR(__xludf.DUMMYFUNCTION("""COMPUTED_VALUE"""),25853.87)</f>
        <v>25853.87</v>
      </c>
      <c r="C2449" s="58">
        <f t="shared" si="1"/>
        <v>5271.998611</v>
      </c>
      <c r="D2449" s="1">
        <f t="shared" si="2"/>
        <v>20069.48766</v>
      </c>
      <c r="E2449" s="1">
        <f t="shared" si="3"/>
        <v>36125.07779</v>
      </c>
      <c r="F2449" s="1">
        <f t="shared" si="4"/>
        <v>68236.25805</v>
      </c>
      <c r="G2449" s="1">
        <f t="shared" si="5"/>
        <v>120416.926</v>
      </c>
      <c r="H2449" s="1">
        <f t="shared" si="6"/>
        <v>220764.3643</v>
      </c>
      <c r="I2449" s="1">
        <f t="shared" si="7"/>
        <v>361250.7779</v>
      </c>
    </row>
    <row r="2450" hidden="1">
      <c r="A2450" s="266">
        <f>IFERROR(__xludf.DUMMYFUNCTION("""COMPUTED_VALUE"""),45088.99861111111)</f>
        <v>45088.99861</v>
      </c>
      <c r="B2450" s="1">
        <f>IFERROR(__xludf.DUMMYFUNCTION("""COMPUTED_VALUE"""),25933.86)</f>
        <v>25933.86</v>
      </c>
      <c r="C2450" s="58">
        <f t="shared" si="1"/>
        <v>5272.998611</v>
      </c>
      <c r="D2450" s="1">
        <f t="shared" si="2"/>
        <v>20091.5772</v>
      </c>
      <c r="E2450" s="1">
        <f t="shared" si="3"/>
        <v>36164.83896</v>
      </c>
      <c r="F2450" s="1">
        <f t="shared" si="4"/>
        <v>68311.36249</v>
      </c>
      <c r="G2450" s="1">
        <f t="shared" si="5"/>
        <v>120549.4632</v>
      </c>
      <c r="H2450" s="1">
        <f t="shared" si="6"/>
        <v>221007.3492</v>
      </c>
      <c r="I2450" s="1">
        <f t="shared" si="7"/>
        <v>361648.3896</v>
      </c>
    </row>
    <row r="2451" hidden="1">
      <c r="A2451" s="266">
        <f>IFERROR(__xludf.DUMMYFUNCTION("""COMPUTED_VALUE"""),45089.99861111111)</f>
        <v>45089.99861</v>
      </c>
      <c r="B2451" s="1">
        <f>IFERROR(__xludf.DUMMYFUNCTION("""COMPUTED_VALUE"""),25905.95)</f>
        <v>25905.95</v>
      </c>
      <c r="C2451" s="58">
        <f t="shared" si="1"/>
        <v>5273.998611</v>
      </c>
      <c r="D2451" s="1">
        <f t="shared" si="2"/>
        <v>20113.68686</v>
      </c>
      <c r="E2451" s="1">
        <f t="shared" si="3"/>
        <v>36204.63635</v>
      </c>
      <c r="F2451" s="1">
        <f t="shared" si="4"/>
        <v>68386.53533</v>
      </c>
      <c r="G2451" s="1">
        <f t="shared" si="5"/>
        <v>120682.1212</v>
      </c>
      <c r="H2451" s="1">
        <f t="shared" si="6"/>
        <v>221250.5555</v>
      </c>
      <c r="I2451" s="1">
        <f t="shared" si="7"/>
        <v>362046.3635</v>
      </c>
    </row>
    <row r="2452" hidden="1">
      <c r="A2452" s="266">
        <f>IFERROR(__xludf.DUMMYFUNCTION("""COMPUTED_VALUE"""),45090.99861111111)</f>
        <v>45090.99861</v>
      </c>
      <c r="B2452" s="1">
        <f>IFERROR(__xludf.DUMMYFUNCTION("""COMPUTED_VALUE"""),25925.74)</f>
        <v>25925.74</v>
      </c>
      <c r="C2452" s="58">
        <f t="shared" si="1"/>
        <v>5274.998611</v>
      </c>
      <c r="D2452" s="1">
        <f t="shared" si="2"/>
        <v>20135.81665</v>
      </c>
      <c r="E2452" s="1">
        <f t="shared" si="3"/>
        <v>36244.46997</v>
      </c>
      <c r="F2452" s="1">
        <f t="shared" si="4"/>
        <v>68461.77662</v>
      </c>
      <c r="G2452" s="1">
        <f t="shared" si="5"/>
        <v>120814.8999</v>
      </c>
      <c r="H2452" s="1">
        <f t="shared" si="6"/>
        <v>221493.9832</v>
      </c>
      <c r="I2452" s="1">
        <f t="shared" si="7"/>
        <v>362444.6997</v>
      </c>
    </row>
    <row r="2453" hidden="1">
      <c r="A2453" s="266">
        <f>IFERROR(__xludf.DUMMYFUNCTION("""COMPUTED_VALUE"""),45091.99861111111)</f>
        <v>45091.99861</v>
      </c>
      <c r="B2453" s="1">
        <f>IFERROR(__xludf.DUMMYFUNCTION("""COMPUTED_VALUE"""),25126.3)</f>
        <v>25126.3</v>
      </c>
      <c r="C2453" s="58">
        <f t="shared" si="1"/>
        <v>5275.998611</v>
      </c>
      <c r="D2453" s="1">
        <f t="shared" si="2"/>
        <v>20157.96659</v>
      </c>
      <c r="E2453" s="1">
        <f t="shared" si="3"/>
        <v>36284.33986</v>
      </c>
      <c r="F2453" s="1">
        <f t="shared" si="4"/>
        <v>68537.0864</v>
      </c>
      <c r="G2453" s="1">
        <f t="shared" si="5"/>
        <v>120947.7995</v>
      </c>
      <c r="H2453" s="1">
        <f t="shared" si="6"/>
        <v>221737.6325</v>
      </c>
      <c r="I2453" s="1">
        <f t="shared" si="7"/>
        <v>362843.3986</v>
      </c>
    </row>
    <row r="2454" hidden="1">
      <c r="A2454" s="266">
        <f>IFERROR(__xludf.DUMMYFUNCTION("""COMPUTED_VALUE"""),45092.99861111111)</f>
        <v>45092.99861</v>
      </c>
      <c r="B2454" s="1">
        <f>IFERROR(__xludf.DUMMYFUNCTION("""COMPUTED_VALUE"""),25579.45)</f>
        <v>25579.45</v>
      </c>
      <c r="C2454" s="58">
        <f t="shared" si="1"/>
        <v>5276.998611</v>
      </c>
      <c r="D2454" s="1">
        <f t="shared" si="2"/>
        <v>20180.13669</v>
      </c>
      <c r="E2454" s="1">
        <f t="shared" si="3"/>
        <v>36324.24603</v>
      </c>
      <c r="F2454" s="1">
        <f t="shared" si="4"/>
        <v>68612.46473</v>
      </c>
      <c r="G2454" s="1">
        <f t="shared" si="5"/>
        <v>121080.8201</v>
      </c>
      <c r="H2454" s="1">
        <f t="shared" si="6"/>
        <v>221981.5035</v>
      </c>
      <c r="I2454" s="1">
        <f t="shared" si="7"/>
        <v>363242.4603</v>
      </c>
    </row>
    <row r="2455" hidden="1">
      <c r="A2455" s="266">
        <f>IFERROR(__xludf.DUMMYFUNCTION("""COMPUTED_VALUE"""),45093.99861111111)</f>
        <v>45093.99861</v>
      </c>
      <c r="B2455" s="1">
        <f>IFERROR(__xludf.DUMMYFUNCTION("""COMPUTED_VALUE"""),26338.52)</f>
        <v>26338.52</v>
      </c>
      <c r="C2455" s="58">
        <f t="shared" si="1"/>
        <v>5277.998611</v>
      </c>
      <c r="D2455" s="1">
        <f t="shared" si="2"/>
        <v>20202.32696</v>
      </c>
      <c r="E2455" s="1">
        <f t="shared" si="3"/>
        <v>36364.18853</v>
      </c>
      <c r="F2455" s="1">
        <f t="shared" si="4"/>
        <v>68687.91166</v>
      </c>
      <c r="G2455" s="1">
        <f t="shared" si="5"/>
        <v>121213.9618</v>
      </c>
      <c r="H2455" s="1">
        <f t="shared" si="6"/>
        <v>222225.5965</v>
      </c>
      <c r="I2455" s="1">
        <f t="shared" si="7"/>
        <v>363641.8853</v>
      </c>
    </row>
    <row r="2456" hidden="1">
      <c r="A2456" s="266">
        <f>IFERROR(__xludf.DUMMYFUNCTION("""COMPUTED_VALUE"""),45094.99861111111)</f>
        <v>45094.99861</v>
      </c>
      <c r="B2456" s="1">
        <f>IFERROR(__xludf.DUMMYFUNCTION("""COMPUTED_VALUE"""),26520.6)</f>
        <v>26520.6</v>
      </c>
      <c r="C2456" s="58">
        <f t="shared" si="1"/>
        <v>5278.998611</v>
      </c>
      <c r="D2456" s="1">
        <f t="shared" si="2"/>
        <v>20224.53742</v>
      </c>
      <c r="E2456" s="1">
        <f t="shared" si="3"/>
        <v>36404.16736</v>
      </c>
      <c r="F2456" s="1">
        <f t="shared" si="4"/>
        <v>68763.42723</v>
      </c>
      <c r="G2456" s="1">
        <f t="shared" si="5"/>
        <v>121347.2245</v>
      </c>
      <c r="H2456" s="1">
        <f t="shared" si="6"/>
        <v>222469.9116</v>
      </c>
      <c r="I2456" s="1">
        <f t="shared" si="7"/>
        <v>364041.6736</v>
      </c>
    </row>
    <row r="2457" hidden="1">
      <c r="A2457" s="266">
        <f>IFERROR(__xludf.DUMMYFUNCTION("""COMPUTED_VALUE"""),45095.99861111111)</f>
        <v>45095.99861</v>
      </c>
      <c r="B2457" s="1">
        <f>IFERROR(__xludf.DUMMYFUNCTION("""COMPUTED_VALUE"""),26344.33)</f>
        <v>26344.33</v>
      </c>
      <c r="C2457" s="58">
        <f t="shared" si="1"/>
        <v>5279.998611</v>
      </c>
      <c r="D2457" s="1">
        <f t="shared" si="2"/>
        <v>20246.76809</v>
      </c>
      <c r="E2457" s="1">
        <f t="shared" si="3"/>
        <v>36444.18256</v>
      </c>
      <c r="F2457" s="1">
        <f t="shared" si="4"/>
        <v>68839.0115</v>
      </c>
      <c r="G2457" s="1">
        <f t="shared" si="5"/>
        <v>121480.6085</v>
      </c>
      <c r="H2457" s="1">
        <f t="shared" si="6"/>
        <v>222714.449</v>
      </c>
      <c r="I2457" s="1">
        <f t="shared" si="7"/>
        <v>364441.8256</v>
      </c>
    </row>
    <row r="2458" hidden="1">
      <c r="A2458" s="266">
        <f>IFERROR(__xludf.DUMMYFUNCTION("""COMPUTED_VALUE"""),45096.99861111111)</f>
        <v>45096.99861</v>
      </c>
      <c r="B2458" s="1">
        <f>IFERROR(__xludf.DUMMYFUNCTION("""COMPUTED_VALUE"""),26838.21)</f>
        <v>26838.21</v>
      </c>
      <c r="C2458" s="58">
        <f t="shared" si="1"/>
        <v>5280.998611</v>
      </c>
      <c r="D2458" s="1">
        <f t="shared" si="2"/>
        <v>20269.01897</v>
      </c>
      <c r="E2458" s="1">
        <f t="shared" si="3"/>
        <v>36484.23415</v>
      </c>
      <c r="F2458" s="1">
        <f t="shared" si="4"/>
        <v>68914.66451</v>
      </c>
      <c r="G2458" s="1">
        <f t="shared" si="5"/>
        <v>121614.1138</v>
      </c>
      <c r="H2458" s="1">
        <f t="shared" si="6"/>
        <v>222959.2087</v>
      </c>
      <c r="I2458" s="1">
        <f t="shared" si="7"/>
        <v>364842.3415</v>
      </c>
    </row>
    <row r="2459" hidden="1">
      <c r="A2459" s="266">
        <f>IFERROR(__xludf.DUMMYFUNCTION("""COMPUTED_VALUE"""),45097.99861111111)</f>
        <v>45097.99861</v>
      </c>
      <c r="B2459" s="1">
        <f>IFERROR(__xludf.DUMMYFUNCTION("""COMPUTED_VALUE"""),28311.79)</f>
        <v>28311.79</v>
      </c>
      <c r="C2459" s="58">
        <f t="shared" si="1"/>
        <v>5281.998611</v>
      </c>
      <c r="D2459" s="1">
        <f t="shared" si="2"/>
        <v>20291.29009</v>
      </c>
      <c r="E2459" s="1">
        <f t="shared" si="3"/>
        <v>36524.32217</v>
      </c>
      <c r="F2459" s="1">
        <f t="shared" si="4"/>
        <v>68990.38631</v>
      </c>
      <c r="G2459" s="1">
        <f t="shared" si="5"/>
        <v>121747.7406</v>
      </c>
      <c r="H2459" s="1">
        <f t="shared" si="6"/>
        <v>223204.191</v>
      </c>
      <c r="I2459" s="1">
        <f t="shared" si="7"/>
        <v>365243.2217</v>
      </c>
    </row>
    <row r="2460" hidden="1">
      <c r="A2460" s="266">
        <f>IFERROR(__xludf.DUMMYFUNCTION("""COMPUTED_VALUE"""),45098.99861111111)</f>
        <v>45098.99861</v>
      </c>
      <c r="B2460" s="1">
        <f>IFERROR(__xludf.DUMMYFUNCTION("""COMPUTED_VALUE"""),30001.54)</f>
        <v>30001.54</v>
      </c>
      <c r="C2460" s="58">
        <f t="shared" si="1"/>
        <v>5282.998611</v>
      </c>
      <c r="D2460" s="1">
        <f t="shared" si="2"/>
        <v>20313.58146</v>
      </c>
      <c r="E2460" s="1">
        <f t="shared" si="3"/>
        <v>36564.44663</v>
      </c>
      <c r="F2460" s="1">
        <f t="shared" si="4"/>
        <v>69066.17696</v>
      </c>
      <c r="G2460" s="1">
        <f t="shared" si="5"/>
        <v>121881.4888</v>
      </c>
      <c r="H2460" s="1">
        <f t="shared" si="6"/>
        <v>223449.3961</v>
      </c>
      <c r="I2460" s="1">
        <f t="shared" si="7"/>
        <v>365644.4663</v>
      </c>
    </row>
    <row r="2461" hidden="1">
      <c r="A2461" s="266">
        <f>IFERROR(__xludf.DUMMYFUNCTION("""COMPUTED_VALUE"""),45099.99861111111)</f>
        <v>45099.99861</v>
      </c>
      <c r="B2461" s="1">
        <f>IFERROR(__xludf.DUMMYFUNCTION("""COMPUTED_VALUE"""),29900.9)</f>
        <v>29900.9</v>
      </c>
      <c r="C2461" s="58">
        <f t="shared" si="1"/>
        <v>5283.998611</v>
      </c>
      <c r="D2461" s="1">
        <f t="shared" si="2"/>
        <v>20335.89309</v>
      </c>
      <c r="E2461" s="1">
        <f t="shared" si="3"/>
        <v>36604.60756</v>
      </c>
      <c r="F2461" s="1">
        <f t="shared" si="4"/>
        <v>69142.0365</v>
      </c>
      <c r="G2461" s="1">
        <f t="shared" si="5"/>
        <v>122015.3585</v>
      </c>
      <c r="H2461" s="1">
        <f t="shared" si="6"/>
        <v>223694.824</v>
      </c>
      <c r="I2461" s="1">
        <f t="shared" si="7"/>
        <v>366046.0756</v>
      </c>
    </row>
    <row r="2462" hidden="1">
      <c r="A2462" s="266">
        <f>IFERROR(__xludf.DUMMYFUNCTION("""COMPUTED_VALUE"""),45100.99861111111)</f>
        <v>45100.99861</v>
      </c>
      <c r="B2462" s="1">
        <f>IFERROR(__xludf.DUMMYFUNCTION("""COMPUTED_VALUE"""),30702.18)</f>
        <v>30702.18</v>
      </c>
      <c r="C2462" s="58">
        <f t="shared" si="1"/>
        <v>5284.998611</v>
      </c>
      <c r="D2462" s="1">
        <f t="shared" si="2"/>
        <v>20358.225</v>
      </c>
      <c r="E2462" s="1">
        <f t="shared" si="3"/>
        <v>36644.80499</v>
      </c>
      <c r="F2462" s="1">
        <f t="shared" si="4"/>
        <v>69217.96499</v>
      </c>
      <c r="G2462" s="1">
        <f t="shared" si="5"/>
        <v>122149.35</v>
      </c>
      <c r="H2462" s="1">
        <f t="shared" si="6"/>
        <v>223940.475</v>
      </c>
      <c r="I2462" s="1">
        <f t="shared" si="7"/>
        <v>366448.0499</v>
      </c>
    </row>
    <row r="2463" hidden="1">
      <c r="A2463" s="266">
        <f>IFERROR(__xludf.DUMMYFUNCTION("""COMPUTED_VALUE"""),45101.99861111111)</f>
        <v>45101.99861</v>
      </c>
      <c r="B2463" s="1">
        <f>IFERROR(__xludf.DUMMYFUNCTION("""COMPUTED_VALUE"""),30550.17)</f>
        <v>30550.17</v>
      </c>
      <c r="C2463" s="58">
        <f t="shared" si="1"/>
        <v>5285.998611</v>
      </c>
      <c r="D2463" s="1">
        <f t="shared" si="2"/>
        <v>20380.57719</v>
      </c>
      <c r="E2463" s="1">
        <f t="shared" si="3"/>
        <v>36685.03895</v>
      </c>
      <c r="F2463" s="1">
        <f t="shared" si="4"/>
        <v>69293.96246</v>
      </c>
      <c r="G2463" s="1">
        <f t="shared" si="5"/>
        <v>122283.4632</v>
      </c>
      <c r="H2463" s="1">
        <f t="shared" si="6"/>
        <v>224186.3491</v>
      </c>
      <c r="I2463" s="1">
        <f t="shared" si="7"/>
        <v>366850.3895</v>
      </c>
    </row>
    <row r="2464" hidden="1">
      <c r="A2464" s="266">
        <f>IFERROR(__xludf.DUMMYFUNCTION("""COMPUTED_VALUE"""),45102.99861111111)</f>
        <v>45102.99861</v>
      </c>
      <c r="B2464" s="1">
        <f>IFERROR(__xludf.DUMMYFUNCTION("""COMPUTED_VALUE"""),30478.53)</f>
        <v>30478.53</v>
      </c>
      <c r="C2464" s="58">
        <f t="shared" si="1"/>
        <v>5286.998611</v>
      </c>
      <c r="D2464" s="1">
        <f t="shared" si="2"/>
        <v>20402.9497</v>
      </c>
      <c r="E2464" s="1">
        <f t="shared" si="3"/>
        <v>36725.30946</v>
      </c>
      <c r="F2464" s="1">
        <f t="shared" si="4"/>
        <v>69370.02898</v>
      </c>
      <c r="G2464" s="1">
        <f t="shared" si="5"/>
        <v>122417.6982</v>
      </c>
      <c r="H2464" s="1">
        <f t="shared" si="6"/>
        <v>224432.4467</v>
      </c>
      <c r="I2464" s="1">
        <f t="shared" si="7"/>
        <v>367253.0946</v>
      </c>
    </row>
    <row r="2465" hidden="1">
      <c r="A2465" s="266">
        <f>IFERROR(__xludf.DUMMYFUNCTION("""COMPUTED_VALUE"""),45103.99861111111)</f>
        <v>45103.99861</v>
      </c>
      <c r="B2465" s="1">
        <f>IFERROR(__xludf.DUMMYFUNCTION("""COMPUTED_VALUE"""),30274.02)</f>
        <v>30274.02</v>
      </c>
      <c r="C2465" s="58">
        <f t="shared" si="1"/>
        <v>5287.998611</v>
      </c>
      <c r="D2465" s="1">
        <f t="shared" si="2"/>
        <v>20425.34253</v>
      </c>
      <c r="E2465" s="1">
        <f t="shared" si="3"/>
        <v>36765.61655</v>
      </c>
      <c r="F2465" s="1">
        <f t="shared" si="4"/>
        <v>69446.16459</v>
      </c>
      <c r="G2465" s="1">
        <f t="shared" si="5"/>
        <v>122552.0552</v>
      </c>
      <c r="H2465" s="1">
        <f t="shared" si="6"/>
        <v>224678.7678</v>
      </c>
      <c r="I2465" s="1">
        <f t="shared" si="7"/>
        <v>367656.1655</v>
      </c>
    </row>
    <row r="2466" hidden="1">
      <c r="A2466" s="266">
        <f>IFERROR(__xludf.DUMMYFUNCTION("""COMPUTED_VALUE"""),45104.99861111111)</f>
        <v>45104.99861</v>
      </c>
      <c r="B2466" s="1">
        <f>IFERROR(__xludf.DUMMYFUNCTION("""COMPUTED_VALUE"""),30701.64)</f>
        <v>30701.64</v>
      </c>
      <c r="C2466" s="58">
        <f t="shared" si="1"/>
        <v>5288.998611</v>
      </c>
      <c r="D2466" s="1">
        <f t="shared" si="2"/>
        <v>20447.75569</v>
      </c>
      <c r="E2466" s="1">
        <f t="shared" si="3"/>
        <v>36805.96024</v>
      </c>
      <c r="F2466" s="1">
        <f t="shared" si="4"/>
        <v>69522.36934</v>
      </c>
      <c r="G2466" s="1">
        <f t="shared" si="5"/>
        <v>122686.5341</v>
      </c>
      <c r="H2466" s="1">
        <f t="shared" si="6"/>
        <v>224925.3126</v>
      </c>
      <c r="I2466" s="1">
        <f t="shared" si="7"/>
        <v>368059.6024</v>
      </c>
    </row>
    <row r="2467" hidden="1">
      <c r="A2467" s="266">
        <f>IFERROR(__xludf.DUMMYFUNCTION("""COMPUTED_VALUE"""),45105.99861111111)</f>
        <v>45105.99861</v>
      </c>
      <c r="B2467" s="1">
        <f>IFERROR(__xludf.DUMMYFUNCTION("""COMPUTED_VALUE"""),30080.25)</f>
        <v>30080.25</v>
      </c>
      <c r="C2467" s="58">
        <f t="shared" si="1"/>
        <v>5289.998611</v>
      </c>
      <c r="D2467" s="1">
        <f t="shared" si="2"/>
        <v>20470.1892</v>
      </c>
      <c r="E2467" s="1">
        <f t="shared" si="3"/>
        <v>36846.34056</v>
      </c>
      <c r="F2467" s="1">
        <f t="shared" si="4"/>
        <v>69598.64328</v>
      </c>
      <c r="G2467" s="1">
        <f t="shared" si="5"/>
        <v>122821.1352</v>
      </c>
      <c r="H2467" s="1">
        <f t="shared" si="6"/>
        <v>225172.0812</v>
      </c>
      <c r="I2467" s="1">
        <f t="shared" si="7"/>
        <v>368463.4056</v>
      </c>
    </row>
    <row r="2468" hidden="1">
      <c r="A2468" s="266">
        <f>IFERROR(__xludf.DUMMYFUNCTION("""COMPUTED_VALUE"""),45106.99861111111)</f>
        <v>45106.99861</v>
      </c>
      <c r="B2468" s="1">
        <f>IFERROR(__xludf.DUMMYFUNCTION("""COMPUTED_VALUE"""),30450.42)</f>
        <v>30450.42</v>
      </c>
      <c r="C2468" s="58">
        <f t="shared" si="1"/>
        <v>5290.998611</v>
      </c>
      <c r="D2468" s="1">
        <f t="shared" si="2"/>
        <v>20492.64308</v>
      </c>
      <c r="E2468" s="1">
        <f t="shared" si="3"/>
        <v>36886.75754</v>
      </c>
      <c r="F2468" s="1">
        <f t="shared" si="4"/>
        <v>69674.98646</v>
      </c>
      <c r="G2468" s="1">
        <f t="shared" si="5"/>
        <v>122955.8585</v>
      </c>
      <c r="H2468" s="1">
        <f t="shared" si="6"/>
        <v>225419.0738</v>
      </c>
      <c r="I2468" s="1">
        <f t="shared" si="7"/>
        <v>368867.5754</v>
      </c>
    </row>
    <row r="2469" hidden="1">
      <c r="A2469" s="266">
        <f>IFERROR(__xludf.DUMMYFUNCTION("""COMPUTED_VALUE"""),45107.99861111111)</f>
        <v>45107.99861</v>
      </c>
      <c r="B2469" s="1">
        <f>IFERROR(__xludf.DUMMYFUNCTION("""COMPUTED_VALUE"""),30472.82)</f>
        <v>30472.82</v>
      </c>
      <c r="C2469" s="58">
        <f t="shared" si="1"/>
        <v>5291.998611</v>
      </c>
      <c r="D2469" s="1">
        <f t="shared" si="2"/>
        <v>20515.11733</v>
      </c>
      <c r="E2469" s="1">
        <f t="shared" si="3"/>
        <v>36927.2112</v>
      </c>
      <c r="F2469" s="1">
        <f t="shared" si="4"/>
        <v>69751.39893</v>
      </c>
      <c r="G2469" s="1">
        <f t="shared" si="5"/>
        <v>123090.704</v>
      </c>
      <c r="H2469" s="1">
        <f t="shared" si="6"/>
        <v>225666.2906</v>
      </c>
      <c r="I2469" s="1">
        <f t="shared" si="7"/>
        <v>369272.112</v>
      </c>
    </row>
    <row r="2470" hidden="1">
      <c r="A2470" s="266">
        <f>IFERROR(__xludf.DUMMYFUNCTION("""COMPUTED_VALUE"""),45108.99861111111)</f>
        <v>45108.99861</v>
      </c>
      <c r="B2470" s="1">
        <f>IFERROR(__xludf.DUMMYFUNCTION("""COMPUTED_VALUE"""),30600.18)</f>
        <v>30600.18</v>
      </c>
      <c r="C2470" s="58">
        <f t="shared" si="1"/>
        <v>5292.998611</v>
      </c>
      <c r="D2470" s="1">
        <f t="shared" si="2"/>
        <v>20537.61198</v>
      </c>
      <c r="E2470" s="1">
        <f t="shared" si="3"/>
        <v>36967.70157</v>
      </c>
      <c r="F2470" s="1">
        <f t="shared" si="4"/>
        <v>69827.88074</v>
      </c>
      <c r="G2470" s="1">
        <f t="shared" si="5"/>
        <v>123225.6719</v>
      </c>
      <c r="H2470" s="1">
        <f t="shared" si="6"/>
        <v>225913.7318</v>
      </c>
      <c r="I2470" s="1">
        <f t="shared" si="7"/>
        <v>369677.0157</v>
      </c>
    </row>
    <row r="2471" hidden="1">
      <c r="A2471" s="266">
        <f>IFERROR(__xludf.DUMMYFUNCTION("""COMPUTED_VALUE"""),45109.99861111111)</f>
        <v>45109.99861</v>
      </c>
      <c r="B2471" s="1">
        <f>IFERROR(__xludf.DUMMYFUNCTION("""COMPUTED_VALUE"""),30619.66)</f>
        <v>30619.66</v>
      </c>
      <c r="C2471" s="58">
        <f t="shared" si="1"/>
        <v>5293.998611</v>
      </c>
      <c r="D2471" s="1">
        <f t="shared" si="2"/>
        <v>20560.12704</v>
      </c>
      <c r="E2471" s="1">
        <f t="shared" si="3"/>
        <v>37008.22867</v>
      </c>
      <c r="F2471" s="1">
        <f t="shared" si="4"/>
        <v>69904.43194</v>
      </c>
      <c r="G2471" s="1">
        <f t="shared" si="5"/>
        <v>123360.7622</v>
      </c>
      <c r="H2471" s="1">
        <f t="shared" si="6"/>
        <v>226161.3974</v>
      </c>
      <c r="I2471" s="1">
        <f t="shared" si="7"/>
        <v>370082.2867</v>
      </c>
    </row>
    <row r="2472" hidden="1">
      <c r="A2472" s="266">
        <f>IFERROR(__xludf.DUMMYFUNCTION("""COMPUTED_VALUE"""),45110.99861111111)</f>
        <v>45110.99861</v>
      </c>
      <c r="B2472" s="1">
        <f>IFERROR(__xludf.DUMMYFUNCTION("""COMPUTED_VALUE"""),31155.26)</f>
        <v>31155.26</v>
      </c>
      <c r="C2472" s="58">
        <f t="shared" si="1"/>
        <v>5294.998611</v>
      </c>
      <c r="D2472" s="1">
        <f t="shared" si="2"/>
        <v>20582.66252</v>
      </c>
      <c r="E2472" s="1">
        <f t="shared" si="3"/>
        <v>37048.79254</v>
      </c>
      <c r="F2472" s="1">
        <f t="shared" si="4"/>
        <v>69981.05257</v>
      </c>
      <c r="G2472" s="1">
        <f t="shared" si="5"/>
        <v>123495.9751</v>
      </c>
      <c r="H2472" s="1">
        <f t="shared" si="6"/>
        <v>226409.2877</v>
      </c>
      <c r="I2472" s="1">
        <f t="shared" si="7"/>
        <v>370487.9254</v>
      </c>
    </row>
    <row r="2473" hidden="1">
      <c r="A2473" s="266">
        <f>IFERROR(__xludf.DUMMYFUNCTION("""COMPUTED_VALUE"""),45111.99861111111)</f>
        <v>45111.99861</v>
      </c>
      <c r="B2473" s="1">
        <f>IFERROR(__xludf.DUMMYFUNCTION("""COMPUTED_VALUE"""),30783.76)</f>
        <v>30783.76</v>
      </c>
      <c r="C2473" s="58">
        <f t="shared" si="1"/>
        <v>5295.998611</v>
      </c>
      <c r="D2473" s="1">
        <f t="shared" si="2"/>
        <v>20605.21844</v>
      </c>
      <c r="E2473" s="1">
        <f t="shared" si="3"/>
        <v>37089.3932</v>
      </c>
      <c r="F2473" s="1">
        <f t="shared" si="4"/>
        <v>70057.7427</v>
      </c>
      <c r="G2473" s="1">
        <f t="shared" si="5"/>
        <v>123631.3107</v>
      </c>
      <c r="H2473" s="1">
        <f t="shared" si="6"/>
        <v>226657.4029</v>
      </c>
      <c r="I2473" s="1">
        <f t="shared" si="7"/>
        <v>370893.932</v>
      </c>
    </row>
    <row r="2474" hidden="1">
      <c r="A2474" s="266">
        <f>IFERROR(__xludf.DUMMYFUNCTION("""COMPUTED_VALUE"""),45112.99861111111)</f>
        <v>45112.99861</v>
      </c>
      <c r="B2474" s="1">
        <f>IFERROR(__xludf.DUMMYFUNCTION("""COMPUTED_VALUE"""),30512.26)</f>
        <v>30512.26</v>
      </c>
      <c r="C2474" s="58">
        <f t="shared" si="1"/>
        <v>5296.998611</v>
      </c>
      <c r="D2474" s="1">
        <f t="shared" si="2"/>
        <v>20627.79481</v>
      </c>
      <c r="E2474" s="1">
        <f t="shared" si="3"/>
        <v>37130.03067</v>
      </c>
      <c r="F2474" s="1">
        <f t="shared" si="4"/>
        <v>70134.50237</v>
      </c>
      <c r="G2474" s="1">
        <f t="shared" si="5"/>
        <v>123766.7689</v>
      </c>
      <c r="H2474" s="1">
        <f t="shared" si="6"/>
        <v>226905.743</v>
      </c>
      <c r="I2474" s="1">
        <f t="shared" si="7"/>
        <v>371300.3067</v>
      </c>
    </row>
    <row r="2475" hidden="1">
      <c r="A2475" s="266">
        <f>IFERROR(__xludf.DUMMYFUNCTION("""COMPUTED_VALUE"""),45113.99861111111)</f>
        <v>45113.99861</v>
      </c>
      <c r="B2475" s="1">
        <f>IFERROR(__xludf.DUMMYFUNCTION("""COMPUTED_VALUE"""),29917.44)</f>
        <v>29917.44</v>
      </c>
      <c r="C2475" s="58">
        <f t="shared" si="1"/>
        <v>5297.998611</v>
      </c>
      <c r="D2475" s="1">
        <f t="shared" si="2"/>
        <v>20650.39165</v>
      </c>
      <c r="E2475" s="1">
        <f t="shared" si="3"/>
        <v>37170.70498</v>
      </c>
      <c r="F2475" s="1">
        <f t="shared" si="4"/>
        <v>70211.33163</v>
      </c>
      <c r="G2475" s="1">
        <f t="shared" si="5"/>
        <v>123902.3499</v>
      </c>
      <c r="H2475" s="1">
        <f t="shared" si="6"/>
        <v>227154.3082</v>
      </c>
      <c r="I2475" s="1">
        <f t="shared" si="7"/>
        <v>371707.0498</v>
      </c>
    </row>
    <row r="2476" hidden="1">
      <c r="A2476" s="266">
        <f>IFERROR(__xludf.DUMMYFUNCTION("""COMPUTED_VALUE"""),45114.99861111111)</f>
        <v>45114.99861</v>
      </c>
      <c r="B2476" s="1">
        <f>IFERROR(__xludf.DUMMYFUNCTION("""COMPUTED_VALUE"""),30360.05)</f>
        <v>30360.05</v>
      </c>
      <c r="C2476" s="58">
        <f t="shared" si="1"/>
        <v>5298.998611</v>
      </c>
      <c r="D2476" s="1">
        <f t="shared" si="2"/>
        <v>20673.00898</v>
      </c>
      <c r="E2476" s="1">
        <f t="shared" si="3"/>
        <v>37211.41616</v>
      </c>
      <c r="F2476" s="1">
        <f t="shared" si="4"/>
        <v>70288.23052</v>
      </c>
      <c r="G2476" s="1">
        <f t="shared" si="5"/>
        <v>124038.0539</v>
      </c>
      <c r="H2476" s="1">
        <f t="shared" si="6"/>
        <v>227403.0987</v>
      </c>
      <c r="I2476" s="1">
        <f t="shared" si="7"/>
        <v>372114.1616</v>
      </c>
    </row>
    <row r="2477" hidden="1">
      <c r="A2477" s="266">
        <f>IFERROR(__xludf.DUMMYFUNCTION("""COMPUTED_VALUE"""),45115.99861111111)</f>
        <v>45115.99861</v>
      </c>
      <c r="B2477" s="1">
        <f>IFERROR(__xludf.DUMMYFUNCTION("""COMPUTED_VALUE"""),30307.61)</f>
        <v>30307.61</v>
      </c>
      <c r="C2477" s="58">
        <f t="shared" si="1"/>
        <v>5299.998611</v>
      </c>
      <c r="D2477" s="1">
        <f t="shared" si="2"/>
        <v>20695.6468</v>
      </c>
      <c r="E2477" s="1">
        <f t="shared" si="3"/>
        <v>37252.16423</v>
      </c>
      <c r="F2477" s="1">
        <f t="shared" si="4"/>
        <v>70365.19911</v>
      </c>
      <c r="G2477" s="1">
        <f t="shared" si="5"/>
        <v>124173.8808</v>
      </c>
      <c r="H2477" s="1">
        <f t="shared" si="6"/>
        <v>227652.1148</v>
      </c>
      <c r="I2477" s="1">
        <f t="shared" si="7"/>
        <v>372521.6423</v>
      </c>
    </row>
    <row r="2478" hidden="1">
      <c r="A2478" s="266">
        <f>IFERROR(__xludf.DUMMYFUNCTION("""COMPUTED_VALUE"""),45116.99861111111)</f>
        <v>45116.99861</v>
      </c>
      <c r="B2478" s="1">
        <f>IFERROR(__xludf.DUMMYFUNCTION("""COMPUTED_VALUE"""),30182.26)</f>
        <v>30182.26</v>
      </c>
      <c r="C2478" s="58">
        <f t="shared" si="1"/>
        <v>5300.998611</v>
      </c>
      <c r="D2478" s="1">
        <f t="shared" si="2"/>
        <v>20718.30513</v>
      </c>
      <c r="E2478" s="1">
        <f t="shared" si="3"/>
        <v>37292.94923</v>
      </c>
      <c r="F2478" s="1">
        <f t="shared" si="4"/>
        <v>70442.23743</v>
      </c>
      <c r="G2478" s="1">
        <f t="shared" si="5"/>
        <v>124309.8308</v>
      </c>
      <c r="H2478" s="1">
        <f t="shared" si="6"/>
        <v>227901.3564</v>
      </c>
      <c r="I2478" s="1">
        <f t="shared" si="7"/>
        <v>372929.4923</v>
      </c>
    </row>
    <row r="2479" hidden="1">
      <c r="A2479" s="266">
        <f>IFERROR(__xludf.DUMMYFUNCTION("""COMPUTED_VALUE"""),45117.99861111111)</f>
        <v>45117.99861</v>
      </c>
      <c r="B2479" s="1">
        <f>IFERROR(__xludf.DUMMYFUNCTION("""COMPUTED_VALUE"""),30422.21)</f>
        <v>30422.21</v>
      </c>
      <c r="C2479" s="58">
        <f t="shared" si="1"/>
        <v>5301.998611</v>
      </c>
      <c r="D2479" s="1">
        <f t="shared" si="2"/>
        <v>20740.98398</v>
      </c>
      <c r="E2479" s="1">
        <f t="shared" si="3"/>
        <v>37333.77117</v>
      </c>
      <c r="F2479" s="1">
        <f t="shared" si="4"/>
        <v>70519.34554</v>
      </c>
      <c r="G2479" s="1">
        <f t="shared" si="5"/>
        <v>124445.9039</v>
      </c>
      <c r="H2479" s="1">
        <f t="shared" si="6"/>
        <v>228150.8238</v>
      </c>
      <c r="I2479" s="1">
        <f t="shared" si="7"/>
        <v>373337.7117</v>
      </c>
    </row>
    <row r="2480" hidden="1">
      <c r="A2480" s="266">
        <f>IFERROR(__xludf.DUMMYFUNCTION("""COMPUTED_VALUE"""),45118.99861111111)</f>
        <v>45118.99861</v>
      </c>
      <c r="B2480" s="1">
        <f>IFERROR(__xludf.DUMMYFUNCTION("""COMPUTED_VALUE"""),30636.85)</f>
        <v>30636.85</v>
      </c>
      <c r="C2480" s="58">
        <f t="shared" si="1"/>
        <v>5302.998611</v>
      </c>
      <c r="D2480" s="1">
        <f t="shared" si="2"/>
        <v>20763.68338</v>
      </c>
      <c r="E2480" s="1">
        <f t="shared" si="3"/>
        <v>37374.63008</v>
      </c>
      <c r="F2480" s="1">
        <f t="shared" si="4"/>
        <v>70596.52349</v>
      </c>
      <c r="G2480" s="1">
        <f t="shared" si="5"/>
        <v>124582.1003</v>
      </c>
      <c r="H2480" s="1">
        <f t="shared" si="6"/>
        <v>228400.5172</v>
      </c>
      <c r="I2480" s="1">
        <f t="shared" si="7"/>
        <v>373746.3008</v>
      </c>
    </row>
    <row r="2481" hidden="1">
      <c r="A2481" s="266">
        <f>IFERROR(__xludf.DUMMYFUNCTION("""COMPUTED_VALUE"""),45119.99861111111)</f>
        <v>45119.99861</v>
      </c>
      <c r="B2481" s="1">
        <f>IFERROR(__xludf.DUMMYFUNCTION("""COMPUTED_VALUE"""),30397.57)</f>
        <v>30397.57</v>
      </c>
      <c r="C2481" s="58">
        <f t="shared" si="1"/>
        <v>5303.998611</v>
      </c>
      <c r="D2481" s="1">
        <f t="shared" si="2"/>
        <v>20786.40333</v>
      </c>
      <c r="E2481" s="1">
        <f t="shared" si="3"/>
        <v>37415.526</v>
      </c>
      <c r="F2481" s="1">
        <f t="shared" si="4"/>
        <v>70673.77133</v>
      </c>
      <c r="G2481" s="1">
        <f t="shared" si="5"/>
        <v>124718.42</v>
      </c>
      <c r="H2481" s="1">
        <f t="shared" si="6"/>
        <v>228650.4367</v>
      </c>
      <c r="I2481" s="1">
        <f t="shared" si="7"/>
        <v>374155.26</v>
      </c>
    </row>
    <row r="2482" hidden="1">
      <c r="A2482" s="266">
        <f>IFERROR(__xludf.DUMMYFUNCTION("""COMPUTED_VALUE"""),45120.99861111111)</f>
        <v>45120.99861</v>
      </c>
      <c r="B2482" s="1">
        <f>IFERROR(__xludf.DUMMYFUNCTION("""COMPUTED_VALUE"""),31470.53)</f>
        <v>31470.53</v>
      </c>
      <c r="C2482" s="58">
        <f t="shared" si="1"/>
        <v>5304.998611</v>
      </c>
      <c r="D2482" s="1">
        <f t="shared" si="2"/>
        <v>20809.14386</v>
      </c>
      <c r="E2482" s="1">
        <f t="shared" si="3"/>
        <v>37456.45894</v>
      </c>
      <c r="F2482" s="1">
        <f t="shared" si="4"/>
        <v>70751.08911</v>
      </c>
      <c r="G2482" s="1">
        <f t="shared" si="5"/>
        <v>124854.8631</v>
      </c>
      <c r="H2482" s="1">
        <f t="shared" si="6"/>
        <v>228900.5824</v>
      </c>
      <c r="I2482" s="1">
        <f t="shared" si="7"/>
        <v>374564.5894</v>
      </c>
    </row>
    <row r="2483" hidden="1">
      <c r="A2483" s="266">
        <f>IFERROR(__xludf.DUMMYFUNCTION("""COMPUTED_VALUE"""),45121.99861111111)</f>
        <v>45121.99861</v>
      </c>
      <c r="B2483" s="1">
        <f>IFERROR(__xludf.DUMMYFUNCTION("""COMPUTED_VALUE"""),30345.3)</f>
        <v>30345.3</v>
      </c>
      <c r="C2483" s="58">
        <f t="shared" si="1"/>
        <v>5305.998611</v>
      </c>
      <c r="D2483" s="1">
        <f t="shared" si="2"/>
        <v>20831.90497</v>
      </c>
      <c r="E2483" s="1">
        <f t="shared" si="3"/>
        <v>37497.42894</v>
      </c>
      <c r="F2483" s="1">
        <f t="shared" si="4"/>
        <v>70828.47688</v>
      </c>
      <c r="G2483" s="1">
        <f t="shared" si="5"/>
        <v>124991.4298</v>
      </c>
      <c r="H2483" s="1">
        <f t="shared" si="6"/>
        <v>229150.9546</v>
      </c>
      <c r="I2483" s="1">
        <f t="shared" si="7"/>
        <v>374974.2894</v>
      </c>
    </row>
    <row r="2484" hidden="1">
      <c r="A2484" s="266">
        <f>IFERROR(__xludf.DUMMYFUNCTION("""COMPUTED_VALUE"""),45122.99861111111)</f>
        <v>45122.99861</v>
      </c>
      <c r="B2484" s="1">
        <f>IFERROR(__xludf.DUMMYFUNCTION("""COMPUTED_VALUE"""),30330.87)</f>
        <v>30330.87</v>
      </c>
      <c r="C2484" s="58">
        <f t="shared" si="1"/>
        <v>5306.998611</v>
      </c>
      <c r="D2484" s="1">
        <f t="shared" si="2"/>
        <v>20854.68667</v>
      </c>
      <c r="E2484" s="1">
        <f t="shared" si="3"/>
        <v>37538.43601</v>
      </c>
      <c r="F2484" s="1">
        <f t="shared" si="4"/>
        <v>70905.93469</v>
      </c>
      <c r="G2484" s="1">
        <f t="shared" si="5"/>
        <v>125128.12</v>
      </c>
      <c r="H2484" s="1">
        <f t="shared" si="6"/>
        <v>229401.5534</v>
      </c>
      <c r="I2484" s="1">
        <f t="shared" si="7"/>
        <v>375384.3601</v>
      </c>
    </row>
    <row r="2485" hidden="1">
      <c r="A2485" s="266">
        <f>IFERROR(__xludf.DUMMYFUNCTION("""COMPUTED_VALUE"""),45123.99861111111)</f>
        <v>45123.99861</v>
      </c>
      <c r="B2485" s="1">
        <f>IFERROR(__xludf.DUMMYFUNCTION("""COMPUTED_VALUE"""),30262.35)</f>
        <v>30262.35</v>
      </c>
      <c r="C2485" s="58">
        <f t="shared" si="1"/>
        <v>5307.998611</v>
      </c>
      <c r="D2485" s="1">
        <f t="shared" si="2"/>
        <v>20877.489</v>
      </c>
      <c r="E2485" s="1">
        <f t="shared" si="3"/>
        <v>37579.48019</v>
      </c>
      <c r="F2485" s="1">
        <f t="shared" si="4"/>
        <v>70983.46259</v>
      </c>
      <c r="G2485" s="1">
        <f t="shared" si="5"/>
        <v>125264.934</v>
      </c>
      <c r="H2485" s="1">
        <f t="shared" si="6"/>
        <v>229652.379</v>
      </c>
      <c r="I2485" s="1">
        <f t="shared" si="7"/>
        <v>375794.8019</v>
      </c>
    </row>
    <row r="2486" hidden="1">
      <c r="A2486" s="266">
        <f>IFERROR(__xludf.DUMMYFUNCTION("""COMPUTED_VALUE"""),45124.99861111111)</f>
        <v>45124.99861</v>
      </c>
      <c r="B2486" s="1">
        <f>IFERROR(__xludf.DUMMYFUNCTION("""COMPUTED_VALUE"""),30157.59)</f>
        <v>30157.59</v>
      </c>
      <c r="C2486" s="58">
        <f t="shared" si="1"/>
        <v>5308.998611</v>
      </c>
      <c r="D2486" s="1">
        <f t="shared" si="2"/>
        <v>20900.31195</v>
      </c>
      <c r="E2486" s="1">
        <f t="shared" si="3"/>
        <v>37620.56151</v>
      </c>
      <c r="F2486" s="1">
        <f t="shared" si="4"/>
        <v>71061.06063</v>
      </c>
      <c r="G2486" s="1">
        <f t="shared" si="5"/>
        <v>125401.8717</v>
      </c>
      <c r="H2486" s="1">
        <f t="shared" si="6"/>
        <v>229903.4314</v>
      </c>
      <c r="I2486" s="1">
        <f t="shared" si="7"/>
        <v>376205.6151</v>
      </c>
    </row>
    <row r="2487" hidden="1">
      <c r="A2487" s="266">
        <f>IFERROR(__xludf.DUMMYFUNCTION("""COMPUTED_VALUE"""),45125.99861111111)</f>
        <v>45125.99861</v>
      </c>
      <c r="B2487" s="1">
        <f>IFERROR(__xludf.DUMMYFUNCTION("""COMPUTED_VALUE"""),29878.96)</f>
        <v>29878.96</v>
      </c>
      <c r="C2487" s="58">
        <f t="shared" si="1"/>
        <v>5309.998611</v>
      </c>
      <c r="D2487" s="1">
        <f t="shared" si="2"/>
        <v>20923.15555</v>
      </c>
      <c r="E2487" s="1">
        <f t="shared" si="3"/>
        <v>37661.67998</v>
      </c>
      <c r="F2487" s="1">
        <f t="shared" si="4"/>
        <v>71138.72886</v>
      </c>
      <c r="G2487" s="1">
        <f t="shared" si="5"/>
        <v>125538.9333</v>
      </c>
      <c r="H2487" s="1">
        <f t="shared" si="6"/>
        <v>230154.711</v>
      </c>
      <c r="I2487" s="1">
        <f t="shared" si="7"/>
        <v>376616.7998</v>
      </c>
    </row>
    <row r="2488" hidden="1">
      <c r="A2488" s="266">
        <f>IFERROR(__xludf.DUMMYFUNCTION("""COMPUTED_VALUE"""),45126.99861111111)</f>
        <v>45126.99861</v>
      </c>
      <c r="B2488" s="1">
        <f>IFERROR(__xludf.DUMMYFUNCTION("""COMPUTED_VALUE"""),29926.23)</f>
        <v>29926.23</v>
      </c>
      <c r="C2488" s="58">
        <f t="shared" si="1"/>
        <v>5310.998611</v>
      </c>
      <c r="D2488" s="1">
        <f t="shared" si="2"/>
        <v>20946.0198</v>
      </c>
      <c r="E2488" s="1">
        <f t="shared" si="3"/>
        <v>37702.83564</v>
      </c>
      <c r="F2488" s="1">
        <f t="shared" si="4"/>
        <v>71216.46732</v>
      </c>
      <c r="G2488" s="1">
        <f t="shared" si="5"/>
        <v>125676.1188</v>
      </c>
      <c r="H2488" s="1">
        <f t="shared" si="6"/>
        <v>230406.2178</v>
      </c>
      <c r="I2488" s="1">
        <f t="shared" si="7"/>
        <v>377028.3564</v>
      </c>
    </row>
    <row r="2489" hidden="1">
      <c r="A2489" s="266">
        <f>IFERROR(__xludf.DUMMYFUNCTION("""COMPUTED_VALUE"""),45127.99861111111)</f>
        <v>45127.99861</v>
      </c>
      <c r="B2489" s="1">
        <f>IFERROR(__xludf.DUMMYFUNCTION("""COMPUTED_VALUE"""),29812.25)</f>
        <v>29812.25</v>
      </c>
      <c r="C2489" s="58">
        <f t="shared" si="1"/>
        <v>5311.998611</v>
      </c>
      <c r="D2489" s="1">
        <f t="shared" si="2"/>
        <v>20968.90473</v>
      </c>
      <c r="E2489" s="1">
        <f t="shared" si="3"/>
        <v>37744.02851</v>
      </c>
      <c r="F2489" s="1">
        <f t="shared" si="4"/>
        <v>71294.27608</v>
      </c>
      <c r="G2489" s="1">
        <f t="shared" si="5"/>
        <v>125813.4284</v>
      </c>
      <c r="H2489" s="1">
        <f t="shared" si="6"/>
        <v>230657.952</v>
      </c>
      <c r="I2489" s="1">
        <f t="shared" si="7"/>
        <v>377440.2851</v>
      </c>
    </row>
    <row r="2490" hidden="1">
      <c r="A2490" s="266">
        <f>IFERROR(__xludf.DUMMYFUNCTION("""COMPUTED_VALUE"""),45128.99861111111)</f>
        <v>45128.99861</v>
      </c>
      <c r="B2490" s="1">
        <f>IFERROR(__xludf.DUMMYFUNCTION("""COMPUTED_VALUE"""),29927.21)</f>
        <v>29927.21</v>
      </c>
      <c r="C2490" s="58">
        <f t="shared" si="1"/>
        <v>5312.998611</v>
      </c>
      <c r="D2490" s="1">
        <f t="shared" si="2"/>
        <v>20991.81035</v>
      </c>
      <c r="E2490" s="1">
        <f t="shared" si="3"/>
        <v>37785.25863</v>
      </c>
      <c r="F2490" s="1">
        <f t="shared" si="4"/>
        <v>71372.15518</v>
      </c>
      <c r="G2490" s="1">
        <f t="shared" si="5"/>
        <v>125950.8621</v>
      </c>
      <c r="H2490" s="1">
        <f t="shared" si="6"/>
        <v>230909.9138</v>
      </c>
      <c r="I2490" s="1">
        <f t="shared" si="7"/>
        <v>377852.5863</v>
      </c>
    </row>
    <row r="2491" hidden="1">
      <c r="A2491" s="266">
        <f>IFERROR(__xludf.DUMMYFUNCTION("""COMPUTED_VALUE"""),45129.99861111111)</f>
        <v>45129.99861</v>
      </c>
      <c r="B2491" s="1">
        <f>IFERROR(__xludf.DUMMYFUNCTION("""COMPUTED_VALUE"""),29805.75)</f>
        <v>29805.75</v>
      </c>
      <c r="C2491" s="58">
        <f t="shared" si="1"/>
        <v>5313.998611</v>
      </c>
      <c r="D2491" s="1">
        <f t="shared" si="2"/>
        <v>21014.73667</v>
      </c>
      <c r="E2491" s="1">
        <f t="shared" si="3"/>
        <v>37826.526</v>
      </c>
      <c r="F2491" s="1">
        <f t="shared" si="4"/>
        <v>71450.10467</v>
      </c>
      <c r="G2491" s="1">
        <f t="shared" si="5"/>
        <v>126088.42</v>
      </c>
      <c r="H2491" s="1">
        <f t="shared" si="6"/>
        <v>231162.1034</v>
      </c>
      <c r="I2491" s="1">
        <f t="shared" si="7"/>
        <v>378265.26</v>
      </c>
    </row>
    <row r="2492" hidden="1">
      <c r="A2492" s="266">
        <f>IFERROR(__xludf.DUMMYFUNCTION("""COMPUTED_VALUE"""),45130.99861111111)</f>
        <v>45130.99861</v>
      </c>
      <c r="B2492" s="1">
        <f>IFERROR(__xludf.DUMMYFUNCTION("""COMPUTED_VALUE"""),30100.01)</f>
        <v>30100.01</v>
      </c>
      <c r="C2492" s="58">
        <f t="shared" si="1"/>
        <v>5314.998611</v>
      </c>
      <c r="D2492" s="1">
        <f t="shared" si="2"/>
        <v>21037.68371</v>
      </c>
      <c r="E2492" s="1">
        <f t="shared" si="3"/>
        <v>37867.83067</v>
      </c>
      <c r="F2492" s="1">
        <f t="shared" si="4"/>
        <v>71528.12461</v>
      </c>
      <c r="G2492" s="1">
        <f t="shared" si="5"/>
        <v>126226.1022</v>
      </c>
      <c r="H2492" s="1">
        <f t="shared" si="6"/>
        <v>231414.5208</v>
      </c>
      <c r="I2492" s="1">
        <f t="shared" si="7"/>
        <v>378678.3067</v>
      </c>
    </row>
    <row r="2493" hidden="1">
      <c r="A2493" s="266">
        <f>IFERROR(__xludf.DUMMYFUNCTION("""COMPUTED_VALUE"""),45131.99861111111)</f>
        <v>45131.99861</v>
      </c>
      <c r="B2493" s="1">
        <f>IFERROR(__xludf.DUMMYFUNCTION("""COMPUTED_VALUE"""),29189.36)</f>
        <v>29189.36</v>
      </c>
      <c r="C2493" s="58">
        <f t="shared" si="1"/>
        <v>5315.998611</v>
      </c>
      <c r="D2493" s="1">
        <f t="shared" si="2"/>
        <v>21060.65148</v>
      </c>
      <c r="E2493" s="1">
        <f t="shared" si="3"/>
        <v>37909.17266</v>
      </c>
      <c r="F2493" s="1">
        <f t="shared" si="4"/>
        <v>71606.21503</v>
      </c>
      <c r="G2493" s="1">
        <f t="shared" si="5"/>
        <v>126363.9089</v>
      </c>
      <c r="H2493" s="1">
        <f t="shared" si="6"/>
        <v>231667.1663</v>
      </c>
      <c r="I2493" s="1">
        <f t="shared" si="7"/>
        <v>379091.7266</v>
      </c>
    </row>
    <row r="2494" hidden="1">
      <c r="A2494" s="266">
        <f>IFERROR(__xludf.DUMMYFUNCTION("""COMPUTED_VALUE"""),45132.99861111111)</f>
        <v>45132.99861</v>
      </c>
      <c r="B2494" s="1">
        <f>IFERROR(__xludf.DUMMYFUNCTION("""COMPUTED_VALUE"""),29239.03)</f>
        <v>29239.03</v>
      </c>
      <c r="C2494" s="58">
        <f t="shared" si="1"/>
        <v>5316.998611</v>
      </c>
      <c r="D2494" s="1">
        <f t="shared" si="2"/>
        <v>21083.64</v>
      </c>
      <c r="E2494" s="1">
        <f t="shared" si="3"/>
        <v>37950.552</v>
      </c>
      <c r="F2494" s="1">
        <f t="shared" si="4"/>
        <v>71684.376</v>
      </c>
      <c r="G2494" s="1">
        <f t="shared" si="5"/>
        <v>126501.84</v>
      </c>
      <c r="H2494" s="1">
        <f t="shared" si="6"/>
        <v>231920.04</v>
      </c>
      <c r="I2494" s="1">
        <f t="shared" si="7"/>
        <v>379505.52</v>
      </c>
    </row>
    <row r="2495" hidden="1">
      <c r="A2495" s="266">
        <f>IFERROR(__xludf.DUMMYFUNCTION("""COMPUTED_VALUE"""),45133.99861111111)</f>
        <v>45133.99861</v>
      </c>
      <c r="B2495" s="1">
        <f>IFERROR(__xludf.DUMMYFUNCTION("""COMPUTED_VALUE"""),29366.65)</f>
        <v>29366.65</v>
      </c>
      <c r="C2495" s="58">
        <f t="shared" si="1"/>
        <v>5317.998611</v>
      </c>
      <c r="D2495" s="1">
        <f t="shared" si="2"/>
        <v>21106.64928</v>
      </c>
      <c r="E2495" s="1">
        <f t="shared" si="3"/>
        <v>37991.96871</v>
      </c>
      <c r="F2495" s="1">
        <f t="shared" si="4"/>
        <v>71762.60756</v>
      </c>
      <c r="G2495" s="1">
        <f t="shared" si="5"/>
        <v>126639.8957</v>
      </c>
      <c r="H2495" s="1">
        <f t="shared" si="6"/>
        <v>232173.1421</v>
      </c>
      <c r="I2495" s="1">
        <f t="shared" si="7"/>
        <v>379919.6871</v>
      </c>
    </row>
    <row r="2496" hidden="1">
      <c r="A2496" s="266">
        <f>IFERROR(__xludf.DUMMYFUNCTION("""COMPUTED_VALUE"""),45134.99861111111)</f>
        <v>45134.99861</v>
      </c>
      <c r="B2496" s="1">
        <f>IFERROR(__xludf.DUMMYFUNCTION("""COMPUTED_VALUE"""),29226.86)</f>
        <v>29226.86</v>
      </c>
      <c r="C2496" s="58">
        <f t="shared" si="1"/>
        <v>5318.998611</v>
      </c>
      <c r="D2496" s="1">
        <f t="shared" si="2"/>
        <v>21129.67934</v>
      </c>
      <c r="E2496" s="1">
        <f t="shared" si="3"/>
        <v>38033.42282</v>
      </c>
      <c r="F2496" s="1">
        <f t="shared" si="4"/>
        <v>71840.90976</v>
      </c>
      <c r="G2496" s="1">
        <f t="shared" si="5"/>
        <v>126778.0761</v>
      </c>
      <c r="H2496" s="1">
        <f t="shared" si="6"/>
        <v>232426.4728</v>
      </c>
      <c r="I2496" s="1">
        <f t="shared" si="7"/>
        <v>380334.2282</v>
      </c>
    </row>
    <row r="2497" hidden="1">
      <c r="A2497" s="266">
        <f>IFERROR(__xludf.DUMMYFUNCTION("""COMPUTED_VALUE"""),45135.99861111111)</f>
        <v>45135.99861</v>
      </c>
      <c r="B2497" s="1">
        <f>IFERROR(__xludf.DUMMYFUNCTION("""COMPUTED_VALUE"""),29324.19)</f>
        <v>29324.19</v>
      </c>
      <c r="C2497" s="58">
        <f t="shared" si="1"/>
        <v>5319.998611</v>
      </c>
      <c r="D2497" s="1">
        <f t="shared" si="2"/>
        <v>21152.73019</v>
      </c>
      <c r="E2497" s="1">
        <f t="shared" si="3"/>
        <v>38074.91435</v>
      </c>
      <c r="F2497" s="1">
        <f t="shared" si="4"/>
        <v>71919.28266</v>
      </c>
      <c r="G2497" s="1">
        <f t="shared" si="5"/>
        <v>126916.3812</v>
      </c>
      <c r="H2497" s="1">
        <f t="shared" si="6"/>
        <v>232680.0321</v>
      </c>
      <c r="I2497" s="1">
        <f t="shared" si="7"/>
        <v>380749.1435</v>
      </c>
    </row>
    <row r="2498" hidden="1">
      <c r="A2498" s="266">
        <f>IFERROR(__xludf.DUMMYFUNCTION("""COMPUTED_VALUE"""),45136.99861111111)</f>
        <v>45136.99861</v>
      </c>
      <c r="B2498" s="1">
        <f>IFERROR(__xludf.DUMMYFUNCTION("""COMPUTED_VALUE"""),29391.08)</f>
        <v>29391.08</v>
      </c>
      <c r="C2498" s="58">
        <f t="shared" si="1"/>
        <v>5320.998611</v>
      </c>
      <c r="D2498" s="1">
        <f t="shared" si="2"/>
        <v>21175.80185</v>
      </c>
      <c r="E2498" s="1">
        <f t="shared" si="3"/>
        <v>38116.44334</v>
      </c>
      <c r="F2498" s="1">
        <f t="shared" si="4"/>
        <v>71997.7263</v>
      </c>
      <c r="G2498" s="1">
        <f t="shared" si="5"/>
        <v>127054.8111</v>
      </c>
      <c r="H2498" s="1">
        <f t="shared" si="6"/>
        <v>232933.8204</v>
      </c>
      <c r="I2498" s="1">
        <f t="shared" si="7"/>
        <v>381164.4334</v>
      </c>
    </row>
    <row r="2499" hidden="1">
      <c r="A2499" s="266">
        <f>IFERROR(__xludf.DUMMYFUNCTION("""COMPUTED_VALUE"""),45137.99861111111)</f>
        <v>45137.99861</v>
      </c>
      <c r="B2499" s="1">
        <f>IFERROR(__xludf.DUMMYFUNCTION("""COMPUTED_VALUE"""),29295.0)</f>
        <v>29295</v>
      </c>
      <c r="C2499" s="58">
        <f t="shared" si="1"/>
        <v>5321.998611</v>
      </c>
      <c r="D2499" s="1">
        <f t="shared" si="2"/>
        <v>21198.89433</v>
      </c>
      <c r="E2499" s="1">
        <f t="shared" si="3"/>
        <v>38158.0098</v>
      </c>
      <c r="F2499" s="1">
        <f t="shared" si="4"/>
        <v>72076.24074</v>
      </c>
      <c r="G2499" s="1">
        <f t="shared" si="5"/>
        <v>127193.366</v>
      </c>
      <c r="H2499" s="1">
        <f t="shared" si="6"/>
        <v>233187.8377</v>
      </c>
      <c r="I2499" s="1">
        <f t="shared" si="7"/>
        <v>381580.098</v>
      </c>
    </row>
    <row r="2500" hidden="1">
      <c r="A2500" s="266">
        <f>IFERROR(__xludf.DUMMYFUNCTION("""COMPUTED_VALUE"""),45138.99861111111)</f>
        <v>45138.99861</v>
      </c>
      <c r="B2500" s="1">
        <f>IFERROR(__xludf.DUMMYFUNCTION("""COMPUTED_VALUE"""),29244.09)</f>
        <v>29244.09</v>
      </c>
      <c r="C2500" s="58">
        <f t="shared" si="1"/>
        <v>5322.998611</v>
      </c>
      <c r="D2500" s="1">
        <f t="shared" si="2"/>
        <v>21222.00765</v>
      </c>
      <c r="E2500" s="1">
        <f t="shared" si="3"/>
        <v>38199.61378</v>
      </c>
      <c r="F2500" s="1">
        <f t="shared" si="4"/>
        <v>72154.82602</v>
      </c>
      <c r="G2500" s="1">
        <f t="shared" si="5"/>
        <v>127332.0459</v>
      </c>
      <c r="H2500" s="1">
        <f t="shared" si="6"/>
        <v>233442.0842</v>
      </c>
      <c r="I2500" s="1">
        <f t="shared" si="7"/>
        <v>381996.1378</v>
      </c>
    </row>
    <row r="2501" hidden="1">
      <c r="A2501" s="266">
        <f>IFERROR(__xludf.DUMMYFUNCTION("""COMPUTED_VALUE"""),45139.99861111111)</f>
        <v>45139.99861</v>
      </c>
      <c r="B2501" s="1">
        <f>IFERROR(__xludf.DUMMYFUNCTION("""COMPUTED_VALUE"""),29704.41)</f>
        <v>29704.41</v>
      </c>
      <c r="C2501" s="58">
        <f t="shared" si="1"/>
        <v>5323.998611</v>
      </c>
      <c r="D2501" s="1">
        <f t="shared" si="2"/>
        <v>21245.14182</v>
      </c>
      <c r="E2501" s="1">
        <f t="shared" si="3"/>
        <v>38241.25528</v>
      </c>
      <c r="F2501" s="1">
        <f t="shared" si="4"/>
        <v>72233.4822</v>
      </c>
      <c r="G2501" s="1">
        <f t="shared" si="5"/>
        <v>127470.8509</v>
      </c>
      <c r="H2501" s="1">
        <f t="shared" si="6"/>
        <v>233696.5601</v>
      </c>
      <c r="I2501" s="1">
        <f t="shared" si="7"/>
        <v>382412.5528</v>
      </c>
    </row>
    <row r="2502" hidden="1">
      <c r="A2502" s="266">
        <f>IFERROR(__xludf.DUMMYFUNCTION("""COMPUTED_VALUE"""),45140.99861111111)</f>
        <v>45140.99861</v>
      </c>
      <c r="B2502" s="1">
        <f>IFERROR(__xludf.DUMMYFUNCTION("""COMPUTED_VALUE"""),29168.12)</f>
        <v>29168.12</v>
      </c>
      <c r="C2502" s="58">
        <f t="shared" si="1"/>
        <v>5324.998611</v>
      </c>
      <c r="D2502" s="1">
        <f t="shared" si="2"/>
        <v>21268.29686</v>
      </c>
      <c r="E2502" s="1">
        <f t="shared" si="3"/>
        <v>38282.93435</v>
      </c>
      <c r="F2502" s="1">
        <f t="shared" si="4"/>
        <v>72312.20932</v>
      </c>
      <c r="G2502" s="1">
        <f t="shared" si="5"/>
        <v>127609.7812</v>
      </c>
      <c r="H2502" s="1">
        <f t="shared" si="6"/>
        <v>233951.2655</v>
      </c>
      <c r="I2502" s="1">
        <f t="shared" si="7"/>
        <v>382829.3435</v>
      </c>
    </row>
    <row r="2503" hidden="1">
      <c r="A2503" s="266">
        <f>IFERROR(__xludf.DUMMYFUNCTION("""COMPUTED_VALUE"""),45141.99861111111)</f>
        <v>45141.99861</v>
      </c>
      <c r="B2503" s="1">
        <f>IFERROR(__xludf.DUMMYFUNCTION("""COMPUTED_VALUE"""),29187.88)</f>
        <v>29187.88</v>
      </c>
      <c r="C2503" s="58">
        <f t="shared" si="1"/>
        <v>5325.998611</v>
      </c>
      <c r="D2503" s="1">
        <f t="shared" si="2"/>
        <v>21291.47278</v>
      </c>
      <c r="E2503" s="1">
        <f t="shared" si="3"/>
        <v>38324.651</v>
      </c>
      <c r="F2503" s="1">
        <f t="shared" si="4"/>
        <v>72391.00744</v>
      </c>
      <c r="G2503" s="1">
        <f t="shared" si="5"/>
        <v>127748.8367</v>
      </c>
      <c r="H2503" s="1">
        <f t="shared" si="6"/>
        <v>234206.2006</v>
      </c>
      <c r="I2503" s="1">
        <f t="shared" si="7"/>
        <v>383246.51</v>
      </c>
    </row>
    <row r="2504" hidden="1">
      <c r="A2504" s="266">
        <f>IFERROR(__xludf.DUMMYFUNCTION("""COMPUTED_VALUE"""),45142.99861111111)</f>
        <v>45142.99861</v>
      </c>
      <c r="B2504" s="1">
        <f>IFERROR(__xludf.DUMMYFUNCTION("""COMPUTED_VALUE"""),29107.64)</f>
        <v>29107.64</v>
      </c>
      <c r="C2504" s="58">
        <f t="shared" si="1"/>
        <v>5326.998611</v>
      </c>
      <c r="D2504" s="1">
        <f t="shared" si="2"/>
        <v>21314.66959</v>
      </c>
      <c r="E2504" s="1">
        <f t="shared" si="3"/>
        <v>38366.40527</v>
      </c>
      <c r="F2504" s="1">
        <f t="shared" si="4"/>
        <v>72469.87661</v>
      </c>
      <c r="G2504" s="1">
        <f t="shared" si="5"/>
        <v>127888.0176</v>
      </c>
      <c r="H2504" s="1">
        <f t="shared" si="6"/>
        <v>234461.3655</v>
      </c>
      <c r="I2504" s="1">
        <f t="shared" si="7"/>
        <v>383664.0527</v>
      </c>
    </row>
    <row r="2505" hidden="1">
      <c r="A2505" s="266">
        <f>IFERROR(__xludf.DUMMYFUNCTION("""COMPUTED_VALUE"""),45143.99861111111)</f>
        <v>45143.99861</v>
      </c>
      <c r="B2505" s="1">
        <f>IFERROR(__xludf.DUMMYFUNCTION("""COMPUTED_VALUE"""),29077.05)</f>
        <v>29077.05</v>
      </c>
      <c r="C2505" s="58">
        <f t="shared" si="1"/>
        <v>5327.998611</v>
      </c>
      <c r="D2505" s="1">
        <f t="shared" si="2"/>
        <v>21337.88732</v>
      </c>
      <c r="E2505" s="1">
        <f t="shared" si="3"/>
        <v>38408.19717</v>
      </c>
      <c r="F2505" s="1">
        <f t="shared" si="4"/>
        <v>72548.81688</v>
      </c>
      <c r="G2505" s="1">
        <f t="shared" si="5"/>
        <v>128027.3239</v>
      </c>
      <c r="H2505" s="1">
        <f t="shared" si="6"/>
        <v>234716.7605</v>
      </c>
      <c r="I2505" s="1">
        <f t="shared" si="7"/>
        <v>384081.9717</v>
      </c>
    </row>
    <row r="2506" hidden="1">
      <c r="A2506" s="266">
        <f>IFERROR(__xludf.DUMMYFUNCTION("""COMPUTED_VALUE"""),45144.99861111111)</f>
        <v>45144.99861</v>
      </c>
      <c r="B2506" s="1">
        <f>IFERROR(__xludf.DUMMYFUNCTION("""COMPUTED_VALUE"""),29071.92)</f>
        <v>29071.92</v>
      </c>
      <c r="C2506" s="58">
        <f t="shared" si="1"/>
        <v>5328.998611</v>
      </c>
      <c r="D2506" s="1">
        <f t="shared" si="2"/>
        <v>21361.12597</v>
      </c>
      <c r="E2506" s="1">
        <f t="shared" si="3"/>
        <v>38450.02675</v>
      </c>
      <c r="F2506" s="1">
        <f t="shared" si="4"/>
        <v>72627.8283</v>
      </c>
      <c r="G2506" s="1">
        <f t="shared" si="5"/>
        <v>128166.7558</v>
      </c>
      <c r="H2506" s="1">
        <f t="shared" si="6"/>
        <v>234972.3857</v>
      </c>
      <c r="I2506" s="1">
        <f t="shared" si="7"/>
        <v>384500.2675</v>
      </c>
    </row>
    <row r="2507" hidden="1">
      <c r="A2507" s="266">
        <f>IFERROR(__xludf.DUMMYFUNCTION("""COMPUTED_VALUE"""),45145.99861111111)</f>
        <v>45145.99861</v>
      </c>
      <c r="B2507" s="1">
        <f>IFERROR(__xludf.DUMMYFUNCTION("""COMPUTED_VALUE"""),29189.82)</f>
        <v>29189.82</v>
      </c>
      <c r="C2507" s="58">
        <f t="shared" si="1"/>
        <v>5329.998611</v>
      </c>
      <c r="D2507" s="1">
        <f t="shared" si="2"/>
        <v>21384.38556</v>
      </c>
      <c r="E2507" s="1">
        <f t="shared" si="3"/>
        <v>38491.89402</v>
      </c>
      <c r="F2507" s="1">
        <f t="shared" si="4"/>
        <v>72706.91092</v>
      </c>
      <c r="G2507" s="1">
        <f t="shared" si="5"/>
        <v>128306.3134</v>
      </c>
      <c r="H2507" s="1">
        <f t="shared" si="6"/>
        <v>235228.2412</v>
      </c>
      <c r="I2507" s="1">
        <f t="shared" si="7"/>
        <v>384918.9402</v>
      </c>
    </row>
    <row r="2508" hidden="1">
      <c r="A2508" s="266">
        <f>IFERROR(__xludf.DUMMYFUNCTION("""COMPUTED_VALUE"""),45146.99861111111)</f>
        <v>45146.99861</v>
      </c>
      <c r="B2508" s="1">
        <f>IFERROR(__xludf.DUMMYFUNCTION("""COMPUTED_VALUE"""),29771.04)</f>
        <v>29771.04</v>
      </c>
      <c r="C2508" s="58">
        <f t="shared" si="1"/>
        <v>5330.998611</v>
      </c>
      <c r="D2508" s="1">
        <f t="shared" si="2"/>
        <v>21407.66611</v>
      </c>
      <c r="E2508" s="1">
        <f t="shared" si="3"/>
        <v>38533.79901</v>
      </c>
      <c r="F2508" s="1">
        <f t="shared" si="4"/>
        <v>72786.06479</v>
      </c>
      <c r="G2508" s="1">
        <f t="shared" si="5"/>
        <v>128445.9967</v>
      </c>
      <c r="H2508" s="1">
        <f t="shared" si="6"/>
        <v>235484.3273</v>
      </c>
      <c r="I2508" s="1">
        <f t="shared" si="7"/>
        <v>385337.9901</v>
      </c>
    </row>
    <row r="2509" hidden="1">
      <c r="A2509" s="266">
        <f>IFERROR(__xludf.DUMMYFUNCTION("""COMPUTED_VALUE"""),45147.99861111111)</f>
        <v>45147.99861</v>
      </c>
      <c r="B2509" s="1">
        <f>IFERROR(__xludf.DUMMYFUNCTION("""COMPUTED_VALUE"""),29569.32)</f>
        <v>29569.32</v>
      </c>
      <c r="C2509" s="58">
        <f t="shared" si="1"/>
        <v>5331.998611</v>
      </c>
      <c r="D2509" s="1">
        <f t="shared" si="2"/>
        <v>21430.96763</v>
      </c>
      <c r="E2509" s="1">
        <f t="shared" si="3"/>
        <v>38575.74174</v>
      </c>
      <c r="F2509" s="1">
        <f t="shared" si="4"/>
        <v>72865.28996</v>
      </c>
      <c r="G2509" s="1">
        <f t="shared" si="5"/>
        <v>128585.8058</v>
      </c>
      <c r="H2509" s="1">
        <f t="shared" si="6"/>
        <v>235740.644</v>
      </c>
      <c r="I2509" s="1">
        <f t="shared" si="7"/>
        <v>385757.4174</v>
      </c>
    </row>
    <row r="2510" hidden="1">
      <c r="A2510" s="266">
        <f>IFERROR(__xludf.DUMMYFUNCTION("""COMPUTED_VALUE"""),45148.99861111111)</f>
        <v>45148.99861</v>
      </c>
      <c r="B2510" s="1">
        <f>IFERROR(__xludf.DUMMYFUNCTION("""COMPUTED_VALUE"""),29439.7)</f>
        <v>29439.7</v>
      </c>
      <c r="C2510" s="58">
        <f t="shared" si="1"/>
        <v>5332.998611</v>
      </c>
      <c r="D2510" s="1">
        <f t="shared" si="2"/>
        <v>21454.29014</v>
      </c>
      <c r="E2510" s="1">
        <f t="shared" si="3"/>
        <v>38617.72226</v>
      </c>
      <c r="F2510" s="1">
        <f t="shared" si="4"/>
        <v>72944.58648</v>
      </c>
      <c r="G2510" s="1">
        <f t="shared" si="5"/>
        <v>128725.7409</v>
      </c>
      <c r="H2510" s="1">
        <f t="shared" si="6"/>
        <v>235997.1916</v>
      </c>
      <c r="I2510" s="1">
        <f t="shared" si="7"/>
        <v>386177.2226</v>
      </c>
    </row>
    <row r="2511" hidden="1">
      <c r="A2511" s="266">
        <f>IFERROR(__xludf.DUMMYFUNCTION("""COMPUTED_VALUE"""),45149.99861111111)</f>
        <v>45149.99861</v>
      </c>
      <c r="B2511" s="1">
        <f>IFERROR(__xludf.DUMMYFUNCTION("""COMPUTED_VALUE"""),29416.77)</f>
        <v>29416.77</v>
      </c>
      <c r="C2511" s="58">
        <f t="shared" si="1"/>
        <v>5333.998611</v>
      </c>
      <c r="D2511" s="1">
        <f t="shared" si="2"/>
        <v>21477.63365</v>
      </c>
      <c r="E2511" s="1">
        <f t="shared" si="3"/>
        <v>38659.74057</v>
      </c>
      <c r="F2511" s="1">
        <f t="shared" si="4"/>
        <v>73023.95441</v>
      </c>
      <c r="G2511" s="1">
        <f t="shared" si="5"/>
        <v>128865.8019</v>
      </c>
      <c r="H2511" s="1">
        <f t="shared" si="6"/>
        <v>236253.9701</v>
      </c>
      <c r="I2511" s="1">
        <f t="shared" si="7"/>
        <v>386597.4057</v>
      </c>
    </row>
    <row r="2512" hidden="1">
      <c r="A2512" s="266">
        <f>IFERROR(__xludf.DUMMYFUNCTION("""COMPUTED_VALUE"""),45150.99861111111)</f>
        <v>45150.99861</v>
      </c>
      <c r="B2512" s="1">
        <f>IFERROR(__xludf.DUMMYFUNCTION("""COMPUTED_VALUE"""),29445.23)</f>
        <v>29445.23</v>
      </c>
      <c r="C2512" s="58">
        <f t="shared" si="1"/>
        <v>5334.998611</v>
      </c>
      <c r="D2512" s="1">
        <f t="shared" si="2"/>
        <v>21500.99817</v>
      </c>
      <c r="E2512" s="1">
        <f t="shared" si="3"/>
        <v>38701.79671</v>
      </c>
      <c r="F2512" s="1">
        <f t="shared" si="4"/>
        <v>73103.39379</v>
      </c>
      <c r="G2512" s="1">
        <f t="shared" si="5"/>
        <v>129005.989</v>
      </c>
      <c r="H2512" s="1">
        <f t="shared" si="6"/>
        <v>236510.9799</v>
      </c>
      <c r="I2512" s="1">
        <f t="shared" si="7"/>
        <v>387017.9671</v>
      </c>
    </row>
    <row r="2513" hidden="1">
      <c r="A2513" s="266">
        <f>IFERROR(__xludf.DUMMYFUNCTION("""COMPUTED_VALUE"""),45151.99861111111)</f>
        <v>45151.99861</v>
      </c>
      <c r="B2513" s="1">
        <f>IFERROR(__xludf.DUMMYFUNCTION("""COMPUTED_VALUE"""),29301.46)</f>
        <v>29301.46</v>
      </c>
      <c r="C2513" s="58">
        <f t="shared" si="1"/>
        <v>5335.998611</v>
      </c>
      <c r="D2513" s="1">
        <f t="shared" si="2"/>
        <v>21524.38373</v>
      </c>
      <c r="E2513" s="1">
        <f t="shared" si="3"/>
        <v>38743.89071</v>
      </c>
      <c r="F2513" s="1">
        <f t="shared" si="4"/>
        <v>73182.90468</v>
      </c>
      <c r="G2513" s="1">
        <f t="shared" si="5"/>
        <v>129146.3024</v>
      </c>
      <c r="H2513" s="1">
        <f t="shared" si="6"/>
        <v>236768.221</v>
      </c>
      <c r="I2513" s="1">
        <f t="shared" si="7"/>
        <v>387438.9071</v>
      </c>
    </row>
    <row r="2514" hidden="1">
      <c r="A2514" s="266">
        <f>IFERROR(__xludf.DUMMYFUNCTION("""COMPUTED_VALUE"""),45152.99861111111)</f>
        <v>45152.99861</v>
      </c>
      <c r="B2514" s="1">
        <f>IFERROR(__xludf.DUMMYFUNCTION("""COMPUTED_VALUE"""),29414.31)</f>
        <v>29414.31</v>
      </c>
      <c r="C2514" s="58">
        <f t="shared" si="1"/>
        <v>5336.998611</v>
      </c>
      <c r="D2514" s="1">
        <f t="shared" si="2"/>
        <v>21547.79033</v>
      </c>
      <c r="E2514" s="1">
        <f t="shared" si="3"/>
        <v>38786.02259</v>
      </c>
      <c r="F2514" s="1">
        <f t="shared" si="4"/>
        <v>73262.48712</v>
      </c>
      <c r="G2514" s="1">
        <f t="shared" si="5"/>
        <v>129286.742</v>
      </c>
      <c r="H2514" s="1">
        <f t="shared" si="6"/>
        <v>237025.6936</v>
      </c>
      <c r="I2514" s="1">
        <f t="shared" si="7"/>
        <v>387860.2259</v>
      </c>
    </row>
    <row r="2515" hidden="1">
      <c r="A2515" s="266">
        <f>IFERROR(__xludf.DUMMYFUNCTION("""COMPUTED_VALUE"""),45153.99861111111)</f>
        <v>45153.99861</v>
      </c>
      <c r="B2515" s="1">
        <f>IFERROR(__xludf.DUMMYFUNCTION("""COMPUTED_VALUE"""),29177.08)</f>
        <v>29177.08</v>
      </c>
      <c r="C2515" s="58">
        <f t="shared" si="1"/>
        <v>5337.998611</v>
      </c>
      <c r="D2515" s="1">
        <f t="shared" si="2"/>
        <v>21571.21799</v>
      </c>
      <c r="E2515" s="1">
        <f t="shared" si="3"/>
        <v>38828.19238</v>
      </c>
      <c r="F2515" s="1">
        <f t="shared" si="4"/>
        <v>73342.14117</v>
      </c>
      <c r="G2515" s="1">
        <f t="shared" si="5"/>
        <v>129427.3079</v>
      </c>
      <c r="H2515" s="1">
        <f t="shared" si="6"/>
        <v>237283.3979</v>
      </c>
      <c r="I2515" s="1">
        <f t="shared" si="7"/>
        <v>388281.9238</v>
      </c>
    </row>
    <row r="2516" hidden="1">
      <c r="A2516" s="266">
        <f>IFERROR(__xludf.DUMMYFUNCTION("""COMPUTED_VALUE"""),45154.99861111111)</f>
        <v>45154.99861</v>
      </c>
      <c r="B2516" s="1">
        <f>IFERROR(__xludf.DUMMYFUNCTION("""COMPUTED_VALUE"""),28719.62)</f>
        <v>28719.62</v>
      </c>
      <c r="C2516" s="58">
        <f t="shared" si="1"/>
        <v>5338.998611</v>
      </c>
      <c r="D2516" s="1">
        <f t="shared" si="2"/>
        <v>21594.66673</v>
      </c>
      <c r="E2516" s="1">
        <f t="shared" si="3"/>
        <v>38870.40011</v>
      </c>
      <c r="F2516" s="1">
        <f t="shared" si="4"/>
        <v>73421.86688</v>
      </c>
      <c r="G2516" s="1">
        <f t="shared" si="5"/>
        <v>129568.0004</v>
      </c>
      <c r="H2516" s="1">
        <f t="shared" si="6"/>
        <v>237541.334</v>
      </c>
      <c r="I2516" s="1">
        <f t="shared" si="7"/>
        <v>388704.0011</v>
      </c>
    </row>
    <row r="2517" hidden="1">
      <c r="A2517" s="266">
        <f>IFERROR(__xludf.DUMMYFUNCTION("""COMPUTED_VALUE"""),45155.99861111111)</f>
        <v>45155.99861</v>
      </c>
      <c r="B2517" s="1">
        <f>IFERROR(__xludf.DUMMYFUNCTION("""COMPUTED_VALUE"""),26643.99)</f>
        <v>26643.99</v>
      </c>
      <c r="C2517" s="58">
        <f t="shared" si="1"/>
        <v>5339.998611</v>
      </c>
      <c r="D2517" s="1">
        <f t="shared" si="2"/>
        <v>21618.13656</v>
      </c>
      <c r="E2517" s="1">
        <f t="shared" si="3"/>
        <v>38912.6458</v>
      </c>
      <c r="F2517" s="1">
        <f t="shared" si="4"/>
        <v>73501.6643</v>
      </c>
      <c r="G2517" s="1">
        <f t="shared" si="5"/>
        <v>129708.8193</v>
      </c>
      <c r="H2517" s="1">
        <f t="shared" si="6"/>
        <v>237799.5021</v>
      </c>
      <c r="I2517" s="1">
        <f t="shared" si="7"/>
        <v>389126.458</v>
      </c>
    </row>
    <row r="2518" hidden="1">
      <c r="A2518" s="266">
        <f>IFERROR(__xludf.DUMMYFUNCTION("""COMPUTED_VALUE"""),45156.99861111111)</f>
        <v>45156.99861</v>
      </c>
      <c r="B2518" s="1">
        <f>IFERROR(__xludf.DUMMYFUNCTION("""COMPUTED_VALUE"""),26063.93)</f>
        <v>26063.93</v>
      </c>
      <c r="C2518" s="58">
        <f t="shared" si="1"/>
        <v>5340.998611</v>
      </c>
      <c r="D2518" s="1">
        <f t="shared" si="2"/>
        <v>21641.62749</v>
      </c>
      <c r="E2518" s="1">
        <f t="shared" si="3"/>
        <v>38954.92949</v>
      </c>
      <c r="F2518" s="1">
        <f t="shared" si="4"/>
        <v>73581.53347</v>
      </c>
      <c r="G2518" s="1">
        <f t="shared" si="5"/>
        <v>129849.765</v>
      </c>
      <c r="H2518" s="1">
        <f t="shared" si="6"/>
        <v>238057.9024</v>
      </c>
      <c r="I2518" s="1">
        <f t="shared" si="7"/>
        <v>389549.2949</v>
      </c>
    </row>
    <row r="2519" hidden="1">
      <c r="A2519" s="266">
        <f>IFERROR(__xludf.DUMMYFUNCTION("""COMPUTED_VALUE"""),45157.99861111111)</f>
        <v>45157.99861</v>
      </c>
      <c r="B2519" s="1">
        <f>IFERROR(__xludf.DUMMYFUNCTION("""COMPUTED_VALUE"""),26117.54)</f>
        <v>26117.54</v>
      </c>
      <c r="C2519" s="58">
        <f t="shared" si="1"/>
        <v>5341.998611</v>
      </c>
      <c r="D2519" s="1">
        <f t="shared" si="2"/>
        <v>21665.13955</v>
      </c>
      <c r="E2519" s="1">
        <f t="shared" si="3"/>
        <v>38997.25119</v>
      </c>
      <c r="F2519" s="1">
        <f t="shared" si="4"/>
        <v>73661.47446</v>
      </c>
      <c r="G2519" s="1">
        <f t="shared" si="5"/>
        <v>129990.8373</v>
      </c>
      <c r="H2519" s="1">
        <f t="shared" si="6"/>
        <v>238316.535</v>
      </c>
      <c r="I2519" s="1">
        <f t="shared" si="7"/>
        <v>389972.5119</v>
      </c>
    </row>
    <row r="2520" hidden="1">
      <c r="A2520" s="266">
        <f>IFERROR(__xludf.DUMMYFUNCTION("""COMPUTED_VALUE"""),45158.99861111111)</f>
        <v>45158.99861</v>
      </c>
      <c r="B2520" s="1">
        <f>IFERROR(__xludf.DUMMYFUNCTION("""COMPUTED_VALUE"""),26203.13)</f>
        <v>26203.13</v>
      </c>
      <c r="C2520" s="58">
        <f t="shared" si="1"/>
        <v>5342.998611</v>
      </c>
      <c r="D2520" s="1">
        <f t="shared" si="2"/>
        <v>21688.67274</v>
      </c>
      <c r="E2520" s="1">
        <f t="shared" si="3"/>
        <v>39039.61093</v>
      </c>
      <c r="F2520" s="1">
        <f t="shared" si="4"/>
        <v>73741.48731</v>
      </c>
      <c r="G2520" s="1">
        <f t="shared" si="5"/>
        <v>130132.0364</v>
      </c>
      <c r="H2520" s="1">
        <f t="shared" si="6"/>
        <v>238575.4001</v>
      </c>
      <c r="I2520" s="1">
        <f t="shared" si="7"/>
        <v>390396.1093</v>
      </c>
    </row>
    <row r="2521" hidden="1">
      <c r="A2521" s="266">
        <f>IFERROR(__xludf.DUMMYFUNCTION("""COMPUTED_VALUE"""),45159.99861111111)</f>
        <v>45159.99861</v>
      </c>
      <c r="B2521" s="1">
        <f>IFERROR(__xludf.DUMMYFUNCTION("""COMPUTED_VALUE"""),26130.78)</f>
        <v>26130.78</v>
      </c>
      <c r="C2521" s="58">
        <f t="shared" si="1"/>
        <v>5343.998611</v>
      </c>
      <c r="D2521" s="1">
        <f t="shared" si="2"/>
        <v>21712.22708</v>
      </c>
      <c r="E2521" s="1">
        <f t="shared" si="3"/>
        <v>39082.00875</v>
      </c>
      <c r="F2521" s="1">
        <f t="shared" si="4"/>
        <v>73821.57208</v>
      </c>
      <c r="G2521" s="1">
        <f t="shared" si="5"/>
        <v>130273.3625</v>
      </c>
      <c r="H2521" s="1">
        <f t="shared" si="6"/>
        <v>238834.4979</v>
      </c>
      <c r="I2521" s="1">
        <f t="shared" si="7"/>
        <v>390820.0875</v>
      </c>
    </row>
    <row r="2522" hidden="1">
      <c r="A2522" s="266">
        <f>IFERROR(__xludf.DUMMYFUNCTION("""COMPUTED_VALUE"""),45160.99861111111)</f>
        <v>45160.99861</v>
      </c>
      <c r="B2522" s="1">
        <f>IFERROR(__xludf.DUMMYFUNCTION("""COMPUTED_VALUE"""),26043.79)</f>
        <v>26043.79</v>
      </c>
      <c r="C2522" s="58">
        <f t="shared" si="1"/>
        <v>5344.998611</v>
      </c>
      <c r="D2522" s="1">
        <f t="shared" si="2"/>
        <v>21735.80259</v>
      </c>
      <c r="E2522" s="1">
        <f t="shared" si="3"/>
        <v>39124.44466</v>
      </c>
      <c r="F2522" s="1">
        <f t="shared" si="4"/>
        <v>73901.72881</v>
      </c>
      <c r="G2522" s="1">
        <f t="shared" si="5"/>
        <v>130414.8155</v>
      </c>
      <c r="H2522" s="1">
        <f t="shared" si="6"/>
        <v>239093.8285</v>
      </c>
      <c r="I2522" s="1">
        <f t="shared" si="7"/>
        <v>391244.4466</v>
      </c>
    </row>
    <row r="2523" hidden="1">
      <c r="A2523" s="266">
        <f>IFERROR(__xludf.DUMMYFUNCTION("""COMPUTED_VALUE"""),45161.99861111111)</f>
        <v>45161.99861</v>
      </c>
      <c r="B2523" s="1">
        <f>IFERROR(__xludf.DUMMYFUNCTION("""COMPUTED_VALUE"""),26435.17)</f>
        <v>26435.17</v>
      </c>
      <c r="C2523" s="58">
        <f t="shared" si="1"/>
        <v>5345.998611</v>
      </c>
      <c r="D2523" s="1">
        <f t="shared" si="2"/>
        <v>21759.39928</v>
      </c>
      <c r="E2523" s="1">
        <f t="shared" si="3"/>
        <v>39166.91871</v>
      </c>
      <c r="F2523" s="1">
        <f t="shared" si="4"/>
        <v>73981.95756</v>
      </c>
      <c r="G2523" s="1">
        <f t="shared" si="5"/>
        <v>130556.3957</v>
      </c>
      <c r="H2523" s="1">
        <f t="shared" si="6"/>
        <v>239353.3921</v>
      </c>
      <c r="I2523" s="1">
        <f t="shared" si="7"/>
        <v>391669.1871</v>
      </c>
    </row>
    <row r="2524" hidden="1">
      <c r="A2524" s="266">
        <f>IFERROR(__xludf.DUMMYFUNCTION("""COMPUTED_VALUE"""),45162.99861111111)</f>
        <v>45162.99861</v>
      </c>
      <c r="B2524" s="1">
        <f>IFERROR(__xludf.DUMMYFUNCTION("""COMPUTED_VALUE"""),26173.38)</f>
        <v>26173.38</v>
      </c>
      <c r="C2524" s="58">
        <f t="shared" si="1"/>
        <v>5346.998611</v>
      </c>
      <c r="D2524" s="1">
        <f t="shared" si="2"/>
        <v>21783.01717</v>
      </c>
      <c r="E2524" s="1">
        <f t="shared" si="3"/>
        <v>39209.4309</v>
      </c>
      <c r="F2524" s="1">
        <f t="shared" si="4"/>
        <v>74062.25837</v>
      </c>
      <c r="G2524" s="1">
        <f t="shared" si="5"/>
        <v>130698.103</v>
      </c>
      <c r="H2524" s="1">
        <f t="shared" si="6"/>
        <v>239613.1888</v>
      </c>
      <c r="I2524" s="1">
        <f t="shared" si="7"/>
        <v>392094.309</v>
      </c>
    </row>
    <row r="2525" hidden="1">
      <c r="A2525" s="266">
        <f>IFERROR(__xludf.DUMMYFUNCTION("""COMPUTED_VALUE"""),45163.99861111111)</f>
        <v>45163.99861</v>
      </c>
      <c r="B2525" s="1">
        <f>IFERROR(__xludf.DUMMYFUNCTION("""COMPUTED_VALUE"""),26054.19)</f>
        <v>26054.19</v>
      </c>
      <c r="C2525" s="58">
        <f t="shared" si="1"/>
        <v>5347.998611</v>
      </c>
      <c r="D2525" s="1">
        <f t="shared" si="2"/>
        <v>21806.65626</v>
      </c>
      <c r="E2525" s="1">
        <f t="shared" si="3"/>
        <v>39251.98128</v>
      </c>
      <c r="F2525" s="1">
        <f t="shared" si="4"/>
        <v>74142.6313</v>
      </c>
      <c r="G2525" s="1">
        <f t="shared" si="5"/>
        <v>130839.9376</v>
      </c>
      <c r="H2525" s="1">
        <f t="shared" si="6"/>
        <v>239873.2189</v>
      </c>
      <c r="I2525" s="1">
        <f t="shared" si="7"/>
        <v>392519.8128</v>
      </c>
    </row>
    <row r="2526" hidden="1">
      <c r="A2526" s="266">
        <f>IFERROR(__xludf.DUMMYFUNCTION("""COMPUTED_VALUE"""),45164.99861111111)</f>
        <v>45164.99861</v>
      </c>
      <c r="B2526" s="1">
        <f>IFERROR(__xludf.DUMMYFUNCTION("""COMPUTED_VALUE"""),26020.23)</f>
        <v>26020.23</v>
      </c>
      <c r="C2526" s="58">
        <f t="shared" si="1"/>
        <v>5348.998611</v>
      </c>
      <c r="D2526" s="1">
        <f t="shared" si="2"/>
        <v>21830.31659</v>
      </c>
      <c r="E2526" s="1">
        <f t="shared" si="3"/>
        <v>39294.56986</v>
      </c>
      <c r="F2526" s="1">
        <f t="shared" si="4"/>
        <v>74223.0764</v>
      </c>
      <c r="G2526" s="1">
        <f t="shared" si="5"/>
        <v>130981.8995</v>
      </c>
      <c r="H2526" s="1">
        <f t="shared" si="6"/>
        <v>240133.4825</v>
      </c>
      <c r="I2526" s="1">
        <f t="shared" si="7"/>
        <v>392945.6986</v>
      </c>
    </row>
    <row r="2527" hidden="1">
      <c r="A2527" s="266">
        <f>IFERROR(__xludf.DUMMYFUNCTION("""COMPUTED_VALUE"""),45165.99861111111)</f>
        <v>45165.99861</v>
      </c>
      <c r="B2527" s="1">
        <f>IFERROR(__xludf.DUMMYFUNCTION("""COMPUTED_VALUE"""),26099.84)</f>
        <v>26099.84</v>
      </c>
      <c r="C2527" s="58">
        <f t="shared" si="1"/>
        <v>5349.998611</v>
      </c>
      <c r="D2527" s="1">
        <f t="shared" si="2"/>
        <v>21853.99815</v>
      </c>
      <c r="E2527" s="1">
        <f t="shared" si="3"/>
        <v>39337.19668</v>
      </c>
      <c r="F2527" s="1">
        <f t="shared" si="4"/>
        <v>74303.59372</v>
      </c>
      <c r="G2527" s="1">
        <f t="shared" si="5"/>
        <v>131123.9889</v>
      </c>
      <c r="H2527" s="1">
        <f t="shared" si="6"/>
        <v>240393.9797</v>
      </c>
      <c r="I2527" s="1">
        <f t="shared" si="7"/>
        <v>393371.9668</v>
      </c>
    </row>
    <row r="2528" hidden="1">
      <c r="A2528" s="266">
        <f>IFERROR(__xludf.DUMMYFUNCTION("""COMPUTED_VALUE"""),45166.99861111111)</f>
        <v>45166.99861</v>
      </c>
      <c r="B2528" s="1">
        <f>IFERROR(__xludf.DUMMYFUNCTION("""COMPUTED_VALUE"""),26108.12)</f>
        <v>26108.12</v>
      </c>
      <c r="C2528" s="58">
        <f t="shared" si="1"/>
        <v>5350.998611</v>
      </c>
      <c r="D2528" s="1">
        <f t="shared" si="2"/>
        <v>21877.70098</v>
      </c>
      <c r="E2528" s="1">
        <f t="shared" si="3"/>
        <v>39379.86176</v>
      </c>
      <c r="F2528" s="1">
        <f t="shared" si="4"/>
        <v>74384.18332</v>
      </c>
      <c r="G2528" s="1">
        <f t="shared" si="5"/>
        <v>131266.2059</v>
      </c>
      <c r="H2528" s="1">
        <f t="shared" si="6"/>
        <v>240654.7107</v>
      </c>
      <c r="I2528" s="1">
        <f t="shared" si="7"/>
        <v>393798.6176</v>
      </c>
    </row>
    <row r="2529" hidden="1">
      <c r="A2529" s="266">
        <f>IFERROR(__xludf.DUMMYFUNCTION("""COMPUTED_VALUE"""),45167.99861111111)</f>
        <v>45167.99861</v>
      </c>
      <c r="B2529" s="1">
        <f>IFERROR(__xludf.DUMMYFUNCTION("""COMPUTED_VALUE"""),27728.26)</f>
        <v>27728.26</v>
      </c>
      <c r="C2529" s="58">
        <f t="shared" si="1"/>
        <v>5351.998611</v>
      </c>
      <c r="D2529" s="1">
        <f t="shared" si="2"/>
        <v>21901.42507</v>
      </c>
      <c r="E2529" s="1">
        <f t="shared" si="3"/>
        <v>39422.56512</v>
      </c>
      <c r="F2529" s="1">
        <f t="shared" si="4"/>
        <v>74464.84524</v>
      </c>
      <c r="G2529" s="1">
        <f t="shared" si="5"/>
        <v>131408.5504</v>
      </c>
      <c r="H2529" s="1">
        <f t="shared" si="6"/>
        <v>240915.6758</v>
      </c>
      <c r="I2529" s="1">
        <f t="shared" si="7"/>
        <v>394225.6512</v>
      </c>
    </row>
    <row r="2530" hidden="1">
      <c r="A2530" s="266">
        <f>IFERROR(__xludf.DUMMYFUNCTION("""COMPUTED_VALUE"""),45168.99861111111)</f>
        <v>45168.99861</v>
      </c>
      <c r="B2530" s="1">
        <f>IFERROR(__xludf.DUMMYFUNCTION("""COMPUTED_VALUE"""),27304.24)</f>
        <v>27304.24</v>
      </c>
      <c r="C2530" s="58">
        <f t="shared" si="1"/>
        <v>5352.998611</v>
      </c>
      <c r="D2530" s="1">
        <f t="shared" si="2"/>
        <v>21925.17045</v>
      </c>
      <c r="E2530" s="1">
        <f t="shared" si="3"/>
        <v>39465.30681</v>
      </c>
      <c r="F2530" s="1">
        <f t="shared" si="4"/>
        <v>74545.57953</v>
      </c>
      <c r="G2530" s="1">
        <f t="shared" si="5"/>
        <v>131551.0227</v>
      </c>
      <c r="H2530" s="1">
        <f t="shared" si="6"/>
        <v>241176.8749</v>
      </c>
      <c r="I2530" s="1">
        <f t="shared" si="7"/>
        <v>394653.0681</v>
      </c>
    </row>
    <row r="2531" hidden="1">
      <c r="A2531" s="266">
        <f>IFERROR(__xludf.DUMMYFUNCTION("""COMPUTED_VALUE"""),45169.99861111111)</f>
        <v>45169.99861</v>
      </c>
      <c r="B2531" s="1">
        <f>IFERROR(__xludf.DUMMYFUNCTION("""COMPUTED_VALUE"""),25936.08)</f>
        <v>25936.08</v>
      </c>
      <c r="C2531" s="58">
        <f t="shared" si="1"/>
        <v>5353.998611</v>
      </c>
      <c r="D2531" s="1">
        <f t="shared" si="2"/>
        <v>21948.93713</v>
      </c>
      <c r="E2531" s="1">
        <f t="shared" si="3"/>
        <v>39508.08684</v>
      </c>
      <c r="F2531" s="1">
        <f t="shared" si="4"/>
        <v>74626.38625</v>
      </c>
      <c r="G2531" s="1">
        <f t="shared" si="5"/>
        <v>131693.6228</v>
      </c>
      <c r="H2531" s="1">
        <f t="shared" si="6"/>
        <v>241438.3084</v>
      </c>
      <c r="I2531" s="1">
        <f t="shared" si="7"/>
        <v>395080.8684</v>
      </c>
    </row>
    <row r="2532" hidden="1">
      <c r="A2532" s="266">
        <f>IFERROR(__xludf.DUMMYFUNCTION("""COMPUTED_VALUE"""),45170.99861111111)</f>
        <v>45170.99861</v>
      </c>
      <c r="B2532" s="1">
        <f>IFERROR(__xludf.DUMMYFUNCTION("""COMPUTED_VALUE"""),25798.36)</f>
        <v>25798.36</v>
      </c>
      <c r="C2532" s="58">
        <f t="shared" si="1"/>
        <v>5354.998611</v>
      </c>
      <c r="D2532" s="1">
        <f t="shared" si="2"/>
        <v>21972.72513</v>
      </c>
      <c r="E2532" s="1">
        <f t="shared" si="3"/>
        <v>39550.90524</v>
      </c>
      <c r="F2532" s="1">
        <f t="shared" si="4"/>
        <v>74707.26544</v>
      </c>
      <c r="G2532" s="1">
        <f t="shared" si="5"/>
        <v>131836.3508</v>
      </c>
      <c r="H2532" s="1">
        <f t="shared" si="6"/>
        <v>241699.9764</v>
      </c>
      <c r="I2532" s="1">
        <f t="shared" si="7"/>
        <v>395509.0524</v>
      </c>
    </row>
    <row r="2533" hidden="1">
      <c r="A2533" s="266">
        <f>IFERROR(__xludf.DUMMYFUNCTION("""COMPUTED_VALUE"""),45171.99861111111)</f>
        <v>45171.99861</v>
      </c>
      <c r="B2533" s="1">
        <f>IFERROR(__xludf.DUMMYFUNCTION("""COMPUTED_VALUE"""),25877.09)</f>
        <v>25877.09</v>
      </c>
      <c r="C2533" s="58">
        <f t="shared" si="1"/>
        <v>5355.998611</v>
      </c>
      <c r="D2533" s="1">
        <f t="shared" si="2"/>
        <v>21996.53446</v>
      </c>
      <c r="E2533" s="1">
        <f t="shared" si="3"/>
        <v>39593.76203</v>
      </c>
      <c r="F2533" s="1">
        <f t="shared" si="4"/>
        <v>74788.21717</v>
      </c>
      <c r="G2533" s="1">
        <f t="shared" si="5"/>
        <v>131979.2068</v>
      </c>
      <c r="H2533" s="1">
        <f t="shared" si="6"/>
        <v>241961.8791</v>
      </c>
      <c r="I2533" s="1">
        <f t="shared" si="7"/>
        <v>395937.6203</v>
      </c>
    </row>
    <row r="2534" hidden="1">
      <c r="A2534" s="266">
        <f>IFERROR(__xludf.DUMMYFUNCTION("""COMPUTED_VALUE"""),45172.99861111111)</f>
        <v>45172.99861</v>
      </c>
      <c r="B2534" s="1">
        <f>IFERROR(__xludf.DUMMYFUNCTION("""COMPUTED_VALUE"""),25974.93)</f>
        <v>25974.93</v>
      </c>
      <c r="C2534" s="58">
        <f t="shared" si="1"/>
        <v>5356.998611</v>
      </c>
      <c r="D2534" s="1">
        <f t="shared" si="2"/>
        <v>22020.36514</v>
      </c>
      <c r="E2534" s="1">
        <f t="shared" si="3"/>
        <v>39636.65725</v>
      </c>
      <c r="F2534" s="1">
        <f t="shared" si="4"/>
        <v>74869.24148</v>
      </c>
      <c r="G2534" s="1">
        <f t="shared" si="5"/>
        <v>132122.1908</v>
      </c>
      <c r="H2534" s="1">
        <f t="shared" si="6"/>
        <v>242224.0165</v>
      </c>
      <c r="I2534" s="1">
        <f t="shared" si="7"/>
        <v>396366.5725</v>
      </c>
    </row>
    <row r="2535" hidden="1">
      <c r="A2535" s="266">
        <f>IFERROR(__xludf.DUMMYFUNCTION("""COMPUTED_VALUE"""),45173.99861111111)</f>
        <v>45173.99861</v>
      </c>
      <c r="B2535" s="1">
        <f>IFERROR(__xludf.DUMMYFUNCTION("""COMPUTED_VALUE"""),25822.07)</f>
        <v>25822.07</v>
      </c>
      <c r="C2535" s="58">
        <f t="shared" si="1"/>
        <v>5357.998611</v>
      </c>
      <c r="D2535" s="1">
        <f t="shared" si="2"/>
        <v>22044.21718</v>
      </c>
      <c r="E2535" s="1">
        <f t="shared" si="3"/>
        <v>39679.59093</v>
      </c>
      <c r="F2535" s="1">
        <f t="shared" si="4"/>
        <v>74950.33842</v>
      </c>
      <c r="G2535" s="1">
        <f t="shared" si="5"/>
        <v>132265.3031</v>
      </c>
      <c r="H2535" s="1">
        <f t="shared" si="6"/>
        <v>242486.389</v>
      </c>
      <c r="I2535" s="1">
        <f t="shared" si="7"/>
        <v>396795.9093</v>
      </c>
    </row>
    <row r="2536" hidden="1">
      <c r="A2536" s="266">
        <f>IFERROR(__xludf.DUMMYFUNCTION("""COMPUTED_VALUE"""),45174.99861111111)</f>
        <v>45174.99861</v>
      </c>
      <c r="B2536" s="1">
        <f>IFERROR(__xludf.DUMMYFUNCTION("""COMPUTED_VALUE"""),25785.84)</f>
        <v>25785.84</v>
      </c>
      <c r="C2536" s="58">
        <f t="shared" si="1"/>
        <v>5358.998611</v>
      </c>
      <c r="D2536" s="1">
        <f t="shared" si="2"/>
        <v>22068.0906</v>
      </c>
      <c r="E2536" s="1">
        <f t="shared" si="3"/>
        <v>39722.56308</v>
      </c>
      <c r="F2536" s="1">
        <f t="shared" si="4"/>
        <v>75031.50804</v>
      </c>
      <c r="G2536" s="1">
        <f t="shared" si="5"/>
        <v>132408.5436</v>
      </c>
      <c r="H2536" s="1">
        <f t="shared" si="6"/>
        <v>242748.9966</v>
      </c>
      <c r="I2536" s="1">
        <f t="shared" si="7"/>
        <v>397225.6308</v>
      </c>
    </row>
    <row r="2537" hidden="1">
      <c r="A2537" s="266">
        <f>IFERROR(__xludf.DUMMYFUNCTION("""COMPUTED_VALUE"""),45175.99861111111)</f>
        <v>45175.99861</v>
      </c>
      <c r="B2537" s="1">
        <f>IFERROR(__xludf.DUMMYFUNCTION("""COMPUTED_VALUE"""),25755.55)</f>
        <v>25755.55</v>
      </c>
      <c r="C2537" s="58">
        <f t="shared" si="1"/>
        <v>5359.998611</v>
      </c>
      <c r="D2537" s="1">
        <f t="shared" si="2"/>
        <v>22091.98541</v>
      </c>
      <c r="E2537" s="1">
        <f t="shared" si="3"/>
        <v>39765.57374</v>
      </c>
      <c r="F2537" s="1">
        <f t="shared" si="4"/>
        <v>75112.7504</v>
      </c>
      <c r="G2537" s="1">
        <f t="shared" si="5"/>
        <v>132551.9125</v>
      </c>
      <c r="H2537" s="1">
        <f t="shared" si="6"/>
        <v>243011.8395</v>
      </c>
      <c r="I2537" s="1">
        <f t="shared" si="7"/>
        <v>397655.7374</v>
      </c>
    </row>
    <row r="2538" hidden="1">
      <c r="A2538" s="266">
        <f>IFERROR(__xludf.DUMMYFUNCTION("""COMPUTED_VALUE"""),45176.99861111111)</f>
        <v>45176.99861</v>
      </c>
      <c r="B2538" s="1">
        <f>IFERROR(__xludf.DUMMYFUNCTION("""COMPUTED_VALUE"""),26259.23)</f>
        <v>26259.23</v>
      </c>
      <c r="C2538" s="58">
        <f t="shared" si="1"/>
        <v>5360.998611</v>
      </c>
      <c r="D2538" s="1">
        <f t="shared" si="2"/>
        <v>22115.90163</v>
      </c>
      <c r="E2538" s="1">
        <f t="shared" si="3"/>
        <v>39808.62294</v>
      </c>
      <c r="F2538" s="1">
        <f t="shared" si="4"/>
        <v>75194.06555</v>
      </c>
      <c r="G2538" s="1">
        <f t="shared" si="5"/>
        <v>132695.4098</v>
      </c>
      <c r="H2538" s="1">
        <f t="shared" si="6"/>
        <v>243274.9179</v>
      </c>
      <c r="I2538" s="1">
        <f t="shared" si="7"/>
        <v>398086.2294</v>
      </c>
    </row>
    <row r="2539" hidden="1">
      <c r="A2539" s="266">
        <f>IFERROR(__xludf.DUMMYFUNCTION("""COMPUTED_VALUE"""),45177.99861111111)</f>
        <v>45177.99861</v>
      </c>
      <c r="B2539" s="1">
        <f>IFERROR(__xludf.DUMMYFUNCTION("""COMPUTED_VALUE"""),25909.41)</f>
        <v>25909.41</v>
      </c>
      <c r="C2539" s="58">
        <f t="shared" si="1"/>
        <v>5361.998611</v>
      </c>
      <c r="D2539" s="1">
        <f t="shared" si="2"/>
        <v>22139.83927</v>
      </c>
      <c r="E2539" s="1">
        <f t="shared" si="3"/>
        <v>39851.71069</v>
      </c>
      <c r="F2539" s="1">
        <f t="shared" si="4"/>
        <v>75275.45353</v>
      </c>
      <c r="G2539" s="1">
        <f t="shared" si="5"/>
        <v>132839.0356</v>
      </c>
      <c r="H2539" s="1">
        <f t="shared" si="6"/>
        <v>243538.232</v>
      </c>
      <c r="I2539" s="1">
        <f t="shared" si="7"/>
        <v>398517.1069</v>
      </c>
    </row>
    <row r="2540" hidden="1">
      <c r="A2540" s="266">
        <f>IFERROR(__xludf.DUMMYFUNCTION("""COMPUTED_VALUE"""),45178.99861111111)</f>
        <v>45178.99861</v>
      </c>
      <c r="B2540" s="1">
        <f>IFERROR(__xludf.DUMMYFUNCTION("""COMPUTED_VALUE"""),25905.51)</f>
        <v>25905.51</v>
      </c>
      <c r="C2540" s="58">
        <f t="shared" si="1"/>
        <v>5362.998611</v>
      </c>
      <c r="D2540" s="1">
        <f t="shared" si="2"/>
        <v>22163.79835</v>
      </c>
      <c r="E2540" s="1">
        <f t="shared" si="3"/>
        <v>39894.83704</v>
      </c>
      <c r="F2540" s="1">
        <f t="shared" si="4"/>
        <v>75356.9144</v>
      </c>
      <c r="G2540" s="1">
        <f t="shared" si="5"/>
        <v>132982.7901</v>
      </c>
      <c r="H2540" s="1">
        <f t="shared" si="6"/>
        <v>243801.7819</v>
      </c>
      <c r="I2540" s="1">
        <f t="shared" si="7"/>
        <v>398948.3704</v>
      </c>
    </row>
    <row r="2541" hidden="1">
      <c r="A2541" s="266">
        <f>IFERROR(__xludf.DUMMYFUNCTION("""COMPUTED_VALUE"""),45179.99861111111)</f>
        <v>45179.99861</v>
      </c>
      <c r="B2541" s="1">
        <f>IFERROR(__xludf.DUMMYFUNCTION("""COMPUTED_VALUE"""),25838.32)</f>
        <v>25838.32</v>
      </c>
      <c r="C2541" s="58">
        <f t="shared" si="1"/>
        <v>5363.998611</v>
      </c>
      <c r="D2541" s="1">
        <f t="shared" si="2"/>
        <v>22187.77889</v>
      </c>
      <c r="E2541" s="1">
        <f t="shared" si="3"/>
        <v>39938.002</v>
      </c>
      <c r="F2541" s="1">
        <f t="shared" si="4"/>
        <v>75438.44822</v>
      </c>
      <c r="G2541" s="1">
        <f t="shared" si="5"/>
        <v>133126.6733</v>
      </c>
      <c r="H2541" s="1">
        <f t="shared" si="6"/>
        <v>244065.5678</v>
      </c>
      <c r="I2541" s="1">
        <f t="shared" si="7"/>
        <v>399380.02</v>
      </c>
    </row>
    <row r="2542" hidden="1">
      <c r="A2542" s="266">
        <f>IFERROR(__xludf.DUMMYFUNCTION("""COMPUTED_VALUE"""),45180.99861111111)</f>
        <v>45180.99861</v>
      </c>
      <c r="B2542" s="1">
        <f>IFERROR(__xludf.DUMMYFUNCTION("""COMPUTED_VALUE"""),25163.71)</f>
        <v>25163.71</v>
      </c>
      <c r="C2542" s="58">
        <f t="shared" si="1"/>
        <v>5364.998611</v>
      </c>
      <c r="D2542" s="1">
        <f t="shared" si="2"/>
        <v>22211.78089</v>
      </c>
      <c r="E2542" s="1">
        <f t="shared" si="3"/>
        <v>39981.2056</v>
      </c>
      <c r="F2542" s="1">
        <f t="shared" si="4"/>
        <v>75520.05503</v>
      </c>
      <c r="G2542" s="1">
        <f t="shared" si="5"/>
        <v>133270.6853</v>
      </c>
      <c r="H2542" s="1">
        <f t="shared" si="6"/>
        <v>244329.5898</v>
      </c>
      <c r="I2542" s="1">
        <f t="shared" si="7"/>
        <v>399812.056</v>
      </c>
    </row>
    <row r="2543" hidden="1">
      <c r="A2543" s="266">
        <f>IFERROR(__xludf.DUMMYFUNCTION("""COMPUTED_VALUE"""),45181.99861111111)</f>
        <v>45181.99861</v>
      </c>
      <c r="B2543" s="1">
        <f>IFERROR(__xludf.DUMMYFUNCTION("""COMPUTED_VALUE"""),25843.55)</f>
        <v>25843.55</v>
      </c>
      <c r="C2543" s="58">
        <f t="shared" si="1"/>
        <v>5365.998611</v>
      </c>
      <c r="D2543" s="1">
        <f t="shared" si="2"/>
        <v>22235.80438</v>
      </c>
      <c r="E2543" s="1">
        <f t="shared" si="3"/>
        <v>40024.44788</v>
      </c>
      <c r="F2543" s="1">
        <f t="shared" si="4"/>
        <v>75601.73488</v>
      </c>
      <c r="G2543" s="1">
        <f t="shared" si="5"/>
        <v>133414.8263</v>
      </c>
      <c r="H2543" s="1">
        <f t="shared" si="6"/>
        <v>244593.8482</v>
      </c>
      <c r="I2543" s="1">
        <f t="shared" si="7"/>
        <v>400244.4788</v>
      </c>
    </row>
    <row r="2544" hidden="1">
      <c r="A2544" s="266">
        <f>IFERROR(__xludf.DUMMYFUNCTION("""COMPUTED_VALUE"""),45182.99861111111)</f>
        <v>45182.99861</v>
      </c>
      <c r="B2544" s="1">
        <f>IFERROR(__xludf.DUMMYFUNCTION("""COMPUTED_VALUE"""),26227.52)</f>
        <v>26227.52</v>
      </c>
      <c r="C2544" s="58">
        <f t="shared" si="1"/>
        <v>5366.998611</v>
      </c>
      <c r="D2544" s="1">
        <f t="shared" si="2"/>
        <v>22259.84936</v>
      </c>
      <c r="E2544" s="1">
        <f t="shared" si="3"/>
        <v>40067.72885</v>
      </c>
      <c r="F2544" s="1">
        <f t="shared" si="4"/>
        <v>75683.48784</v>
      </c>
      <c r="G2544" s="1">
        <f t="shared" si="5"/>
        <v>133559.0962</v>
      </c>
      <c r="H2544" s="1">
        <f t="shared" si="6"/>
        <v>244858.343</v>
      </c>
      <c r="I2544" s="1">
        <f t="shared" si="7"/>
        <v>400677.2885</v>
      </c>
    </row>
    <row r="2545" hidden="1">
      <c r="A2545" s="266">
        <f>IFERROR(__xludf.DUMMYFUNCTION("""COMPUTED_VALUE"""),45183.99861111111)</f>
        <v>45183.99861</v>
      </c>
      <c r="B2545" s="1">
        <f>IFERROR(__xludf.DUMMYFUNCTION("""COMPUTED_VALUE"""),26534.06)</f>
        <v>26534.06</v>
      </c>
      <c r="C2545" s="58">
        <f t="shared" si="1"/>
        <v>5367.998611</v>
      </c>
      <c r="D2545" s="1">
        <f t="shared" si="2"/>
        <v>22283.91586</v>
      </c>
      <c r="E2545" s="1">
        <f t="shared" si="3"/>
        <v>40111.04856</v>
      </c>
      <c r="F2545" s="1">
        <f t="shared" si="4"/>
        <v>75765.31394</v>
      </c>
      <c r="G2545" s="1">
        <f t="shared" si="5"/>
        <v>133703.4952</v>
      </c>
      <c r="H2545" s="1">
        <f t="shared" si="6"/>
        <v>245123.0745</v>
      </c>
      <c r="I2545" s="1">
        <f t="shared" si="7"/>
        <v>401110.4856</v>
      </c>
    </row>
    <row r="2546" hidden="1">
      <c r="A2546" s="266">
        <f>IFERROR(__xludf.DUMMYFUNCTION("""COMPUTED_VALUE"""),45184.99861111111)</f>
        <v>45184.99861</v>
      </c>
      <c r="B2546" s="1">
        <f>IFERROR(__xludf.DUMMYFUNCTION("""COMPUTED_VALUE"""),26607.32)</f>
        <v>26607.32</v>
      </c>
      <c r="C2546" s="58">
        <f t="shared" si="1"/>
        <v>5368.998611</v>
      </c>
      <c r="D2546" s="1">
        <f t="shared" si="2"/>
        <v>22308.00389</v>
      </c>
      <c r="E2546" s="1">
        <f t="shared" si="3"/>
        <v>40154.40701</v>
      </c>
      <c r="F2546" s="1">
        <f t="shared" si="4"/>
        <v>75847.21324</v>
      </c>
      <c r="G2546" s="1">
        <f t="shared" si="5"/>
        <v>133848.0234</v>
      </c>
      <c r="H2546" s="1">
        <f t="shared" si="6"/>
        <v>245388.0428</v>
      </c>
      <c r="I2546" s="1">
        <f t="shared" si="7"/>
        <v>401544.0701</v>
      </c>
    </row>
    <row r="2547" hidden="1">
      <c r="A2547" s="266">
        <f>IFERROR(__xludf.DUMMYFUNCTION("""COMPUTED_VALUE"""),45185.99861111111)</f>
        <v>45185.99861</v>
      </c>
      <c r="B2547" s="1">
        <f>IFERROR(__xludf.DUMMYFUNCTION("""COMPUTED_VALUE"""),26569.63)</f>
        <v>26569.63</v>
      </c>
      <c r="C2547" s="58">
        <f t="shared" si="1"/>
        <v>5369.998611</v>
      </c>
      <c r="D2547" s="1">
        <f t="shared" si="2"/>
        <v>22332.11347</v>
      </c>
      <c r="E2547" s="1">
        <f t="shared" si="3"/>
        <v>40197.80424</v>
      </c>
      <c r="F2547" s="1">
        <f t="shared" si="4"/>
        <v>75929.18579</v>
      </c>
      <c r="G2547" s="1">
        <f t="shared" si="5"/>
        <v>133992.6808</v>
      </c>
      <c r="H2547" s="1">
        <f t="shared" si="6"/>
        <v>245653.2482</v>
      </c>
      <c r="I2547" s="1">
        <f t="shared" si="7"/>
        <v>401978.0424</v>
      </c>
    </row>
    <row r="2548" hidden="1">
      <c r="A2548" s="266">
        <f>IFERROR(__xludf.DUMMYFUNCTION("""COMPUTED_VALUE"""),45186.99861111111)</f>
        <v>45186.99861</v>
      </c>
      <c r="B2548" s="1">
        <f>IFERROR(__xludf.DUMMYFUNCTION("""COMPUTED_VALUE"""),26530.24)</f>
        <v>26530.24</v>
      </c>
      <c r="C2548" s="58">
        <f t="shared" si="1"/>
        <v>5370.998611</v>
      </c>
      <c r="D2548" s="1">
        <f t="shared" si="2"/>
        <v>22356.2446</v>
      </c>
      <c r="E2548" s="1">
        <f t="shared" si="3"/>
        <v>40241.24029</v>
      </c>
      <c r="F2548" s="1">
        <f t="shared" si="4"/>
        <v>76011.23165</v>
      </c>
      <c r="G2548" s="1">
        <f t="shared" si="5"/>
        <v>134137.4676</v>
      </c>
      <c r="H2548" s="1">
        <f t="shared" si="6"/>
        <v>245918.6906</v>
      </c>
      <c r="I2548" s="1">
        <f t="shared" si="7"/>
        <v>402412.4029</v>
      </c>
    </row>
    <row r="2549" hidden="1">
      <c r="A2549" s="266">
        <f>IFERROR(__xludf.DUMMYFUNCTION("""COMPUTED_VALUE"""),45187.99861111111)</f>
        <v>45187.99861</v>
      </c>
      <c r="B2549" s="1">
        <f>IFERROR(__xludf.DUMMYFUNCTION("""COMPUTED_VALUE"""),26764.2)</f>
        <v>26764.2</v>
      </c>
      <c r="C2549" s="58">
        <f t="shared" si="1"/>
        <v>5371.998611</v>
      </c>
      <c r="D2549" s="1">
        <f t="shared" si="2"/>
        <v>22380.39731</v>
      </c>
      <c r="E2549" s="1">
        <f t="shared" si="3"/>
        <v>40284.71516</v>
      </c>
      <c r="F2549" s="1">
        <f t="shared" si="4"/>
        <v>76093.35087</v>
      </c>
      <c r="G2549" s="1">
        <f t="shared" si="5"/>
        <v>134282.3839</v>
      </c>
      <c r="H2549" s="1">
        <f t="shared" si="6"/>
        <v>246184.3705</v>
      </c>
      <c r="I2549" s="1">
        <f t="shared" si="7"/>
        <v>402847.1516</v>
      </c>
    </row>
    <row r="2550" hidden="1">
      <c r="A2550" s="266">
        <f>IFERROR(__xludf.DUMMYFUNCTION("""COMPUTED_VALUE"""),45188.99861111111)</f>
        <v>45188.99861</v>
      </c>
      <c r="B2550" s="1">
        <f>IFERROR(__xludf.DUMMYFUNCTION("""COMPUTED_VALUE"""),27217.88)</f>
        <v>27217.88</v>
      </c>
      <c r="C2550" s="58">
        <f t="shared" si="1"/>
        <v>5372.998611</v>
      </c>
      <c r="D2550" s="1">
        <f t="shared" si="2"/>
        <v>22404.57161</v>
      </c>
      <c r="E2550" s="1">
        <f t="shared" si="3"/>
        <v>40328.22891</v>
      </c>
      <c r="F2550" s="1">
        <f t="shared" si="4"/>
        <v>76175.54349</v>
      </c>
      <c r="G2550" s="1">
        <f t="shared" si="5"/>
        <v>134427.4297</v>
      </c>
      <c r="H2550" s="1">
        <f t="shared" si="6"/>
        <v>246450.2878</v>
      </c>
      <c r="I2550" s="1">
        <f t="shared" si="7"/>
        <v>403282.2891</v>
      </c>
    </row>
    <row r="2551" hidden="1">
      <c r="A2551" s="266">
        <f>IFERROR(__xludf.DUMMYFUNCTION("""COMPUTED_VALUE"""),45189.99861111111)</f>
        <v>45189.99861</v>
      </c>
      <c r="B2551" s="1">
        <f>IFERROR(__xludf.DUMMYFUNCTION("""COMPUTED_VALUE"""),27127.37)</f>
        <v>27127.37</v>
      </c>
      <c r="C2551" s="58">
        <f t="shared" si="1"/>
        <v>5373.998611</v>
      </c>
      <c r="D2551" s="1">
        <f t="shared" si="2"/>
        <v>22428.76752</v>
      </c>
      <c r="E2551" s="1">
        <f t="shared" si="3"/>
        <v>40371.78154</v>
      </c>
      <c r="F2551" s="1">
        <f t="shared" si="4"/>
        <v>76257.80957</v>
      </c>
      <c r="G2551" s="1">
        <f t="shared" si="5"/>
        <v>134572.6051</v>
      </c>
      <c r="H2551" s="1">
        <f t="shared" si="6"/>
        <v>246716.4427</v>
      </c>
      <c r="I2551" s="1">
        <f t="shared" si="7"/>
        <v>403717.8154</v>
      </c>
    </row>
    <row r="2552" hidden="1">
      <c r="A2552" s="266">
        <f>IFERROR(__xludf.DUMMYFUNCTION("""COMPUTED_VALUE"""),45190.99861111111)</f>
        <v>45190.99861</v>
      </c>
      <c r="B2552" s="1">
        <f>IFERROR(__xludf.DUMMYFUNCTION("""COMPUTED_VALUE"""),26567.97)</f>
        <v>26567.97</v>
      </c>
      <c r="C2552" s="58">
        <f t="shared" si="1"/>
        <v>5374.998611</v>
      </c>
      <c r="D2552" s="1">
        <f t="shared" si="2"/>
        <v>22452.98505</v>
      </c>
      <c r="E2552" s="1">
        <f t="shared" si="3"/>
        <v>40415.37309</v>
      </c>
      <c r="F2552" s="1">
        <f t="shared" si="4"/>
        <v>76340.14917</v>
      </c>
      <c r="G2552" s="1">
        <f t="shared" si="5"/>
        <v>134717.9103</v>
      </c>
      <c r="H2552" s="1">
        <f t="shared" si="6"/>
        <v>246982.8355</v>
      </c>
      <c r="I2552" s="1">
        <f t="shared" si="7"/>
        <v>404153.7309</v>
      </c>
    </row>
    <row r="2553" hidden="1">
      <c r="A2553" s="266">
        <f>IFERROR(__xludf.DUMMYFUNCTION("""COMPUTED_VALUE"""),45191.99861111111)</f>
        <v>45191.99861</v>
      </c>
      <c r="B2553" s="1">
        <f>IFERROR(__xludf.DUMMYFUNCTION("""COMPUTED_VALUE"""),26588.76)</f>
        <v>26588.76</v>
      </c>
      <c r="C2553" s="58">
        <f t="shared" si="1"/>
        <v>5375.998611</v>
      </c>
      <c r="D2553" s="1">
        <f t="shared" si="2"/>
        <v>22477.22421</v>
      </c>
      <c r="E2553" s="1">
        <f t="shared" si="3"/>
        <v>40459.00358</v>
      </c>
      <c r="F2553" s="1">
        <f t="shared" si="4"/>
        <v>76422.56233</v>
      </c>
      <c r="G2553" s="1">
        <f t="shared" si="5"/>
        <v>134863.3453</v>
      </c>
      <c r="H2553" s="1">
        <f t="shared" si="6"/>
        <v>247249.4664</v>
      </c>
      <c r="I2553" s="1">
        <f t="shared" si="7"/>
        <v>404590.0358</v>
      </c>
    </row>
    <row r="2554" hidden="1">
      <c r="A2554" s="266">
        <f>IFERROR(__xludf.DUMMYFUNCTION("""COMPUTED_VALUE"""),45192.99861111111)</f>
        <v>45192.99861</v>
      </c>
      <c r="B2554" s="1">
        <f>IFERROR(__xludf.DUMMYFUNCTION("""COMPUTED_VALUE"""),26591.66)</f>
        <v>26591.66</v>
      </c>
      <c r="C2554" s="58">
        <f t="shared" si="1"/>
        <v>5376.998611</v>
      </c>
      <c r="D2554" s="1">
        <f t="shared" si="2"/>
        <v>22501.48503</v>
      </c>
      <c r="E2554" s="1">
        <f t="shared" si="3"/>
        <v>40502.67305</v>
      </c>
      <c r="F2554" s="1">
        <f t="shared" si="4"/>
        <v>76505.0491</v>
      </c>
      <c r="G2554" s="1">
        <f t="shared" si="5"/>
        <v>135008.9102</v>
      </c>
      <c r="H2554" s="1">
        <f t="shared" si="6"/>
        <v>247516.3353</v>
      </c>
      <c r="I2554" s="1">
        <f t="shared" si="7"/>
        <v>405026.7305</v>
      </c>
    </row>
    <row r="2555" hidden="1">
      <c r="A2555" s="266">
        <f>IFERROR(__xludf.DUMMYFUNCTION("""COMPUTED_VALUE"""),45193.99861111111)</f>
        <v>45193.99861</v>
      </c>
      <c r="B2555" s="1">
        <f>IFERROR(__xludf.DUMMYFUNCTION("""COMPUTED_VALUE"""),26263.58)</f>
        <v>26263.58</v>
      </c>
      <c r="C2555" s="58">
        <f t="shared" si="1"/>
        <v>5377.998611</v>
      </c>
      <c r="D2555" s="1">
        <f t="shared" si="2"/>
        <v>22525.76751</v>
      </c>
      <c r="E2555" s="1">
        <f t="shared" si="3"/>
        <v>40546.38152</v>
      </c>
      <c r="F2555" s="1">
        <f t="shared" si="4"/>
        <v>76587.60954</v>
      </c>
      <c r="G2555" s="1">
        <f t="shared" si="5"/>
        <v>135154.6051</v>
      </c>
      <c r="H2555" s="1">
        <f t="shared" si="6"/>
        <v>247783.4426</v>
      </c>
      <c r="I2555" s="1">
        <f t="shared" si="7"/>
        <v>405463.8152</v>
      </c>
    </row>
    <row r="2556" hidden="1">
      <c r="A2556" s="266">
        <f>IFERROR(__xludf.DUMMYFUNCTION("""COMPUTED_VALUE"""),45194.99861111111)</f>
        <v>45194.99861</v>
      </c>
      <c r="B2556" s="1">
        <f>IFERROR(__xludf.DUMMYFUNCTION("""COMPUTED_VALUE"""),26296.83)</f>
        <v>26296.83</v>
      </c>
      <c r="C2556" s="58">
        <f t="shared" si="1"/>
        <v>5378.998611</v>
      </c>
      <c r="D2556" s="1">
        <f t="shared" si="2"/>
        <v>22550.07168</v>
      </c>
      <c r="E2556" s="1">
        <f t="shared" si="3"/>
        <v>40590.12902</v>
      </c>
      <c r="F2556" s="1">
        <f t="shared" si="4"/>
        <v>76670.24371</v>
      </c>
      <c r="G2556" s="1">
        <f t="shared" si="5"/>
        <v>135300.4301</v>
      </c>
      <c r="H2556" s="1">
        <f t="shared" si="6"/>
        <v>248050.7885</v>
      </c>
      <c r="I2556" s="1">
        <f t="shared" si="7"/>
        <v>405901.2902</v>
      </c>
    </row>
    <row r="2557" hidden="1">
      <c r="A2557" s="266">
        <f>IFERROR(__xludf.DUMMYFUNCTION("""COMPUTED_VALUE"""),45195.99861111111)</f>
        <v>45195.99861</v>
      </c>
      <c r="B2557" s="1">
        <f>IFERROR(__xludf.DUMMYFUNCTION("""COMPUTED_VALUE"""),26211.61)</f>
        <v>26211.61</v>
      </c>
      <c r="C2557" s="58">
        <f t="shared" si="1"/>
        <v>5379.998611</v>
      </c>
      <c r="D2557" s="1">
        <f t="shared" si="2"/>
        <v>22574.39754</v>
      </c>
      <c r="E2557" s="1">
        <f t="shared" si="3"/>
        <v>40633.91558</v>
      </c>
      <c r="F2557" s="1">
        <f t="shared" si="4"/>
        <v>76752.95164</v>
      </c>
      <c r="G2557" s="1">
        <f t="shared" si="5"/>
        <v>135446.3853</v>
      </c>
      <c r="H2557" s="1">
        <f t="shared" si="6"/>
        <v>248318.373</v>
      </c>
      <c r="I2557" s="1">
        <f t="shared" si="7"/>
        <v>406339.1558</v>
      </c>
    </row>
    <row r="2558" hidden="1">
      <c r="A2558" s="266">
        <f>IFERROR(__xludf.DUMMYFUNCTION("""COMPUTED_VALUE"""),45196.99861111111)</f>
        <v>45196.99861</v>
      </c>
      <c r="B2558" s="1">
        <f>IFERROR(__xludf.DUMMYFUNCTION("""COMPUTED_VALUE"""),26359.27)</f>
        <v>26359.27</v>
      </c>
      <c r="C2558" s="58">
        <f t="shared" si="1"/>
        <v>5380.998611</v>
      </c>
      <c r="D2558" s="1">
        <f t="shared" si="2"/>
        <v>22598.74512</v>
      </c>
      <c r="E2558" s="1">
        <f t="shared" si="3"/>
        <v>40677.74121</v>
      </c>
      <c r="F2558" s="1">
        <f t="shared" si="4"/>
        <v>76835.7334</v>
      </c>
      <c r="G2558" s="1">
        <f t="shared" si="5"/>
        <v>135592.4707</v>
      </c>
      <c r="H2558" s="1">
        <f t="shared" si="6"/>
        <v>248586.1963</v>
      </c>
      <c r="I2558" s="1">
        <f t="shared" si="7"/>
        <v>406777.4121</v>
      </c>
    </row>
    <row r="2559" hidden="1">
      <c r="A2559" s="266">
        <f>IFERROR(__xludf.DUMMYFUNCTION("""COMPUTED_VALUE"""),45197.99861111111)</f>
        <v>45197.99861</v>
      </c>
      <c r="B2559" s="1">
        <f>IFERROR(__xludf.DUMMYFUNCTION("""COMPUTED_VALUE"""),27026.88)</f>
        <v>27026.88</v>
      </c>
      <c r="C2559" s="58">
        <f t="shared" si="1"/>
        <v>5381.998611</v>
      </c>
      <c r="D2559" s="1">
        <f t="shared" si="2"/>
        <v>22623.11442</v>
      </c>
      <c r="E2559" s="1">
        <f t="shared" si="3"/>
        <v>40721.60596</v>
      </c>
      <c r="F2559" s="1">
        <f t="shared" si="4"/>
        <v>76918.58904</v>
      </c>
      <c r="G2559" s="1">
        <f t="shared" si="5"/>
        <v>135738.6865</v>
      </c>
      <c r="H2559" s="1">
        <f t="shared" si="6"/>
        <v>248854.2587</v>
      </c>
      <c r="I2559" s="1">
        <f t="shared" si="7"/>
        <v>407216.0596</v>
      </c>
    </row>
    <row r="2560" hidden="1">
      <c r="A2560" s="266">
        <f>IFERROR(__xludf.DUMMYFUNCTION("""COMPUTED_VALUE"""),45198.99861111111)</f>
        <v>45198.99861</v>
      </c>
      <c r="B2560" s="1">
        <f>IFERROR(__xludf.DUMMYFUNCTION("""COMPUTED_VALUE"""),26912.09)</f>
        <v>26912.09</v>
      </c>
      <c r="C2560" s="58">
        <f t="shared" si="1"/>
        <v>5382.998611</v>
      </c>
      <c r="D2560" s="1">
        <f t="shared" si="2"/>
        <v>22647.50547</v>
      </c>
      <c r="E2560" s="1">
        <f t="shared" si="3"/>
        <v>40765.50985</v>
      </c>
      <c r="F2560" s="1">
        <f t="shared" si="4"/>
        <v>77001.51861</v>
      </c>
      <c r="G2560" s="1">
        <f t="shared" si="5"/>
        <v>135885.0328</v>
      </c>
      <c r="H2560" s="1">
        <f t="shared" si="6"/>
        <v>249122.5602</v>
      </c>
      <c r="I2560" s="1">
        <f t="shared" si="7"/>
        <v>407655.0985</v>
      </c>
    </row>
    <row r="2561" hidden="1">
      <c r="A2561" s="266">
        <f>IFERROR(__xludf.DUMMYFUNCTION("""COMPUTED_VALUE"""),45199.99861111111)</f>
        <v>45199.99861</v>
      </c>
      <c r="B2561" s="1">
        <f>IFERROR(__xludf.DUMMYFUNCTION("""COMPUTED_VALUE"""),26968.96)</f>
        <v>26968.96</v>
      </c>
      <c r="C2561" s="58">
        <f t="shared" si="1"/>
        <v>5383.998611</v>
      </c>
      <c r="D2561" s="1">
        <f t="shared" si="2"/>
        <v>22671.91828</v>
      </c>
      <c r="E2561" s="1">
        <f t="shared" si="3"/>
        <v>40809.4529</v>
      </c>
      <c r="F2561" s="1">
        <f t="shared" si="4"/>
        <v>77084.52215</v>
      </c>
      <c r="G2561" s="1">
        <f t="shared" si="5"/>
        <v>136031.5097</v>
      </c>
      <c r="H2561" s="1">
        <f t="shared" si="6"/>
        <v>249391.1011</v>
      </c>
      <c r="I2561" s="1">
        <f t="shared" si="7"/>
        <v>408094.529</v>
      </c>
    </row>
    <row r="2562" hidden="1">
      <c r="A2562" s="266">
        <f>IFERROR(__xludf.DUMMYFUNCTION("""COMPUTED_VALUE"""),45200.99861111111)</f>
        <v>45200.99861</v>
      </c>
      <c r="B2562" s="1">
        <f>IFERROR(__xludf.DUMMYFUNCTION("""COMPUTED_VALUE"""),27974.3)</f>
        <v>27974.3</v>
      </c>
      <c r="C2562" s="58">
        <f t="shared" si="1"/>
        <v>5384.998611</v>
      </c>
      <c r="D2562" s="1">
        <f t="shared" si="2"/>
        <v>22696.35286</v>
      </c>
      <c r="E2562" s="1">
        <f t="shared" si="3"/>
        <v>40853.43515</v>
      </c>
      <c r="F2562" s="1">
        <f t="shared" si="4"/>
        <v>77167.59973</v>
      </c>
      <c r="G2562" s="1">
        <f t="shared" si="5"/>
        <v>136178.1172</v>
      </c>
      <c r="H2562" s="1">
        <f t="shared" si="6"/>
        <v>249659.8815</v>
      </c>
      <c r="I2562" s="1">
        <f t="shared" si="7"/>
        <v>408534.3515</v>
      </c>
    </row>
    <row r="2563" hidden="1">
      <c r="A2563" s="266">
        <f>IFERROR(__xludf.DUMMYFUNCTION("""COMPUTED_VALUE"""),45201.99861111111)</f>
        <v>45201.99861</v>
      </c>
      <c r="B2563" s="1">
        <f>IFERROR(__xludf.DUMMYFUNCTION("""COMPUTED_VALUE"""),27505.1)</f>
        <v>27505.1</v>
      </c>
      <c r="C2563" s="58">
        <f t="shared" si="1"/>
        <v>5385.998611</v>
      </c>
      <c r="D2563" s="1">
        <f t="shared" si="2"/>
        <v>22720.80923</v>
      </c>
      <c r="E2563" s="1">
        <f t="shared" si="3"/>
        <v>40897.45662</v>
      </c>
      <c r="F2563" s="1">
        <f t="shared" si="4"/>
        <v>77250.7514</v>
      </c>
      <c r="G2563" s="1">
        <f t="shared" si="5"/>
        <v>136324.8554</v>
      </c>
      <c r="H2563" s="1">
        <f t="shared" si="6"/>
        <v>249928.9016</v>
      </c>
      <c r="I2563" s="1">
        <f t="shared" si="7"/>
        <v>408974.5662</v>
      </c>
    </row>
    <row r="2564" hidden="1">
      <c r="A2564" s="266">
        <f>IFERROR(__xludf.DUMMYFUNCTION("""COMPUTED_VALUE"""),45202.99861111111)</f>
        <v>45202.99861</v>
      </c>
      <c r="B2564" s="1">
        <f>IFERROR(__xludf.DUMMYFUNCTION("""COMPUTED_VALUE"""),27426.54)</f>
        <v>27426.54</v>
      </c>
      <c r="C2564" s="58">
        <f t="shared" si="1"/>
        <v>5386.998611</v>
      </c>
      <c r="D2564" s="1">
        <f t="shared" si="2"/>
        <v>22745.28741</v>
      </c>
      <c r="E2564" s="1">
        <f t="shared" si="3"/>
        <v>40941.51734</v>
      </c>
      <c r="F2564" s="1">
        <f t="shared" si="4"/>
        <v>77333.9772</v>
      </c>
      <c r="G2564" s="1">
        <f t="shared" si="5"/>
        <v>136471.7245</v>
      </c>
      <c r="H2564" s="1">
        <f t="shared" si="6"/>
        <v>250198.1615</v>
      </c>
      <c r="I2564" s="1">
        <f t="shared" si="7"/>
        <v>409415.1734</v>
      </c>
    </row>
    <row r="2565" hidden="1">
      <c r="A2565" s="266">
        <f>IFERROR(__xludf.DUMMYFUNCTION("""COMPUTED_VALUE"""),45203.99861111111)</f>
        <v>45203.99861</v>
      </c>
      <c r="B2565" s="1">
        <f>IFERROR(__xludf.DUMMYFUNCTION("""COMPUTED_VALUE"""),27794.62)</f>
        <v>27794.62</v>
      </c>
      <c r="C2565" s="58">
        <f t="shared" si="1"/>
        <v>5387.998611</v>
      </c>
      <c r="D2565" s="1">
        <f t="shared" si="2"/>
        <v>22769.78741</v>
      </c>
      <c r="E2565" s="1">
        <f t="shared" si="3"/>
        <v>40985.61734</v>
      </c>
      <c r="F2565" s="1">
        <f t="shared" si="4"/>
        <v>77417.27719</v>
      </c>
      <c r="G2565" s="1">
        <f t="shared" si="5"/>
        <v>136618.7245</v>
      </c>
      <c r="H2565" s="1">
        <f t="shared" si="6"/>
        <v>250467.6615</v>
      </c>
      <c r="I2565" s="1">
        <f t="shared" si="7"/>
        <v>409856.1734</v>
      </c>
    </row>
    <row r="2566" hidden="1">
      <c r="A2566" s="266">
        <f>IFERROR(__xludf.DUMMYFUNCTION("""COMPUTED_VALUE"""),45204.99861111111)</f>
        <v>45204.99861</v>
      </c>
      <c r="B2566" s="1">
        <f>IFERROR(__xludf.DUMMYFUNCTION("""COMPUTED_VALUE"""),27413.3)</f>
        <v>27413.3</v>
      </c>
      <c r="C2566" s="58">
        <f t="shared" si="1"/>
        <v>5388.998611</v>
      </c>
      <c r="D2566" s="1">
        <f t="shared" si="2"/>
        <v>22794.30924</v>
      </c>
      <c r="E2566" s="1">
        <f t="shared" si="3"/>
        <v>41029.75664</v>
      </c>
      <c r="F2566" s="1">
        <f t="shared" si="4"/>
        <v>77500.65143</v>
      </c>
      <c r="G2566" s="1">
        <f t="shared" si="5"/>
        <v>136765.8555</v>
      </c>
      <c r="H2566" s="1">
        <f t="shared" si="6"/>
        <v>250737.4017</v>
      </c>
      <c r="I2566" s="1">
        <f t="shared" si="7"/>
        <v>410297.5664</v>
      </c>
    </row>
    <row r="2567" hidden="1">
      <c r="A2567" s="266">
        <f>IFERROR(__xludf.DUMMYFUNCTION("""COMPUTED_VALUE"""),45205.99861111111)</f>
        <v>45205.99861</v>
      </c>
      <c r="B2567" s="1">
        <f>IFERROR(__xludf.DUMMYFUNCTION("""COMPUTED_VALUE"""),27946.92)</f>
        <v>27946.92</v>
      </c>
      <c r="C2567" s="58">
        <f t="shared" si="1"/>
        <v>5389.998611</v>
      </c>
      <c r="D2567" s="1">
        <f t="shared" si="2"/>
        <v>22818.85293</v>
      </c>
      <c r="E2567" s="1">
        <f t="shared" si="3"/>
        <v>41073.93527</v>
      </c>
      <c r="F2567" s="1">
        <f t="shared" si="4"/>
        <v>77584.09996</v>
      </c>
      <c r="G2567" s="1">
        <f t="shared" si="5"/>
        <v>136913.1176</v>
      </c>
      <c r="H2567" s="1">
        <f t="shared" si="6"/>
        <v>251007.3822</v>
      </c>
      <c r="I2567" s="1">
        <f t="shared" si="7"/>
        <v>410739.3527</v>
      </c>
    </row>
    <row r="2568" hidden="1">
      <c r="A2568" s="266">
        <f>IFERROR(__xludf.DUMMYFUNCTION("""COMPUTED_VALUE"""),45206.99861111111)</f>
        <v>45206.99861</v>
      </c>
      <c r="B2568" s="1">
        <f>IFERROR(__xludf.DUMMYFUNCTION("""COMPUTED_VALUE"""),27973.48)</f>
        <v>27973.48</v>
      </c>
      <c r="C2568" s="58">
        <f t="shared" si="1"/>
        <v>5390.998611</v>
      </c>
      <c r="D2568" s="1">
        <f t="shared" si="2"/>
        <v>22843.41848</v>
      </c>
      <c r="E2568" s="1">
        <f t="shared" si="3"/>
        <v>41118.15327</v>
      </c>
      <c r="F2568" s="1">
        <f t="shared" si="4"/>
        <v>77667.62283</v>
      </c>
      <c r="G2568" s="1">
        <f t="shared" si="5"/>
        <v>137060.5109</v>
      </c>
      <c r="H2568" s="1">
        <f t="shared" si="6"/>
        <v>251277.6033</v>
      </c>
      <c r="I2568" s="1">
        <f t="shared" si="7"/>
        <v>411181.5327</v>
      </c>
    </row>
    <row r="2569" hidden="1">
      <c r="A2569" s="266">
        <f>IFERROR(__xludf.DUMMYFUNCTION("""COMPUTED_VALUE"""),45207.99861111111)</f>
        <v>45207.99861</v>
      </c>
      <c r="B2569" s="1">
        <f>IFERROR(__xludf.DUMMYFUNCTION("""COMPUTED_VALUE"""),27932.73)</f>
        <v>27932.73</v>
      </c>
      <c r="C2569" s="58">
        <f t="shared" si="1"/>
        <v>5391.998611</v>
      </c>
      <c r="D2569" s="1">
        <f t="shared" si="2"/>
        <v>22868.00592</v>
      </c>
      <c r="E2569" s="1">
        <f t="shared" si="3"/>
        <v>41162.41065</v>
      </c>
      <c r="F2569" s="1">
        <f t="shared" si="4"/>
        <v>77751.22011</v>
      </c>
      <c r="G2569" s="1">
        <f t="shared" si="5"/>
        <v>137208.0355</v>
      </c>
      <c r="H2569" s="1">
        <f t="shared" si="6"/>
        <v>251548.0651</v>
      </c>
      <c r="I2569" s="1">
        <f t="shared" si="7"/>
        <v>411624.1065</v>
      </c>
    </row>
    <row r="2570" hidden="1">
      <c r="A2570" s="266">
        <f>IFERROR(__xludf.DUMMYFUNCTION("""COMPUTED_VALUE"""),45208.99861111111)</f>
        <v>45208.99861</v>
      </c>
      <c r="B2570" s="1">
        <f>IFERROR(__xludf.DUMMYFUNCTION("""COMPUTED_VALUE"""),27590.5)</f>
        <v>27590.5</v>
      </c>
      <c r="C2570" s="58">
        <f t="shared" si="1"/>
        <v>5392.998611</v>
      </c>
      <c r="D2570" s="1">
        <f t="shared" si="2"/>
        <v>22892.61525</v>
      </c>
      <c r="E2570" s="1">
        <f t="shared" si="3"/>
        <v>41206.70745</v>
      </c>
      <c r="F2570" s="1">
        <f t="shared" si="4"/>
        <v>77834.89184</v>
      </c>
      <c r="G2570" s="1">
        <f t="shared" si="5"/>
        <v>137355.6915</v>
      </c>
      <c r="H2570" s="1">
        <f t="shared" si="6"/>
        <v>251818.7677</v>
      </c>
      <c r="I2570" s="1">
        <f t="shared" si="7"/>
        <v>412067.0745</v>
      </c>
    </row>
    <row r="2571" hidden="1">
      <c r="A2571" s="266">
        <f>IFERROR(__xludf.DUMMYFUNCTION("""COMPUTED_VALUE"""),45209.99861111111)</f>
        <v>45209.99861</v>
      </c>
      <c r="B2571" s="1">
        <f>IFERROR(__xludf.DUMMYFUNCTION("""COMPUTED_VALUE"""),27395.59)</f>
        <v>27395.59</v>
      </c>
      <c r="C2571" s="58">
        <f t="shared" si="1"/>
        <v>5393.998611</v>
      </c>
      <c r="D2571" s="1">
        <f t="shared" si="2"/>
        <v>22917.24649</v>
      </c>
      <c r="E2571" s="1">
        <f t="shared" si="3"/>
        <v>41251.04369</v>
      </c>
      <c r="F2571" s="1">
        <f t="shared" si="4"/>
        <v>77918.63807</v>
      </c>
      <c r="G2571" s="1">
        <f t="shared" si="5"/>
        <v>137503.479</v>
      </c>
      <c r="H2571" s="1">
        <f t="shared" si="6"/>
        <v>252089.7114</v>
      </c>
      <c r="I2571" s="1">
        <f t="shared" si="7"/>
        <v>412510.4369</v>
      </c>
    </row>
    <row r="2572" hidden="1">
      <c r="A2572" s="266">
        <f>IFERROR(__xludf.DUMMYFUNCTION("""COMPUTED_VALUE"""),45210.99861111111)</f>
        <v>45210.99861</v>
      </c>
      <c r="B2572" s="1">
        <f>IFERROR(__xludf.DUMMYFUNCTION("""COMPUTED_VALUE"""),26871.54)</f>
        <v>26871.54</v>
      </c>
      <c r="C2572" s="58">
        <f t="shared" si="1"/>
        <v>5394.998611</v>
      </c>
      <c r="D2572" s="1">
        <f t="shared" si="2"/>
        <v>22941.89967</v>
      </c>
      <c r="E2572" s="1">
        <f t="shared" si="3"/>
        <v>41295.4194</v>
      </c>
      <c r="F2572" s="1">
        <f t="shared" si="4"/>
        <v>78002.45886</v>
      </c>
      <c r="G2572" s="1">
        <f t="shared" si="5"/>
        <v>137651.398</v>
      </c>
      <c r="H2572" s="1">
        <f t="shared" si="6"/>
        <v>252360.8963</v>
      </c>
      <c r="I2572" s="1">
        <f t="shared" si="7"/>
        <v>412954.194</v>
      </c>
    </row>
    <row r="2573" hidden="1">
      <c r="A2573" s="266">
        <f>IFERROR(__xludf.DUMMYFUNCTION("""COMPUTED_VALUE"""),45211.99861111111)</f>
        <v>45211.99861</v>
      </c>
      <c r="B2573" s="1">
        <f>IFERROR(__xludf.DUMMYFUNCTION("""COMPUTED_VALUE"""),26755.97)</f>
        <v>26755.97</v>
      </c>
      <c r="C2573" s="58">
        <f t="shared" si="1"/>
        <v>5395.998611</v>
      </c>
      <c r="D2573" s="1">
        <f t="shared" si="2"/>
        <v>22966.57478</v>
      </c>
      <c r="E2573" s="1">
        <f t="shared" si="3"/>
        <v>41339.83461</v>
      </c>
      <c r="F2573" s="1">
        <f t="shared" si="4"/>
        <v>78086.35427</v>
      </c>
      <c r="G2573" s="1">
        <f t="shared" si="5"/>
        <v>137799.4487</v>
      </c>
      <c r="H2573" s="1">
        <f t="shared" si="6"/>
        <v>252632.3226</v>
      </c>
      <c r="I2573" s="1">
        <f t="shared" si="7"/>
        <v>413398.3461</v>
      </c>
    </row>
    <row r="2574" hidden="1">
      <c r="A2574" s="266">
        <f>IFERROR(__xludf.DUMMYFUNCTION("""COMPUTED_VALUE"""),45212.99861111111)</f>
        <v>45212.99861</v>
      </c>
      <c r="B2574" s="1">
        <f>IFERROR(__xludf.DUMMYFUNCTION("""COMPUTED_VALUE"""),26865.08)</f>
        <v>26865.08</v>
      </c>
      <c r="C2574" s="58">
        <f t="shared" si="1"/>
        <v>5396.998611</v>
      </c>
      <c r="D2574" s="1">
        <f t="shared" si="2"/>
        <v>22991.27186</v>
      </c>
      <c r="E2574" s="1">
        <f t="shared" si="3"/>
        <v>41384.28935</v>
      </c>
      <c r="F2574" s="1">
        <f t="shared" si="4"/>
        <v>78170.32433</v>
      </c>
      <c r="G2574" s="1">
        <f t="shared" si="5"/>
        <v>137947.6312</v>
      </c>
      <c r="H2574" s="1">
        <f t="shared" si="6"/>
        <v>252903.9905</v>
      </c>
      <c r="I2574" s="1">
        <f t="shared" si="7"/>
        <v>413842.8935</v>
      </c>
    </row>
    <row r="2575" hidden="1">
      <c r="A2575" s="266">
        <f>IFERROR(__xludf.DUMMYFUNCTION("""COMPUTED_VALUE"""),45213.99861111111)</f>
        <v>45213.99861</v>
      </c>
      <c r="B2575" s="1">
        <f>IFERROR(__xludf.DUMMYFUNCTION("""COMPUTED_VALUE"""),26855.49)</f>
        <v>26855.49</v>
      </c>
      <c r="C2575" s="58">
        <f t="shared" si="1"/>
        <v>5397.998611</v>
      </c>
      <c r="D2575" s="1">
        <f t="shared" si="2"/>
        <v>23015.99091</v>
      </c>
      <c r="E2575" s="1">
        <f t="shared" si="3"/>
        <v>41428.78364</v>
      </c>
      <c r="F2575" s="1">
        <f t="shared" si="4"/>
        <v>78254.36911</v>
      </c>
      <c r="G2575" s="1">
        <f t="shared" si="5"/>
        <v>138095.9455</v>
      </c>
      <c r="H2575" s="1">
        <f t="shared" si="6"/>
        <v>253175.9</v>
      </c>
      <c r="I2575" s="1">
        <f t="shared" si="7"/>
        <v>414287.8364</v>
      </c>
    </row>
    <row r="2576" hidden="1">
      <c r="A2576" s="266">
        <f>IFERROR(__xludf.DUMMYFUNCTION("""COMPUTED_VALUE"""),45214.99861111111)</f>
        <v>45214.99861</v>
      </c>
      <c r="B2576" s="1">
        <f>IFERROR(__xludf.DUMMYFUNCTION("""COMPUTED_VALUE"""),27174.18)</f>
        <v>27174.18</v>
      </c>
      <c r="C2576" s="58">
        <f t="shared" si="1"/>
        <v>5398.998611</v>
      </c>
      <c r="D2576" s="1">
        <f t="shared" si="2"/>
        <v>23040.73196</v>
      </c>
      <c r="E2576" s="1">
        <f t="shared" si="3"/>
        <v>41473.31752</v>
      </c>
      <c r="F2576" s="1">
        <f t="shared" si="4"/>
        <v>78338.48865</v>
      </c>
      <c r="G2576" s="1">
        <f t="shared" si="5"/>
        <v>138244.3917</v>
      </c>
      <c r="H2576" s="1">
        <f t="shared" si="6"/>
        <v>253448.0515</v>
      </c>
      <c r="I2576" s="1">
        <f t="shared" si="7"/>
        <v>414733.1752</v>
      </c>
    </row>
    <row r="2577" hidden="1">
      <c r="A2577" s="266">
        <f>IFERROR(__xludf.DUMMYFUNCTION("""COMPUTED_VALUE"""),45215.99861111111)</f>
        <v>45215.99861</v>
      </c>
      <c r="B2577" s="1">
        <f>IFERROR(__xludf.DUMMYFUNCTION("""COMPUTED_VALUE"""),28515.97)</f>
        <v>28515.97</v>
      </c>
      <c r="C2577" s="58">
        <f t="shared" si="1"/>
        <v>5399.998611</v>
      </c>
      <c r="D2577" s="1">
        <f t="shared" si="2"/>
        <v>23065.495</v>
      </c>
      <c r="E2577" s="1">
        <f t="shared" si="3"/>
        <v>41517.89101</v>
      </c>
      <c r="F2577" s="1">
        <f t="shared" si="4"/>
        <v>78422.68301</v>
      </c>
      <c r="G2577" s="1">
        <f t="shared" si="5"/>
        <v>138392.97</v>
      </c>
      <c r="H2577" s="1">
        <f t="shared" si="6"/>
        <v>253720.445</v>
      </c>
      <c r="I2577" s="1">
        <f t="shared" si="7"/>
        <v>415178.9101</v>
      </c>
    </row>
    <row r="2578" hidden="1">
      <c r="A2578" s="266">
        <f>IFERROR(__xludf.DUMMYFUNCTION("""COMPUTED_VALUE"""),45216.99861111111)</f>
        <v>45216.99861</v>
      </c>
      <c r="B2578" s="1">
        <f>IFERROR(__xludf.DUMMYFUNCTION("""COMPUTED_VALUE"""),28407.2)</f>
        <v>28407.2</v>
      </c>
      <c r="C2578" s="58">
        <f t="shared" si="1"/>
        <v>5400.998611</v>
      </c>
      <c r="D2578" s="1">
        <f t="shared" si="2"/>
        <v>23090.28007</v>
      </c>
      <c r="E2578" s="1">
        <f t="shared" si="3"/>
        <v>41562.50413</v>
      </c>
      <c r="F2578" s="1">
        <f t="shared" si="4"/>
        <v>78506.95225</v>
      </c>
      <c r="G2578" s="1">
        <f t="shared" si="5"/>
        <v>138541.6804</v>
      </c>
      <c r="H2578" s="1">
        <f t="shared" si="6"/>
        <v>253993.0808</v>
      </c>
      <c r="I2578" s="1">
        <f t="shared" si="7"/>
        <v>415625.0413</v>
      </c>
    </row>
    <row r="2579" hidden="1">
      <c r="A2579" s="266">
        <f>IFERROR(__xludf.DUMMYFUNCTION("""COMPUTED_VALUE"""),45217.99861111111)</f>
        <v>45217.99861</v>
      </c>
      <c r="B2579" s="1">
        <f>IFERROR(__xludf.DUMMYFUNCTION("""COMPUTED_VALUE"""),28326.92)</f>
        <v>28326.92</v>
      </c>
      <c r="C2579" s="58">
        <f t="shared" si="1"/>
        <v>5401.998611</v>
      </c>
      <c r="D2579" s="1">
        <f t="shared" si="2"/>
        <v>23115.08718</v>
      </c>
      <c r="E2579" s="1">
        <f t="shared" si="3"/>
        <v>41607.15693</v>
      </c>
      <c r="F2579" s="1">
        <f t="shared" si="4"/>
        <v>78591.29641</v>
      </c>
      <c r="G2579" s="1">
        <f t="shared" si="5"/>
        <v>138690.5231</v>
      </c>
      <c r="H2579" s="1">
        <f t="shared" si="6"/>
        <v>254265.959</v>
      </c>
      <c r="I2579" s="1">
        <f t="shared" si="7"/>
        <v>416071.5693</v>
      </c>
    </row>
    <row r="2580" hidden="1">
      <c r="A2580" s="266">
        <f>IFERROR(__xludf.DUMMYFUNCTION("""COMPUTED_VALUE"""),45218.99861111111)</f>
        <v>45218.99861</v>
      </c>
      <c r="B2580" s="1">
        <f>IFERROR(__xludf.DUMMYFUNCTION("""COMPUTED_VALUE"""),28729.38)</f>
        <v>28729.38</v>
      </c>
      <c r="C2580" s="58">
        <f t="shared" si="1"/>
        <v>5402.998611</v>
      </c>
      <c r="D2580" s="1">
        <f t="shared" si="2"/>
        <v>23139.91634</v>
      </c>
      <c r="E2580" s="1">
        <f t="shared" si="3"/>
        <v>41651.84941</v>
      </c>
      <c r="F2580" s="1">
        <f t="shared" si="4"/>
        <v>78675.71556</v>
      </c>
      <c r="G2580" s="1">
        <f t="shared" si="5"/>
        <v>138839.498</v>
      </c>
      <c r="H2580" s="1">
        <f t="shared" si="6"/>
        <v>254539.0797</v>
      </c>
      <c r="I2580" s="1">
        <f t="shared" si="7"/>
        <v>416518.4941</v>
      </c>
    </row>
    <row r="2581" hidden="1">
      <c r="A2581" s="266">
        <f>IFERROR(__xludf.DUMMYFUNCTION("""COMPUTED_VALUE"""),45219.99861111111)</f>
        <v>45219.99861</v>
      </c>
      <c r="B2581" s="1">
        <f>IFERROR(__xludf.DUMMYFUNCTION("""COMPUTED_VALUE"""),29681.35)</f>
        <v>29681.35</v>
      </c>
      <c r="C2581" s="58">
        <f t="shared" si="1"/>
        <v>5403.998611</v>
      </c>
      <c r="D2581" s="1">
        <f t="shared" si="2"/>
        <v>23164.76757</v>
      </c>
      <c r="E2581" s="1">
        <f t="shared" si="3"/>
        <v>41696.58162</v>
      </c>
      <c r="F2581" s="1">
        <f t="shared" si="4"/>
        <v>78760.20973</v>
      </c>
      <c r="G2581" s="1">
        <f t="shared" si="5"/>
        <v>138988.6054</v>
      </c>
      <c r="H2581" s="1">
        <f t="shared" si="6"/>
        <v>254812.4432</v>
      </c>
      <c r="I2581" s="1">
        <f t="shared" si="7"/>
        <v>416965.8162</v>
      </c>
    </row>
    <row r="2582" hidden="1">
      <c r="A2582" s="266">
        <f>IFERROR(__xludf.DUMMYFUNCTION("""COMPUTED_VALUE"""),45220.99861111111)</f>
        <v>45220.99861</v>
      </c>
      <c r="B2582" s="1">
        <f>IFERROR(__xludf.DUMMYFUNCTION("""COMPUTED_VALUE"""),29922.28)</f>
        <v>29922.28</v>
      </c>
      <c r="C2582" s="58">
        <f t="shared" si="1"/>
        <v>5404.998611</v>
      </c>
      <c r="D2582" s="1">
        <f t="shared" si="2"/>
        <v>23189.64088</v>
      </c>
      <c r="E2582" s="1">
        <f t="shared" si="3"/>
        <v>41741.35358</v>
      </c>
      <c r="F2582" s="1">
        <f t="shared" si="4"/>
        <v>78844.77898</v>
      </c>
      <c r="G2582" s="1">
        <f t="shared" si="5"/>
        <v>139137.8453</v>
      </c>
      <c r="H2582" s="1">
        <f t="shared" si="6"/>
        <v>255086.0497</v>
      </c>
      <c r="I2582" s="1">
        <f t="shared" si="7"/>
        <v>417413.5358</v>
      </c>
    </row>
    <row r="2583" hidden="1">
      <c r="A2583" s="266">
        <f>IFERROR(__xludf.DUMMYFUNCTION("""COMPUTED_VALUE"""),45221.99861111111)</f>
        <v>45221.99861</v>
      </c>
      <c r="B2583" s="1">
        <f>IFERROR(__xludf.DUMMYFUNCTION("""COMPUTED_VALUE"""),29997.57)</f>
        <v>29997.57</v>
      </c>
      <c r="C2583" s="58">
        <f t="shared" si="1"/>
        <v>5405.998611</v>
      </c>
      <c r="D2583" s="1">
        <f t="shared" si="2"/>
        <v>23214.53629</v>
      </c>
      <c r="E2583" s="1">
        <f t="shared" si="3"/>
        <v>41786.16532</v>
      </c>
      <c r="F2583" s="1">
        <f t="shared" si="4"/>
        <v>78929.42338</v>
      </c>
      <c r="G2583" s="1">
        <f t="shared" si="5"/>
        <v>139287.2177</v>
      </c>
      <c r="H2583" s="1">
        <f t="shared" si="6"/>
        <v>255359.8992</v>
      </c>
      <c r="I2583" s="1">
        <f t="shared" si="7"/>
        <v>417861.6532</v>
      </c>
    </row>
    <row r="2584" hidden="1">
      <c r="A2584" s="266">
        <f>IFERROR(__xludf.DUMMYFUNCTION("""COMPUTED_VALUE"""),45222.99861111111)</f>
        <v>45222.99861</v>
      </c>
      <c r="B2584" s="1">
        <f>IFERROR(__xludf.DUMMYFUNCTION("""COMPUTED_VALUE"""),33069.62)</f>
        <v>33069.62</v>
      </c>
      <c r="C2584" s="58">
        <f t="shared" si="1"/>
        <v>5406.998611</v>
      </c>
      <c r="D2584" s="1">
        <f t="shared" si="2"/>
        <v>23239.45381</v>
      </c>
      <c r="E2584" s="1">
        <f t="shared" si="3"/>
        <v>41831.01686</v>
      </c>
      <c r="F2584" s="1">
        <f t="shared" si="4"/>
        <v>79014.14296</v>
      </c>
      <c r="G2584" s="1">
        <f t="shared" si="5"/>
        <v>139436.7229</v>
      </c>
      <c r="H2584" s="1">
        <f t="shared" si="6"/>
        <v>255633.9919</v>
      </c>
      <c r="I2584" s="1">
        <f t="shared" si="7"/>
        <v>418310.1686</v>
      </c>
    </row>
    <row r="2585" hidden="1">
      <c r="A2585" s="266">
        <f>IFERROR(__xludf.DUMMYFUNCTION("""COMPUTED_VALUE"""),45223.99861111111)</f>
        <v>45223.99861</v>
      </c>
      <c r="B2585" s="1">
        <f>IFERROR(__xludf.DUMMYFUNCTION("""COMPUTED_VALUE"""),33919.16)</f>
        <v>33919.16</v>
      </c>
      <c r="C2585" s="58">
        <f t="shared" si="1"/>
        <v>5407.998611</v>
      </c>
      <c r="D2585" s="1">
        <f t="shared" si="2"/>
        <v>23264.39346</v>
      </c>
      <c r="E2585" s="1">
        <f t="shared" si="3"/>
        <v>41875.90824</v>
      </c>
      <c r="F2585" s="1">
        <f t="shared" si="4"/>
        <v>79098.93778</v>
      </c>
      <c r="G2585" s="1">
        <f t="shared" si="5"/>
        <v>139586.3608</v>
      </c>
      <c r="H2585" s="1">
        <f t="shared" si="6"/>
        <v>255908.3281</v>
      </c>
      <c r="I2585" s="1">
        <f t="shared" si="7"/>
        <v>418759.0824</v>
      </c>
    </row>
    <row r="2586" hidden="1">
      <c r="A2586" s="266">
        <f>IFERROR(__xludf.DUMMYFUNCTION("""COMPUTED_VALUE"""),45224.99861111111)</f>
        <v>45224.99861</v>
      </c>
      <c r="B2586" s="1">
        <f>IFERROR(__xludf.DUMMYFUNCTION("""COMPUTED_VALUE"""),34500.52)</f>
        <v>34500.52</v>
      </c>
      <c r="C2586" s="58">
        <f t="shared" si="1"/>
        <v>5408.998611</v>
      </c>
      <c r="D2586" s="1">
        <f t="shared" si="2"/>
        <v>23289.35526</v>
      </c>
      <c r="E2586" s="1">
        <f t="shared" si="3"/>
        <v>41920.83948</v>
      </c>
      <c r="F2586" s="1">
        <f t="shared" si="4"/>
        <v>79183.8079</v>
      </c>
      <c r="G2586" s="1">
        <f t="shared" si="5"/>
        <v>139736.1316</v>
      </c>
      <c r="H2586" s="1">
        <f t="shared" si="6"/>
        <v>256182.9079</v>
      </c>
      <c r="I2586" s="1">
        <f t="shared" si="7"/>
        <v>419208.3948</v>
      </c>
    </row>
    <row r="2587" hidden="1">
      <c r="A2587" s="266">
        <f>IFERROR(__xludf.DUMMYFUNCTION("""COMPUTED_VALUE"""),45225.99861111111)</f>
        <v>45225.99861</v>
      </c>
      <c r="B2587" s="1">
        <f>IFERROR(__xludf.DUMMYFUNCTION("""COMPUTED_VALUE"""),34155.89)</f>
        <v>34155.89</v>
      </c>
      <c r="C2587" s="58">
        <f t="shared" si="1"/>
        <v>5409.998611</v>
      </c>
      <c r="D2587" s="1">
        <f t="shared" si="2"/>
        <v>23314.33923</v>
      </c>
      <c r="E2587" s="1">
        <f t="shared" si="3"/>
        <v>41965.81061</v>
      </c>
      <c r="F2587" s="1">
        <f t="shared" si="4"/>
        <v>79268.75337</v>
      </c>
      <c r="G2587" s="1">
        <f t="shared" si="5"/>
        <v>139886.0354</v>
      </c>
      <c r="H2587" s="1">
        <f t="shared" si="6"/>
        <v>256457.7315</v>
      </c>
      <c r="I2587" s="1">
        <f t="shared" si="7"/>
        <v>419658.1061</v>
      </c>
    </row>
    <row r="2588" hidden="1">
      <c r="A2588" s="266">
        <f>IFERROR(__xludf.DUMMYFUNCTION("""COMPUTED_VALUE"""),45226.99861111111)</f>
        <v>45226.99861</v>
      </c>
      <c r="B2588" s="1">
        <f>IFERROR(__xludf.DUMMYFUNCTION("""COMPUTED_VALUE"""),33906.76)</f>
        <v>33906.76</v>
      </c>
      <c r="C2588" s="58">
        <f t="shared" si="1"/>
        <v>5410.998611</v>
      </c>
      <c r="D2588" s="1">
        <f t="shared" si="2"/>
        <v>23339.34536</v>
      </c>
      <c r="E2588" s="1">
        <f t="shared" si="3"/>
        <v>42010.82165</v>
      </c>
      <c r="F2588" s="1">
        <f t="shared" si="4"/>
        <v>79353.77423</v>
      </c>
      <c r="G2588" s="1">
        <f t="shared" si="5"/>
        <v>140036.0722</v>
      </c>
      <c r="H2588" s="1">
        <f t="shared" si="6"/>
        <v>256732.799</v>
      </c>
      <c r="I2588" s="1">
        <f t="shared" si="7"/>
        <v>420108.2165</v>
      </c>
    </row>
    <row r="2589" hidden="1">
      <c r="A2589" s="266">
        <f>IFERROR(__xludf.DUMMYFUNCTION("""COMPUTED_VALUE"""),45227.99861111111)</f>
        <v>45227.99861</v>
      </c>
      <c r="B2589" s="1">
        <f>IFERROR(__xludf.DUMMYFUNCTION("""COMPUTED_VALUE"""),34095.03)</f>
        <v>34095.03</v>
      </c>
      <c r="C2589" s="58">
        <f t="shared" si="1"/>
        <v>5411.998611</v>
      </c>
      <c r="D2589" s="1">
        <f t="shared" si="2"/>
        <v>23364.37369</v>
      </c>
      <c r="E2589" s="1">
        <f t="shared" si="3"/>
        <v>42055.87265</v>
      </c>
      <c r="F2589" s="1">
        <f t="shared" si="4"/>
        <v>79438.87056</v>
      </c>
      <c r="G2589" s="1">
        <f t="shared" si="5"/>
        <v>140186.2422</v>
      </c>
      <c r="H2589" s="1">
        <f t="shared" si="6"/>
        <v>257008.1106</v>
      </c>
      <c r="I2589" s="1">
        <f t="shared" si="7"/>
        <v>420558.7265</v>
      </c>
    </row>
    <row r="2590" hidden="1">
      <c r="A2590" s="266">
        <f>IFERROR(__xludf.DUMMYFUNCTION("""COMPUTED_VALUE"""),45228.99861111111)</f>
        <v>45228.99861</v>
      </c>
      <c r="B2590" s="1">
        <f>IFERROR(__xludf.DUMMYFUNCTION("""COMPUTED_VALUE"""),34537.25)</f>
        <v>34537.25</v>
      </c>
      <c r="C2590" s="58">
        <f t="shared" si="1"/>
        <v>5412.998611</v>
      </c>
      <c r="D2590" s="1">
        <f t="shared" si="2"/>
        <v>23389.42423</v>
      </c>
      <c r="E2590" s="1">
        <f t="shared" si="3"/>
        <v>42100.96362</v>
      </c>
      <c r="F2590" s="1">
        <f t="shared" si="4"/>
        <v>79524.04238</v>
      </c>
      <c r="G2590" s="1">
        <f t="shared" si="5"/>
        <v>140336.5454</v>
      </c>
      <c r="H2590" s="1">
        <f t="shared" si="6"/>
        <v>257283.6665</v>
      </c>
      <c r="I2590" s="1">
        <f t="shared" si="7"/>
        <v>421009.6362</v>
      </c>
    </row>
    <row r="2591" hidden="1">
      <c r="A2591" s="266">
        <f>IFERROR(__xludf.DUMMYFUNCTION("""COMPUTED_VALUE"""),45229.99861111111)</f>
        <v>45229.99861</v>
      </c>
      <c r="B2591" s="1">
        <f>IFERROR(__xludf.DUMMYFUNCTION("""COMPUTED_VALUE"""),34494.36)</f>
        <v>34494.36</v>
      </c>
      <c r="C2591" s="58">
        <f t="shared" si="1"/>
        <v>5413.998611</v>
      </c>
      <c r="D2591" s="1">
        <f t="shared" si="2"/>
        <v>23414.49699</v>
      </c>
      <c r="E2591" s="1">
        <f t="shared" si="3"/>
        <v>42146.09459</v>
      </c>
      <c r="F2591" s="1">
        <f t="shared" si="4"/>
        <v>79609.28977</v>
      </c>
      <c r="G2591" s="1">
        <f t="shared" si="5"/>
        <v>140486.982</v>
      </c>
      <c r="H2591" s="1">
        <f t="shared" si="6"/>
        <v>257559.4669</v>
      </c>
      <c r="I2591" s="1">
        <f t="shared" si="7"/>
        <v>421460.9459</v>
      </c>
    </row>
    <row r="2592" hidden="1">
      <c r="A2592" s="266">
        <f>IFERROR(__xludf.DUMMYFUNCTION("""COMPUTED_VALUE"""),45230.99861111111)</f>
        <v>45230.99861</v>
      </c>
      <c r="B2592" s="1">
        <f>IFERROR(__xludf.DUMMYFUNCTION("""COMPUTED_VALUE"""),34661.5)</f>
        <v>34661.5</v>
      </c>
      <c r="C2592" s="58">
        <f t="shared" si="1"/>
        <v>5414.998611</v>
      </c>
      <c r="D2592" s="1">
        <f t="shared" si="2"/>
        <v>23439.59199</v>
      </c>
      <c r="E2592" s="1">
        <f t="shared" si="3"/>
        <v>42191.26559</v>
      </c>
      <c r="F2592" s="1">
        <f t="shared" si="4"/>
        <v>79694.61278</v>
      </c>
      <c r="G2592" s="1">
        <f t="shared" si="5"/>
        <v>140637.552</v>
      </c>
      <c r="H2592" s="1">
        <f t="shared" si="6"/>
        <v>257835.5119</v>
      </c>
      <c r="I2592" s="1">
        <f t="shared" si="7"/>
        <v>421912.6559</v>
      </c>
    </row>
    <row r="2593" hidden="1">
      <c r="A2593" s="266">
        <f>IFERROR(__xludf.DUMMYFUNCTION("""COMPUTED_VALUE"""),45231.99861111111)</f>
        <v>45231.99861</v>
      </c>
      <c r="B2593" s="1">
        <f>IFERROR(__xludf.DUMMYFUNCTION("""COMPUTED_VALUE"""),35436.0)</f>
        <v>35436</v>
      </c>
      <c r="C2593" s="58">
        <f t="shared" si="1"/>
        <v>5415.998611</v>
      </c>
      <c r="D2593" s="1">
        <f t="shared" si="2"/>
        <v>23464.70925</v>
      </c>
      <c r="E2593" s="1">
        <f t="shared" si="3"/>
        <v>42236.47665</v>
      </c>
      <c r="F2593" s="1">
        <f t="shared" si="4"/>
        <v>79780.01144</v>
      </c>
      <c r="G2593" s="1">
        <f t="shared" si="5"/>
        <v>140788.2555</v>
      </c>
      <c r="H2593" s="1">
        <f t="shared" si="6"/>
        <v>258111.8017</v>
      </c>
      <c r="I2593" s="1">
        <f t="shared" si="7"/>
        <v>422364.7665</v>
      </c>
    </row>
    <row r="2594" hidden="1">
      <c r="A2594" s="266">
        <f>IFERROR(__xludf.DUMMYFUNCTION("""COMPUTED_VALUE"""),45232.99861111111)</f>
        <v>45232.99861</v>
      </c>
      <c r="B2594" s="1">
        <f>IFERROR(__xludf.DUMMYFUNCTION("""COMPUTED_VALUE"""),34945.19)</f>
        <v>34945.19</v>
      </c>
      <c r="C2594" s="58">
        <f t="shared" si="1"/>
        <v>5416.998611</v>
      </c>
      <c r="D2594" s="1">
        <f t="shared" si="2"/>
        <v>23489.84877</v>
      </c>
      <c r="E2594" s="1">
        <f t="shared" si="3"/>
        <v>42281.72779</v>
      </c>
      <c r="F2594" s="1">
        <f t="shared" si="4"/>
        <v>79865.48583</v>
      </c>
      <c r="G2594" s="1">
        <f t="shared" si="5"/>
        <v>140939.0926</v>
      </c>
      <c r="H2594" s="1">
        <f t="shared" si="6"/>
        <v>258388.3365</v>
      </c>
      <c r="I2594" s="1">
        <f t="shared" si="7"/>
        <v>422817.2779</v>
      </c>
    </row>
    <row r="2595" hidden="1">
      <c r="A2595" s="266">
        <f>IFERROR(__xludf.DUMMYFUNCTION("""COMPUTED_VALUE"""),45233.99861111111)</f>
        <v>45233.99861</v>
      </c>
      <c r="B2595" s="1">
        <f>IFERROR(__xludf.DUMMYFUNCTION("""COMPUTED_VALUE"""),34741.35)</f>
        <v>34741.35</v>
      </c>
      <c r="C2595" s="58">
        <f t="shared" si="1"/>
        <v>5417.998611</v>
      </c>
      <c r="D2595" s="1">
        <f t="shared" si="2"/>
        <v>23515.01059</v>
      </c>
      <c r="E2595" s="1">
        <f t="shared" si="3"/>
        <v>42327.01905</v>
      </c>
      <c r="F2595" s="1">
        <f t="shared" si="4"/>
        <v>79951.03599</v>
      </c>
      <c r="G2595" s="1">
        <f t="shared" si="5"/>
        <v>141090.0635</v>
      </c>
      <c r="H2595" s="1">
        <f t="shared" si="6"/>
        <v>258665.1164</v>
      </c>
      <c r="I2595" s="1">
        <f t="shared" si="7"/>
        <v>423270.1905</v>
      </c>
    </row>
    <row r="2596" hidden="1">
      <c r="A2596" s="266">
        <f>IFERROR(__xludf.DUMMYFUNCTION("""COMPUTED_VALUE"""),45234.99861111111)</f>
        <v>45234.99861</v>
      </c>
      <c r="B2596" s="1">
        <f>IFERROR(__xludf.DUMMYFUNCTION("""COMPUTED_VALUE"""),35103.04)</f>
        <v>35103.04</v>
      </c>
      <c r="C2596" s="58">
        <f t="shared" si="1"/>
        <v>5418.998611</v>
      </c>
      <c r="D2596" s="1">
        <f t="shared" si="2"/>
        <v>23540.1947</v>
      </c>
      <c r="E2596" s="1">
        <f t="shared" si="3"/>
        <v>42372.35046</v>
      </c>
      <c r="F2596" s="1">
        <f t="shared" si="4"/>
        <v>80036.66197</v>
      </c>
      <c r="G2596" s="1">
        <f t="shared" si="5"/>
        <v>141241.1682</v>
      </c>
      <c r="H2596" s="1">
        <f t="shared" si="6"/>
        <v>258942.1417</v>
      </c>
      <c r="I2596" s="1">
        <f t="shared" si="7"/>
        <v>423723.5046</v>
      </c>
    </row>
    <row r="2597" hidden="1">
      <c r="A2597" s="266">
        <f>IFERROR(__xludf.DUMMYFUNCTION("""COMPUTED_VALUE"""),45235.99861111111)</f>
        <v>45235.99861</v>
      </c>
      <c r="B2597" s="1">
        <f>IFERROR(__xludf.DUMMYFUNCTION("""COMPUTED_VALUE"""),35052.37)</f>
        <v>35052.37</v>
      </c>
      <c r="C2597" s="58">
        <f t="shared" si="1"/>
        <v>5419.998611</v>
      </c>
      <c r="D2597" s="1">
        <f t="shared" si="2"/>
        <v>23565.40113</v>
      </c>
      <c r="E2597" s="1">
        <f t="shared" si="3"/>
        <v>42417.72203</v>
      </c>
      <c r="F2597" s="1">
        <f t="shared" si="4"/>
        <v>80122.36384</v>
      </c>
      <c r="G2597" s="1">
        <f t="shared" si="5"/>
        <v>141392.4068</v>
      </c>
      <c r="H2597" s="1">
        <f t="shared" si="6"/>
        <v>259219.4124</v>
      </c>
      <c r="I2597" s="1">
        <f t="shared" si="7"/>
        <v>424177.2203</v>
      </c>
    </row>
    <row r="2598" hidden="1">
      <c r="A2598" s="266">
        <f>IFERROR(__xludf.DUMMYFUNCTION("""COMPUTED_VALUE"""),45236.99861111111)</f>
        <v>45236.99861</v>
      </c>
      <c r="B2598" s="1">
        <f>IFERROR(__xludf.DUMMYFUNCTION("""COMPUTED_VALUE"""),35055.07)</f>
        <v>35055.07</v>
      </c>
      <c r="C2598" s="58">
        <f t="shared" si="1"/>
        <v>5420.998611</v>
      </c>
      <c r="D2598" s="1">
        <f t="shared" si="2"/>
        <v>23590.62989</v>
      </c>
      <c r="E2598" s="1">
        <f t="shared" si="3"/>
        <v>42463.13381</v>
      </c>
      <c r="F2598" s="1">
        <f t="shared" si="4"/>
        <v>80208.14163</v>
      </c>
      <c r="G2598" s="1">
        <f t="shared" si="5"/>
        <v>141543.7794</v>
      </c>
      <c r="H2598" s="1">
        <f t="shared" si="6"/>
        <v>259496.9288</v>
      </c>
      <c r="I2598" s="1">
        <f t="shared" si="7"/>
        <v>424631.3381</v>
      </c>
    </row>
    <row r="2599" hidden="1">
      <c r="A2599" s="266">
        <f>IFERROR(__xludf.DUMMYFUNCTION("""COMPUTED_VALUE"""),45237.99861111111)</f>
        <v>45237.99861</v>
      </c>
      <c r="B2599" s="1">
        <f>IFERROR(__xludf.DUMMYFUNCTION("""COMPUTED_VALUE"""),35430.56)</f>
        <v>35430.56</v>
      </c>
      <c r="C2599" s="58">
        <f t="shared" si="1"/>
        <v>5421.998611</v>
      </c>
      <c r="D2599" s="1">
        <f t="shared" si="2"/>
        <v>23615.881</v>
      </c>
      <c r="E2599" s="1">
        <f t="shared" si="3"/>
        <v>42508.58581</v>
      </c>
      <c r="F2599" s="1">
        <f t="shared" si="4"/>
        <v>80293.99542</v>
      </c>
      <c r="G2599" s="1">
        <f t="shared" si="5"/>
        <v>141695.286</v>
      </c>
      <c r="H2599" s="1">
        <f t="shared" si="6"/>
        <v>259774.691</v>
      </c>
      <c r="I2599" s="1">
        <f t="shared" si="7"/>
        <v>425085.8581</v>
      </c>
    </row>
    <row r="2600" hidden="1">
      <c r="A2600" s="266">
        <f>IFERROR(__xludf.DUMMYFUNCTION("""COMPUTED_VALUE"""),45238.99861111111)</f>
        <v>45238.99861</v>
      </c>
      <c r="B2600" s="1">
        <f>IFERROR(__xludf.DUMMYFUNCTION("""COMPUTED_VALUE"""),35639.24)</f>
        <v>35639.24</v>
      </c>
      <c r="C2600" s="58">
        <f t="shared" si="1"/>
        <v>5422.998611</v>
      </c>
      <c r="D2600" s="1">
        <f t="shared" si="2"/>
        <v>23641.15448</v>
      </c>
      <c r="E2600" s="1">
        <f t="shared" si="3"/>
        <v>42554.07807</v>
      </c>
      <c r="F2600" s="1">
        <f t="shared" si="4"/>
        <v>80379.92523</v>
      </c>
      <c r="G2600" s="1">
        <f t="shared" si="5"/>
        <v>141846.9269</v>
      </c>
      <c r="H2600" s="1">
        <f t="shared" si="6"/>
        <v>260052.6993</v>
      </c>
      <c r="I2600" s="1">
        <f t="shared" si="7"/>
        <v>425540.7807</v>
      </c>
    </row>
    <row r="2601" hidden="1">
      <c r="A2601" s="266">
        <f>IFERROR(__xludf.DUMMYFUNCTION("""COMPUTED_VALUE"""),45239.99861111111)</f>
        <v>45239.99861</v>
      </c>
      <c r="B2601" s="1">
        <f>IFERROR(__xludf.DUMMYFUNCTION("""COMPUTED_VALUE"""),36701.68)</f>
        <v>36701.68</v>
      </c>
      <c r="C2601" s="58">
        <f t="shared" si="1"/>
        <v>5423.998611</v>
      </c>
      <c r="D2601" s="1">
        <f t="shared" si="2"/>
        <v>23666.45034</v>
      </c>
      <c r="E2601" s="1">
        <f t="shared" si="3"/>
        <v>42599.61061</v>
      </c>
      <c r="F2601" s="1">
        <f t="shared" si="4"/>
        <v>80465.93115</v>
      </c>
      <c r="G2601" s="1">
        <f t="shared" si="5"/>
        <v>141998.702</v>
      </c>
      <c r="H2601" s="1">
        <f t="shared" si="6"/>
        <v>260330.9537</v>
      </c>
      <c r="I2601" s="1">
        <f t="shared" si="7"/>
        <v>425996.1061</v>
      </c>
    </row>
    <row r="2602" hidden="1">
      <c r="A2602" s="266">
        <f>IFERROR(__xludf.DUMMYFUNCTION("""COMPUTED_VALUE"""),45240.99861111111)</f>
        <v>45240.99861</v>
      </c>
      <c r="B2602" s="1">
        <f>IFERROR(__xludf.DUMMYFUNCTION("""COMPUTED_VALUE"""),37328.04)</f>
        <v>37328.04</v>
      </c>
      <c r="C2602" s="58">
        <f t="shared" si="1"/>
        <v>5424.998611</v>
      </c>
      <c r="D2602" s="1">
        <f t="shared" si="2"/>
        <v>23691.76859</v>
      </c>
      <c r="E2602" s="1">
        <f t="shared" si="3"/>
        <v>42645.18346</v>
      </c>
      <c r="F2602" s="1">
        <f t="shared" si="4"/>
        <v>80552.0132</v>
      </c>
      <c r="G2602" s="1">
        <f t="shared" si="5"/>
        <v>142150.6115</v>
      </c>
      <c r="H2602" s="1">
        <f t="shared" si="6"/>
        <v>260609.4545</v>
      </c>
      <c r="I2602" s="1">
        <f t="shared" si="7"/>
        <v>426451.8346</v>
      </c>
    </row>
    <row r="2603" hidden="1">
      <c r="A2603" s="266">
        <f>IFERROR(__xludf.DUMMYFUNCTION("""COMPUTED_VALUE"""),45241.99861111111)</f>
        <v>45241.99861</v>
      </c>
      <c r="B2603" s="1">
        <f>IFERROR(__xludf.DUMMYFUNCTION("""COMPUTED_VALUE"""),37149.43)</f>
        <v>37149.43</v>
      </c>
      <c r="C2603" s="58">
        <f t="shared" si="1"/>
        <v>5425.998611</v>
      </c>
      <c r="D2603" s="1">
        <f t="shared" si="2"/>
        <v>23717.10925</v>
      </c>
      <c r="E2603" s="1">
        <f t="shared" si="3"/>
        <v>42690.79665</v>
      </c>
      <c r="F2603" s="1">
        <f t="shared" si="4"/>
        <v>80638.17146</v>
      </c>
      <c r="G2603" s="1">
        <f t="shared" si="5"/>
        <v>142302.6555</v>
      </c>
      <c r="H2603" s="1">
        <f t="shared" si="6"/>
        <v>260888.2018</v>
      </c>
      <c r="I2603" s="1">
        <f t="shared" si="7"/>
        <v>426907.9665</v>
      </c>
    </row>
    <row r="2604" hidden="1">
      <c r="A2604" s="266">
        <f>IFERROR(__xludf.DUMMYFUNCTION("""COMPUTED_VALUE"""),45242.99861111111)</f>
        <v>45242.99861</v>
      </c>
      <c r="B2604" s="1">
        <f>IFERROR(__xludf.DUMMYFUNCTION("""COMPUTED_VALUE"""),37084.73)</f>
        <v>37084.73</v>
      </c>
      <c r="C2604" s="58">
        <f t="shared" si="1"/>
        <v>5426.998611</v>
      </c>
      <c r="D2604" s="1">
        <f t="shared" si="2"/>
        <v>23742.47234</v>
      </c>
      <c r="E2604" s="1">
        <f t="shared" si="3"/>
        <v>42736.45022</v>
      </c>
      <c r="F2604" s="1">
        <f t="shared" si="4"/>
        <v>80724.40596</v>
      </c>
      <c r="G2604" s="1">
        <f t="shared" si="5"/>
        <v>142454.8341</v>
      </c>
      <c r="H2604" s="1">
        <f t="shared" si="6"/>
        <v>261167.1958</v>
      </c>
      <c r="I2604" s="1">
        <f t="shared" si="7"/>
        <v>427364.5022</v>
      </c>
    </row>
    <row r="2605" hidden="1">
      <c r="A2605" s="266">
        <f>IFERROR(__xludf.DUMMYFUNCTION("""COMPUTED_VALUE"""),45243.99861111111)</f>
        <v>45243.99861</v>
      </c>
      <c r="B2605" s="1">
        <f>IFERROR(__xludf.DUMMYFUNCTION("""COMPUTED_VALUE"""),36484.45)</f>
        <v>36484.45</v>
      </c>
      <c r="C2605" s="58">
        <f t="shared" si="1"/>
        <v>5427.998611</v>
      </c>
      <c r="D2605" s="1">
        <f t="shared" si="2"/>
        <v>23767.85788</v>
      </c>
      <c r="E2605" s="1">
        <f t="shared" si="3"/>
        <v>42782.14418</v>
      </c>
      <c r="F2605" s="1">
        <f t="shared" si="4"/>
        <v>80810.71678</v>
      </c>
      <c r="G2605" s="1">
        <f t="shared" si="5"/>
        <v>142607.1473</v>
      </c>
      <c r="H2605" s="1">
        <f t="shared" si="6"/>
        <v>261446.4366</v>
      </c>
      <c r="I2605" s="1">
        <f t="shared" si="7"/>
        <v>427821.4418</v>
      </c>
    </row>
    <row r="2606" hidden="1">
      <c r="A2606" s="266">
        <f>IFERROR(__xludf.DUMMYFUNCTION("""COMPUTED_VALUE"""),45244.99861111111)</f>
        <v>45244.99861</v>
      </c>
      <c r="B2606" s="1">
        <f>IFERROR(__xludf.DUMMYFUNCTION("""COMPUTED_VALUE"""),35556.38)</f>
        <v>35556.38</v>
      </c>
      <c r="C2606" s="58">
        <f t="shared" si="1"/>
        <v>5428.998611</v>
      </c>
      <c r="D2606" s="1">
        <f t="shared" si="2"/>
        <v>23793.26587</v>
      </c>
      <c r="E2606" s="1">
        <f t="shared" si="3"/>
        <v>42827.87856</v>
      </c>
      <c r="F2606" s="1">
        <f t="shared" si="4"/>
        <v>80897.10395</v>
      </c>
      <c r="G2606" s="1">
        <f t="shared" si="5"/>
        <v>142759.5952</v>
      </c>
      <c r="H2606" s="1">
        <f t="shared" si="6"/>
        <v>261725.9245</v>
      </c>
      <c r="I2606" s="1">
        <f t="shared" si="7"/>
        <v>428278.7856</v>
      </c>
    </row>
    <row r="2607" hidden="1">
      <c r="A2607" s="266">
        <f>IFERROR(__xludf.DUMMYFUNCTION("""COMPUTED_VALUE"""),45245.99861111111)</f>
        <v>45245.99861</v>
      </c>
      <c r="B2607" s="1">
        <f>IFERROR(__xludf.DUMMYFUNCTION("""COMPUTED_VALUE"""),37884.48)</f>
        <v>37884.48</v>
      </c>
      <c r="C2607" s="58">
        <f t="shared" si="1"/>
        <v>5429.998611</v>
      </c>
      <c r="D2607" s="1">
        <f t="shared" si="2"/>
        <v>23818.69633</v>
      </c>
      <c r="E2607" s="1">
        <f t="shared" si="3"/>
        <v>42873.6534</v>
      </c>
      <c r="F2607" s="1">
        <f t="shared" si="4"/>
        <v>80983.56753</v>
      </c>
      <c r="G2607" s="1">
        <f t="shared" si="5"/>
        <v>142912.178</v>
      </c>
      <c r="H2607" s="1">
        <f t="shared" si="6"/>
        <v>262005.6597</v>
      </c>
      <c r="I2607" s="1">
        <f t="shared" si="7"/>
        <v>428736.534</v>
      </c>
    </row>
    <row r="2608" hidden="1">
      <c r="A2608" s="266">
        <f>IFERROR(__xludf.DUMMYFUNCTION("""COMPUTED_VALUE"""),45246.99861111111)</f>
        <v>45246.99861</v>
      </c>
      <c r="B2608" s="1">
        <f>IFERROR(__xludf.DUMMYFUNCTION("""COMPUTED_VALUE"""),36171.1)</f>
        <v>36171.1</v>
      </c>
      <c r="C2608" s="58">
        <f t="shared" si="1"/>
        <v>5430.998611</v>
      </c>
      <c r="D2608" s="1">
        <f t="shared" si="2"/>
        <v>23844.14929</v>
      </c>
      <c r="E2608" s="1">
        <f t="shared" si="3"/>
        <v>42919.46872</v>
      </c>
      <c r="F2608" s="1">
        <f t="shared" si="4"/>
        <v>81070.10758</v>
      </c>
      <c r="G2608" s="1">
        <f t="shared" si="5"/>
        <v>143064.8957</v>
      </c>
      <c r="H2608" s="1">
        <f t="shared" si="6"/>
        <v>262285.6422</v>
      </c>
      <c r="I2608" s="1">
        <f t="shared" si="7"/>
        <v>429194.6872</v>
      </c>
    </row>
    <row r="2609" hidden="1">
      <c r="A2609" s="266">
        <f>IFERROR(__xludf.DUMMYFUNCTION("""COMPUTED_VALUE"""),45247.99861111111)</f>
        <v>45247.99861</v>
      </c>
      <c r="B2609" s="1">
        <f>IFERROR(__xludf.DUMMYFUNCTION("""COMPUTED_VALUE"""),36626.71)</f>
        <v>36626.71</v>
      </c>
      <c r="C2609" s="58">
        <f t="shared" si="1"/>
        <v>5431.998611</v>
      </c>
      <c r="D2609" s="1">
        <f t="shared" si="2"/>
        <v>23869.62475</v>
      </c>
      <c r="E2609" s="1">
        <f t="shared" si="3"/>
        <v>42965.32455</v>
      </c>
      <c r="F2609" s="1">
        <f t="shared" si="4"/>
        <v>81156.72415</v>
      </c>
      <c r="G2609" s="1">
        <f t="shared" si="5"/>
        <v>143217.7485</v>
      </c>
      <c r="H2609" s="1">
        <f t="shared" si="6"/>
        <v>262565.8722</v>
      </c>
      <c r="I2609" s="1">
        <f t="shared" si="7"/>
        <v>429653.2455</v>
      </c>
    </row>
    <row r="2610" hidden="1">
      <c r="A2610" s="266">
        <f>IFERROR(__xludf.DUMMYFUNCTION("""COMPUTED_VALUE"""),45248.99861111111)</f>
        <v>45248.99861</v>
      </c>
      <c r="B2610" s="1">
        <f>IFERROR(__xludf.DUMMYFUNCTION("""COMPUTED_VALUE"""),36587.7)</f>
        <v>36587.7</v>
      </c>
      <c r="C2610" s="58">
        <f t="shared" si="1"/>
        <v>5432.998611</v>
      </c>
      <c r="D2610" s="1">
        <f t="shared" si="2"/>
        <v>23895.12273</v>
      </c>
      <c r="E2610" s="1">
        <f t="shared" si="3"/>
        <v>43011.22092</v>
      </c>
      <c r="F2610" s="1">
        <f t="shared" si="4"/>
        <v>81243.41729</v>
      </c>
      <c r="G2610" s="1">
        <f t="shared" si="5"/>
        <v>143370.7364</v>
      </c>
      <c r="H2610" s="1">
        <f t="shared" si="6"/>
        <v>262846.35</v>
      </c>
      <c r="I2610" s="1">
        <f t="shared" si="7"/>
        <v>430112.2092</v>
      </c>
    </row>
    <row r="2611" hidden="1">
      <c r="A2611" s="266">
        <f>IFERROR(__xludf.DUMMYFUNCTION("""COMPUTED_VALUE"""),45249.99861111111)</f>
        <v>45249.99861</v>
      </c>
      <c r="B2611" s="1">
        <f>IFERROR(__xludf.DUMMYFUNCTION("""COMPUTED_VALUE"""),37399.95)</f>
        <v>37399.95</v>
      </c>
      <c r="C2611" s="58">
        <f t="shared" si="1"/>
        <v>5433.998611</v>
      </c>
      <c r="D2611" s="1">
        <f t="shared" si="2"/>
        <v>23920.64325</v>
      </c>
      <c r="E2611" s="1">
        <f t="shared" si="3"/>
        <v>43057.15785</v>
      </c>
      <c r="F2611" s="1">
        <f t="shared" si="4"/>
        <v>81330.18705</v>
      </c>
      <c r="G2611" s="1">
        <f t="shared" si="5"/>
        <v>143523.8595</v>
      </c>
      <c r="H2611" s="1">
        <f t="shared" si="6"/>
        <v>263127.0758</v>
      </c>
      <c r="I2611" s="1">
        <f t="shared" si="7"/>
        <v>430571.5785</v>
      </c>
    </row>
    <row r="2612" hidden="1">
      <c r="A2612" s="266">
        <f>IFERROR(__xludf.DUMMYFUNCTION("""COMPUTED_VALUE"""),45250.99861111111)</f>
        <v>45250.99861</v>
      </c>
      <c r="B2612" s="1">
        <f>IFERROR(__xludf.DUMMYFUNCTION("""COMPUTED_VALUE"""),37475.5)</f>
        <v>37475.5</v>
      </c>
      <c r="C2612" s="58">
        <f t="shared" si="1"/>
        <v>5434.998611</v>
      </c>
      <c r="D2612" s="1">
        <f t="shared" si="2"/>
        <v>23946.18632</v>
      </c>
      <c r="E2612" s="1">
        <f t="shared" si="3"/>
        <v>43103.13538</v>
      </c>
      <c r="F2612" s="1">
        <f t="shared" si="4"/>
        <v>81417.0335</v>
      </c>
      <c r="G2612" s="1">
        <f t="shared" si="5"/>
        <v>143677.1179</v>
      </c>
      <c r="H2612" s="1">
        <f t="shared" si="6"/>
        <v>263408.0496</v>
      </c>
      <c r="I2612" s="1">
        <f t="shared" si="7"/>
        <v>431031.3538</v>
      </c>
    </row>
    <row r="2613" hidden="1">
      <c r="A2613" s="266">
        <f>IFERROR(__xludf.DUMMYFUNCTION("""COMPUTED_VALUE"""),45251.99861111111)</f>
        <v>45251.99861</v>
      </c>
      <c r="B2613" s="1">
        <f>IFERROR(__xludf.DUMMYFUNCTION("""COMPUTED_VALUE"""),35790.33)</f>
        <v>35790.33</v>
      </c>
      <c r="C2613" s="58">
        <f t="shared" si="1"/>
        <v>5435.998611</v>
      </c>
      <c r="D2613" s="1">
        <f t="shared" si="2"/>
        <v>23971.75197</v>
      </c>
      <c r="E2613" s="1">
        <f t="shared" si="3"/>
        <v>43149.15354</v>
      </c>
      <c r="F2613" s="1">
        <f t="shared" si="4"/>
        <v>81503.95668</v>
      </c>
      <c r="G2613" s="1">
        <f t="shared" si="5"/>
        <v>143830.5118</v>
      </c>
      <c r="H2613" s="1">
        <f t="shared" si="6"/>
        <v>263689.2716</v>
      </c>
      <c r="I2613" s="1">
        <f t="shared" si="7"/>
        <v>431491.5354</v>
      </c>
    </row>
    <row r="2614" hidden="1">
      <c r="A2614" s="266">
        <f>IFERROR(__xludf.DUMMYFUNCTION("""COMPUTED_VALUE"""),45252.99861111111)</f>
        <v>45252.99861</v>
      </c>
      <c r="B2614" s="1">
        <f>IFERROR(__xludf.DUMMYFUNCTION("""COMPUTED_VALUE"""),37422.05)</f>
        <v>37422.05</v>
      </c>
      <c r="C2614" s="58">
        <f t="shared" si="1"/>
        <v>5436.998611</v>
      </c>
      <c r="D2614" s="1">
        <f t="shared" si="2"/>
        <v>23997.34019</v>
      </c>
      <c r="E2614" s="1">
        <f t="shared" si="3"/>
        <v>43195.21234</v>
      </c>
      <c r="F2614" s="1">
        <f t="shared" si="4"/>
        <v>81590.95665</v>
      </c>
      <c r="G2614" s="1">
        <f t="shared" si="5"/>
        <v>143984.0411</v>
      </c>
      <c r="H2614" s="1">
        <f t="shared" si="6"/>
        <v>263970.7421</v>
      </c>
      <c r="I2614" s="1">
        <f t="shared" si="7"/>
        <v>431952.1234</v>
      </c>
    </row>
    <row r="2615" hidden="1">
      <c r="A2615" s="266">
        <f>IFERROR(__xludf.DUMMYFUNCTION("""COMPUTED_VALUE"""),45253.99861111111)</f>
        <v>45253.99861</v>
      </c>
      <c r="B2615" s="1">
        <f>IFERROR(__xludf.DUMMYFUNCTION("""COMPUTED_VALUE"""),37304.17)</f>
        <v>37304.17</v>
      </c>
      <c r="C2615" s="58">
        <f t="shared" si="1"/>
        <v>5437.998611</v>
      </c>
      <c r="D2615" s="1">
        <f t="shared" si="2"/>
        <v>24022.95102</v>
      </c>
      <c r="E2615" s="1">
        <f t="shared" si="3"/>
        <v>43241.31183</v>
      </c>
      <c r="F2615" s="1">
        <f t="shared" si="4"/>
        <v>81678.03346</v>
      </c>
      <c r="G2615" s="1">
        <f t="shared" si="5"/>
        <v>144137.7061</v>
      </c>
      <c r="H2615" s="1">
        <f t="shared" si="6"/>
        <v>264252.4612</v>
      </c>
      <c r="I2615" s="1">
        <f t="shared" si="7"/>
        <v>432413.1183</v>
      </c>
    </row>
    <row r="2616" hidden="1">
      <c r="A2616" s="266">
        <f>IFERROR(__xludf.DUMMYFUNCTION("""COMPUTED_VALUE"""),45254.99861111111)</f>
        <v>45254.99861</v>
      </c>
      <c r="B2616" s="1">
        <f>IFERROR(__xludf.DUMMYFUNCTION("""COMPUTED_VALUE"""),37736.24)</f>
        <v>37736.24</v>
      </c>
      <c r="C2616" s="58">
        <f t="shared" si="1"/>
        <v>5438.998611</v>
      </c>
      <c r="D2616" s="1">
        <f t="shared" si="2"/>
        <v>24048.58446</v>
      </c>
      <c r="E2616" s="1">
        <f t="shared" si="3"/>
        <v>43287.45203</v>
      </c>
      <c r="F2616" s="1">
        <f t="shared" si="4"/>
        <v>81765.18716</v>
      </c>
      <c r="G2616" s="1">
        <f t="shared" si="5"/>
        <v>144291.5068</v>
      </c>
      <c r="H2616" s="1">
        <f t="shared" si="6"/>
        <v>264534.4291</v>
      </c>
      <c r="I2616" s="1">
        <f t="shared" si="7"/>
        <v>432874.5203</v>
      </c>
    </row>
    <row r="2617" hidden="1">
      <c r="A2617" s="266">
        <f>IFERROR(__xludf.DUMMYFUNCTION("""COMPUTED_VALUE"""),45255.99861111111)</f>
        <v>45255.99861</v>
      </c>
      <c r="B2617" s="1">
        <f>IFERROR(__xludf.DUMMYFUNCTION("""COMPUTED_VALUE"""),37807.9)</f>
        <v>37807.9</v>
      </c>
      <c r="C2617" s="58">
        <f t="shared" si="1"/>
        <v>5439.998611</v>
      </c>
      <c r="D2617" s="1">
        <f t="shared" si="2"/>
        <v>24074.24053</v>
      </c>
      <c r="E2617" s="1">
        <f t="shared" si="3"/>
        <v>43333.63296</v>
      </c>
      <c r="F2617" s="1">
        <f t="shared" si="4"/>
        <v>81852.41782</v>
      </c>
      <c r="G2617" s="1">
        <f t="shared" si="5"/>
        <v>144445.4432</v>
      </c>
      <c r="H2617" s="1">
        <f t="shared" si="6"/>
        <v>264816.6459</v>
      </c>
      <c r="I2617" s="1">
        <f t="shared" si="7"/>
        <v>433336.3296</v>
      </c>
    </row>
    <row r="2618" hidden="1">
      <c r="A2618" s="266">
        <f>IFERROR(__xludf.DUMMYFUNCTION("""COMPUTED_VALUE"""),45256.99861111111)</f>
        <v>45256.99861</v>
      </c>
      <c r="B2618" s="1">
        <f>IFERROR(__xludf.DUMMYFUNCTION("""COMPUTED_VALUE"""),37462.87)</f>
        <v>37462.87</v>
      </c>
      <c r="C2618" s="58">
        <f t="shared" si="1"/>
        <v>5440.998611</v>
      </c>
      <c r="D2618" s="1">
        <f t="shared" si="2"/>
        <v>24099.91926</v>
      </c>
      <c r="E2618" s="1">
        <f t="shared" si="3"/>
        <v>43379.85466</v>
      </c>
      <c r="F2618" s="1">
        <f t="shared" si="4"/>
        <v>81939.72547</v>
      </c>
      <c r="G2618" s="1">
        <f t="shared" si="5"/>
        <v>144599.5155</v>
      </c>
      <c r="H2618" s="1">
        <f t="shared" si="6"/>
        <v>265099.1118</v>
      </c>
      <c r="I2618" s="1">
        <f t="shared" si="7"/>
        <v>433798.5466</v>
      </c>
    </row>
    <row r="2619" hidden="1">
      <c r="A2619" s="266">
        <f>IFERROR(__xludf.DUMMYFUNCTION("""COMPUTED_VALUE"""),45257.99861111111)</f>
        <v>45257.99861</v>
      </c>
      <c r="B2619" s="1">
        <f>IFERROR(__xludf.DUMMYFUNCTION("""COMPUTED_VALUE"""),37247.49)</f>
        <v>37247.49</v>
      </c>
      <c r="C2619" s="58">
        <f t="shared" si="1"/>
        <v>5441.998611</v>
      </c>
      <c r="D2619" s="1">
        <f t="shared" si="2"/>
        <v>24125.62064</v>
      </c>
      <c r="E2619" s="1">
        <f t="shared" si="3"/>
        <v>43426.11715</v>
      </c>
      <c r="F2619" s="1">
        <f t="shared" si="4"/>
        <v>82027.11018</v>
      </c>
      <c r="G2619" s="1">
        <f t="shared" si="5"/>
        <v>144753.7238</v>
      </c>
      <c r="H2619" s="1">
        <f t="shared" si="6"/>
        <v>265381.8271</v>
      </c>
      <c r="I2619" s="1">
        <f t="shared" si="7"/>
        <v>434261.1715</v>
      </c>
    </row>
    <row r="2620" hidden="1">
      <c r="A2620" s="266">
        <f>IFERROR(__xludf.DUMMYFUNCTION("""COMPUTED_VALUE"""),45258.99861111111)</f>
        <v>45258.99861</v>
      </c>
      <c r="B2620" s="1">
        <f>IFERROR(__xludf.DUMMYFUNCTION("""COMPUTED_VALUE"""),37832.33)</f>
        <v>37832.33</v>
      </c>
      <c r="C2620" s="58">
        <f t="shared" si="1"/>
        <v>5442.998611</v>
      </c>
      <c r="D2620" s="1">
        <f t="shared" si="2"/>
        <v>24151.34471</v>
      </c>
      <c r="E2620" s="1">
        <f t="shared" si="3"/>
        <v>43472.42047</v>
      </c>
      <c r="F2620" s="1">
        <f t="shared" si="4"/>
        <v>82114.572</v>
      </c>
      <c r="G2620" s="1">
        <f t="shared" si="5"/>
        <v>144908.0682</v>
      </c>
      <c r="H2620" s="1">
        <f t="shared" si="6"/>
        <v>265664.7918</v>
      </c>
      <c r="I2620" s="1">
        <f t="shared" si="7"/>
        <v>434724.2047</v>
      </c>
    </row>
    <row r="2621" hidden="1">
      <c r="A2621" s="266">
        <f>IFERROR(__xludf.DUMMYFUNCTION("""COMPUTED_VALUE"""),45259.99861111111)</f>
        <v>45259.99861</v>
      </c>
      <c r="B2621" s="1">
        <f>IFERROR(__xludf.DUMMYFUNCTION("""COMPUTED_VALUE"""),37861.98)</f>
        <v>37861.98</v>
      </c>
      <c r="C2621" s="58">
        <f t="shared" si="1"/>
        <v>5443.998611</v>
      </c>
      <c r="D2621" s="1">
        <f t="shared" si="2"/>
        <v>24177.09147</v>
      </c>
      <c r="E2621" s="1">
        <f t="shared" si="3"/>
        <v>43518.76464</v>
      </c>
      <c r="F2621" s="1">
        <f t="shared" si="4"/>
        <v>82202.11098</v>
      </c>
      <c r="G2621" s="1">
        <f t="shared" si="5"/>
        <v>145062.5488</v>
      </c>
      <c r="H2621" s="1">
        <f t="shared" si="6"/>
        <v>265948.0061</v>
      </c>
      <c r="I2621" s="1">
        <f t="shared" si="7"/>
        <v>435187.6464</v>
      </c>
    </row>
    <row r="2622" hidden="1">
      <c r="A2622" s="266">
        <f>IFERROR(__xludf.DUMMYFUNCTION("""COMPUTED_VALUE"""),45260.99861111111)</f>
        <v>45260.99861</v>
      </c>
      <c r="B2622" s="1">
        <f>IFERROR(__xludf.DUMMYFUNCTION("""COMPUTED_VALUE"""),37723.79)</f>
        <v>37723.79</v>
      </c>
      <c r="C2622" s="58">
        <f t="shared" si="1"/>
        <v>5444.998611</v>
      </c>
      <c r="D2622" s="1">
        <f t="shared" si="2"/>
        <v>24202.86094</v>
      </c>
      <c r="E2622" s="1">
        <f t="shared" si="3"/>
        <v>43565.14969</v>
      </c>
      <c r="F2622" s="1">
        <f t="shared" si="4"/>
        <v>82289.72719</v>
      </c>
      <c r="G2622" s="1">
        <f t="shared" si="5"/>
        <v>145217.1656</v>
      </c>
      <c r="H2622" s="1">
        <f t="shared" si="6"/>
        <v>266231.4703</v>
      </c>
      <c r="I2622" s="1">
        <f t="shared" si="7"/>
        <v>435651.4969</v>
      </c>
    </row>
    <row r="2623" hidden="1">
      <c r="A2623" s="266">
        <f>IFERROR(__xludf.DUMMYFUNCTION("""COMPUTED_VALUE"""),45261.99861111111)</f>
        <v>45261.99861</v>
      </c>
      <c r="B2623" s="1">
        <f>IFERROR(__xludf.DUMMYFUNCTION("""COMPUTED_VALUE"""),38704.05)</f>
        <v>38704.05</v>
      </c>
      <c r="C2623" s="58">
        <f t="shared" si="1"/>
        <v>5445.998611</v>
      </c>
      <c r="D2623" s="1">
        <f t="shared" si="2"/>
        <v>24228.65313</v>
      </c>
      <c r="E2623" s="1">
        <f t="shared" si="3"/>
        <v>43611.57564</v>
      </c>
      <c r="F2623" s="1">
        <f t="shared" si="4"/>
        <v>82377.42066</v>
      </c>
      <c r="G2623" s="1">
        <f t="shared" si="5"/>
        <v>145371.9188</v>
      </c>
      <c r="H2623" s="1">
        <f t="shared" si="6"/>
        <v>266515.1845</v>
      </c>
      <c r="I2623" s="1">
        <f t="shared" si="7"/>
        <v>436115.7564</v>
      </c>
    </row>
    <row r="2624" hidden="1">
      <c r="A2624" s="266">
        <f>IFERROR(__xludf.DUMMYFUNCTION("""COMPUTED_VALUE"""),45262.99861111111)</f>
        <v>45262.99861</v>
      </c>
      <c r="B2624" s="1">
        <f>IFERROR(__xludf.DUMMYFUNCTION("""COMPUTED_VALUE"""),39463.38)</f>
        <v>39463.38</v>
      </c>
      <c r="C2624" s="58">
        <f t="shared" si="1"/>
        <v>5446.998611</v>
      </c>
      <c r="D2624" s="1">
        <f t="shared" si="2"/>
        <v>24254.46808</v>
      </c>
      <c r="E2624" s="1">
        <f t="shared" si="3"/>
        <v>43658.04254</v>
      </c>
      <c r="F2624" s="1">
        <f t="shared" si="4"/>
        <v>82465.19146</v>
      </c>
      <c r="G2624" s="1">
        <f t="shared" si="5"/>
        <v>145526.8085</v>
      </c>
      <c r="H2624" s="1">
        <f t="shared" si="6"/>
        <v>266799.1488</v>
      </c>
      <c r="I2624" s="1">
        <f t="shared" si="7"/>
        <v>436580.4254</v>
      </c>
    </row>
    <row r="2625" hidden="1">
      <c r="A2625" s="266">
        <f>IFERROR(__xludf.DUMMYFUNCTION("""COMPUTED_VALUE"""),45263.99861111111)</f>
        <v>45263.99861</v>
      </c>
      <c r="B2625" s="1">
        <f>IFERROR(__xludf.DUMMYFUNCTION("""COMPUTED_VALUE"""),39976.71)</f>
        <v>39976.71</v>
      </c>
      <c r="C2625" s="58">
        <f t="shared" si="1"/>
        <v>5447.998611</v>
      </c>
      <c r="D2625" s="1">
        <f t="shared" si="2"/>
        <v>24280.30577</v>
      </c>
      <c r="E2625" s="1">
        <f t="shared" si="3"/>
        <v>43704.55039</v>
      </c>
      <c r="F2625" s="1">
        <f t="shared" si="4"/>
        <v>82553.03963</v>
      </c>
      <c r="G2625" s="1">
        <f t="shared" si="5"/>
        <v>145681.8346</v>
      </c>
      <c r="H2625" s="1">
        <f t="shared" si="6"/>
        <v>267083.3635</v>
      </c>
      <c r="I2625" s="1">
        <f t="shared" si="7"/>
        <v>437045.5039</v>
      </c>
    </row>
    <row r="2626" hidden="1">
      <c r="A2626" s="266">
        <f>IFERROR(__xludf.DUMMYFUNCTION("""COMPUTED_VALUE"""),45264.99861111111)</f>
        <v>45264.99861</v>
      </c>
      <c r="B2626" s="1">
        <f>IFERROR(__xludf.DUMMYFUNCTION("""COMPUTED_VALUE"""),41982.22)</f>
        <v>41982.22</v>
      </c>
      <c r="C2626" s="58">
        <f t="shared" si="1"/>
        <v>5448.998611</v>
      </c>
      <c r="D2626" s="1">
        <f t="shared" si="2"/>
        <v>24306.16625</v>
      </c>
      <c r="E2626" s="1">
        <f t="shared" si="3"/>
        <v>43751.09925</v>
      </c>
      <c r="F2626" s="1">
        <f t="shared" si="4"/>
        <v>82640.96525</v>
      </c>
      <c r="G2626" s="1">
        <f t="shared" si="5"/>
        <v>145836.9975</v>
      </c>
      <c r="H2626" s="1">
        <f t="shared" si="6"/>
        <v>267367.8287</v>
      </c>
      <c r="I2626" s="1">
        <f t="shared" si="7"/>
        <v>437510.9925</v>
      </c>
    </row>
    <row r="2627" hidden="1">
      <c r="A2627" s="266">
        <f>IFERROR(__xludf.DUMMYFUNCTION("""COMPUTED_VALUE"""),45265.99861111111)</f>
        <v>45265.99861</v>
      </c>
      <c r="B2627" s="1">
        <f>IFERROR(__xludf.DUMMYFUNCTION("""COMPUTED_VALUE"""),44082.62)</f>
        <v>44082.62</v>
      </c>
      <c r="C2627" s="58">
        <f t="shared" si="1"/>
        <v>5449.998611</v>
      </c>
      <c r="D2627" s="1">
        <f t="shared" si="2"/>
        <v>24332.04951</v>
      </c>
      <c r="E2627" s="1">
        <f t="shared" si="3"/>
        <v>43797.68912</v>
      </c>
      <c r="F2627" s="1">
        <f t="shared" si="4"/>
        <v>82728.96834</v>
      </c>
      <c r="G2627" s="1">
        <f t="shared" si="5"/>
        <v>145992.2971</v>
      </c>
      <c r="H2627" s="1">
        <f t="shared" si="6"/>
        <v>267652.5446</v>
      </c>
      <c r="I2627" s="1">
        <f t="shared" si="7"/>
        <v>437976.8912</v>
      </c>
    </row>
    <row r="2628" hidden="1">
      <c r="A2628" s="266">
        <f>IFERROR(__xludf.DUMMYFUNCTION("""COMPUTED_VALUE"""),45266.99861111111)</f>
        <v>45266.99861</v>
      </c>
      <c r="B2628" s="1">
        <f>IFERROR(__xludf.DUMMYFUNCTION("""COMPUTED_VALUE"""),43774.54)</f>
        <v>43774.54</v>
      </c>
      <c r="C2628" s="58">
        <f t="shared" si="1"/>
        <v>5450.998611</v>
      </c>
      <c r="D2628" s="1">
        <f t="shared" si="2"/>
        <v>24357.95558</v>
      </c>
      <c r="E2628" s="1">
        <f t="shared" si="3"/>
        <v>43844.32005</v>
      </c>
      <c r="F2628" s="1">
        <f t="shared" si="4"/>
        <v>82817.04898</v>
      </c>
      <c r="G2628" s="1">
        <f t="shared" si="5"/>
        <v>146147.7335</v>
      </c>
      <c r="H2628" s="1">
        <f t="shared" si="6"/>
        <v>267937.5114</v>
      </c>
      <c r="I2628" s="1">
        <f t="shared" si="7"/>
        <v>438443.2005</v>
      </c>
    </row>
    <row r="2629" hidden="1">
      <c r="A2629" s="266">
        <f>IFERROR(__xludf.DUMMYFUNCTION("""COMPUTED_VALUE"""),45267.99861111111)</f>
        <v>45267.99861</v>
      </c>
      <c r="B2629" s="1">
        <f>IFERROR(__xludf.DUMMYFUNCTION("""COMPUTED_VALUE"""),43296.1)</f>
        <v>43296.1</v>
      </c>
      <c r="C2629" s="58">
        <f t="shared" si="1"/>
        <v>5451.998611</v>
      </c>
      <c r="D2629" s="1">
        <f t="shared" si="2"/>
        <v>24383.88448</v>
      </c>
      <c r="E2629" s="1">
        <f t="shared" si="3"/>
        <v>43890.99206</v>
      </c>
      <c r="F2629" s="1">
        <f t="shared" si="4"/>
        <v>82905.20722</v>
      </c>
      <c r="G2629" s="1">
        <f t="shared" si="5"/>
        <v>146303.3069</v>
      </c>
      <c r="H2629" s="1">
        <f t="shared" si="6"/>
        <v>268222.7292</v>
      </c>
      <c r="I2629" s="1">
        <f t="shared" si="7"/>
        <v>438909.9206</v>
      </c>
    </row>
    <row r="2630" hidden="1">
      <c r="A2630" s="266">
        <f>IFERROR(__xludf.DUMMYFUNCTION("""COMPUTED_VALUE"""),45268.99861111111)</f>
        <v>45268.99861</v>
      </c>
      <c r="B2630" s="1">
        <f>IFERROR(__xludf.DUMMYFUNCTION("""COMPUTED_VALUE"""),44193.9)</f>
        <v>44193.9</v>
      </c>
      <c r="C2630" s="58">
        <f t="shared" si="1"/>
        <v>5452.998611</v>
      </c>
      <c r="D2630" s="1">
        <f t="shared" si="2"/>
        <v>24409.83621</v>
      </c>
      <c r="E2630" s="1">
        <f t="shared" si="3"/>
        <v>43937.70517</v>
      </c>
      <c r="F2630" s="1">
        <f t="shared" si="4"/>
        <v>82993.4431</v>
      </c>
      <c r="G2630" s="1">
        <f t="shared" si="5"/>
        <v>146459.0172</v>
      </c>
      <c r="H2630" s="1">
        <f t="shared" si="6"/>
        <v>268508.1983</v>
      </c>
      <c r="I2630" s="1">
        <f t="shared" si="7"/>
        <v>439377.0517</v>
      </c>
    </row>
    <row r="2631" hidden="1">
      <c r="A2631" s="266">
        <f>IFERROR(__xludf.DUMMYFUNCTION("""COMPUTED_VALUE"""),45269.99861111111)</f>
        <v>45269.99861</v>
      </c>
      <c r="B2631" s="1">
        <f>IFERROR(__xludf.DUMMYFUNCTION("""COMPUTED_VALUE"""),43736.8)</f>
        <v>43736.8</v>
      </c>
      <c r="C2631" s="58">
        <f t="shared" si="1"/>
        <v>5453.998611</v>
      </c>
      <c r="D2631" s="1">
        <f t="shared" si="2"/>
        <v>24435.81079</v>
      </c>
      <c r="E2631" s="1">
        <f t="shared" si="3"/>
        <v>43984.45943</v>
      </c>
      <c r="F2631" s="1">
        <f t="shared" si="4"/>
        <v>83081.75669</v>
      </c>
      <c r="G2631" s="1">
        <f t="shared" si="5"/>
        <v>146614.8648</v>
      </c>
      <c r="H2631" s="1">
        <f t="shared" si="6"/>
        <v>268793.9187</v>
      </c>
      <c r="I2631" s="1">
        <f t="shared" si="7"/>
        <v>439844.5943</v>
      </c>
    </row>
    <row r="2632" hidden="1">
      <c r="A2632" s="266">
        <f>IFERROR(__xludf.DUMMYFUNCTION("""COMPUTED_VALUE"""),45270.99861111111)</f>
        <v>45270.99861</v>
      </c>
      <c r="B2632" s="1">
        <f>IFERROR(__xludf.DUMMYFUNCTION("""COMPUTED_VALUE"""),43790.26)</f>
        <v>43790.26</v>
      </c>
      <c r="C2632" s="58">
        <f t="shared" si="1"/>
        <v>5454.998611</v>
      </c>
      <c r="D2632" s="1">
        <f t="shared" si="2"/>
        <v>24461.80825</v>
      </c>
      <c r="E2632" s="1">
        <f t="shared" si="3"/>
        <v>44031.25485</v>
      </c>
      <c r="F2632" s="1">
        <f t="shared" si="4"/>
        <v>83170.14804</v>
      </c>
      <c r="G2632" s="1">
        <f t="shared" si="5"/>
        <v>146770.8495</v>
      </c>
      <c r="H2632" s="1">
        <f t="shared" si="6"/>
        <v>269079.8907</v>
      </c>
      <c r="I2632" s="1">
        <f t="shared" si="7"/>
        <v>440312.5485</v>
      </c>
    </row>
    <row r="2633" hidden="1">
      <c r="A2633" s="266">
        <f>IFERROR(__xludf.DUMMYFUNCTION("""COMPUTED_VALUE"""),45271.99861111111)</f>
        <v>45271.99861</v>
      </c>
      <c r="B2633" s="1">
        <f>IFERROR(__xludf.DUMMYFUNCTION("""COMPUTED_VALUE"""),41237.43)</f>
        <v>41237.43</v>
      </c>
      <c r="C2633" s="58">
        <f t="shared" si="1"/>
        <v>5455.998611</v>
      </c>
      <c r="D2633" s="1">
        <f t="shared" si="2"/>
        <v>24487.82859</v>
      </c>
      <c r="E2633" s="1">
        <f t="shared" si="3"/>
        <v>44078.09146</v>
      </c>
      <c r="F2633" s="1">
        <f t="shared" si="4"/>
        <v>83258.6172</v>
      </c>
      <c r="G2633" s="1">
        <f t="shared" si="5"/>
        <v>146926.9715</v>
      </c>
      <c r="H2633" s="1">
        <f t="shared" si="6"/>
        <v>269366.1145</v>
      </c>
      <c r="I2633" s="1">
        <f t="shared" si="7"/>
        <v>440780.9146</v>
      </c>
    </row>
    <row r="2634" hidden="1">
      <c r="A2634" s="266">
        <f>IFERROR(__xludf.DUMMYFUNCTION("""COMPUTED_VALUE"""),45272.99861111111)</f>
        <v>45272.99861</v>
      </c>
      <c r="B2634" s="1">
        <f>IFERROR(__xludf.DUMMYFUNCTION("""COMPUTED_VALUE"""),41473.28)</f>
        <v>41473.28</v>
      </c>
      <c r="C2634" s="58">
        <f t="shared" si="1"/>
        <v>5456.998611</v>
      </c>
      <c r="D2634" s="1">
        <f t="shared" si="2"/>
        <v>24513.87183</v>
      </c>
      <c r="E2634" s="1">
        <f t="shared" si="3"/>
        <v>44124.9693</v>
      </c>
      <c r="F2634" s="1">
        <f t="shared" si="4"/>
        <v>83347.16423</v>
      </c>
      <c r="G2634" s="1">
        <f t="shared" si="5"/>
        <v>147083.231</v>
      </c>
      <c r="H2634" s="1">
        <f t="shared" si="6"/>
        <v>269652.5901</v>
      </c>
      <c r="I2634" s="1">
        <f t="shared" si="7"/>
        <v>441249.693</v>
      </c>
    </row>
    <row r="2635" hidden="1">
      <c r="A2635" s="266">
        <f>IFERROR(__xludf.DUMMYFUNCTION("""COMPUTED_VALUE"""),45273.99861111111)</f>
        <v>45273.99861</v>
      </c>
      <c r="B2635" s="1">
        <f>IFERROR(__xludf.DUMMYFUNCTION("""COMPUTED_VALUE"""),42890.93)</f>
        <v>42890.93</v>
      </c>
      <c r="C2635" s="58">
        <f t="shared" si="1"/>
        <v>5457.998611</v>
      </c>
      <c r="D2635" s="1">
        <f t="shared" si="2"/>
        <v>24539.93799</v>
      </c>
      <c r="E2635" s="1">
        <f t="shared" si="3"/>
        <v>44171.88839</v>
      </c>
      <c r="F2635" s="1">
        <f t="shared" si="4"/>
        <v>83435.78917</v>
      </c>
      <c r="G2635" s="1">
        <f t="shared" si="5"/>
        <v>147239.628</v>
      </c>
      <c r="H2635" s="1">
        <f t="shared" si="6"/>
        <v>269939.3179</v>
      </c>
      <c r="I2635" s="1">
        <f t="shared" si="7"/>
        <v>441718.8839</v>
      </c>
    </row>
    <row r="2636" hidden="1">
      <c r="A2636" s="266">
        <f>IFERROR(__xludf.DUMMYFUNCTION("""COMPUTED_VALUE"""),45274.99861111111)</f>
        <v>45274.99861</v>
      </c>
      <c r="B2636" s="1">
        <f>IFERROR(__xludf.DUMMYFUNCTION("""COMPUTED_VALUE"""),43029.62)</f>
        <v>43029.62</v>
      </c>
      <c r="C2636" s="58">
        <f t="shared" si="1"/>
        <v>5458.998611</v>
      </c>
      <c r="D2636" s="1">
        <f t="shared" si="2"/>
        <v>24566.02709</v>
      </c>
      <c r="E2636" s="1">
        <f t="shared" si="3"/>
        <v>44218.84876</v>
      </c>
      <c r="F2636" s="1">
        <f t="shared" si="4"/>
        <v>83524.49209</v>
      </c>
      <c r="G2636" s="1">
        <f t="shared" si="5"/>
        <v>147396.1625</v>
      </c>
      <c r="H2636" s="1">
        <f t="shared" si="6"/>
        <v>270226.2979</v>
      </c>
      <c r="I2636" s="1">
        <f t="shared" si="7"/>
        <v>442188.4876</v>
      </c>
    </row>
    <row r="2637" hidden="1">
      <c r="A2637" s="266">
        <f>IFERROR(__xludf.DUMMYFUNCTION("""COMPUTED_VALUE"""),45275.99861111111)</f>
        <v>45275.99861</v>
      </c>
      <c r="B2637" s="1">
        <f>IFERROR(__xludf.DUMMYFUNCTION("""COMPUTED_VALUE"""),41945.55)</f>
        <v>41945.55</v>
      </c>
      <c r="C2637" s="58">
        <f t="shared" si="1"/>
        <v>5459.998611</v>
      </c>
      <c r="D2637" s="1">
        <f t="shared" si="2"/>
        <v>24592.13913</v>
      </c>
      <c r="E2637" s="1">
        <f t="shared" si="3"/>
        <v>44265.85043</v>
      </c>
      <c r="F2637" s="1">
        <f t="shared" si="4"/>
        <v>83613.27304</v>
      </c>
      <c r="G2637" s="1">
        <f t="shared" si="5"/>
        <v>147552.8348</v>
      </c>
      <c r="H2637" s="1">
        <f t="shared" si="6"/>
        <v>270513.5304</v>
      </c>
      <c r="I2637" s="1">
        <f t="shared" si="7"/>
        <v>442658.5043</v>
      </c>
    </row>
    <row r="2638" hidden="1">
      <c r="A2638" s="266">
        <f>IFERROR(__xludf.DUMMYFUNCTION("""COMPUTED_VALUE"""),45276.99861111111)</f>
        <v>45276.99861</v>
      </c>
      <c r="B2638" s="1">
        <f>IFERROR(__xludf.DUMMYFUNCTION("""COMPUTED_VALUE"""),42262.62)</f>
        <v>42262.62</v>
      </c>
      <c r="C2638" s="58">
        <f t="shared" si="1"/>
        <v>5460.998611</v>
      </c>
      <c r="D2638" s="1">
        <f t="shared" si="2"/>
        <v>24618.27414</v>
      </c>
      <c r="E2638" s="1">
        <f t="shared" si="3"/>
        <v>44312.89345</v>
      </c>
      <c r="F2638" s="1">
        <f t="shared" si="4"/>
        <v>83702.13208</v>
      </c>
      <c r="G2638" s="1">
        <f t="shared" si="5"/>
        <v>147709.6448</v>
      </c>
      <c r="H2638" s="1">
        <f t="shared" si="6"/>
        <v>270801.0155</v>
      </c>
      <c r="I2638" s="1">
        <f t="shared" si="7"/>
        <v>443128.9345</v>
      </c>
    </row>
    <row r="2639" hidden="1">
      <c r="A2639" s="266">
        <f>IFERROR(__xludf.DUMMYFUNCTION("""COMPUTED_VALUE"""),45277.99861111111)</f>
        <v>45277.99861</v>
      </c>
      <c r="B2639" s="1">
        <f>IFERROR(__xludf.DUMMYFUNCTION("""COMPUTED_VALUE"""),41360.83)</f>
        <v>41360.83</v>
      </c>
      <c r="C2639" s="58">
        <f t="shared" si="1"/>
        <v>5461.998611</v>
      </c>
      <c r="D2639" s="1">
        <f t="shared" si="2"/>
        <v>24644.43213</v>
      </c>
      <c r="E2639" s="1">
        <f t="shared" si="3"/>
        <v>44359.97784</v>
      </c>
      <c r="F2639" s="1">
        <f t="shared" si="4"/>
        <v>83791.06925</v>
      </c>
      <c r="G2639" s="1">
        <f t="shared" si="5"/>
        <v>147866.5928</v>
      </c>
      <c r="H2639" s="1">
        <f t="shared" si="6"/>
        <v>271088.7535</v>
      </c>
      <c r="I2639" s="1">
        <f t="shared" si="7"/>
        <v>443599.7784</v>
      </c>
    </row>
    <row r="2640" hidden="1">
      <c r="A2640" s="266">
        <f>IFERROR(__xludf.DUMMYFUNCTION("""COMPUTED_VALUE"""),45278.99861111111)</f>
        <v>45278.99861</v>
      </c>
      <c r="B2640" s="1">
        <f>IFERROR(__xludf.DUMMYFUNCTION("""COMPUTED_VALUE"""),42651.91)</f>
        <v>42651.91</v>
      </c>
      <c r="C2640" s="58">
        <f t="shared" si="1"/>
        <v>5462.998611</v>
      </c>
      <c r="D2640" s="1">
        <f t="shared" si="2"/>
        <v>24670.61312</v>
      </c>
      <c r="E2640" s="1">
        <f t="shared" si="3"/>
        <v>44407.10362</v>
      </c>
      <c r="F2640" s="1">
        <f t="shared" si="4"/>
        <v>83880.08461</v>
      </c>
      <c r="G2640" s="1">
        <f t="shared" si="5"/>
        <v>148023.6787</v>
      </c>
      <c r="H2640" s="1">
        <f t="shared" si="6"/>
        <v>271376.7443</v>
      </c>
      <c r="I2640" s="1">
        <f t="shared" si="7"/>
        <v>444071.0362</v>
      </c>
    </row>
    <row r="2641" hidden="1">
      <c r="A2641" s="266">
        <f>IFERROR(__xludf.DUMMYFUNCTION("""COMPUTED_VALUE"""),45279.99861111111)</f>
        <v>45279.99861</v>
      </c>
      <c r="B2641" s="1">
        <f>IFERROR(__xludf.DUMMYFUNCTION("""COMPUTED_VALUE"""),42271.05)</f>
        <v>42271.05</v>
      </c>
      <c r="C2641" s="58">
        <f t="shared" si="1"/>
        <v>5463.998611</v>
      </c>
      <c r="D2641" s="1">
        <f t="shared" si="2"/>
        <v>24696.81712</v>
      </c>
      <c r="E2641" s="1">
        <f t="shared" si="3"/>
        <v>44454.27082</v>
      </c>
      <c r="F2641" s="1">
        <f t="shared" si="4"/>
        <v>83969.17822</v>
      </c>
      <c r="G2641" s="1">
        <f t="shared" si="5"/>
        <v>148180.9027</v>
      </c>
      <c r="H2641" s="1">
        <f t="shared" si="6"/>
        <v>271664.9884</v>
      </c>
      <c r="I2641" s="1">
        <f t="shared" si="7"/>
        <v>444542.7082</v>
      </c>
    </row>
    <row r="2642" hidden="1">
      <c r="A2642" s="266">
        <f>IFERROR(__xludf.DUMMYFUNCTION("""COMPUTED_VALUE"""),45280.99861111111)</f>
        <v>45280.99861</v>
      </c>
      <c r="B2642" s="1">
        <f>IFERROR(__xludf.DUMMYFUNCTION("""COMPUTED_VALUE"""),43661.13)</f>
        <v>43661.13</v>
      </c>
      <c r="C2642" s="58">
        <f t="shared" si="1"/>
        <v>5464.998611</v>
      </c>
      <c r="D2642" s="1">
        <f t="shared" si="2"/>
        <v>24723.04416</v>
      </c>
      <c r="E2642" s="1">
        <f t="shared" si="3"/>
        <v>44501.47948</v>
      </c>
      <c r="F2642" s="1">
        <f t="shared" si="4"/>
        <v>84058.35014</v>
      </c>
      <c r="G2642" s="1">
        <f t="shared" si="5"/>
        <v>148338.2649</v>
      </c>
      <c r="H2642" s="1">
        <f t="shared" si="6"/>
        <v>271953.4857</v>
      </c>
      <c r="I2642" s="1">
        <f t="shared" si="7"/>
        <v>445014.7948</v>
      </c>
    </row>
    <row r="2643" hidden="1">
      <c r="A2643" s="266">
        <f>IFERROR(__xludf.DUMMYFUNCTION("""COMPUTED_VALUE"""),45281.99861111111)</f>
        <v>45281.99861</v>
      </c>
      <c r="B2643" s="1">
        <f>IFERROR(__xludf.DUMMYFUNCTION("""COMPUTED_VALUE"""),43879.57)</f>
        <v>43879.57</v>
      </c>
      <c r="C2643" s="58">
        <f t="shared" si="1"/>
        <v>5465.998611</v>
      </c>
      <c r="D2643" s="1">
        <f t="shared" si="2"/>
        <v>24749.29424</v>
      </c>
      <c r="E2643" s="1">
        <f t="shared" si="3"/>
        <v>44548.72962</v>
      </c>
      <c r="F2643" s="1">
        <f t="shared" si="4"/>
        <v>84147.6004</v>
      </c>
      <c r="G2643" s="1">
        <f t="shared" si="5"/>
        <v>148495.7654</v>
      </c>
      <c r="H2643" s="1">
        <f t="shared" si="6"/>
        <v>272242.2366</v>
      </c>
      <c r="I2643" s="1">
        <f t="shared" si="7"/>
        <v>445487.2962</v>
      </c>
    </row>
    <row r="2644" hidden="1">
      <c r="A2644" s="266">
        <f>IFERROR(__xludf.DUMMYFUNCTION("""COMPUTED_VALUE"""),45282.99861111111)</f>
        <v>45282.99861</v>
      </c>
      <c r="B2644" s="1">
        <f>IFERROR(__xludf.DUMMYFUNCTION("""COMPUTED_VALUE"""),44016.18)</f>
        <v>44016.18</v>
      </c>
      <c r="C2644" s="58">
        <f t="shared" si="1"/>
        <v>5466.998611</v>
      </c>
      <c r="D2644" s="1">
        <f t="shared" si="2"/>
        <v>24775.56738</v>
      </c>
      <c r="E2644" s="1">
        <f t="shared" si="3"/>
        <v>44596.02128</v>
      </c>
      <c r="F2644" s="1">
        <f t="shared" si="4"/>
        <v>84236.92908</v>
      </c>
      <c r="G2644" s="1">
        <f t="shared" si="5"/>
        <v>148653.4043</v>
      </c>
      <c r="H2644" s="1">
        <f t="shared" si="6"/>
        <v>272531.2411</v>
      </c>
      <c r="I2644" s="1">
        <f t="shared" si="7"/>
        <v>445960.2128</v>
      </c>
    </row>
    <row r="2645" hidden="1">
      <c r="A2645" s="266">
        <f>IFERROR(__xludf.DUMMYFUNCTION("""COMPUTED_VALUE"""),45283.99861111111)</f>
        <v>45283.99861</v>
      </c>
      <c r="B2645" s="1">
        <f>IFERROR(__xludf.DUMMYFUNCTION("""COMPUTED_VALUE"""),43768.45)</f>
        <v>43768.45</v>
      </c>
      <c r="C2645" s="58">
        <f t="shared" si="1"/>
        <v>5467.998611</v>
      </c>
      <c r="D2645" s="1">
        <f t="shared" si="2"/>
        <v>24801.86359</v>
      </c>
      <c r="E2645" s="1">
        <f t="shared" si="3"/>
        <v>44643.35447</v>
      </c>
      <c r="F2645" s="1">
        <f t="shared" si="4"/>
        <v>84326.33622</v>
      </c>
      <c r="G2645" s="1">
        <f t="shared" si="5"/>
        <v>148811.1816</v>
      </c>
      <c r="H2645" s="1">
        <f t="shared" si="6"/>
        <v>272820.4995</v>
      </c>
      <c r="I2645" s="1">
        <f t="shared" si="7"/>
        <v>446433.5447</v>
      </c>
    </row>
    <row r="2646" hidden="1">
      <c r="A2646" s="266">
        <f>IFERROR(__xludf.DUMMYFUNCTION("""COMPUTED_VALUE"""),45284.99861111111)</f>
        <v>45284.99861</v>
      </c>
      <c r="B2646" s="1">
        <f>IFERROR(__xludf.DUMMYFUNCTION("""COMPUTED_VALUE"""),43042.68)</f>
        <v>43042.68</v>
      </c>
      <c r="C2646" s="58">
        <f t="shared" si="1"/>
        <v>5468.998611</v>
      </c>
      <c r="D2646" s="1">
        <f t="shared" si="2"/>
        <v>24828.18291</v>
      </c>
      <c r="E2646" s="1">
        <f t="shared" si="3"/>
        <v>44690.72923</v>
      </c>
      <c r="F2646" s="1">
        <f t="shared" si="4"/>
        <v>84415.82188</v>
      </c>
      <c r="G2646" s="1">
        <f t="shared" si="5"/>
        <v>148969.0974</v>
      </c>
      <c r="H2646" s="1">
        <f t="shared" si="6"/>
        <v>273110.012</v>
      </c>
      <c r="I2646" s="1">
        <f t="shared" si="7"/>
        <v>446907.2923</v>
      </c>
    </row>
    <row r="2647" hidden="1">
      <c r="A2647" s="266">
        <f>IFERROR(__xludf.DUMMYFUNCTION("""COMPUTED_VALUE"""),45285.99861111111)</f>
        <v>45285.99861</v>
      </c>
      <c r="B2647" s="1">
        <f>IFERROR(__xludf.DUMMYFUNCTION("""COMPUTED_VALUE"""),43608.0)</f>
        <v>43608</v>
      </c>
      <c r="C2647" s="58">
        <f t="shared" si="1"/>
        <v>5469.998611</v>
      </c>
      <c r="D2647" s="1">
        <f t="shared" si="2"/>
        <v>24854.52533</v>
      </c>
      <c r="E2647" s="1">
        <f t="shared" si="3"/>
        <v>44738.14559</v>
      </c>
      <c r="F2647" s="1">
        <f t="shared" si="4"/>
        <v>84505.38612</v>
      </c>
      <c r="G2647" s="1">
        <f t="shared" si="5"/>
        <v>149127.152</v>
      </c>
      <c r="H2647" s="1">
        <f t="shared" si="6"/>
        <v>273399.7786</v>
      </c>
      <c r="I2647" s="1">
        <f t="shared" si="7"/>
        <v>447381.4559</v>
      </c>
    </row>
    <row r="2648" hidden="1">
      <c r="A2648" s="266">
        <f>IFERROR(__xludf.DUMMYFUNCTION("""COMPUTED_VALUE"""),45286.99861111111)</f>
        <v>45286.99861</v>
      </c>
      <c r="B2648" s="1">
        <f>IFERROR(__xludf.DUMMYFUNCTION("""COMPUTED_VALUE"""),42524.73)</f>
        <v>42524.73</v>
      </c>
      <c r="C2648" s="58">
        <f t="shared" si="1"/>
        <v>5470.998611</v>
      </c>
      <c r="D2648" s="1">
        <f t="shared" si="2"/>
        <v>24880.89088</v>
      </c>
      <c r="E2648" s="1">
        <f t="shared" si="3"/>
        <v>44785.60358</v>
      </c>
      <c r="F2648" s="1">
        <f t="shared" si="4"/>
        <v>84595.02898</v>
      </c>
      <c r="G2648" s="1">
        <f t="shared" si="5"/>
        <v>149285.3453</v>
      </c>
      <c r="H2648" s="1">
        <f t="shared" si="6"/>
        <v>273689.7996</v>
      </c>
      <c r="I2648" s="1">
        <f t="shared" si="7"/>
        <v>447856.0358</v>
      </c>
    </row>
    <row r="2649" hidden="1">
      <c r="A2649" s="266">
        <f>IFERROR(__xludf.DUMMYFUNCTION("""COMPUTED_VALUE"""),45287.99861111111)</f>
        <v>45287.99861</v>
      </c>
      <c r="B2649" s="1">
        <f>IFERROR(__xludf.DUMMYFUNCTION("""COMPUTED_VALUE"""),43469.43)</f>
        <v>43469.43</v>
      </c>
      <c r="C2649" s="58">
        <f t="shared" si="1"/>
        <v>5471.998611</v>
      </c>
      <c r="D2649" s="1">
        <f t="shared" si="2"/>
        <v>24907.27957</v>
      </c>
      <c r="E2649" s="1">
        <f t="shared" si="3"/>
        <v>44833.10322</v>
      </c>
      <c r="F2649" s="1">
        <f t="shared" si="4"/>
        <v>84684.75053</v>
      </c>
      <c r="G2649" s="1">
        <f t="shared" si="5"/>
        <v>149443.6774</v>
      </c>
      <c r="H2649" s="1">
        <f t="shared" si="6"/>
        <v>273980.0752</v>
      </c>
      <c r="I2649" s="1">
        <f t="shared" si="7"/>
        <v>448331.0322</v>
      </c>
    </row>
    <row r="2650" hidden="1">
      <c r="A2650" s="266">
        <f>IFERROR(__xludf.DUMMYFUNCTION("""COMPUTED_VALUE"""),45288.99861111111)</f>
        <v>45288.99861</v>
      </c>
      <c r="B2650" s="1">
        <f>IFERROR(__xludf.DUMMYFUNCTION("""COMPUTED_VALUE"""),42596.08)</f>
        <v>42596.08</v>
      </c>
      <c r="C2650" s="58">
        <f t="shared" si="1"/>
        <v>5472.998611</v>
      </c>
      <c r="D2650" s="1">
        <f t="shared" si="2"/>
        <v>24933.69142</v>
      </c>
      <c r="E2650" s="1">
        <f t="shared" si="3"/>
        <v>44880.64455</v>
      </c>
      <c r="F2650" s="1">
        <f t="shared" si="4"/>
        <v>84774.55081</v>
      </c>
      <c r="G2650" s="1">
        <f t="shared" si="5"/>
        <v>149602.1485</v>
      </c>
      <c r="H2650" s="1">
        <f t="shared" si="6"/>
        <v>274270.6056</v>
      </c>
      <c r="I2650" s="1">
        <f t="shared" si="7"/>
        <v>448806.4455</v>
      </c>
    </row>
    <row r="2651" hidden="1">
      <c r="A2651" s="266">
        <f>IFERROR(__xludf.DUMMYFUNCTION("""COMPUTED_VALUE"""),45289.99861111111)</f>
        <v>45289.99861</v>
      </c>
      <c r="B2651" s="1">
        <f>IFERROR(__xludf.DUMMYFUNCTION("""COMPUTED_VALUE"""),42088.24)</f>
        <v>42088.24</v>
      </c>
      <c r="C2651" s="58">
        <f t="shared" si="1"/>
        <v>5473.998611</v>
      </c>
      <c r="D2651" s="1">
        <f t="shared" si="2"/>
        <v>24960.12644</v>
      </c>
      <c r="E2651" s="1">
        <f t="shared" si="3"/>
        <v>44928.22759</v>
      </c>
      <c r="F2651" s="1">
        <f t="shared" si="4"/>
        <v>84864.42989</v>
      </c>
      <c r="G2651" s="1">
        <f t="shared" si="5"/>
        <v>149760.7586</v>
      </c>
      <c r="H2651" s="1">
        <f t="shared" si="6"/>
        <v>274561.3908</v>
      </c>
      <c r="I2651" s="1">
        <f t="shared" si="7"/>
        <v>449282.2759</v>
      </c>
    </row>
    <row r="2652" hidden="1">
      <c r="A2652" s="266">
        <f>IFERROR(__xludf.DUMMYFUNCTION("""COMPUTED_VALUE"""),45290.99861111111)</f>
        <v>45290.99861</v>
      </c>
      <c r="B2652" s="1">
        <f>IFERROR(__xludf.DUMMYFUNCTION("""COMPUTED_VALUE"""),42141.19)</f>
        <v>42141.19</v>
      </c>
      <c r="C2652" s="58">
        <f t="shared" si="1"/>
        <v>5474.998611</v>
      </c>
      <c r="D2652" s="1">
        <f t="shared" si="2"/>
        <v>24986.58465</v>
      </c>
      <c r="E2652" s="1">
        <f t="shared" si="3"/>
        <v>44975.85237</v>
      </c>
      <c r="F2652" s="1">
        <f t="shared" si="4"/>
        <v>84954.38781</v>
      </c>
      <c r="G2652" s="1">
        <f t="shared" si="5"/>
        <v>149919.5079</v>
      </c>
      <c r="H2652" s="1">
        <f t="shared" si="6"/>
        <v>274852.4312</v>
      </c>
      <c r="I2652" s="1">
        <f t="shared" si="7"/>
        <v>449758.5237</v>
      </c>
    </row>
    <row r="2653" hidden="1">
      <c r="A2653" s="266">
        <f>IFERROR(__xludf.DUMMYFUNCTION("""COMPUTED_VALUE"""),45291.99861111111)</f>
        <v>45291.99861</v>
      </c>
      <c r="B2653" s="1">
        <f>IFERROR(__xludf.DUMMYFUNCTION("""COMPUTED_VALUE"""),42291.37)</f>
        <v>42291.37</v>
      </c>
      <c r="C2653" s="58">
        <f t="shared" si="1"/>
        <v>5475.998611</v>
      </c>
      <c r="D2653" s="1">
        <f t="shared" si="2"/>
        <v>25013.06607</v>
      </c>
      <c r="E2653" s="1">
        <f t="shared" si="3"/>
        <v>45023.51893</v>
      </c>
      <c r="F2653" s="1">
        <f t="shared" si="4"/>
        <v>85044.42464</v>
      </c>
      <c r="G2653" s="1">
        <f t="shared" si="5"/>
        <v>150078.3964</v>
      </c>
      <c r="H2653" s="1">
        <f t="shared" si="6"/>
        <v>275143.7268</v>
      </c>
      <c r="I2653" s="1">
        <f t="shared" si="7"/>
        <v>450235.1893</v>
      </c>
    </row>
    <row r="2654" hidden="1">
      <c r="A2654" s="266">
        <f>IFERROR(__xludf.DUMMYFUNCTION("""COMPUTED_VALUE"""),45292.99861111111)</f>
        <v>45292.99861</v>
      </c>
      <c r="B2654" s="1">
        <f>IFERROR(__xludf.DUMMYFUNCTION("""COMPUTED_VALUE"""),44204.37)</f>
        <v>44204.37</v>
      </c>
      <c r="C2654" s="58">
        <f t="shared" si="1"/>
        <v>5476.998611</v>
      </c>
      <c r="D2654" s="1">
        <f t="shared" si="2"/>
        <v>25039.57071</v>
      </c>
      <c r="E2654" s="1">
        <f t="shared" si="3"/>
        <v>45071.22728</v>
      </c>
      <c r="F2654" s="1">
        <f t="shared" si="4"/>
        <v>85134.54042</v>
      </c>
      <c r="G2654" s="1">
        <f t="shared" si="5"/>
        <v>150237.4243</v>
      </c>
      <c r="H2654" s="1">
        <f t="shared" si="6"/>
        <v>275435.2778</v>
      </c>
      <c r="I2654" s="1">
        <f t="shared" si="7"/>
        <v>450712.2728</v>
      </c>
    </row>
    <row r="2655" hidden="1">
      <c r="A2655" s="266">
        <f>IFERROR(__xludf.DUMMYFUNCTION("""COMPUTED_VALUE"""),45293.99861111111)</f>
        <v>45293.99861</v>
      </c>
      <c r="B2655" s="1">
        <f>IFERROR(__xludf.DUMMYFUNCTION("""COMPUTED_VALUE"""),44971.76)</f>
        <v>44971.76</v>
      </c>
      <c r="C2655" s="58">
        <f t="shared" si="1"/>
        <v>5477.998611</v>
      </c>
      <c r="D2655" s="1">
        <f t="shared" si="2"/>
        <v>25066.09859</v>
      </c>
      <c r="E2655" s="1">
        <f t="shared" si="3"/>
        <v>45118.97746</v>
      </c>
      <c r="F2655" s="1">
        <f t="shared" si="4"/>
        <v>85224.73521</v>
      </c>
      <c r="G2655" s="1">
        <f t="shared" si="5"/>
        <v>150396.5915</v>
      </c>
      <c r="H2655" s="1">
        <f t="shared" si="6"/>
        <v>275727.0845</v>
      </c>
      <c r="I2655" s="1">
        <f t="shared" si="7"/>
        <v>451189.7746</v>
      </c>
    </row>
    <row r="2656" hidden="1">
      <c r="A2656" s="266">
        <f>IFERROR(__xludf.DUMMYFUNCTION("""COMPUTED_VALUE"""),45294.99861111111)</f>
        <v>45294.99861</v>
      </c>
      <c r="B2656" s="1">
        <f>IFERROR(__xludf.DUMMYFUNCTION("""COMPUTED_VALUE"""),42864.52)</f>
        <v>42864.52</v>
      </c>
      <c r="C2656" s="58">
        <f t="shared" si="1"/>
        <v>5478.998611</v>
      </c>
      <c r="D2656" s="1">
        <f t="shared" si="2"/>
        <v>25092.64973</v>
      </c>
      <c r="E2656" s="1">
        <f t="shared" si="3"/>
        <v>45166.76951</v>
      </c>
      <c r="F2656" s="1">
        <f t="shared" si="4"/>
        <v>85315.00907</v>
      </c>
      <c r="G2656" s="1">
        <f t="shared" si="5"/>
        <v>150555.8984</v>
      </c>
      <c r="H2656" s="1">
        <f t="shared" si="6"/>
        <v>276019.147</v>
      </c>
      <c r="I2656" s="1">
        <f t="shared" si="7"/>
        <v>451667.6951</v>
      </c>
    </row>
    <row r="2657" hidden="1">
      <c r="A2657" s="266">
        <f>IFERROR(__xludf.DUMMYFUNCTION("""COMPUTED_VALUE"""),45295.99861111111)</f>
        <v>45295.99861</v>
      </c>
      <c r="B2657" s="1">
        <f>IFERROR(__xludf.DUMMYFUNCTION("""COMPUTED_VALUE"""),44202.17)</f>
        <v>44202.17</v>
      </c>
      <c r="C2657" s="58">
        <f t="shared" si="1"/>
        <v>5479.998611</v>
      </c>
      <c r="D2657" s="1">
        <f t="shared" si="2"/>
        <v>25119.22413</v>
      </c>
      <c r="E2657" s="1">
        <f t="shared" si="3"/>
        <v>45214.60344</v>
      </c>
      <c r="F2657" s="1">
        <f t="shared" si="4"/>
        <v>85405.36205</v>
      </c>
      <c r="G2657" s="1">
        <f t="shared" si="5"/>
        <v>150715.3448</v>
      </c>
      <c r="H2657" s="1">
        <f t="shared" si="6"/>
        <v>276311.4655</v>
      </c>
      <c r="I2657" s="1">
        <f t="shared" si="7"/>
        <v>452146.0344</v>
      </c>
    </row>
    <row r="2658" hidden="1">
      <c r="A2658" s="266">
        <f>IFERROR(__xludf.DUMMYFUNCTION("""COMPUTED_VALUE"""),45296.99861111111)</f>
        <v>45296.99861</v>
      </c>
      <c r="B2658" s="1">
        <f>IFERROR(__xludf.DUMMYFUNCTION("""COMPUTED_VALUE"""),44185.63)</f>
        <v>44185.63</v>
      </c>
      <c r="C2658" s="58">
        <f t="shared" si="1"/>
        <v>5480.998611</v>
      </c>
      <c r="D2658" s="1">
        <f t="shared" si="2"/>
        <v>25145.82183</v>
      </c>
      <c r="E2658" s="1">
        <f t="shared" si="3"/>
        <v>45262.47929</v>
      </c>
      <c r="F2658" s="1">
        <f t="shared" si="4"/>
        <v>85495.79421</v>
      </c>
      <c r="G2658" s="1">
        <f t="shared" si="5"/>
        <v>150874.931</v>
      </c>
      <c r="H2658" s="1">
        <f t="shared" si="6"/>
        <v>276604.0401</v>
      </c>
      <c r="I2658" s="1">
        <f t="shared" si="7"/>
        <v>452624.7929</v>
      </c>
    </row>
    <row r="2659" hidden="1">
      <c r="A2659" s="266">
        <f>IFERROR(__xludf.DUMMYFUNCTION("""COMPUTED_VALUE"""),45297.99861111111)</f>
        <v>45297.99861</v>
      </c>
      <c r="B2659" s="1">
        <f>IFERROR(__xludf.DUMMYFUNCTION("""COMPUTED_VALUE"""),44003.69)</f>
        <v>44003.69</v>
      </c>
      <c r="C2659" s="58">
        <f t="shared" si="1"/>
        <v>5481.998611</v>
      </c>
      <c r="D2659" s="1">
        <f t="shared" si="2"/>
        <v>25172.44282</v>
      </c>
      <c r="E2659" s="1">
        <f t="shared" si="3"/>
        <v>45310.39708</v>
      </c>
      <c r="F2659" s="1">
        <f t="shared" si="4"/>
        <v>85586.3056</v>
      </c>
      <c r="G2659" s="1">
        <f t="shared" si="5"/>
        <v>151034.6569</v>
      </c>
      <c r="H2659" s="1">
        <f t="shared" si="6"/>
        <v>276896.871</v>
      </c>
      <c r="I2659" s="1">
        <f t="shared" si="7"/>
        <v>453103.9708</v>
      </c>
    </row>
    <row r="2660" hidden="1">
      <c r="A2660" s="266">
        <f>IFERROR(__xludf.DUMMYFUNCTION("""COMPUTED_VALUE"""),45298.99861111111)</f>
        <v>45298.99861</v>
      </c>
      <c r="B2660" s="1">
        <f>IFERROR(__xludf.DUMMYFUNCTION("""COMPUTED_VALUE"""),43940.36)</f>
        <v>43940.36</v>
      </c>
      <c r="C2660" s="58">
        <f t="shared" si="1"/>
        <v>5482.998611</v>
      </c>
      <c r="D2660" s="1">
        <f t="shared" si="2"/>
        <v>25199.08714</v>
      </c>
      <c r="E2660" s="1">
        <f t="shared" si="3"/>
        <v>45358.35685</v>
      </c>
      <c r="F2660" s="1">
        <f t="shared" si="4"/>
        <v>85676.89627</v>
      </c>
      <c r="G2660" s="1">
        <f t="shared" si="5"/>
        <v>151194.5228</v>
      </c>
      <c r="H2660" s="1">
        <f t="shared" si="6"/>
        <v>277189.9585</v>
      </c>
      <c r="I2660" s="1">
        <f t="shared" si="7"/>
        <v>453583.5685</v>
      </c>
    </row>
    <row r="2661" hidden="1">
      <c r="A2661" s="266">
        <f>IFERROR(__xludf.DUMMYFUNCTION("""COMPUTED_VALUE"""),45299.99861111111)</f>
        <v>45299.99861</v>
      </c>
      <c r="B2661" s="1">
        <f>IFERROR(__xludf.DUMMYFUNCTION("""COMPUTED_VALUE"""),46986.92)</f>
        <v>46986.92</v>
      </c>
      <c r="C2661" s="58">
        <f t="shared" si="1"/>
        <v>5483.998611</v>
      </c>
      <c r="D2661" s="1">
        <f t="shared" si="2"/>
        <v>25225.75479</v>
      </c>
      <c r="E2661" s="1">
        <f t="shared" si="3"/>
        <v>45406.35862</v>
      </c>
      <c r="F2661" s="1">
        <f t="shared" si="4"/>
        <v>85767.56628</v>
      </c>
      <c r="G2661" s="1">
        <f t="shared" si="5"/>
        <v>151354.5287</v>
      </c>
      <c r="H2661" s="1">
        <f t="shared" si="6"/>
        <v>277483.3027</v>
      </c>
      <c r="I2661" s="1">
        <f t="shared" si="7"/>
        <v>454063.5862</v>
      </c>
    </row>
    <row r="2662" hidden="1">
      <c r="A2662" s="266">
        <f>IFERROR(__xludf.DUMMYFUNCTION("""COMPUTED_VALUE"""),45300.99861111111)</f>
        <v>45300.99861</v>
      </c>
      <c r="B2662" s="1">
        <f>IFERROR(__xludf.DUMMYFUNCTION("""COMPUTED_VALUE"""),46129.09)</f>
        <v>46129.09</v>
      </c>
      <c r="C2662" s="58">
        <f t="shared" si="1"/>
        <v>5484.998611</v>
      </c>
      <c r="D2662" s="1">
        <f t="shared" si="2"/>
        <v>25252.44579</v>
      </c>
      <c r="E2662" s="1">
        <f t="shared" si="3"/>
        <v>45454.40243</v>
      </c>
      <c r="F2662" s="1">
        <f t="shared" si="4"/>
        <v>85858.31569</v>
      </c>
      <c r="G2662" s="1">
        <f t="shared" si="5"/>
        <v>151514.6748</v>
      </c>
      <c r="H2662" s="1">
        <f t="shared" si="6"/>
        <v>277776.9037</v>
      </c>
      <c r="I2662" s="1">
        <f t="shared" si="7"/>
        <v>454544.0243</v>
      </c>
    </row>
    <row r="2663" hidden="1">
      <c r="A2663" s="266">
        <f>IFERROR(__xludf.DUMMYFUNCTION("""COMPUTED_VALUE"""),45301.99861111111)</f>
        <v>45301.99861</v>
      </c>
      <c r="B2663" s="1">
        <f>IFERROR(__xludf.DUMMYFUNCTION("""COMPUTED_VALUE"""),46662.4)</f>
        <v>46662.4</v>
      </c>
      <c r="C2663" s="58">
        <f t="shared" si="1"/>
        <v>5485.998611</v>
      </c>
      <c r="D2663" s="1">
        <f t="shared" si="2"/>
        <v>25279.16016</v>
      </c>
      <c r="E2663" s="1">
        <f t="shared" si="3"/>
        <v>45502.48829</v>
      </c>
      <c r="F2663" s="1">
        <f t="shared" si="4"/>
        <v>85949.14455</v>
      </c>
      <c r="G2663" s="1">
        <f t="shared" si="5"/>
        <v>151674.961</v>
      </c>
      <c r="H2663" s="1">
        <f t="shared" si="6"/>
        <v>278070.7618</v>
      </c>
      <c r="I2663" s="1">
        <f t="shared" si="7"/>
        <v>455024.8829</v>
      </c>
    </row>
    <row r="2664" hidden="1">
      <c r="A2664" s="266">
        <f>IFERROR(__xludf.DUMMYFUNCTION("""COMPUTED_VALUE"""),45302.99861111111)</f>
        <v>45302.99861</v>
      </c>
      <c r="B2664" s="1">
        <f>IFERROR(__xludf.DUMMYFUNCTION("""COMPUTED_VALUE"""),46348.52)</f>
        <v>46348.52</v>
      </c>
      <c r="C2664" s="58">
        <f t="shared" si="1"/>
        <v>5486.998611</v>
      </c>
      <c r="D2664" s="1">
        <f t="shared" si="2"/>
        <v>25305.89792</v>
      </c>
      <c r="E2664" s="1">
        <f t="shared" si="3"/>
        <v>45550.61625</v>
      </c>
      <c r="F2664" s="1">
        <f t="shared" si="4"/>
        <v>86040.05292</v>
      </c>
      <c r="G2664" s="1">
        <f t="shared" si="5"/>
        <v>151835.3875</v>
      </c>
      <c r="H2664" s="1">
        <f t="shared" si="6"/>
        <v>278364.8771</v>
      </c>
      <c r="I2664" s="1">
        <f t="shared" si="7"/>
        <v>455506.1625</v>
      </c>
    </row>
    <row r="2665" hidden="1">
      <c r="A2665" s="266">
        <f>IFERROR(__xludf.DUMMYFUNCTION("""COMPUTED_VALUE"""),45303.99861111111)</f>
        <v>45303.99861</v>
      </c>
      <c r="B2665" s="1">
        <f>IFERROR(__xludf.DUMMYFUNCTION("""COMPUTED_VALUE"""),42802.15)</f>
        <v>42802.15</v>
      </c>
      <c r="C2665" s="58">
        <f t="shared" si="1"/>
        <v>5487.998611</v>
      </c>
      <c r="D2665" s="1">
        <f t="shared" si="2"/>
        <v>25332.65907</v>
      </c>
      <c r="E2665" s="1">
        <f t="shared" si="3"/>
        <v>45598.78633</v>
      </c>
      <c r="F2665" s="1">
        <f t="shared" si="4"/>
        <v>86131.04085</v>
      </c>
      <c r="G2665" s="1">
        <f t="shared" si="5"/>
        <v>151995.9544</v>
      </c>
      <c r="H2665" s="1">
        <f t="shared" si="6"/>
        <v>278659.2498</v>
      </c>
      <c r="I2665" s="1">
        <f t="shared" si="7"/>
        <v>455987.8633</v>
      </c>
    </row>
    <row r="2666" hidden="1">
      <c r="A2666" s="266">
        <f>IFERROR(__xludf.DUMMYFUNCTION("""COMPUTED_VALUE"""),45304.99861111111)</f>
        <v>45304.99861</v>
      </c>
      <c r="B2666" s="1">
        <f>IFERROR(__xludf.DUMMYFUNCTION("""COMPUTED_VALUE"""),42848.36)</f>
        <v>42848.36</v>
      </c>
      <c r="C2666" s="58">
        <f t="shared" si="1"/>
        <v>5488.998611</v>
      </c>
      <c r="D2666" s="1">
        <f t="shared" si="2"/>
        <v>25359.44364</v>
      </c>
      <c r="E2666" s="1">
        <f t="shared" si="3"/>
        <v>45646.99856</v>
      </c>
      <c r="F2666" s="1">
        <f t="shared" si="4"/>
        <v>86222.10839</v>
      </c>
      <c r="G2666" s="1">
        <f t="shared" si="5"/>
        <v>152156.6619</v>
      </c>
      <c r="H2666" s="1">
        <f t="shared" si="6"/>
        <v>278953.8801</v>
      </c>
      <c r="I2666" s="1">
        <f t="shared" si="7"/>
        <v>456469.9856</v>
      </c>
    </row>
    <row r="2667" hidden="1">
      <c r="A2667" s="266">
        <f>IFERROR(__xludf.DUMMYFUNCTION("""COMPUTED_VALUE"""),45305.99861111111)</f>
        <v>45305.99861</v>
      </c>
      <c r="B2667" s="1">
        <f>IFERROR(__xludf.DUMMYFUNCTION("""COMPUTED_VALUE"""),41920.39)</f>
        <v>41920.39</v>
      </c>
      <c r="C2667" s="58">
        <f t="shared" si="1"/>
        <v>5489.998611</v>
      </c>
      <c r="D2667" s="1">
        <f t="shared" si="2"/>
        <v>25386.25165</v>
      </c>
      <c r="E2667" s="1">
        <f t="shared" si="3"/>
        <v>45695.25297</v>
      </c>
      <c r="F2667" s="1">
        <f t="shared" si="4"/>
        <v>86313.25561</v>
      </c>
      <c r="G2667" s="1">
        <f t="shared" si="5"/>
        <v>152317.5099</v>
      </c>
      <c r="H2667" s="1">
        <f t="shared" si="6"/>
        <v>279248.7681</v>
      </c>
      <c r="I2667" s="1">
        <f t="shared" si="7"/>
        <v>456952.5297</v>
      </c>
    </row>
    <row r="2668" hidden="1">
      <c r="A2668" s="266">
        <f>IFERROR(__xludf.DUMMYFUNCTION("""COMPUTED_VALUE"""),45306.99861111111)</f>
        <v>45306.99861</v>
      </c>
      <c r="B2668" s="1">
        <f>IFERROR(__xludf.DUMMYFUNCTION("""COMPUTED_VALUE"""),42507.4)</f>
        <v>42507.4</v>
      </c>
      <c r="C2668" s="58">
        <f t="shared" si="1"/>
        <v>5490.998611</v>
      </c>
      <c r="D2668" s="1">
        <f t="shared" si="2"/>
        <v>25413.0831</v>
      </c>
      <c r="E2668" s="1">
        <f t="shared" si="3"/>
        <v>45743.54958</v>
      </c>
      <c r="F2668" s="1">
        <f t="shared" si="4"/>
        <v>86404.48255</v>
      </c>
      <c r="G2668" s="1">
        <f t="shared" si="5"/>
        <v>152478.4986</v>
      </c>
      <c r="H2668" s="1">
        <f t="shared" si="6"/>
        <v>279543.9141</v>
      </c>
      <c r="I2668" s="1">
        <f t="shared" si="7"/>
        <v>457435.4958</v>
      </c>
    </row>
    <row r="2669" hidden="1">
      <c r="A2669" s="266">
        <f>IFERROR(__xludf.DUMMYFUNCTION("""COMPUTED_VALUE"""),45307.99861111111)</f>
        <v>45307.99861</v>
      </c>
      <c r="B2669" s="1">
        <f>IFERROR(__xludf.DUMMYFUNCTION("""COMPUTED_VALUE"""),43151.11)</f>
        <v>43151.11</v>
      </c>
      <c r="C2669" s="58">
        <f t="shared" si="1"/>
        <v>5491.998611</v>
      </c>
      <c r="D2669" s="1">
        <f t="shared" si="2"/>
        <v>25439.93802</v>
      </c>
      <c r="E2669" s="1">
        <f t="shared" si="3"/>
        <v>45791.88844</v>
      </c>
      <c r="F2669" s="1">
        <f t="shared" si="4"/>
        <v>86495.78927</v>
      </c>
      <c r="G2669" s="1">
        <f t="shared" si="5"/>
        <v>152639.6281</v>
      </c>
      <c r="H2669" s="1">
        <f t="shared" si="6"/>
        <v>279839.3182</v>
      </c>
      <c r="I2669" s="1">
        <f t="shared" si="7"/>
        <v>457918.8844</v>
      </c>
    </row>
    <row r="2670" hidden="1">
      <c r="A2670" s="266">
        <f>IFERROR(__xludf.DUMMYFUNCTION("""COMPUTED_VALUE"""),45308.99861111111)</f>
        <v>45308.99861</v>
      </c>
      <c r="B2670" s="1">
        <f>IFERROR(__xludf.DUMMYFUNCTION("""COMPUTED_VALUE"""),42698.78)</f>
        <v>42698.78</v>
      </c>
      <c r="C2670" s="58">
        <f t="shared" si="1"/>
        <v>5492.998611</v>
      </c>
      <c r="D2670" s="1">
        <f t="shared" si="2"/>
        <v>25466.81642</v>
      </c>
      <c r="E2670" s="1">
        <f t="shared" si="3"/>
        <v>45840.26956</v>
      </c>
      <c r="F2670" s="1">
        <f t="shared" si="4"/>
        <v>86587.17583</v>
      </c>
      <c r="G2670" s="1">
        <f t="shared" si="5"/>
        <v>152800.8985</v>
      </c>
      <c r="H2670" s="1">
        <f t="shared" si="6"/>
        <v>280134.9806</v>
      </c>
      <c r="I2670" s="1">
        <f t="shared" si="7"/>
        <v>458402.6956</v>
      </c>
    </row>
    <row r="2671" hidden="1">
      <c r="A2671" s="266">
        <f>IFERROR(__xludf.DUMMYFUNCTION("""COMPUTED_VALUE"""),45309.99861111111)</f>
        <v>45309.99861</v>
      </c>
      <c r="B2671" s="1">
        <f>IFERROR(__xludf.DUMMYFUNCTION("""COMPUTED_VALUE"""),41211.56)</f>
        <v>41211.56</v>
      </c>
      <c r="C2671" s="58">
        <f t="shared" si="1"/>
        <v>5493.998611</v>
      </c>
      <c r="D2671" s="1">
        <f t="shared" si="2"/>
        <v>25493.71832</v>
      </c>
      <c r="E2671" s="1">
        <f t="shared" si="3"/>
        <v>45888.69297</v>
      </c>
      <c r="F2671" s="1">
        <f t="shared" si="4"/>
        <v>86678.64228</v>
      </c>
      <c r="G2671" s="1">
        <f t="shared" si="5"/>
        <v>152962.3099</v>
      </c>
      <c r="H2671" s="1">
        <f t="shared" si="6"/>
        <v>280430.9015</v>
      </c>
      <c r="I2671" s="1">
        <f t="shared" si="7"/>
        <v>458886.9297</v>
      </c>
    </row>
    <row r="2672" hidden="1">
      <c r="A2672" s="266">
        <f>IFERROR(__xludf.DUMMYFUNCTION("""COMPUTED_VALUE"""),45310.99861111111)</f>
        <v>45310.99861</v>
      </c>
      <c r="B2672" s="1">
        <f>IFERROR(__xludf.DUMMYFUNCTION("""COMPUTED_VALUE"""),41615.26)</f>
        <v>41615.26</v>
      </c>
      <c r="C2672" s="58">
        <f t="shared" si="1"/>
        <v>5494.998611</v>
      </c>
      <c r="D2672" s="1">
        <f t="shared" si="2"/>
        <v>25520.64373</v>
      </c>
      <c r="E2672" s="1">
        <f t="shared" si="3"/>
        <v>45937.15871</v>
      </c>
      <c r="F2672" s="1">
        <f t="shared" si="4"/>
        <v>86770.18868</v>
      </c>
      <c r="G2672" s="1">
        <f t="shared" si="5"/>
        <v>153123.8624</v>
      </c>
      <c r="H2672" s="1">
        <f t="shared" si="6"/>
        <v>280727.081</v>
      </c>
      <c r="I2672" s="1">
        <f t="shared" si="7"/>
        <v>459371.5871</v>
      </c>
    </row>
    <row r="2673" hidden="1">
      <c r="A2673" s="266">
        <f>IFERROR(__xludf.DUMMYFUNCTION("""COMPUTED_VALUE"""),45311.99861111111)</f>
        <v>45311.99861</v>
      </c>
      <c r="B2673" s="1">
        <f>IFERROR(__xludf.DUMMYFUNCTION("""COMPUTED_VALUE"""),41705.26)</f>
        <v>41705.26</v>
      </c>
      <c r="C2673" s="58">
        <f t="shared" si="1"/>
        <v>5495.998611</v>
      </c>
      <c r="D2673" s="1">
        <f t="shared" si="2"/>
        <v>25547.59267</v>
      </c>
      <c r="E2673" s="1">
        <f t="shared" si="3"/>
        <v>45985.66681</v>
      </c>
      <c r="F2673" s="1">
        <f t="shared" si="4"/>
        <v>86861.81508</v>
      </c>
      <c r="G2673" s="1">
        <f t="shared" si="5"/>
        <v>153285.556</v>
      </c>
      <c r="H2673" s="1">
        <f t="shared" si="6"/>
        <v>281023.5194</v>
      </c>
      <c r="I2673" s="1">
        <f t="shared" si="7"/>
        <v>459856.6681</v>
      </c>
    </row>
    <row r="2674" hidden="1">
      <c r="A2674" s="266">
        <f>IFERROR(__xludf.DUMMYFUNCTION("""COMPUTED_VALUE"""),45312.99861111111)</f>
        <v>45312.99861</v>
      </c>
      <c r="B2674" s="1">
        <f>IFERROR(__xludf.DUMMYFUNCTION("""COMPUTED_VALUE"""),41572.17)</f>
        <v>41572.17</v>
      </c>
      <c r="C2674" s="58">
        <f t="shared" si="1"/>
        <v>5496.998611</v>
      </c>
      <c r="D2674" s="1">
        <f t="shared" si="2"/>
        <v>25574.56516</v>
      </c>
      <c r="E2674" s="1">
        <f t="shared" si="3"/>
        <v>46034.21729</v>
      </c>
      <c r="F2674" s="1">
        <f t="shared" si="4"/>
        <v>86953.52155</v>
      </c>
      <c r="G2674" s="1">
        <f t="shared" si="5"/>
        <v>153447.391</v>
      </c>
      <c r="H2674" s="1">
        <f t="shared" si="6"/>
        <v>281320.2168</v>
      </c>
      <c r="I2674" s="1">
        <f t="shared" si="7"/>
        <v>460342.1729</v>
      </c>
    </row>
    <row r="2675" hidden="1">
      <c r="A2675" s="266">
        <f>IFERROR(__xludf.DUMMYFUNCTION("""COMPUTED_VALUE"""),45313.99861111111)</f>
        <v>45313.99861</v>
      </c>
      <c r="B2675" s="1">
        <f>IFERROR(__xludf.DUMMYFUNCTION("""COMPUTED_VALUE"""),39606.84)</f>
        <v>39606.84</v>
      </c>
      <c r="C2675" s="58">
        <f t="shared" si="1"/>
        <v>5497.998611</v>
      </c>
      <c r="D2675" s="1">
        <f t="shared" si="2"/>
        <v>25601.56121</v>
      </c>
      <c r="E2675" s="1">
        <f t="shared" si="3"/>
        <v>46082.81018</v>
      </c>
      <c r="F2675" s="1">
        <f t="shared" si="4"/>
        <v>87045.30812</v>
      </c>
      <c r="G2675" s="1">
        <f t="shared" si="5"/>
        <v>153609.3673</v>
      </c>
      <c r="H2675" s="1">
        <f t="shared" si="6"/>
        <v>281617.1733</v>
      </c>
      <c r="I2675" s="1">
        <f t="shared" si="7"/>
        <v>460828.1018</v>
      </c>
    </row>
    <row r="2676" hidden="1">
      <c r="A2676" s="266">
        <f>IFERROR(__xludf.DUMMYFUNCTION("""COMPUTED_VALUE"""),45314.99861111111)</f>
        <v>45314.99861</v>
      </c>
      <c r="B2676" s="1">
        <f>IFERROR(__xludf.DUMMYFUNCTION("""COMPUTED_VALUE"""),39702.88)</f>
        <v>39702.88</v>
      </c>
      <c r="C2676" s="58">
        <f t="shared" si="1"/>
        <v>5498.998611</v>
      </c>
      <c r="D2676" s="1">
        <f t="shared" si="2"/>
        <v>25628.58084</v>
      </c>
      <c r="E2676" s="1">
        <f t="shared" si="3"/>
        <v>46131.44551</v>
      </c>
      <c r="F2676" s="1">
        <f t="shared" si="4"/>
        <v>87137.17486</v>
      </c>
      <c r="G2676" s="1">
        <f t="shared" si="5"/>
        <v>153771.485</v>
      </c>
      <c r="H2676" s="1">
        <f t="shared" si="6"/>
        <v>281914.3893</v>
      </c>
      <c r="I2676" s="1">
        <f t="shared" si="7"/>
        <v>461314.4551</v>
      </c>
    </row>
    <row r="2677" hidden="1">
      <c r="A2677" s="266">
        <f>IFERROR(__xludf.DUMMYFUNCTION("""COMPUTED_VALUE"""),45315.99861111111)</f>
        <v>45315.99861</v>
      </c>
      <c r="B2677" s="1">
        <f>IFERROR(__xludf.DUMMYFUNCTION("""COMPUTED_VALUE"""),40011.7)</f>
        <v>40011.7</v>
      </c>
      <c r="C2677" s="58">
        <f t="shared" si="1"/>
        <v>5499.998611</v>
      </c>
      <c r="D2677" s="1">
        <f t="shared" si="2"/>
        <v>25655.62407</v>
      </c>
      <c r="E2677" s="1">
        <f t="shared" si="3"/>
        <v>46180.12332</v>
      </c>
      <c r="F2677" s="1">
        <f t="shared" si="4"/>
        <v>87229.12183</v>
      </c>
      <c r="G2677" s="1">
        <f t="shared" si="5"/>
        <v>153933.7444</v>
      </c>
      <c r="H2677" s="1">
        <f t="shared" si="6"/>
        <v>282211.8647</v>
      </c>
      <c r="I2677" s="1">
        <f t="shared" si="7"/>
        <v>461801.2332</v>
      </c>
    </row>
    <row r="2678" hidden="1">
      <c r="A2678" s="266">
        <f>IFERROR(__xludf.DUMMYFUNCTION("""COMPUTED_VALUE"""),45316.99861111111)</f>
        <v>45316.99861</v>
      </c>
      <c r="B2678" s="1">
        <f>IFERROR(__xludf.DUMMYFUNCTION("""COMPUTED_VALUE"""),39900.16)</f>
        <v>39900.16</v>
      </c>
      <c r="C2678" s="58">
        <f t="shared" si="1"/>
        <v>5500.998611</v>
      </c>
      <c r="D2678" s="1">
        <f t="shared" si="2"/>
        <v>25682.6909</v>
      </c>
      <c r="E2678" s="1">
        <f t="shared" si="3"/>
        <v>46228.84363</v>
      </c>
      <c r="F2678" s="1">
        <f t="shared" si="4"/>
        <v>87321.14907</v>
      </c>
      <c r="G2678" s="1">
        <f t="shared" si="5"/>
        <v>154096.1454</v>
      </c>
      <c r="H2678" s="1">
        <f t="shared" si="6"/>
        <v>282509.5999</v>
      </c>
      <c r="I2678" s="1">
        <f t="shared" si="7"/>
        <v>462288.4363</v>
      </c>
    </row>
    <row r="2679" hidden="1">
      <c r="A2679" s="266">
        <f>IFERROR(__xludf.DUMMYFUNCTION("""COMPUTED_VALUE"""),45317.99861111111)</f>
        <v>45317.99861</v>
      </c>
      <c r="B2679" s="1">
        <f>IFERROR(__xludf.DUMMYFUNCTION("""COMPUTED_VALUE"""),41880.45)</f>
        <v>41880.45</v>
      </c>
      <c r="C2679" s="58">
        <f t="shared" si="1"/>
        <v>5501.998611</v>
      </c>
      <c r="D2679" s="1">
        <f t="shared" si="2"/>
        <v>25709.78137</v>
      </c>
      <c r="E2679" s="1">
        <f t="shared" si="3"/>
        <v>46277.60646</v>
      </c>
      <c r="F2679" s="1">
        <f t="shared" si="4"/>
        <v>87413.25666</v>
      </c>
      <c r="G2679" s="1">
        <f t="shared" si="5"/>
        <v>154258.6882</v>
      </c>
      <c r="H2679" s="1">
        <f t="shared" si="6"/>
        <v>282807.5951</v>
      </c>
      <c r="I2679" s="1">
        <f t="shared" si="7"/>
        <v>462776.0646</v>
      </c>
    </row>
    <row r="2680" hidden="1">
      <c r="A2680" s="266">
        <f>IFERROR(__xludf.DUMMYFUNCTION("""COMPUTED_VALUE"""),45318.99861111111)</f>
        <v>45318.99861</v>
      </c>
      <c r="B2680" s="1">
        <f>IFERROR(__xludf.DUMMYFUNCTION("""COMPUTED_VALUE"""),42124.03)</f>
        <v>42124.03</v>
      </c>
      <c r="C2680" s="58">
        <f t="shared" si="1"/>
        <v>5502.998611</v>
      </c>
      <c r="D2680" s="1">
        <f t="shared" si="2"/>
        <v>25736.89548</v>
      </c>
      <c r="E2680" s="1">
        <f t="shared" si="3"/>
        <v>46326.41186</v>
      </c>
      <c r="F2680" s="1">
        <f t="shared" si="4"/>
        <v>87505.44463</v>
      </c>
      <c r="G2680" s="1">
        <f t="shared" si="5"/>
        <v>154421.3729</v>
      </c>
      <c r="H2680" s="1">
        <f t="shared" si="6"/>
        <v>283105.8503</v>
      </c>
      <c r="I2680" s="1">
        <f t="shared" si="7"/>
        <v>463264.1186</v>
      </c>
    </row>
    <row r="2681" hidden="1">
      <c r="A2681" s="266">
        <f>IFERROR(__xludf.DUMMYFUNCTION("""COMPUTED_VALUE"""),45319.99861111111)</f>
        <v>45319.99861</v>
      </c>
      <c r="B2681" s="1">
        <f>IFERROR(__xludf.DUMMYFUNCTION("""COMPUTED_VALUE"""),42032.22)</f>
        <v>42032.22</v>
      </c>
      <c r="C2681" s="58">
        <f t="shared" si="1"/>
        <v>5503.998611</v>
      </c>
      <c r="D2681" s="1">
        <f t="shared" si="2"/>
        <v>25764.03325</v>
      </c>
      <c r="E2681" s="1">
        <f t="shared" si="3"/>
        <v>46375.25985</v>
      </c>
      <c r="F2681" s="1">
        <f t="shared" si="4"/>
        <v>87597.71305</v>
      </c>
      <c r="G2681" s="1">
        <f t="shared" si="5"/>
        <v>154584.1995</v>
      </c>
      <c r="H2681" s="1">
        <f t="shared" si="6"/>
        <v>283404.3657</v>
      </c>
      <c r="I2681" s="1">
        <f t="shared" si="7"/>
        <v>463752.5985</v>
      </c>
    </row>
    <row r="2682" hidden="1">
      <c r="A2682" s="266">
        <f>IFERROR(__xludf.DUMMYFUNCTION("""COMPUTED_VALUE"""),45320.99861111111)</f>
        <v>45320.99861</v>
      </c>
      <c r="B2682" s="1">
        <f>IFERROR(__xludf.DUMMYFUNCTION("""COMPUTED_VALUE"""),43276.2)</f>
        <v>43276.2</v>
      </c>
      <c r="C2682" s="58">
        <f t="shared" si="1"/>
        <v>5504.998611</v>
      </c>
      <c r="D2682" s="1">
        <f t="shared" si="2"/>
        <v>25791.1947</v>
      </c>
      <c r="E2682" s="1">
        <f t="shared" si="3"/>
        <v>46424.15045</v>
      </c>
      <c r="F2682" s="1">
        <f t="shared" si="4"/>
        <v>87690.06197</v>
      </c>
      <c r="G2682" s="1">
        <f t="shared" si="5"/>
        <v>154747.1682</v>
      </c>
      <c r="H2682" s="1">
        <f t="shared" si="6"/>
        <v>283703.1417</v>
      </c>
      <c r="I2682" s="1">
        <f t="shared" si="7"/>
        <v>464241.5045</v>
      </c>
    </row>
    <row r="2683" hidden="1">
      <c r="A2683" s="266">
        <f>IFERROR(__xludf.DUMMYFUNCTION("""COMPUTED_VALUE"""),45321.99861111111)</f>
        <v>45321.99861</v>
      </c>
      <c r="B2683" s="1">
        <f>IFERROR(__xludf.DUMMYFUNCTION("""COMPUTED_VALUE"""),43074.88)</f>
        <v>43074.88</v>
      </c>
      <c r="C2683" s="58">
        <f t="shared" si="1"/>
        <v>5505.998611</v>
      </c>
      <c r="D2683" s="1">
        <f t="shared" si="2"/>
        <v>25818.37984</v>
      </c>
      <c r="E2683" s="1">
        <f t="shared" si="3"/>
        <v>46473.08371</v>
      </c>
      <c r="F2683" s="1">
        <f t="shared" si="4"/>
        <v>87782.49144</v>
      </c>
      <c r="G2683" s="1">
        <f t="shared" si="5"/>
        <v>154910.279</v>
      </c>
      <c r="H2683" s="1">
        <f t="shared" si="6"/>
        <v>284002.1782</v>
      </c>
      <c r="I2683" s="1">
        <f t="shared" si="7"/>
        <v>464730.8371</v>
      </c>
    </row>
    <row r="2684" hidden="1">
      <c r="A2684" s="266">
        <f>IFERROR(__xludf.DUMMYFUNCTION("""COMPUTED_VALUE"""),45322.99861111111)</f>
        <v>45322.99861</v>
      </c>
      <c r="B2684" s="1">
        <f>IFERROR(__xludf.DUMMYFUNCTION("""COMPUTED_VALUE"""),42582.21)</f>
        <v>42582.21</v>
      </c>
      <c r="C2684" s="58">
        <f t="shared" si="1"/>
        <v>5506.998611</v>
      </c>
      <c r="D2684" s="1">
        <f t="shared" si="2"/>
        <v>25845.58869</v>
      </c>
      <c r="E2684" s="1">
        <f t="shared" si="3"/>
        <v>46522.05964</v>
      </c>
      <c r="F2684" s="1">
        <f t="shared" si="4"/>
        <v>87875.00153</v>
      </c>
      <c r="G2684" s="1">
        <f t="shared" si="5"/>
        <v>155073.5321</v>
      </c>
      <c r="H2684" s="1">
        <f t="shared" si="6"/>
        <v>284301.4755</v>
      </c>
      <c r="I2684" s="1">
        <f t="shared" si="7"/>
        <v>465220.5964</v>
      </c>
    </row>
    <row r="2685" hidden="1">
      <c r="A2685" s="266">
        <f>IFERROR(__xludf.DUMMYFUNCTION("""COMPUTED_VALUE"""),45323.99861111111)</f>
        <v>45323.99861</v>
      </c>
      <c r="B2685" s="1">
        <f>IFERROR(__xludf.DUMMYFUNCTION("""COMPUTED_VALUE"""),43052.94)</f>
        <v>43052.94</v>
      </c>
      <c r="C2685" s="58">
        <f t="shared" si="1"/>
        <v>5507.998611</v>
      </c>
      <c r="D2685" s="1">
        <f t="shared" si="2"/>
        <v>25872.82126</v>
      </c>
      <c r="E2685" s="1">
        <f t="shared" si="3"/>
        <v>46571.07827</v>
      </c>
      <c r="F2685" s="1">
        <f t="shared" si="4"/>
        <v>87967.59229</v>
      </c>
      <c r="G2685" s="1">
        <f t="shared" si="5"/>
        <v>155236.9276</v>
      </c>
      <c r="H2685" s="1">
        <f t="shared" si="6"/>
        <v>284601.0339</v>
      </c>
      <c r="I2685" s="1">
        <f t="shared" si="7"/>
        <v>465710.7827</v>
      </c>
    </row>
    <row r="2686" hidden="1">
      <c r="A2686" s="266">
        <f>IFERROR(__xludf.DUMMYFUNCTION("""COMPUTED_VALUE"""),45324.99861111111)</f>
        <v>45324.99861</v>
      </c>
      <c r="B2686" s="1">
        <f>IFERROR(__xludf.DUMMYFUNCTION("""COMPUTED_VALUE"""),43181.34)</f>
        <v>43181.34</v>
      </c>
      <c r="C2686" s="58">
        <f t="shared" si="1"/>
        <v>5508.998611</v>
      </c>
      <c r="D2686" s="1">
        <f t="shared" si="2"/>
        <v>25900.07758</v>
      </c>
      <c r="E2686" s="1">
        <f t="shared" si="3"/>
        <v>46620.13965</v>
      </c>
      <c r="F2686" s="1">
        <f t="shared" si="4"/>
        <v>88060.26378</v>
      </c>
      <c r="G2686" s="1">
        <f t="shared" si="5"/>
        <v>155400.4655</v>
      </c>
      <c r="H2686" s="1">
        <f t="shared" si="6"/>
        <v>284900.8534</v>
      </c>
      <c r="I2686" s="1">
        <f t="shared" si="7"/>
        <v>466201.3965</v>
      </c>
    </row>
    <row r="2687" hidden="1">
      <c r="A2687" s="266">
        <f>IFERROR(__xludf.DUMMYFUNCTION("""COMPUTED_VALUE"""),45325.99861111111)</f>
        <v>45325.99861</v>
      </c>
      <c r="B2687" s="1">
        <f>IFERROR(__xludf.DUMMYFUNCTION("""COMPUTED_VALUE"""),43004.49)</f>
        <v>43004.49</v>
      </c>
      <c r="C2687" s="58">
        <f t="shared" si="1"/>
        <v>5509.998611</v>
      </c>
      <c r="D2687" s="1">
        <f t="shared" si="2"/>
        <v>25927.35766</v>
      </c>
      <c r="E2687" s="1">
        <f t="shared" si="3"/>
        <v>46669.24379</v>
      </c>
      <c r="F2687" s="1">
        <f t="shared" si="4"/>
        <v>88153.01604</v>
      </c>
      <c r="G2687" s="1">
        <f t="shared" si="5"/>
        <v>155564.146</v>
      </c>
      <c r="H2687" s="1">
        <f t="shared" si="6"/>
        <v>285200.9342</v>
      </c>
      <c r="I2687" s="1">
        <f t="shared" si="7"/>
        <v>466692.4379</v>
      </c>
    </row>
    <row r="2688" hidden="1">
      <c r="A2688" s="266">
        <f>IFERROR(__xludf.DUMMYFUNCTION("""COMPUTED_VALUE"""),45326.99861111111)</f>
        <v>45326.99861</v>
      </c>
      <c r="B2688" s="1">
        <f>IFERROR(__xludf.DUMMYFUNCTION("""COMPUTED_VALUE"""),42565.23)</f>
        <v>42565.23</v>
      </c>
      <c r="C2688" s="58">
        <f t="shared" si="1"/>
        <v>5510.998611</v>
      </c>
      <c r="D2688" s="1">
        <f t="shared" si="2"/>
        <v>25954.66151</v>
      </c>
      <c r="E2688" s="1">
        <f t="shared" si="3"/>
        <v>46718.39072</v>
      </c>
      <c r="F2688" s="1">
        <f t="shared" si="4"/>
        <v>88245.84914</v>
      </c>
      <c r="G2688" s="1">
        <f t="shared" si="5"/>
        <v>155727.9691</v>
      </c>
      <c r="H2688" s="1">
        <f t="shared" si="6"/>
        <v>285501.2766</v>
      </c>
      <c r="I2688" s="1">
        <f t="shared" si="7"/>
        <v>467183.9072</v>
      </c>
    </row>
    <row r="2689" hidden="1">
      <c r="A2689" s="266">
        <f>IFERROR(__xludf.DUMMYFUNCTION("""COMPUTED_VALUE"""),45327.99861111111)</f>
        <v>45327.99861</v>
      </c>
      <c r="B2689" s="1">
        <f>IFERROR(__xludf.DUMMYFUNCTION("""COMPUTED_VALUE"""),42665.05)</f>
        <v>42665.05</v>
      </c>
      <c r="C2689" s="58">
        <f t="shared" si="1"/>
        <v>5511.998611</v>
      </c>
      <c r="D2689" s="1">
        <f t="shared" si="2"/>
        <v>25981.98916</v>
      </c>
      <c r="E2689" s="1">
        <f t="shared" si="3"/>
        <v>46767.58048</v>
      </c>
      <c r="F2689" s="1">
        <f t="shared" si="4"/>
        <v>88338.76313</v>
      </c>
      <c r="G2689" s="1">
        <f t="shared" si="5"/>
        <v>155891.9349</v>
      </c>
      <c r="H2689" s="1">
        <f t="shared" si="6"/>
        <v>285801.8807</v>
      </c>
      <c r="I2689" s="1">
        <f t="shared" si="7"/>
        <v>467675.8048</v>
      </c>
    </row>
    <row r="2690" hidden="1">
      <c r="A2690" s="266">
        <f>IFERROR(__xludf.DUMMYFUNCTION("""COMPUTED_VALUE"""),45328.99861111111)</f>
        <v>45328.99861</v>
      </c>
      <c r="B2690" s="1">
        <f>IFERROR(__xludf.DUMMYFUNCTION("""COMPUTED_VALUE"""),43084.9)</f>
        <v>43084.9</v>
      </c>
      <c r="C2690" s="58">
        <f t="shared" si="1"/>
        <v>5512.998611</v>
      </c>
      <c r="D2690" s="1">
        <f t="shared" si="2"/>
        <v>26009.34061</v>
      </c>
      <c r="E2690" s="1">
        <f t="shared" si="3"/>
        <v>46816.81309</v>
      </c>
      <c r="F2690" s="1">
        <f t="shared" si="4"/>
        <v>88431.75807</v>
      </c>
      <c r="G2690" s="1">
        <f t="shared" si="5"/>
        <v>156056.0436</v>
      </c>
      <c r="H2690" s="1">
        <f t="shared" si="6"/>
        <v>286102.7467</v>
      </c>
      <c r="I2690" s="1">
        <f t="shared" si="7"/>
        <v>468168.1309</v>
      </c>
    </row>
    <row r="2691" hidden="1">
      <c r="A2691" s="266">
        <f>IFERROR(__xludf.DUMMYFUNCTION("""COMPUTED_VALUE"""),45329.99861111111)</f>
        <v>45329.99861</v>
      </c>
      <c r="B2691" s="1">
        <f>IFERROR(__xludf.DUMMYFUNCTION("""COMPUTED_VALUE"""),44285.67)</f>
        <v>44285.67</v>
      </c>
      <c r="C2691" s="58">
        <f t="shared" si="1"/>
        <v>5513.998611</v>
      </c>
      <c r="D2691" s="1">
        <f t="shared" si="2"/>
        <v>26036.71588</v>
      </c>
      <c r="E2691" s="1">
        <f t="shared" si="3"/>
        <v>46866.08859</v>
      </c>
      <c r="F2691" s="1">
        <f t="shared" si="4"/>
        <v>88524.83401</v>
      </c>
      <c r="G2691" s="1">
        <f t="shared" si="5"/>
        <v>156220.2953</v>
      </c>
      <c r="H2691" s="1">
        <f t="shared" si="6"/>
        <v>286403.8747</v>
      </c>
      <c r="I2691" s="1">
        <f t="shared" si="7"/>
        <v>468660.8859</v>
      </c>
    </row>
    <row r="2692" hidden="1">
      <c r="A2692" s="266">
        <f>IFERROR(__xludf.DUMMYFUNCTION("""COMPUTED_VALUE"""),45330.99861111111)</f>
        <v>45330.99861</v>
      </c>
      <c r="B2692" s="1">
        <f>IFERROR(__xludf.DUMMYFUNCTION("""COMPUTED_VALUE"""),45323.12)</f>
        <v>45323.12</v>
      </c>
      <c r="C2692" s="58">
        <f t="shared" si="1"/>
        <v>5514.998611</v>
      </c>
      <c r="D2692" s="1">
        <f t="shared" si="2"/>
        <v>26064.115</v>
      </c>
      <c r="E2692" s="1">
        <f t="shared" si="3"/>
        <v>46915.407</v>
      </c>
      <c r="F2692" s="1">
        <f t="shared" si="4"/>
        <v>88617.99101</v>
      </c>
      <c r="G2692" s="1">
        <f t="shared" si="5"/>
        <v>156384.69</v>
      </c>
      <c r="H2692" s="1">
        <f t="shared" si="6"/>
        <v>286705.265</v>
      </c>
      <c r="I2692" s="1">
        <f t="shared" si="7"/>
        <v>469154.07</v>
      </c>
    </row>
    <row r="2693" hidden="1">
      <c r="A2693" s="266">
        <f>IFERROR(__xludf.DUMMYFUNCTION("""COMPUTED_VALUE"""),45331.99861111111)</f>
        <v>45331.99861</v>
      </c>
      <c r="B2693" s="1">
        <f>IFERROR(__xludf.DUMMYFUNCTION("""COMPUTED_VALUE"""),47282.84)</f>
        <v>47282.84</v>
      </c>
      <c r="C2693" s="58">
        <f t="shared" si="1"/>
        <v>5515.998611</v>
      </c>
      <c r="D2693" s="1">
        <f t="shared" si="2"/>
        <v>26091.53798</v>
      </c>
      <c r="E2693" s="1">
        <f t="shared" si="3"/>
        <v>46964.76836</v>
      </c>
      <c r="F2693" s="1">
        <f t="shared" si="4"/>
        <v>88711.22912</v>
      </c>
      <c r="G2693" s="1">
        <f t="shared" si="5"/>
        <v>156549.2279</v>
      </c>
      <c r="H2693" s="1">
        <f t="shared" si="6"/>
        <v>287006.9177</v>
      </c>
      <c r="I2693" s="1">
        <f t="shared" si="7"/>
        <v>469647.6836</v>
      </c>
    </row>
    <row r="2694" hidden="1">
      <c r="A2694" s="266">
        <f>IFERROR(__xludf.DUMMYFUNCTION("""COMPUTED_VALUE"""),45332.99861111111)</f>
        <v>45332.99861</v>
      </c>
      <c r="B2694" s="1">
        <f>IFERROR(__xludf.DUMMYFUNCTION("""COMPUTED_VALUE"""),47746.95)</f>
        <v>47746.95</v>
      </c>
      <c r="C2694" s="58">
        <f t="shared" si="1"/>
        <v>5516.998611</v>
      </c>
      <c r="D2694" s="1">
        <f t="shared" si="2"/>
        <v>26118.98483</v>
      </c>
      <c r="E2694" s="1">
        <f t="shared" si="3"/>
        <v>47014.17269</v>
      </c>
      <c r="F2694" s="1">
        <f t="shared" si="4"/>
        <v>88804.54841</v>
      </c>
      <c r="G2694" s="1">
        <f t="shared" si="5"/>
        <v>156713.909</v>
      </c>
      <c r="H2694" s="1">
        <f t="shared" si="6"/>
        <v>287308.8331</v>
      </c>
      <c r="I2694" s="1">
        <f t="shared" si="7"/>
        <v>470141.7269</v>
      </c>
    </row>
    <row r="2695" hidden="1">
      <c r="A2695" s="266">
        <f>IFERROR(__xludf.DUMMYFUNCTION("""COMPUTED_VALUE"""),45333.99861111111)</f>
        <v>45333.99861</v>
      </c>
      <c r="B2695" s="1">
        <f>IFERROR(__xludf.DUMMYFUNCTION("""COMPUTED_VALUE"""),48281.19)</f>
        <v>48281.19</v>
      </c>
      <c r="C2695" s="58">
        <f t="shared" si="1"/>
        <v>5517.998611</v>
      </c>
      <c r="D2695" s="1">
        <f t="shared" si="2"/>
        <v>26146.45556</v>
      </c>
      <c r="E2695" s="1">
        <f t="shared" si="3"/>
        <v>47063.62002</v>
      </c>
      <c r="F2695" s="1">
        <f t="shared" si="4"/>
        <v>88897.94892</v>
      </c>
      <c r="G2695" s="1">
        <f t="shared" si="5"/>
        <v>156878.7334</v>
      </c>
      <c r="H2695" s="1">
        <f t="shared" si="6"/>
        <v>287611.0112</v>
      </c>
      <c r="I2695" s="1">
        <f t="shared" si="7"/>
        <v>470636.2002</v>
      </c>
    </row>
    <row r="2696" hidden="1">
      <c r="A2696" s="266">
        <f>IFERROR(__xludf.DUMMYFUNCTION("""COMPUTED_VALUE"""),45334.99861111111)</f>
        <v>45334.99861</v>
      </c>
      <c r="B2696" s="1">
        <f>IFERROR(__xludf.DUMMYFUNCTION("""COMPUTED_VALUE"""),49999.68)</f>
        <v>49999.68</v>
      </c>
      <c r="C2696" s="58">
        <f t="shared" si="1"/>
        <v>5518.998611</v>
      </c>
      <c r="D2696" s="1">
        <f t="shared" si="2"/>
        <v>26173.95021</v>
      </c>
      <c r="E2696" s="1">
        <f t="shared" si="3"/>
        <v>47113.11038</v>
      </c>
      <c r="F2696" s="1">
        <f t="shared" si="4"/>
        <v>88991.43071</v>
      </c>
      <c r="G2696" s="1">
        <f t="shared" si="5"/>
        <v>157043.7013</v>
      </c>
      <c r="H2696" s="1">
        <f t="shared" si="6"/>
        <v>287913.4523</v>
      </c>
      <c r="I2696" s="1">
        <f t="shared" si="7"/>
        <v>471131.1038</v>
      </c>
    </row>
    <row r="2697" hidden="1">
      <c r="A2697" s="266">
        <f>IFERROR(__xludf.DUMMYFUNCTION("""COMPUTED_VALUE"""),45335.99861111111)</f>
        <v>45335.99861</v>
      </c>
      <c r="B2697" s="1">
        <f>IFERROR(__xludf.DUMMYFUNCTION("""COMPUTED_VALUE"""),49727.57)</f>
        <v>49727.57</v>
      </c>
      <c r="C2697" s="58">
        <f t="shared" si="1"/>
        <v>5519.998611</v>
      </c>
      <c r="D2697" s="1">
        <f t="shared" si="2"/>
        <v>26201.46878</v>
      </c>
      <c r="E2697" s="1">
        <f t="shared" si="3"/>
        <v>47162.6438</v>
      </c>
      <c r="F2697" s="1">
        <f t="shared" si="4"/>
        <v>89084.99385</v>
      </c>
      <c r="G2697" s="1">
        <f t="shared" si="5"/>
        <v>157208.8127</v>
      </c>
      <c r="H2697" s="1">
        <f t="shared" si="6"/>
        <v>288216.1566</v>
      </c>
      <c r="I2697" s="1">
        <f t="shared" si="7"/>
        <v>471626.438</v>
      </c>
    </row>
    <row r="2698" hidden="1">
      <c r="A2698" s="266">
        <f>IFERROR(__xludf.DUMMYFUNCTION("""COMPUTED_VALUE"""),45336.99861111111)</f>
        <v>45336.99861</v>
      </c>
      <c r="B2698" s="1">
        <f>IFERROR(__xludf.DUMMYFUNCTION("""COMPUTED_VALUE"""),51837.78)</f>
        <v>51837.78</v>
      </c>
      <c r="C2698" s="58">
        <f t="shared" si="1"/>
        <v>5520.998611</v>
      </c>
      <c r="D2698" s="1">
        <f t="shared" si="2"/>
        <v>26229.01129</v>
      </c>
      <c r="E2698" s="1">
        <f t="shared" si="3"/>
        <v>47212.22032</v>
      </c>
      <c r="F2698" s="1">
        <f t="shared" si="4"/>
        <v>89178.63838</v>
      </c>
      <c r="G2698" s="1">
        <f t="shared" si="5"/>
        <v>157374.0677</v>
      </c>
      <c r="H2698" s="1">
        <f t="shared" si="6"/>
        <v>288519.1242</v>
      </c>
      <c r="I2698" s="1">
        <f t="shared" si="7"/>
        <v>472122.2032</v>
      </c>
    </row>
    <row r="2699" hidden="1">
      <c r="A2699" s="266">
        <f>IFERROR(__xludf.DUMMYFUNCTION("""COMPUTED_VALUE"""),45337.99861111111)</f>
        <v>45337.99861</v>
      </c>
      <c r="B2699" s="1">
        <f>IFERROR(__xludf.DUMMYFUNCTION("""COMPUTED_VALUE"""),51865.25)</f>
        <v>51865.25</v>
      </c>
      <c r="C2699" s="58">
        <f t="shared" si="1"/>
        <v>5521.998611</v>
      </c>
      <c r="D2699" s="1">
        <f t="shared" si="2"/>
        <v>26256.57775</v>
      </c>
      <c r="E2699" s="1">
        <f t="shared" si="3"/>
        <v>47261.83995</v>
      </c>
      <c r="F2699" s="1">
        <f t="shared" si="4"/>
        <v>89272.36435</v>
      </c>
      <c r="G2699" s="1">
        <f t="shared" si="5"/>
        <v>157539.4665</v>
      </c>
      <c r="H2699" s="1">
        <f t="shared" si="6"/>
        <v>288822.3553</v>
      </c>
      <c r="I2699" s="1">
        <f t="shared" si="7"/>
        <v>472618.3995</v>
      </c>
    </row>
    <row r="2700" hidden="1">
      <c r="A2700" s="266">
        <f>IFERROR(__xludf.DUMMYFUNCTION("""COMPUTED_VALUE"""),45338.99861111111)</f>
        <v>45338.99861</v>
      </c>
      <c r="B2700" s="1">
        <f>IFERROR(__xludf.DUMMYFUNCTION("""COMPUTED_VALUE"""),52191.27)</f>
        <v>52191.27</v>
      </c>
      <c r="C2700" s="58">
        <f t="shared" si="1"/>
        <v>5522.998611</v>
      </c>
      <c r="D2700" s="1">
        <f t="shared" si="2"/>
        <v>26284.16819</v>
      </c>
      <c r="E2700" s="1">
        <f t="shared" si="3"/>
        <v>47311.50274</v>
      </c>
      <c r="F2700" s="1">
        <f t="shared" si="4"/>
        <v>89366.17184</v>
      </c>
      <c r="G2700" s="1">
        <f t="shared" si="5"/>
        <v>157705.0091</v>
      </c>
      <c r="H2700" s="1">
        <f t="shared" si="6"/>
        <v>289125.8501</v>
      </c>
      <c r="I2700" s="1">
        <f t="shared" si="7"/>
        <v>473115.0274</v>
      </c>
    </row>
    <row r="2701" hidden="1">
      <c r="A2701" s="266">
        <f>IFERROR(__xludf.DUMMYFUNCTION("""COMPUTED_VALUE"""),45339.99861111111)</f>
        <v>45339.99861</v>
      </c>
      <c r="B2701" s="1">
        <f>IFERROR(__xludf.DUMMYFUNCTION("""COMPUTED_VALUE"""),51685.54)</f>
        <v>51685.54</v>
      </c>
      <c r="C2701" s="58">
        <f t="shared" si="1"/>
        <v>5523.998611</v>
      </c>
      <c r="D2701" s="1">
        <f t="shared" si="2"/>
        <v>26311.78261</v>
      </c>
      <c r="E2701" s="1">
        <f t="shared" si="3"/>
        <v>47361.20871</v>
      </c>
      <c r="F2701" s="1">
        <f t="shared" si="4"/>
        <v>89460.06089</v>
      </c>
      <c r="G2701" s="1">
        <f t="shared" si="5"/>
        <v>157870.6957</v>
      </c>
      <c r="H2701" s="1">
        <f t="shared" si="6"/>
        <v>289429.6088</v>
      </c>
      <c r="I2701" s="1">
        <f t="shared" si="7"/>
        <v>473612.0871</v>
      </c>
    </row>
    <row r="2702" hidden="1">
      <c r="A2702" s="266">
        <f>IFERROR(__xludf.DUMMYFUNCTION("""COMPUTED_VALUE"""),45340.99861111111)</f>
        <v>45340.99861</v>
      </c>
      <c r="B2702" s="1">
        <f>IFERROR(__xludf.DUMMYFUNCTION("""COMPUTED_VALUE"""),52120.28)</f>
        <v>52120.28</v>
      </c>
      <c r="C2702" s="58">
        <f t="shared" si="1"/>
        <v>5524.998611</v>
      </c>
      <c r="D2702" s="1">
        <f t="shared" si="2"/>
        <v>26339.42105</v>
      </c>
      <c r="E2702" s="1">
        <f t="shared" si="3"/>
        <v>47410.95788</v>
      </c>
      <c r="F2702" s="1">
        <f t="shared" si="4"/>
        <v>89554.03156</v>
      </c>
      <c r="G2702" s="1">
        <f t="shared" si="5"/>
        <v>158036.5263</v>
      </c>
      <c r="H2702" s="1">
        <f t="shared" si="6"/>
        <v>289733.6315</v>
      </c>
      <c r="I2702" s="1">
        <f t="shared" si="7"/>
        <v>474109.5788</v>
      </c>
    </row>
    <row r="2703" hidden="1">
      <c r="A2703" s="266">
        <f>IFERROR(__xludf.DUMMYFUNCTION("""COMPUTED_VALUE"""),45341.99861111111)</f>
        <v>45341.99861</v>
      </c>
      <c r="B2703" s="1">
        <f>IFERROR(__xludf.DUMMYFUNCTION("""COMPUTED_VALUE"""),51769.91)</f>
        <v>51769.91</v>
      </c>
      <c r="C2703" s="58">
        <f t="shared" si="1"/>
        <v>5525.998611</v>
      </c>
      <c r="D2703" s="1">
        <f t="shared" si="2"/>
        <v>26367.0835</v>
      </c>
      <c r="E2703" s="1">
        <f t="shared" si="3"/>
        <v>47460.7503</v>
      </c>
      <c r="F2703" s="1">
        <f t="shared" si="4"/>
        <v>89648.0839</v>
      </c>
      <c r="G2703" s="1">
        <f t="shared" si="5"/>
        <v>158202.501</v>
      </c>
      <c r="H2703" s="1">
        <f t="shared" si="6"/>
        <v>290037.9185</v>
      </c>
      <c r="I2703" s="1">
        <f t="shared" si="7"/>
        <v>474607.503</v>
      </c>
    </row>
    <row r="2704" hidden="1">
      <c r="A2704" s="266">
        <f>IFERROR(__xludf.DUMMYFUNCTION("""COMPUTED_VALUE"""),45342.99861111111)</f>
        <v>45342.99861</v>
      </c>
      <c r="B2704" s="1">
        <f>IFERROR(__xludf.DUMMYFUNCTION("""COMPUTED_VALUE"""),52287.03)</f>
        <v>52287.03</v>
      </c>
      <c r="C2704" s="58">
        <f t="shared" si="1"/>
        <v>5526.998611</v>
      </c>
      <c r="D2704" s="1">
        <f t="shared" si="2"/>
        <v>26394.76999</v>
      </c>
      <c r="E2704" s="1">
        <f t="shared" si="3"/>
        <v>47510.58599</v>
      </c>
      <c r="F2704" s="1">
        <f t="shared" si="4"/>
        <v>89742.21797</v>
      </c>
      <c r="G2704" s="1">
        <f t="shared" si="5"/>
        <v>158368.62</v>
      </c>
      <c r="H2704" s="1">
        <f t="shared" si="6"/>
        <v>290342.4699</v>
      </c>
      <c r="I2704" s="1">
        <f t="shared" si="7"/>
        <v>475105.8599</v>
      </c>
    </row>
    <row r="2705" hidden="1">
      <c r="A2705" s="266">
        <f>IFERROR(__xludf.DUMMYFUNCTION("""COMPUTED_VALUE"""),45343.99861111111)</f>
        <v>45343.99861</v>
      </c>
      <c r="B2705" s="1">
        <f>IFERROR(__xludf.DUMMYFUNCTION("""COMPUTED_VALUE"""),51756.38)</f>
        <v>51756.38</v>
      </c>
      <c r="C2705" s="58">
        <f t="shared" si="1"/>
        <v>5527.998611</v>
      </c>
      <c r="D2705" s="1">
        <f t="shared" si="2"/>
        <v>26422.48054</v>
      </c>
      <c r="E2705" s="1">
        <f t="shared" si="3"/>
        <v>47560.46497</v>
      </c>
      <c r="F2705" s="1">
        <f t="shared" si="4"/>
        <v>89836.43383</v>
      </c>
      <c r="G2705" s="1">
        <f t="shared" si="5"/>
        <v>158534.8832</v>
      </c>
      <c r="H2705" s="1">
        <f t="shared" si="6"/>
        <v>290647.2859</v>
      </c>
      <c r="I2705" s="1">
        <f t="shared" si="7"/>
        <v>475604.6497</v>
      </c>
    </row>
    <row r="2706" hidden="1">
      <c r="A2706" s="266">
        <f>IFERROR(__xludf.DUMMYFUNCTION("""COMPUTED_VALUE"""),45344.99861111111)</f>
        <v>45344.99861</v>
      </c>
      <c r="B2706" s="1">
        <f>IFERROR(__xludf.DUMMYFUNCTION("""COMPUTED_VALUE"""),51312.23)</f>
        <v>51312.23</v>
      </c>
      <c r="C2706" s="58">
        <f t="shared" si="1"/>
        <v>5528.998611</v>
      </c>
      <c r="D2706" s="1">
        <f t="shared" si="2"/>
        <v>26450.21516</v>
      </c>
      <c r="E2706" s="1">
        <f t="shared" si="3"/>
        <v>47610.38729</v>
      </c>
      <c r="F2706" s="1">
        <f t="shared" si="4"/>
        <v>89930.73154</v>
      </c>
      <c r="G2706" s="1">
        <f t="shared" si="5"/>
        <v>158701.291</v>
      </c>
      <c r="H2706" s="1">
        <f t="shared" si="6"/>
        <v>290952.3667</v>
      </c>
      <c r="I2706" s="1">
        <f t="shared" si="7"/>
        <v>476103.8729</v>
      </c>
    </row>
    <row r="2707" hidden="1">
      <c r="A2707" s="266">
        <f>IFERROR(__xludf.DUMMYFUNCTION("""COMPUTED_VALUE"""),45345.99861111111)</f>
        <v>45345.99861</v>
      </c>
      <c r="B2707" s="1">
        <f>IFERROR(__xludf.DUMMYFUNCTION("""COMPUTED_VALUE"""),50745.88)</f>
        <v>50745.88</v>
      </c>
      <c r="C2707" s="58">
        <f t="shared" si="1"/>
        <v>5529.998611</v>
      </c>
      <c r="D2707" s="1">
        <f t="shared" si="2"/>
        <v>26477.97387</v>
      </c>
      <c r="E2707" s="1">
        <f t="shared" si="3"/>
        <v>47660.35296</v>
      </c>
      <c r="F2707" s="1">
        <f t="shared" si="4"/>
        <v>90025.11114</v>
      </c>
      <c r="G2707" s="1">
        <f t="shared" si="5"/>
        <v>158867.8432</v>
      </c>
      <c r="H2707" s="1">
        <f t="shared" si="6"/>
        <v>291257.7125</v>
      </c>
      <c r="I2707" s="1">
        <f t="shared" si="7"/>
        <v>476603.5296</v>
      </c>
    </row>
    <row r="2708" hidden="1">
      <c r="A2708" s="266">
        <f>IFERROR(__xludf.DUMMYFUNCTION("""COMPUTED_VALUE"""),45346.99861111111)</f>
        <v>45346.99861</v>
      </c>
      <c r="B2708" s="1">
        <f>IFERROR(__xludf.DUMMYFUNCTION("""COMPUTED_VALUE"""),51592.58)</f>
        <v>51592.58</v>
      </c>
      <c r="C2708" s="58">
        <f t="shared" si="1"/>
        <v>5530.998611</v>
      </c>
      <c r="D2708" s="1">
        <f t="shared" si="2"/>
        <v>26505.75668</v>
      </c>
      <c r="E2708" s="1">
        <f t="shared" si="3"/>
        <v>47710.36202</v>
      </c>
      <c r="F2708" s="1">
        <f t="shared" si="4"/>
        <v>90119.57271</v>
      </c>
      <c r="G2708" s="1">
        <f t="shared" si="5"/>
        <v>159034.5401</v>
      </c>
      <c r="H2708" s="1">
        <f t="shared" si="6"/>
        <v>291563.3235</v>
      </c>
      <c r="I2708" s="1">
        <f t="shared" si="7"/>
        <v>477103.6202</v>
      </c>
    </row>
    <row r="2709" hidden="1">
      <c r="A2709" s="266">
        <f>IFERROR(__xludf.DUMMYFUNCTION("""COMPUTED_VALUE"""),45347.99861111111)</f>
        <v>45347.99861</v>
      </c>
      <c r="B2709" s="1">
        <f>IFERROR(__xludf.DUMMYFUNCTION("""COMPUTED_VALUE"""),51728.53)</f>
        <v>51728.53</v>
      </c>
      <c r="C2709" s="58">
        <f t="shared" si="1"/>
        <v>5531.998611</v>
      </c>
      <c r="D2709" s="1">
        <f t="shared" si="2"/>
        <v>26533.56361</v>
      </c>
      <c r="E2709" s="1">
        <f t="shared" si="3"/>
        <v>47760.4145</v>
      </c>
      <c r="F2709" s="1">
        <f t="shared" si="4"/>
        <v>90214.11628</v>
      </c>
      <c r="G2709" s="1">
        <f t="shared" si="5"/>
        <v>159201.3817</v>
      </c>
      <c r="H2709" s="1">
        <f t="shared" si="6"/>
        <v>291869.1997</v>
      </c>
      <c r="I2709" s="1">
        <f t="shared" si="7"/>
        <v>477604.145</v>
      </c>
    </row>
    <row r="2710" hidden="1">
      <c r="A2710" s="266">
        <f>IFERROR(__xludf.DUMMYFUNCTION("""COMPUTED_VALUE"""),45348.99861111111)</f>
        <v>45348.99861</v>
      </c>
      <c r="B2710" s="1">
        <f>IFERROR(__xludf.DUMMYFUNCTION("""COMPUTED_VALUE"""),54501.24)</f>
        <v>54501.24</v>
      </c>
      <c r="C2710" s="58">
        <f t="shared" si="1"/>
        <v>5532.998611</v>
      </c>
      <c r="D2710" s="1">
        <f t="shared" si="2"/>
        <v>26561.39468</v>
      </c>
      <c r="E2710" s="1">
        <f t="shared" si="3"/>
        <v>47810.51043</v>
      </c>
      <c r="F2710" s="1">
        <f t="shared" si="4"/>
        <v>90308.74192</v>
      </c>
      <c r="G2710" s="1">
        <f t="shared" si="5"/>
        <v>159368.3681</v>
      </c>
      <c r="H2710" s="1">
        <f t="shared" si="6"/>
        <v>292175.3415</v>
      </c>
      <c r="I2710" s="1">
        <f t="shared" si="7"/>
        <v>478105.1043</v>
      </c>
    </row>
    <row r="2711" hidden="1">
      <c r="A2711" s="266">
        <f>IFERROR(__xludf.DUMMYFUNCTION("""COMPUTED_VALUE"""),45349.99861111111)</f>
        <v>45349.99861</v>
      </c>
      <c r="B2711" s="1">
        <f>IFERROR(__xludf.DUMMYFUNCTION("""COMPUTED_VALUE"""),57067.15)</f>
        <v>57067.15</v>
      </c>
      <c r="C2711" s="58">
        <f t="shared" si="1"/>
        <v>5533.998611</v>
      </c>
      <c r="D2711" s="1">
        <f t="shared" si="2"/>
        <v>26589.24991</v>
      </c>
      <c r="E2711" s="1">
        <f t="shared" si="3"/>
        <v>47860.64984</v>
      </c>
      <c r="F2711" s="1">
        <f t="shared" si="4"/>
        <v>90403.44969</v>
      </c>
      <c r="G2711" s="1">
        <f t="shared" si="5"/>
        <v>159535.4995</v>
      </c>
      <c r="H2711" s="1">
        <f t="shared" si="6"/>
        <v>292481.749</v>
      </c>
      <c r="I2711" s="1">
        <f t="shared" si="7"/>
        <v>478606.4984</v>
      </c>
    </row>
    <row r="2712" hidden="1">
      <c r="A2712" s="266">
        <f>IFERROR(__xludf.DUMMYFUNCTION("""COMPUTED_VALUE"""),45350.99861111111)</f>
        <v>45350.99861</v>
      </c>
      <c r="B2712" s="1">
        <f>IFERROR(__xludf.DUMMYFUNCTION("""COMPUTED_VALUE"""),62534.39)</f>
        <v>62534.39</v>
      </c>
      <c r="C2712" s="58">
        <f t="shared" si="1"/>
        <v>5534.998611</v>
      </c>
      <c r="D2712" s="1">
        <f t="shared" si="2"/>
        <v>26617.12931</v>
      </c>
      <c r="E2712" s="1">
        <f t="shared" si="3"/>
        <v>47910.83275</v>
      </c>
      <c r="F2712" s="1">
        <f t="shared" si="4"/>
        <v>90498.23965</v>
      </c>
      <c r="G2712" s="1">
        <f t="shared" si="5"/>
        <v>159702.7758</v>
      </c>
      <c r="H2712" s="1">
        <f t="shared" si="6"/>
        <v>292788.4224</v>
      </c>
      <c r="I2712" s="1">
        <f t="shared" si="7"/>
        <v>479108.3275</v>
      </c>
    </row>
    <row r="2713" hidden="1">
      <c r="A2713" s="266">
        <f>IFERROR(__xludf.DUMMYFUNCTION("""COMPUTED_VALUE"""),45351.99861111111)</f>
        <v>45351.99861</v>
      </c>
      <c r="B2713" s="1">
        <f>IFERROR(__xludf.DUMMYFUNCTION("""COMPUTED_VALUE"""),61253.9)</f>
        <v>61253.9</v>
      </c>
      <c r="C2713" s="58">
        <f t="shared" si="1"/>
        <v>5535.998611</v>
      </c>
      <c r="D2713" s="1">
        <f t="shared" si="2"/>
        <v>26645.03289</v>
      </c>
      <c r="E2713" s="1">
        <f t="shared" si="3"/>
        <v>47961.05921</v>
      </c>
      <c r="F2713" s="1">
        <f t="shared" si="4"/>
        <v>90593.11183</v>
      </c>
      <c r="G2713" s="1">
        <f t="shared" si="5"/>
        <v>159870.1974</v>
      </c>
      <c r="H2713" s="1">
        <f t="shared" si="6"/>
        <v>293095.3618</v>
      </c>
      <c r="I2713" s="1">
        <f t="shared" si="7"/>
        <v>479610.5921</v>
      </c>
    </row>
    <row r="2714" hidden="1">
      <c r="A2714" s="266">
        <f>IFERROR(__xludf.DUMMYFUNCTION("""COMPUTED_VALUE"""),45352.99861111111)</f>
        <v>45352.99861</v>
      </c>
      <c r="B2714" s="1">
        <f>IFERROR(__xludf.DUMMYFUNCTION("""COMPUTED_VALUE"""),62520.18)</f>
        <v>62520.18</v>
      </c>
      <c r="C2714" s="58">
        <f t="shared" si="1"/>
        <v>5536.998611</v>
      </c>
      <c r="D2714" s="1">
        <f t="shared" si="2"/>
        <v>26672.96068</v>
      </c>
      <c r="E2714" s="1">
        <f t="shared" si="3"/>
        <v>48011.32923</v>
      </c>
      <c r="F2714" s="1">
        <f t="shared" si="4"/>
        <v>90688.06632</v>
      </c>
      <c r="G2714" s="1">
        <f t="shared" si="5"/>
        <v>160037.7641</v>
      </c>
      <c r="H2714" s="1">
        <f t="shared" si="6"/>
        <v>293402.5675</v>
      </c>
      <c r="I2714" s="1">
        <f t="shared" si="7"/>
        <v>480113.2923</v>
      </c>
    </row>
    <row r="2715" hidden="1">
      <c r="A2715" s="266">
        <f>IFERROR(__xludf.DUMMYFUNCTION("""COMPUTED_VALUE"""),45353.99861111111)</f>
        <v>45353.99861</v>
      </c>
      <c r="B2715" s="1">
        <f>IFERROR(__xludf.DUMMYFUNCTION("""COMPUTED_VALUE"""),61980.11)</f>
        <v>61980.11</v>
      </c>
      <c r="C2715" s="58">
        <f t="shared" si="1"/>
        <v>5537.998611</v>
      </c>
      <c r="D2715" s="1">
        <f t="shared" si="2"/>
        <v>26700.91269</v>
      </c>
      <c r="E2715" s="1">
        <f t="shared" si="3"/>
        <v>48061.64285</v>
      </c>
      <c r="F2715" s="1">
        <f t="shared" si="4"/>
        <v>90783.10315</v>
      </c>
      <c r="G2715" s="1">
        <f t="shared" si="5"/>
        <v>160205.4762</v>
      </c>
      <c r="H2715" s="1">
        <f t="shared" si="6"/>
        <v>293710.0396</v>
      </c>
      <c r="I2715" s="1">
        <f t="shared" si="7"/>
        <v>480616.4285</v>
      </c>
    </row>
    <row r="2716" hidden="1">
      <c r="A2716" s="266">
        <f>IFERROR(__xludf.DUMMYFUNCTION("""COMPUTED_VALUE"""),45354.99861111111)</f>
        <v>45354.99861</v>
      </c>
      <c r="B2716" s="1">
        <f>IFERROR(__xludf.DUMMYFUNCTION("""COMPUTED_VALUE"""),63043.77)</f>
        <v>63043.77</v>
      </c>
      <c r="C2716" s="58">
        <f t="shared" si="1"/>
        <v>5538.998611</v>
      </c>
      <c r="D2716" s="1">
        <f t="shared" si="2"/>
        <v>26728.88894</v>
      </c>
      <c r="E2716" s="1">
        <f t="shared" si="3"/>
        <v>48112.00009</v>
      </c>
      <c r="F2716" s="1">
        <f t="shared" si="4"/>
        <v>90878.2224</v>
      </c>
      <c r="G2716" s="1">
        <f t="shared" si="5"/>
        <v>160373.3336</v>
      </c>
      <c r="H2716" s="1">
        <f t="shared" si="6"/>
        <v>294017.7783</v>
      </c>
      <c r="I2716" s="1">
        <f t="shared" si="7"/>
        <v>481120.0009</v>
      </c>
    </row>
    <row r="2717" hidden="1">
      <c r="A2717" s="266">
        <f>IFERROR(__xludf.DUMMYFUNCTION("""COMPUTED_VALUE"""),45355.99861111111)</f>
        <v>45355.99861</v>
      </c>
      <c r="B2717" s="1">
        <f>IFERROR(__xludf.DUMMYFUNCTION("""COMPUTED_VALUE"""),68304.96)</f>
        <v>68304.96</v>
      </c>
      <c r="C2717" s="58">
        <f t="shared" si="1"/>
        <v>5539.998611</v>
      </c>
      <c r="D2717" s="1">
        <f t="shared" si="2"/>
        <v>26756.88944</v>
      </c>
      <c r="E2717" s="1">
        <f t="shared" si="3"/>
        <v>48162.401</v>
      </c>
      <c r="F2717" s="1">
        <f t="shared" si="4"/>
        <v>90973.42411</v>
      </c>
      <c r="G2717" s="1">
        <f t="shared" si="5"/>
        <v>160541.3367</v>
      </c>
      <c r="H2717" s="1">
        <f t="shared" si="6"/>
        <v>294325.7839</v>
      </c>
      <c r="I2717" s="1">
        <f t="shared" si="7"/>
        <v>481624.01</v>
      </c>
    </row>
    <row r="2718" hidden="1">
      <c r="A2718" s="266">
        <f>IFERROR(__xludf.DUMMYFUNCTION("""COMPUTED_VALUE"""),45356.99861111111)</f>
        <v>45356.99861</v>
      </c>
      <c r="B2718" s="1">
        <f>IFERROR(__xludf.DUMMYFUNCTION("""COMPUTED_VALUE"""),64041.52)</f>
        <v>64041.52</v>
      </c>
      <c r="C2718" s="58">
        <f t="shared" si="1"/>
        <v>5540.998611</v>
      </c>
      <c r="D2718" s="1">
        <f t="shared" si="2"/>
        <v>26784.91422</v>
      </c>
      <c r="E2718" s="1">
        <f t="shared" si="3"/>
        <v>48212.84559</v>
      </c>
      <c r="F2718" s="1">
        <f t="shared" si="4"/>
        <v>91068.70833</v>
      </c>
      <c r="G2718" s="1">
        <f t="shared" si="5"/>
        <v>160709.4853</v>
      </c>
      <c r="H2718" s="1">
        <f t="shared" si="6"/>
        <v>294634.0564</v>
      </c>
      <c r="I2718" s="1">
        <f t="shared" si="7"/>
        <v>482128.4559</v>
      </c>
    </row>
    <row r="2719" hidden="1">
      <c r="A2719" s="266">
        <f>IFERROR(__xludf.DUMMYFUNCTION("""COMPUTED_VALUE"""),45357.99861111111)</f>
        <v>45357.99861</v>
      </c>
      <c r="B2719" s="1">
        <f>IFERROR(__xludf.DUMMYFUNCTION("""COMPUTED_VALUE"""),66142.74)</f>
        <v>66142.74</v>
      </c>
      <c r="C2719" s="58">
        <f t="shared" si="1"/>
        <v>5541.998611</v>
      </c>
      <c r="D2719" s="1">
        <f t="shared" si="2"/>
        <v>26812.96328</v>
      </c>
      <c r="E2719" s="1">
        <f t="shared" si="3"/>
        <v>48263.3339</v>
      </c>
      <c r="F2719" s="1">
        <f t="shared" si="4"/>
        <v>91164.07514</v>
      </c>
      <c r="G2719" s="1">
        <f t="shared" si="5"/>
        <v>160877.7797</v>
      </c>
      <c r="H2719" s="1">
        <f t="shared" si="6"/>
        <v>294942.596</v>
      </c>
      <c r="I2719" s="1">
        <f t="shared" si="7"/>
        <v>482633.339</v>
      </c>
    </row>
    <row r="2720" hidden="1">
      <c r="A2720" s="266">
        <f>IFERROR(__xludf.DUMMYFUNCTION("""COMPUTED_VALUE"""),45358.99861111111)</f>
        <v>45358.99861</v>
      </c>
      <c r="B2720" s="1">
        <f>IFERROR(__xludf.DUMMYFUNCTION("""COMPUTED_VALUE"""),66935.05)</f>
        <v>66935.05</v>
      </c>
      <c r="C2720" s="58">
        <f t="shared" si="1"/>
        <v>5542.998611</v>
      </c>
      <c r="D2720" s="1">
        <f t="shared" si="2"/>
        <v>26841.03664</v>
      </c>
      <c r="E2720" s="1">
        <f t="shared" si="3"/>
        <v>48313.86595</v>
      </c>
      <c r="F2720" s="1">
        <f t="shared" si="4"/>
        <v>91259.52458</v>
      </c>
      <c r="G2720" s="1">
        <f t="shared" si="5"/>
        <v>161046.2198</v>
      </c>
      <c r="H2720" s="1">
        <f t="shared" si="6"/>
        <v>295251.4031</v>
      </c>
      <c r="I2720" s="1">
        <f t="shared" si="7"/>
        <v>483138.6595</v>
      </c>
    </row>
    <row r="2721" hidden="1">
      <c r="A2721" s="266">
        <f>IFERROR(__xludf.DUMMYFUNCTION("""COMPUTED_VALUE"""),45359.99861111111)</f>
        <v>45359.99861</v>
      </c>
      <c r="B2721" s="1">
        <f>IFERROR(__xludf.DUMMYFUNCTION("""COMPUTED_VALUE"""),68330.96)</f>
        <v>68330.96</v>
      </c>
      <c r="C2721" s="58">
        <f t="shared" si="1"/>
        <v>5543.998611</v>
      </c>
      <c r="D2721" s="1">
        <f t="shared" si="2"/>
        <v>26869.13433</v>
      </c>
      <c r="E2721" s="1">
        <f t="shared" si="3"/>
        <v>48364.44179</v>
      </c>
      <c r="F2721" s="1">
        <f t="shared" si="4"/>
        <v>91355.05671</v>
      </c>
      <c r="G2721" s="1">
        <f t="shared" si="5"/>
        <v>161214.806</v>
      </c>
      <c r="H2721" s="1">
        <f t="shared" si="6"/>
        <v>295560.4776</v>
      </c>
      <c r="I2721" s="1">
        <f t="shared" si="7"/>
        <v>483644.4179</v>
      </c>
    </row>
    <row r="2722" hidden="1">
      <c r="A2722" s="266">
        <f>IFERROR(__xludf.DUMMYFUNCTION("""COMPUTED_VALUE"""),45360.99861111111)</f>
        <v>45360.99861</v>
      </c>
      <c r="B2722" s="1">
        <f>IFERROR(__xludf.DUMMYFUNCTION("""COMPUTED_VALUE"""),68469.46)</f>
        <v>68469.46</v>
      </c>
      <c r="C2722" s="58">
        <f t="shared" si="1"/>
        <v>5544.998611</v>
      </c>
      <c r="D2722" s="1">
        <f t="shared" si="2"/>
        <v>26897.25635</v>
      </c>
      <c r="E2722" s="1">
        <f t="shared" si="3"/>
        <v>48415.06143</v>
      </c>
      <c r="F2722" s="1">
        <f t="shared" si="4"/>
        <v>91450.67159</v>
      </c>
      <c r="G2722" s="1">
        <f t="shared" si="5"/>
        <v>161383.5381</v>
      </c>
      <c r="H2722" s="1">
        <f t="shared" si="6"/>
        <v>295869.8199</v>
      </c>
      <c r="I2722" s="1">
        <f t="shared" si="7"/>
        <v>484150.6143</v>
      </c>
    </row>
    <row r="2723" hidden="1">
      <c r="A2723" s="266">
        <f>IFERROR(__xludf.DUMMYFUNCTION("""COMPUTED_VALUE"""),45361.99861111111)</f>
        <v>45361.99861</v>
      </c>
      <c r="B2723" s="1">
        <f>IFERROR(__xludf.DUMMYFUNCTION("""COMPUTED_VALUE"""),69011.28)</f>
        <v>69011.28</v>
      </c>
      <c r="C2723" s="58">
        <f t="shared" si="1"/>
        <v>5545.998611</v>
      </c>
      <c r="D2723" s="1">
        <f t="shared" si="2"/>
        <v>26925.40273</v>
      </c>
      <c r="E2723" s="1">
        <f t="shared" si="3"/>
        <v>48465.72491</v>
      </c>
      <c r="F2723" s="1">
        <f t="shared" si="4"/>
        <v>91546.36928</v>
      </c>
      <c r="G2723" s="1">
        <f t="shared" si="5"/>
        <v>161552.4164</v>
      </c>
      <c r="H2723" s="1">
        <f t="shared" si="6"/>
        <v>296179.43</v>
      </c>
      <c r="I2723" s="1">
        <f t="shared" si="7"/>
        <v>484657.2491</v>
      </c>
    </row>
    <row r="2724" hidden="1">
      <c r="A2724" s="266">
        <f>IFERROR(__xludf.DUMMYFUNCTION("""COMPUTED_VALUE"""),45362.99861111111)</f>
        <v>45362.99861</v>
      </c>
      <c r="B2724" s="1">
        <f>IFERROR(__xludf.DUMMYFUNCTION("""COMPUTED_VALUE"""),72133.38)</f>
        <v>72133.38</v>
      </c>
      <c r="C2724" s="58">
        <f t="shared" si="1"/>
        <v>5546.998611</v>
      </c>
      <c r="D2724" s="1">
        <f t="shared" si="2"/>
        <v>26953.57348</v>
      </c>
      <c r="E2724" s="1">
        <f t="shared" si="3"/>
        <v>48516.43226</v>
      </c>
      <c r="F2724" s="1">
        <f t="shared" si="4"/>
        <v>91642.14982</v>
      </c>
      <c r="G2724" s="1">
        <f t="shared" si="5"/>
        <v>161721.4409</v>
      </c>
      <c r="H2724" s="1">
        <f t="shared" si="6"/>
        <v>296489.3082</v>
      </c>
      <c r="I2724" s="1">
        <f t="shared" si="7"/>
        <v>485164.3226</v>
      </c>
    </row>
    <row r="2725" hidden="1">
      <c r="A2725" s="266">
        <f>IFERROR(__xludf.DUMMYFUNCTION("""COMPUTED_VALUE"""),45363.99861111111)</f>
        <v>45363.99861</v>
      </c>
      <c r="B2725" s="1">
        <f>IFERROR(__xludf.DUMMYFUNCTION("""COMPUTED_VALUE"""),71491.77)</f>
        <v>71491.77</v>
      </c>
      <c r="C2725" s="58">
        <f t="shared" si="1"/>
        <v>5547.998611</v>
      </c>
      <c r="D2725" s="1">
        <f t="shared" si="2"/>
        <v>26981.76861</v>
      </c>
      <c r="E2725" s="1">
        <f t="shared" si="3"/>
        <v>48567.1835</v>
      </c>
      <c r="F2725" s="1">
        <f t="shared" si="4"/>
        <v>91738.01328</v>
      </c>
      <c r="G2725" s="1">
        <f t="shared" si="5"/>
        <v>161890.6117</v>
      </c>
      <c r="H2725" s="1">
        <f t="shared" si="6"/>
        <v>296799.4547</v>
      </c>
      <c r="I2725" s="1">
        <f t="shared" si="7"/>
        <v>485671.835</v>
      </c>
    </row>
    <row r="2726" hidden="1">
      <c r="A2726" s="266">
        <f>IFERROR(__xludf.DUMMYFUNCTION("""COMPUTED_VALUE"""),45364.99861111111)</f>
        <v>45364.99861</v>
      </c>
      <c r="B2726" s="1">
        <f>IFERROR(__xludf.DUMMYFUNCTION("""COMPUTED_VALUE"""),73096.85)</f>
        <v>73096.85</v>
      </c>
      <c r="C2726" s="58">
        <f t="shared" si="1"/>
        <v>5548.998611</v>
      </c>
      <c r="D2726" s="1">
        <f t="shared" si="2"/>
        <v>27009.98815</v>
      </c>
      <c r="E2726" s="1">
        <f t="shared" si="3"/>
        <v>48617.97868</v>
      </c>
      <c r="F2726" s="1">
        <f t="shared" si="4"/>
        <v>91833.95972</v>
      </c>
      <c r="G2726" s="1">
        <f t="shared" si="5"/>
        <v>162059.9289</v>
      </c>
      <c r="H2726" s="1">
        <f t="shared" si="6"/>
        <v>297109.8697</v>
      </c>
      <c r="I2726" s="1">
        <f t="shared" si="7"/>
        <v>486179.7868</v>
      </c>
    </row>
    <row r="2727" hidden="1">
      <c r="A2727" s="266">
        <f>IFERROR(__xludf.DUMMYFUNCTION("""COMPUTED_VALUE"""),45365.99861111111)</f>
        <v>45365.99861</v>
      </c>
      <c r="B2727" s="1">
        <f>IFERROR(__xludf.DUMMYFUNCTION("""COMPUTED_VALUE"""),71394.04)</f>
        <v>71394.04</v>
      </c>
      <c r="C2727" s="58">
        <f t="shared" si="1"/>
        <v>5549.998611</v>
      </c>
      <c r="D2727" s="1">
        <f t="shared" si="2"/>
        <v>27038.23211</v>
      </c>
      <c r="E2727" s="1">
        <f t="shared" si="3"/>
        <v>48668.81781</v>
      </c>
      <c r="F2727" s="1">
        <f t="shared" si="4"/>
        <v>91929.98919</v>
      </c>
      <c r="G2727" s="1">
        <f t="shared" si="5"/>
        <v>162229.3927</v>
      </c>
      <c r="H2727" s="1">
        <f t="shared" si="6"/>
        <v>297420.5533</v>
      </c>
      <c r="I2727" s="1">
        <f t="shared" si="7"/>
        <v>486688.1781</v>
      </c>
    </row>
    <row r="2728" hidden="1">
      <c r="A2728" s="266">
        <f>IFERROR(__xludf.DUMMYFUNCTION("""COMPUTED_VALUE"""),45366.99861111111)</f>
        <v>45366.99861</v>
      </c>
      <c r="B2728" s="1">
        <f>IFERROR(__xludf.DUMMYFUNCTION("""COMPUTED_VALUE"""),69441.68)</f>
        <v>69441.68</v>
      </c>
      <c r="C2728" s="58">
        <f t="shared" si="1"/>
        <v>5550.998611</v>
      </c>
      <c r="D2728" s="1">
        <f t="shared" si="2"/>
        <v>27066.50051</v>
      </c>
      <c r="E2728" s="1">
        <f t="shared" si="3"/>
        <v>48719.70092</v>
      </c>
      <c r="F2728" s="1">
        <f t="shared" si="4"/>
        <v>92026.10175</v>
      </c>
      <c r="G2728" s="1">
        <f t="shared" si="5"/>
        <v>162399.0031</v>
      </c>
      <c r="H2728" s="1">
        <f t="shared" si="6"/>
        <v>297731.5057</v>
      </c>
      <c r="I2728" s="1">
        <f t="shared" si="7"/>
        <v>487197.0092</v>
      </c>
    </row>
    <row r="2729" hidden="1">
      <c r="A2729" s="266">
        <f>IFERROR(__xludf.DUMMYFUNCTION("""COMPUTED_VALUE"""),45367.99861111111)</f>
        <v>45367.99861</v>
      </c>
      <c r="B2729" s="1">
        <f>IFERROR(__xludf.DUMMYFUNCTION("""COMPUTED_VALUE"""),65314.75)</f>
        <v>65314.75</v>
      </c>
      <c r="C2729" s="58">
        <f t="shared" si="1"/>
        <v>5551.998611</v>
      </c>
      <c r="D2729" s="1">
        <f t="shared" si="2"/>
        <v>27094.79337</v>
      </c>
      <c r="E2729" s="1">
        <f t="shared" si="3"/>
        <v>48770.62806</v>
      </c>
      <c r="F2729" s="1">
        <f t="shared" si="4"/>
        <v>92122.29745</v>
      </c>
      <c r="G2729" s="1">
        <f t="shared" si="5"/>
        <v>162568.7602</v>
      </c>
      <c r="H2729" s="1">
        <f t="shared" si="6"/>
        <v>298042.727</v>
      </c>
      <c r="I2729" s="1">
        <f t="shared" si="7"/>
        <v>487706.2806</v>
      </c>
    </row>
    <row r="2730" hidden="1">
      <c r="A2730" s="266">
        <f>IFERROR(__xludf.DUMMYFUNCTION("""COMPUTED_VALUE"""),45368.99861111111)</f>
        <v>45368.99861</v>
      </c>
      <c r="B2730" s="1">
        <f>IFERROR(__xludf.DUMMYFUNCTION("""COMPUTED_VALUE"""),68476.19)</f>
        <v>68476.19</v>
      </c>
      <c r="C2730" s="58">
        <f t="shared" si="1"/>
        <v>5552.998611</v>
      </c>
      <c r="D2730" s="1">
        <f t="shared" si="2"/>
        <v>27123.11069</v>
      </c>
      <c r="E2730" s="1">
        <f t="shared" si="3"/>
        <v>48821.59925</v>
      </c>
      <c r="F2730" s="1">
        <f t="shared" si="4"/>
        <v>92218.57636</v>
      </c>
      <c r="G2730" s="1">
        <f t="shared" si="5"/>
        <v>162738.6642</v>
      </c>
      <c r="H2730" s="1">
        <f t="shared" si="6"/>
        <v>298354.2176</v>
      </c>
      <c r="I2730" s="1">
        <f t="shared" si="7"/>
        <v>488215.9925</v>
      </c>
    </row>
    <row r="2731" hidden="1">
      <c r="A2731" s="266">
        <f>IFERROR(__xludf.DUMMYFUNCTION("""COMPUTED_VALUE"""),45369.99861111111)</f>
        <v>45369.99861</v>
      </c>
      <c r="B2731" s="1">
        <f>IFERROR(__xludf.DUMMYFUNCTION("""COMPUTED_VALUE"""),67732.55)</f>
        <v>67732.55</v>
      </c>
      <c r="C2731" s="58">
        <f t="shared" si="1"/>
        <v>5553.998611</v>
      </c>
      <c r="D2731" s="1">
        <f t="shared" si="2"/>
        <v>27151.45251</v>
      </c>
      <c r="E2731" s="1">
        <f t="shared" si="3"/>
        <v>48872.61451</v>
      </c>
      <c r="F2731" s="1">
        <f t="shared" si="4"/>
        <v>92314.93852</v>
      </c>
      <c r="G2731" s="1">
        <f t="shared" si="5"/>
        <v>162908.715</v>
      </c>
      <c r="H2731" s="1">
        <f t="shared" si="6"/>
        <v>298665.9776</v>
      </c>
      <c r="I2731" s="1">
        <f t="shared" si="7"/>
        <v>488726.1451</v>
      </c>
    </row>
    <row r="2732" hidden="1">
      <c r="A2732" s="266">
        <f>IFERROR(__xludf.DUMMYFUNCTION("""COMPUTED_VALUE"""),45370.99861111111)</f>
        <v>45370.99861</v>
      </c>
      <c r="B2732" s="1">
        <f>IFERROR(__xludf.DUMMYFUNCTION("""COMPUTED_VALUE"""),61964.65)</f>
        <v>61964.65</v>
      </c>
      <c r="C2732" s="58">
        <f t="shared" si="1"/>
        <v>5554.998611</v>
      </c>
      <c r="D2732" s="1">
        <f t="shared" si="2"/>
        <v>27179.81882</v>
      </c>
      <c r="E2732" s="1">
        <f t="shared" si="3"/>
        <v>48923.67388</v>
      </c>
      <c r="F2732" s="1">
        <f t="shared" si="4"/>
        <v>92411.384</v>
      </c>
      <c r="G2732" s="1">
        <f t="shared" si="5"/>
        <v>163078.9129</v>
      </c>
      <c r="H2732" s="1">
        <f t="shared" si="6"/>
        <v>298978.0071</v>
      </c>
      <c r="I2732" s="1">
        <f t="shared" si="7"/>
        <v>489236.7388</v>
      </c>
    </row>
    <row r="2733" hidden="1">
      <c r="A2733" s="266">
        <f>IFERROR(__xludf.DUMMYFUNCTION("""COMPUTED_VALUE"""),45371.99861111111)</f>
        <v>45371.99861</v>
      </c>
      <c r="B2733" s="1">
        <f>IFERROR(__xludf.DUMMYFUNCTION("""COMPUTED_VALUE"""),67900.47)</f>
        <v>67900.47</v>
      </c>
      <c r="C2733" s="58">
        <f t="shared" si="1"/>
        <v>5555.998611</v>
      </c>
      <c r="D2733" s="1">
        <f t="shared" si="2"/>
        <v>27208.20966</v>
      </c>
      <c r="E2733" s="1">
        <f t="shared" si="3"/>
        <v>48974.77739</v>
      </c>
      <c r="F2733" s="1">
        <f t="shared" si="4"/>
        <v>92507.91285</v>
      </c>
      <c r="G2733" s="1">
        <f t="shared" si="5"/>
        <v>163249.258</v>
      </c>
      <c r="H2733" s="1">
        <f t="shared" si="6"/>
        <v>299290.3063</v>
      </c>
      <c r="I2733" s="1">
        <f t="shared" si="7"/>
        <v>489747.7739</v>
      </c>
    </row>
    <row r="2734" hidden="1">
      <c r="A2734" s="266">
        <f>IFERROR(__xludf.DUMMYFUNCTION("""COMPUTED_VALUE"""),45372.99861111111)</f>
        <v>45372.99861</v>
      </c>
      <c r="B2734" s="1">
        <f>IFERROR(__xludf.DUMMYFUNCTION("""COMPUTED_VALUE"""),65507.84)</f>
        <v>65507.84</v>
      </c>
      <c r="C2734" s="58">
        <f t="shared" si="1"/>
        <v>5556.998611</v>
      </c>
      <c r="D2734" s="1">
        <f t="shared" si="2"/>
        <v>27236.62504</v>
      </c>
      <c r="E2734" s="1">
        <f t="shared" si="3"/>
        <v>49025.92507</v>
      </c>
      <c r="F2734" s="1">
        <f t="shared" si="4"/>
        <v>92604.52514</v>
      </c>
      <c r="G2734" s="1">
        <f t="shared" si="5"/>
        <v>163419.7502</v>
      </c>
      <c r="H2734" s="1">
        <f t="shared" si="6"/>
        <v>299602.8754</v>
      </c>
      <c r="I2734" s="1">
        <f t="shared" si="7"/>
        <v>490259.2507</v>
      </c>
    </row>
    <row r="2735" hidden="1">
      <c r="A2735" s="266">
        <f>IFERROR(__xludf.DUMMYFUNCTION("""COMPUTED_VALUE"""),45373.99861111111)</f>
        <v>45373.99861</v>
      </c>
      <c r="B2735" s="1">
        <f>IFERROR(__xludf.DUMMYFUNCTION("""COMPUTED_VALUE"""),63669.71)</f>
        <v>63669.71</v>
      </c>
      <c r="C2735" s="58">
        <f t="shared" si="1"/>
        <v>5557.998611</v>
      </c>
      <c r="D2735" s="1">
        <f t="shared" si="2"/>
        <v>27265.06497</v>
      </c>
      <c r="E2735" s="1">
        <f t="shared" si="3"/>
        <v>49077.11695</v>
      </c>
      <c r="F2735" s="1">
        <f t="shared" si="4"/>
        <v>92701.22091</v>
      </c>
      <c r="G2735" s="1">
        <f t="shared" si="5"/>
        <v>163590.3898</v>
      </c>
      <c r="H2735" s="1">
        <f t="shared" si="6"/>
        <v>299915.7147</v>
      </c>
      <c r="I2735" s="1">
        <f t="shared" si="7"/>
        <v>490771.1695</v>
      </c>
    </row>
    <row r="2736" hidden="1">
      <c r="A2736" s="266">
        <f>IFERROR(__xludf.DUMMYFUNCTION("""COMPUTED_VALUE"""),45374.99861111111)</f>
        <v>45374.99861</v>
      </c>
      <c r="B2736" s="1">
        <f>IFERROR(__xludf.DUMMYFUNCTION("""COMPUTED_VALUE"""),64052.68)</f>
        <v>64052.68</v>
      </c>
      <c r="C2736" s="58">
        <f t="shared" si="1"/>
        <v>5558.998611</v>
      </c>
      <c r="D2736" s="1">
        <f t="shared" si="2"/>
        <v>27293.52948</v>
      </c>
      <c r="E2736" s="1">
        <f t="shared" si="3"/>
        <v>49128.35306</v>
      </c>
      <c r="F2736" s="1">
        <f t="shared" si="4"/>
        <v>92798.00023</v>
      </c>
      <c r="G2736" s="1">
        <f t="shared" si="5"/>
        <v>163761.1769</v>
      </c>
      <c r="H2736" s="1">
        <f t="shared" si="6"/>
        <v>300228.8243</v>
      </c>
      <c r="I2736" s="1">
        <f t="shared" si="7"/>
        <v>491283.5306</v>
      </c>
    </row>
    <row r="2737" hidden="1">
      <c r="A2737" s="266">
        <f>IFERROR(__xludf.DUMMYFUNCTION("""COMPUTED_VALUE"""),45375.99861111111)</f>
        <v>45375.99861</v>
      </c>
      <c r="B2737" s="1">
        <f>IFERROR(__xludf.DUMMYFUNCTION("""COMPUTED_VALUE"""),67228.68)</f>
        <v>67228.68</v>
      </c>
      <c r="C2737" s="58">
        <f t="shared" si="1"/>
        <v>5559.998611</v>
      </c>
      <c r="D2737" s="1">
        <f t="shared" si="2"/>
        <v>27322.01857</v>
      </c>
      <c r="E2737" s="1">
        <f t="shared" si="3"/>
        <v>49179.63343</v>
      </c>
      <c r="F2737" s="1">
        <f t="shared" si="4"/>
        <v>92894.86314</v>
      </c>
      <c r="G2737" s="1">
        <f t="shared" si="5"/>
        <v>163932.1114</v>
      </c>
      <c r="H2737" s="1">
        <f t="shared" si="6"/>
        <v>300542.2043</v>
      </c>
      <c r="I2737" s="1">
        <f t="shared" si="7"/>
        <v>491796.3343</v>
      </c>
    </row>
    <row r="2738" hidden="1">
      <c r="A2738" s="266">
        <f>IFERROR(__xludf.DUMMYFUNCTION("""COMPUTED_VALUE"""),45376.99861111111)</f>
        <v>45376.99861</v>
      </c>
      <c r="B2738" s="1">
        <f>IFERROR(__xludf.DUMMYFUNCTION("""COMPUTED_VALUE"""),69956.47)</f>
        <v>69956.47</v>
      </c>
      <c r="C2738" s="58">
        <f t="shared" si="1"/>
        <v>5560.998611</v>
      </c>
      <c r="D2738" s="1">
        <f t="shared" si="2"/>
        <v>27350.53227</v>
      </c>
      <c r="E2738" s="1">
        <f t="shared" si="3"/>
        <v>49230.95809</v>
      </c>
      <c r="F2738" s="1">
        <f t="shared" si="4"/>
        <v>92991.80972</v>
      </c>
      <c r="G2738" s="1">
        <f t="shared" si="5"/>
        <v>164103.1936</v>
      </c>
      <c r="H2738" s="1">
        <f t="shared" si="6"/>
        <v>300855.855</v>
      </c>
      <c r="I2738" s="1">
        <f t="shared" si="7"/>
        <v>492309.5809</v>
      </c>
    </row>
    <row r="2739" hidden="1">
      <c r="A2739" s="266">
        <f>IFERROR(__xludf.DUMMYFUNCTION("""COMPUTED_VALUE"""),45377.99861111111)</f>
        <v>45377.99861</v>
      </c>
      <c r="B2739" s="1">
        <f>IFERROR(__xludf.DUMMYFUNCTION("""COMPUTED_VALUE"""),69976.26)</f>
        <v>69976.26</v>
      </c>
      <c r="C2739" s="58">
        <f t="shared" si="1"/>
        <v>5561.998611</v>
      </c>
      <c r="D2739" s="1">
        <f t="shared" si="2"/>
        <v>27379.07059</v>
      </c>
      <c r="E2739" s="1">
        <f t="shared" si="3"/>
        <v>49282.32707</v>
      </c>
      <c r="F2739" s="1">
        <f t="shared" si="4"/>
        <v>93088.84001</v>
      </c>
      <c r="G2739" s="1">
        <f t="shared" si="5"/>
        <v>164274.4236</v>
      </c>
      <c r="H2739" s="1">
        <f t="shared" si="6"/>
        <v>301169.7765</v>
      </c>
      <c r="I2739" s="1">
        <f t="shared" si="7"/>
        <v>492823.2707</v>
      </c>
    </row>
    <row r="2740" hidden="1">
      <c r="A2740" s="266">
        <f>IFERROR(__xludf.DUMMYFUNCTION("""COMPUTED_VALUE"""),45378.99861111111)</f>
        <v>45378.99861</v>
      </c>
      <c r="B2740" s="1">
        <f>IFERROR(__xludf.DUMMYFUNCTION("""COMPUTED_VALUE"""),69402.96)</f>
        <v>69402.96</v>
      </c>
      <c r="C2740" s="58">
        <f t="shared" si="1"/>
        <v>5562.998611</v>
      </c>
      <c r="D2740" s="1">
        <f t="shared" si="2"/>
        <v>27407.63355</v>
      </c>
      <c r="E2740" s="1">
        <f t="shared" si="3"/>
        <v>49333.74039</v>
      </c>
      <c r="F2740" s="1">
        <f t="shared" si="4"/>
        <v>93185.95408</v>
      </c>
      <c r="G2740" s="1">
        <f t="shared" si="5"/>
        <v>164445.8013</v>
      </c>
      <c r="H2740" s="1">
        <f t="shared" si="6"/>
        <v>301483.9691</v>
      </c>
      <c r="I2740" s="1">
        <f t="shared" si="7"/>
        <v>493337.4039</v>
      </c>
    </row>
    <row r="2741" hidden="1">
      <c r="A2741" s="266">
        <f>IFERROR(__xludf.DUMMYFUNCTION("""COMPUTED_VALUE"""),45379.99861111111)</f>
        <v>45379.99861</v>
      </c>
      <c r="B2741" s="1">
        <f>IFERROR(__xludf.DUMMYFUNCTION("""COMPUTED_VALUE"""),70787.45)</f>
        <v>70787.45</v>
      </c>
      <c r="C2741" s="58">
        <f t="shared" si="1"/>
        <v>5563.998611</v>
      </c>
      <c r="D2741" s="1">
        <f t="shared" si="2"/>
        <v>27436.22117</v>
      </c>
      <c r="E2741" s="1">
        <f t="shared" si="3"/>
        <v>49385.1981</v>
      </c>
      <c r="F2741" s="1">
        <f t="shared" si="4"/>
        <v>93283.15197</v>
      </c>
      <c r="G2741" s="1">
        <f t="shared" si="5"/>
        <v>164617.327</v>
      </c>
      <c r="H2741" s="1">
        <f t="shared" si="6"/>
        <v>301798.4329</v>
      </c>
      <c r="I2741" s="1">
        <f t="shared" si="7"/>
        <v>493851.981</v>
      </c>
    </row>
    <row r="2742" hidden="1">
      <c r="A2742" s="266">
        <f>IFERROR(__xludf.DUMMYFUNCTION("""COMPUTED_VALUE"""),45380.99861111111)</f>
        <v>45380.99861</v>
      </c>
      <c r="B2742" s="1">
        <f>IFERROR(__xludf.DUMMYFUNCTION("""COMPUTED_VALUE"""),69917.16)</f>
        <v>69917.16</v>
      </c>
      <c r="C2742" s="58">
        <f t="shared" si="1"/>
        <v>5564.998611</v>
      </c>
      <c r="D2742" s="1">
        <f t="shared" si="2"/>
        <v>27464.83346</v>
      </c>
      <c r="E2742" s="1">
        <f t="shared" si="3"/>
        <v>49436.70022</v>
      </c>
      <c r="F2742" s="1">
        <f t="shared" si="4"/>
        <v>93380.43376</v>
      </c>
      <c r="G2742" s="1">
        <f t="shared" si="5"/>
        <v>164789.0007</v>
      </c>
      <c r="H2742" s="1">
        <f t="shared" si="6"/>
        <v>302113.168</v>
      </c>
      <c r="I2742" s="1">
        <f t="shared" si="7"/>
        <v>494367.0022</v>
      </c>
    </row>
    <row r="2743" hidden="1">
      <c r="A2743" s="266">
        <f>IFERROR(__xludf.DUMMYFUNCTION("""COMPUTED_VALUE"""),45381.99861111111)</f>
        <v>45381.99861</v>
      </c>
      <c r="B2743" s="1">
        <f>IFERROR(__xludf.DUMMYFUNCTION("""COMPUTED_VALUE"""),69666.93)</f>
        <v>69666.93</v>
      </c>
      <c r="C2743" s="58">
        <f t="shared" si="1"/>
        <v>5565.998611</v>
      </c>
      <c r="D2743" s="1">
        <f t="shared" si="2"/>
        <v>27493.47044</v>
      </c>
      <c r="E2743" s="1">
        <f t="shared" si="3"/>
        <v>49488.24679</v>
      </c>
      <c r="F2743" s="1">
        <f t="shared" si="4"/>
        <v>93477.79949</v>
      </c>
      <c r="G2743" s="1">
        <f t="shared" si="5"/>
        <v>164960.8226</v>
      </c>
      <c r="H2743" s="1">
        <f t="shared" si="6"/>
        <v>302428.1748</v>
      </c>
      <c r="I2743" s="1">
        <f t="shared" si="7"/>
        <v>494882.4679</v>
      </c>
    </row>
    <row r="2744" hidden="1">
      <c r="A2744" s="266">
        <f>IFERROR(__xludf.DUMMYFUNCTION("""COMPUTED_VALUE"""),45382.99861111111)</f>
        <v>45382.99861</v>
      </c>
      <c r="B2744" s="1">
        <f>IFERROR(__xludf.DUMMYFUNCTION("""COMPUTED_VALUE"""),71341.71)</f>
        <v>71341.71</v>
      </c>
      <c r="C2744" s="58">
        <f t="shared" si="1"/>
        <v>5566.998611</v>
      </c>
      <c r="D2744" s="1">
        <f t="shared" si="2"/>
        <v>27522.13212</v>
      </c>
      <c r="E2744" s="1">
        <f t="shared" si="3"/>
        <v>49539.83782</v>
      </c>
      <c r="F2744" s="1">
        <f t="shared" si="4"/>
        <v>93575.24922</v>
      </c>
      <c r="G2744" s="1">
        <f t="shared" si="5"/>
        <v>165132.7927</v>
      </c>
      <c r="H2744" s="1">
        <f t="shared" si="6"/>
        <v>302743.4534</v>
      </c>
      <c r="I2744" s="1">
        <f t="shared" si="7"/>
        <v>495398.3782</v>
      </c>
    </row>
    <row r="2745" hidden="1">
      <c r="A2745" s="266">
        <f>IFERROR(__xludf.DUMMYFUNCTION("""COMPUTED_VALUE"""),45383.99861111111)</f>
        <v>45383.99861</v>
      </c>
      <c r="B2745" s="1">
        <f>IFERROR(__xludf.DUMMYFUNCTION("""COMPUTED_VALUE"""),69693.39)</f>
        <v>69693.39</v>
      </c>
      <c r="C2745" s="58">
        <f t="shared" si="1"/>
        <v>5567.998611</v>
      </c>
      <c r="D2745" s="1">
        <f t="shared" si="2"/>
        <v>27550.81853</v>
      </c>
      <c r="E2745" s="1">
        <f t="shared" si="3"/>
        <v>49591.47336</v>
      </c>
      <c r="F2745" s="1">
        <f t="shared" si="4"/>
        <v>93672.78301</v>
      </c>
      <c r="G2745" s="1">
        <f t="shared" si="5"/>
        <v>165304.9112</v>
      </c>
      <c r="H2745" s="1">
        <f t="shared" si="6"/>
        <v>303059.0039</v>
      </c>
      <c r="I2745" s="1">
        <f t="shared" si="7"/>
        <v>495914.7336</v>
      </c>
    </row>
    <row r="2746" hidden="1">
      <c r="A2746" s="266">
        <f>IFERROR(__xludf.DUMMYFUNCTION("""COMPUTED_VALUE"""),45384.99861111111)</f>
        <v>45384.99861</v>
      </c>
      <c r="B2746" s="1">
        <f>IFERROR(__xludf.DUMMYFUNCTION("""COMPUTED_VALUE"""),65620.65)</f>
        <v>65620.65</v>
      </c>
      <c r="C2746" s="58">
        <f t="shared" si="1"/>
        <v>5568.998611</v>
      </c>
      <c r="D2746" s="1">
        <f t="shared" si="2"/>
        <v>27579.52968</v>
      </c>
      <c r="E2746" s="1">
        <f t="shared" si="3"/>
        <v>49643.15343</v>
      </c>
      <c r="F2746" s="1">
        <f t="shared" si="4"/>
        <v>93770.40092</v>
      </c>
      <c r="G2746" s="1">
        <f t="shared" si="5"/>
        <v>165477.1781</v>
      </c>
      <c r="H2746" s="1">
        <f t="shared" si="6"/>
        <v>303374.8265</v>
      </c>
      <c r="I2746" s="1">
        <f t="shared" si="7"/>
        <v>496431.5343</v>
      </c>
    </row>
    <row r="2747" hidden="1">
      <c r="A2747" s="266">
        <f>IFERROR(__xludf.DUMMYFUNCTION("""COMPUTED_VALUE"""),45385.99861111111)</f>
        <v>45385.99861</v>
      </c>
      <c r="B2747" s="1">
        <f>IFERROR(__xludf.DUMMYFUNCTION("""COMPUTED_VALUE"""),66053.35)</f>
        <v>66053.35</v>
      </c>
      <c r="C2747" s="58">
        <f t="shared" si="1"/>
        <v>5569.998611</v>
      </c>
      <c r="D2747" s="1">
        <f t="shared" si="2"/>
        <v>27608.26559</v>
      </c>
      <c r="E2747" s="1">
        <f t="shared" si="3"/>
        <v>49694.87806</v>
      </c>
      <c r="F2747" s="1">
        <f t="shared" si="4"/>
        <v>93868.103</v>
      </c>
      <c r="G2747" s="1">
        <f t="shared" si="5"/>
        <v>165649.5935</v>
      </c>
      <c r="H2747" s="1">
        <f t="shared" si="6"/>
        <v>303690.9215</v>
      </c>
      <c r="I2747" s="1">
        <f t="shared" si="7"/>
        <v>496948.7806</v>
      </c>
    </row>
    <row r="2748" hidden="1">
      <c r="A2748" s="266">
        <f>IFERROR(__xludf.DUMMYFUNCTION("""COMPUTED_VALUE"""),45386.99861111111)</f>
        <v>45386.99861</v>
      </c>
      <c r="B2748" s="1">
        <f>IFERROR(__xludf.DUMMYFUNCTION("""COMPUTED_VALUE"""),68517.75)</f>
        <v>68517.75</v>
      </c>
      <c r="C2748" s="58">
        <f t="shared" si="1"/>
        <v>5570.998611</v>
      </c>
      <c r="D2748" s="1">
        <f t="shared" si="2"/>
        <v>27637.02627</v>
      </c>
      <c r="E2748" s="1">
        <f t="shared" si="3"/>
        <v>49746.64728</v>
      </c>
      <c r="F2748" s="1">
        <f t="shared" si="4"/>
        <v>93965.88931</v>
      </c>
      <c r="G2748" s="1">
        <f t="shared" si="5"/>
        <v>165822.1576</v>
      </c>
      <c r="H2748" s="1">
        <f t="shared" si="6"/>
        <v>304007.289</v>
      </c>
      <c r="I2748" s="1">
        <f t="shared" si="7"/>
        <v>497466.4728</v>
      </c>
    </row>
    <row r="2749" hidden="1">
      <c r="A2749" s="266">
        <f>IFERROR(__xludf.DUMMYFUNCTION("""COMPUTED_VALUE"""),45387.99861111111)</f>
        <v>45387.99861</v>
      </c>
      <c r="B2749" s="1">
        <f>IFERROR(__xludf.DUMMYFUNCTION("""COMPUTED_VALUE"""),67824.42)</f>
        <v>67824.42</v>
      </c>
      <c r="C2749" s="58">
        <f t="shared" si="1"/>
        <v>5571.998611</v>
      </c>
      <c r="D2749" s="1">
        <f t="shared" si="2"/>
        <v>27665.81174</v>
      </c>
      <c r="E2749" s="1">
        <f t="shared" si="3"/>
        <v>49798.46113</v>
      </c>
      <c r="F2749" s="1">
        <f t="shared" si="4"/>
        <v>94063.75992</v>
      </c>
      <c r="G2749" s="1">
        <f t="shared" si="5"/>
        <v>165994.8704</v>
      </c>
      <c r="H2749" s="1">
        <f t="shared" si="6"/>
        <v>304323.9291</v>
      </c>
      <c r="I2749" s="1">
        <f t="shared" si="7"/>
        <v>497984.6113</v>
      </c>
    </row>
    <row r="2750" hidden="1">
      <c r="A2750" s="266">
        <f>IFERROR(__xludf.DUMMYFUNCTION("""COMPUTED_VALUE"""),45388.99861111111)</f>
        <v>45388.99861</v>
      </c>
      <c r="B2750" s="1">
        <f>IFERROR(__xludf.DUMMYFUNCTION("""COMPUTED_VALUE"""),68870.32)</f>
        <v>68870.32</v>
      </c>
      <c r="C2750" s="58">
        <f t="shared" si="1"/>
        <v>5572.998611</v>
      </c>
      <c r="D2750" s="1">
        <f t="shared" si="2"/>
        <v>27694.62202</v>
      </c>
      <c r="E2750" s="1">
        <f t="shared" si="3"/>
        <v>49850.31964</v>
      </c>
      <c r="F2750" s="1">
        <f t="shared" si="4"/>
        <v>94161.71487</v>
      </c>
      <c r="G2750" s="1">
        <f t="shared" si="5"/>
        <v>166167.7321</v>
      </c>
      <c r="H2750" s="1">
        <f t="shared" si="6"/>
        <v>304640.8422</v>
      </c>
      <c r="I2750" s="1">
        <f t="shared" si="7"/>
        <v>498503.1964</v>
      </c>
    </row>
    <row r="2751" hidden="1">
      <c r="A2751" s="266">
        <f>IFERROR(__xludf.DUMMYFUNCTION("""COMPUTED_VALUE"""),45389.99861111111)</f>
        <v>45389.99861</v>
      </c>
      <c r="B2751" s="1">
        <f>IFERROR(__xludf.DUMMYFUNCTION("""COMPUTED_VALUE"""),69412.3)</f>
        <v>69412.3</v>
      </c>
      <c r="C2751" s="58">
        <f t="shared" si="1"/>
        <v>5573.998611</v>
      </c>
      <c r="D2751" s="1">
        <f t="shared" si="2"/>
        <v>27723.45713</v>
      </c>
      <c r="E2751" s="1">
        <f t="shared" si="3"/>
        <v>49902.22283</v>
      </c>
      <c r="F2751" s="1">
        <f t="shared" si="4"/>
        <v>94259.75423</v>
      </c>
      <c r="G2751" s="1">
        <f t="shared" si="5"/>
        <v>166340.7428</v>
      </c>
      <c r="H2751" s="1">
        <f t="shared" si="6"/>
        <v>304958.0284</v>
      </c>
      <c r="I2751" s="1">
        <f t="shared" si="7"/>
        <v>499022.2283</v>
      </c>
    </row>
    <row r="2752" hidden="1">
      <c r="A2752" s="266">
        <f>IFERROR(__xludf.DUMMYFUNCTION("""COMPUTED_VALUE"""),45390.99861111111)</f>
        <v>45390.99861</v>
      </c>
      <c r="B2752" s="1">
        <f>IFERROR(__xludf.DUMMYFUNCTION("""COMPUTED_VALUE"""),71636.84)</f>
        <v>71636.84</v>
      </c>
      <c r="C2752" s="58">
        <f t="shared" si="1"/>
        <v>5574.998611</v>
      </c>
      <c r="D2752" s="1">
        <f t="shared" si="2"/>
        <v>27752.31707</v>
      </c>
      <c r="E2752" s="1">
        <f t="shared" si="3"/>
        <v>49954.17073</v>
      </c>
      <c r="F2752" s="1">
        <f t="shared" si="4"/>
        <v>94357.87804</v>
      </c>
      <c r="G2752" s="1">
        <f t="shared" si="5"/>
        <v>166513.9024</v>
      </c>
      <c r="H2752" s="1">
        <f t="shared" si="6"/>
        <v>305275.4878</v>
      </c>
      <c r="I2752" s="1">
        <f t="shared" si="7"/>
        <v>499541.7073</v>
      </c>
    </row>
    <row r="2753" hidden="1">
      <c r="A2753" s="266">
        <f>IFERROR(__xludf.DUMMYFUNCTION("""COMPUTED_VALUE"""),45391.99861111111)</f>
        <v>45391.99861</v>
      </c>
      <c r="B2753" s="1">
        <f>IFERROR(__xludf.DUMMYFUNCTION("""COMPUTED_VALUE"""),69156.68)</f>
        <v>69156.68</v>
      </c>
      <c r="C2753" s="58">
        <f t="shared" si="1"/>
        <v>5575.998611</v>
      </c>
      <c r="D2753" s="1">
        <f t="shared" si="2"/>
        <v>27781.20188</v>
      </c>
      <c r="E2753" s="1">
        <f t="shared" si="3"/>
        <v>50006.16338</v>
      </c>
      <c r="F2753" s="1">
        <f t="shared" si="4"/>
        <v>94456.08638</v>
      </c>
      <c r="G2753" s="1">
        <f t="shared" si="5"/>
        <v>166687.2113</v>
      </c>
      <c r="H2753" s="1">
        <f t="shared" si="6"/>
        <v>305593.2206</v>
      </c>
      <c r="I2753" s="1">
        <f t="shared" si="7"/>
        <v>500061.6338</v>
      </c>
    </row>
    <row r="2754" hidden="1">
      <c r="A2754" s="266">
        <f>IFERROR(__xludf.DUMMYFUNCTION("""COMPUTED_VALUE"""),45392.99861111111)</f>
        <v>45392.99861</v>
      </c>
      <c r="B2754" s="1">
        <f>IFERROR(__xludf.DUMMYFUNCTION("""COMPUTED_VALUE"""),70612.79)</f>
        <v>70612.79</v>
      </c>
      <c r="C2754" s="58">
        <f t="shared" si="1"/>
        <v>5576.998611</v>
      </c>
      <c r="D2754" s="1">
        <f t="shared" si="2"/>
        <v>27810.11156</v>
      </c>
      <c r="E2754" s="1">
        <f t="shared" si="3"/>
        <v>50058.2008</v>
      </c>
      <c r="F2754" s="1">
        <f t="shared" si="4"/>
        <v>94554.3793</v>
      </c>
      <c r="G2754" s="1">
        <f t="shared" si="5"/>
        <v>166860.6693</v>
      </c>
      <c r="H2754" s="1">
        <f t="shared" si="6"/>
        <v>305911.2271</v>
      </c>
      <c r="I2754" s="1">
        <f t="shared" si="7"/>
        <v>500582.008</v>
      </c>
    </row>
    <row r="2755" hidden="1">
      <c r="A2755" s="266">
        <f>IFERROR(__xludf.DUMMYFUNCTION("""COMPUTED_VALUE"""),45393.99861111111)</f>
        <v>45393.99861</v>
      </c>
      <c r="B2755" s="1">
        <f>IFERROR(__xludf.DUMMYFUNCTION("""COMPUTED_VALUE"""),70029.4)</f>
        <v>70029.4</v>
      </c>
      <c r="C2755" s="58">
        <f t="shared" si="1"/>
        <v>5577.998611</v>
      </c>
      <c r="D2755" s="1">
        <f t="shared" si="2"/>
        <v>27839.04613</v>
      </c>
      <c r="E2755" s="1">
        <f t="shared" si="3"/>
        <v>50110.28304</v>
      </c>
      <c r="F2755" s="1">
        <f t="shared" si="4"/>
        <v>94652.75685</v>
      </c>
      <c r="G2755" s="1">
        <f t="shared" si="5"/>
        <v>167034.2768</v>
      </c>
      <c r="H2755" s="1">
        <f t="shared" si="6"/>
        <v>306229.5074</v>
      </c>
      <c r="I2755" s="1">
        <f t="shared" si="7"/>
        <v>501102.8304</v>
      </c>
    </row>
    <row r="2756" hidden="1">
      <c r="A2756" s="266">
        <f>IFERROR(__xludf.DUMMYFUNCTION("""COMPUTED_VALUE"""),45394.99861111111)</f>
        <v>45394.99861</v>
      </c>
      <c r="B2756" s="1">
        <f>IFERROR(__xludf.DUMMYFUNCTION("""COMPUTED_VALUE"""),67094.69)</f>
        <v>67094.69</v>
      </c>
      <c r="C2756" s="58">
        <f t="shared" si="1"/>
        <v>5578.998611</v>
      </c>
      <c r="D2756" s="1">
        <f t="shared" si="2"/>
        <v>27868.00561</v>
      </c>
      <c r="E2756" s="1">
        <f t="shared" si="3"/>
        <v>50162.41011</v>
      </c>
      <c r="F2756" s="1">
        <f t="shared" si="4"/>
        <v>94751.21909</v>
      </c>
      <c r="G2756" s="1">
        <f t="shared" si="5"/>
        <v>167208.0337</v>
      </c>
      <c r="H2756" s="1">
        <f t="shared" si="6"/>
        <v>306548.0618</v>
      </c>
      <c r="I2756" s="1">
        <f t="shared" si="7"/>
        <v>501624.1011</v>
      </c>
    </row>
    <row r="2757" hidden="1">
      <c r="A2757" s="266">
        <f>IFERROR(__xludf.DUMMYFUNCTION("""COMPUTED_VALUE"""),45395.99861111111)</f>
        <v>45395.99861</v>
      </c>
      <c r="B2757" s="1">
        <f>IFERROR(__xludf.DUMMYFUNCTION("""COMPUTED_VALUE"""),64349.1)</f>
        <v>64349.1</v>
      </c>
      <c r="C2757" s="58">
        <f t="shared" si="1"/>
        <v>5579.998611</v>
      </c>
      <c r="D2757" s="1">
        <f t="shared" si="2"/>
        <v>27896.99002</v>
      </c>
      <c r="E2757" s="1">
        <f t="shared" si="3"/>
        <v>50214.58204</v>
      </c>
      <c r="F2757" s="1">
        <f t="shared" si="4"/>
        <v>94849.76608</v>
      </c>
      <c r="G2757" s="1">
        <f t="shared" si="5"/>
        <v>167381.9401</v>
      </c>
      <c r="H2757" s="1">
        <f t="shared" si="6"/>
        <v>306866.8903</v>
      </c>
      <c r="I2757" s="1">
        <f t="shared" si="7"/>
        <v>502145.8204</v>
      </c>
    </row>
    <row r="2758" hidden="1">
      <c r="A2758" s="266">
        <f>IFERROR(__xludf.DUMMYFUNCTION("""COMPUTED_VALUE"""),45396.99861111111)</f>
        <v>45396.99861</v>
      </c>
      <c r="B2758" s="1">
        <f>IFERROR(__xludf.DUMMYFUNCTION("""COMPUTED_VALUE"""),65779.36)</f>
        <v>65779.36</v>
      </c>
      <c r="C2758" s="58">
        <f t="shared" si="1"/>
        <v>5580.998611</v>
      </c>
      <c r="D2758" s="1">
        <f t="shared" si="2"/>
        <v>27925.99938</v>
      </c>
      <c r="E2758" s="1">
        <f t="shared" si="3"/>
        <v>50266.79888</v>
      </c>
      <c r="F2758" s="1">
        <f t="shared" si="4"/>
        <v>94948.39788</v>
      </c>
      <c r="G2758" s="1">
        <f t="shared" si="5"/>
        <v>167555.9963</v>
      </c>
      <c r="H2758" s="1">
        <f t="shared" si="6"/>
        <v>307185.9931</v>
      </c>
      <c r="I2758" s="1">
        <f t="shared" si="7"/>
        <v>502667.9888</v>
      </c>
    </row>
    <row r="2759" hidden="1">
      <c r="A2759" s="266">
        <f>IFERROR(__xludf.DUMMYFUNCTION("""COMPUTED_VALUE"""),45397.99861111111)</f>
        <v>45397.99861</v>
      </c>
      <c r="B2759" s="1">
        <f>IFERROR(__xludf.DUMMYFUNCTION("""COMPUTED_VALUE"""),63431.23)</f>
        <v>63431.23</v>
      </c>
      <c r="C2759" s="58">
        <f t="shared" si="1"/>
        <v>5581.998611</v>
      </c>
      <c r="D2759" s="1">
        <f t="shared" si="2"/>
        <v>27955.03369</v>
      </c>
      <c r="E2759" s="1">
        <f t="shared" si="3"/>
        <v>50319.06064</v>
      </c>
      <c r="F2759" s="1">
        <f t="shared" si="4"/>
        <v>95047.11455</v>
      </c>
      <c r="G2759" s="1">
        <f t="shared" si="5"/>
        <v>167730.2021</v>
      </c>
      <c r="H2759" s="1">
        <f t="shared" si="6"/>
        <v>307505.3706</v>
      </c>
      <c r="I2759" s="1">
        <f t="shared" si="7"/>
        <v>503190.6064</v>
      </c>
    </row>
    <row r="2760" hidden="1">
      <c r="A2760" s="266">
        <f>IFERROR(__xludf.DUMMYFUNCTION("""COMPUTED_VALUE"""),45398.99861111111)</f>
        <v>45398.99861</v>
      </c>
      <c r="B2760" s="1">
        <f>IFERROR(__xludf.DUMMYFUNCTION("""COMPUTED_VALUE"""),63780.76)</f>
        <v>63780.76</v>
      </c>
      <c r="C2760" s="58">
        <f t="shared" si="1"/>
        <v>5582.998611</v>
      </c>
      <c r="D2760" s="1">
        <f t="shared" si="2"/>
        <v>27984.09298</v>
      </c>
      <c r="E2760" s="1">
        <f t="shared" si="3"/>
        <v>50371.36737</v>
      </c>
      <c r="F2760" s="1">
        <f t="shared" si="4"/>
        <v>95145.91614</v>
      </c>
      <c r="G2760" s="1">
        <f t="shared" si="5"/>
        <v>167904.5579</v>
      </c>
      <c r="H2760" s="1">
        <f t="shared" si="6"/>
        <v>307825.0228</v>
      </c>
      <c r="I2760" s="1">
        <f t="shared" si="7"/>
        <v>503713.6737</v>
      </c>
    </row>
    <row r="2761" hidden="1">
      <c r="A2761" s="266">
        <f>IFERROR(__xludf.DUMMYFUNCTION("""COMPUTED_VALUE"""),45399.99861111111)</f>
        <v>45399.99861</v>
      </c>
      <c r="B2761" s="1">
        <f>IFERROR(__xludf.DUMMYFUNCTION("""COMPUTED_VALUE"""),61321.64)</f>
        <v>61321.64</v>
      </c>
      <c r="C2761" s="58">
        <f t="shared" si="1"/>
        <v>5583.998611</v>
      </c>
      <c r="D2761" s="1">
        <f t="shared" si="2"/>
        <v>28013.17727</v>
      </c>
      <c r="E2761" s="1">
        <f t="shared" si="3"/>
        <v>50423.71908</v>
      </c>
      <c r="F2761" s="1">
        <f t="shared" si="4"/>
        <v>95244.80271</v>
      </c>
      <c r="G2761" s="1">
        <f t="shared" si="5"/>
        <v>168079.0636</v>
      </c>
      <c r="H2761" s="1">
        <f t="shared" si="6"/>
        <v>308144.9499</v>
      </c>
      <c r="I2761" s="1">
        <f t="shared" si="7"/>
        <v>504237.1908</v>
      </c>
    </row>
    <row r="2762" hidden="1">
      <c r="A2762" s="266">
        <f>IFERROR(__xludf.DUMMYFUNCTION("""COMPUTED_VALUE"""),45400.99861111111)</f>
        <v>45400.99861</v>
      </c>
      <c r="B2762" s="1">
        <f>IFERROR(__xludf.DUMMYFUNCTION("""COMPUTED_VALUE"""),63509.67)</f>
        <v>63509.67</v>
      </c>
      <c r="C2762" s="58">
        <f t="shared" si="1"/>
        <v>5584.998611</v>
      </c>
      <c r="D2762" s="1">
        <f t="shared" si="2"/>
        <v>28042.28656</v>
      </c>
      <c r="E2762" s="1">
        <f t="shared" si="3"/>
        <v>50476.11582</v>
      </c>
      <c r="F2762" s="1">
        <f t="shared" si="4"/>
        <v>95343.77432</v>
      </c>
      <c r="G2762" s="1">
        <f t="shared" si="5"/>
        <v>168253.7194</v>
      </c>
      <c r="H2762" s="1">
        <f t="shared" si="6"/>
        <v>308465.1522</v>
      </c>
      <c r="I2762" s="1">
        <f t="shared" si="7"/>
        <v>504761.1582</v>
      </c>
    </row>
    <row r="2763" hidden="1">
      <c r="A2763" s="266">
        <f>IFERROR(__xludf.DUMMYFUNCTION("""COMPUTED_VALUE"""),45401.99861111111)</f>
        <v>45401.99861</v>
      </c>
      <c r="B2763" s="1">
        <f>IFERROR(__xludf.DUMMYFUNCTION("""COMPUTED_VALUE"""),63803.57)</f>
        <v>63803.57</v>
      </c>
      <c r="C2763" s="58">
        <f t="shared" si="1"/>
        <v>5585.998611</v>
      </c>
      <c r="D2763" s="1">
        <f t="shared" si="2"/>
        <v>28071.42089</v>
      </c>
      <c r="E2763" s="1">
        <f t="shared" si="3"/>
        <v>50528.5576</v>
      </c>
      <c r="F2763" s="1">
        <f t="shared" si="4"/>
        <v>95442.83103</v>
      </c>
      <c r="G2763" s="1">
        <f t="shared" si="5"/>
        <v>168428.5253</v>
      </c>
      <c r="H2763" s="1">
        <f t="shared" si="6"/>
        <v>308785.6298</v>
      </c>
      <c r="I2763" s="1">
        <f t="shared" si="7"/>
        <v>505285.576</v>
      </c>
    </row>
    <row r="2764" hidden="1">
      <c r="A2764" s="266">
        <f>IFERROR(__xludf.DUMMYFUNCTION("""COMPUTED_VALUE"""),45402.99861111111)</f>
        <v>45402.99861</v>
      </c>
      <c r="B2764" s="1">
        <f>IFERROR(__xludf.DUMMYFUNCTION("""COMPUTED_VALUE"""),64958.39)</f>
        <v>64958.39</v>
      </c>
      <c r="C2764" s="58">
        <f t="shared" si="1"/>
        <v>5586.998611</v>
      </c>
      <c r="D2764" s="1">
        <f t="shared" si="2"/>
        <v>28100.58026</v>
      </c>
      <c r="E2764" s="1">
        <f t="shared" si="3"/>
        <v>50581.04447</v>
      </c>
      <c r="F2764" s="1">
        <f t="shared" si="4"/>
        <v>95541.97289</v>
      </c>
      <c r="G2764" s="1">
        <f t="shared" si="5"/>
        <v>168603.4816</v>
      </c>
      <c r="H2764" s="1">
        <f t="shared" si="6"/>
        <v>309106.3829</v>
      </c>
      <c r="I2764" s="1">
        <f t="shared" si="7"/>
        <v>505810.4447</v>
      </c>
    </row>
    <row r="2765" hidden="1">
      <c r="A2765" s="266">
        <f>IFERROR(__xludf.DUMMYFUNCTION("""COMPUTED_VALUE"""),45403.99861111111)</f>
        <v>45403.99861</v>
      </c>
      <c r="B2765" s="1">
        <f>IFERROR(__xludf.DUMMYFUNCTION("""COMPUTED_VALUE"""),64946.52)</f>
        <v>64946.52</v>
      </c>
      <c r="C2765" s="58">
        <f t="shared" si="1"/>
        <v>5587.998611</v>
      </c>
      <c r="D2765" s="1">
        <f t="shared" si="2"/>
        <v>28129.7647</v>
      </c>
      <c r="E2765" s="1">
        <f t="shared" si="3"/>
        <v>50633.57645</v>
      </c>
      <c r="F2765" s="1">
        <f t="shared" si="4"/>
        <v>95641.19997</v>
      </c>
      <c r="G2765" s="1">
        <f t="shared" si="5"/>
        <v>168778.5882</v>
      </c>
      <c r="H2765" s="1">
        <f t="shared" si="6"/>
        <v>309427.4117</v>
      </c>
      <c r="I2765" s="1">
        <f t="shared" si="7"/>
        <v>506335.7645</v>
      </c>
    </row>
    <row r="2766" hidden="1">
      <c r="A2766" s="266">
        <f>IFERROR(__xludf.DUMMYFUNCTION("""COMPUTED_VALUE"""),45404.99861111111)</f>
        <v>45404.99861</v>
      </c>
      <c r="B2766" s="1">
        <f>IFERROR(__xludf.DUMMYFUNCTION("""COMPUTED_VALUE"""),66840.57)</f>
        <v>66840.57</v>
      </c>
      <c r="C2766" s="58">
        <f t="shared" si="1"/>
        <v>5588.998611</v>
      </c>
      <c r="D2766" s="1">
        <f t="shared" si="2"/>
        <v>28158.97421</v>
      </c>
      <c r="E2766" s="1">
        <f t="shared" si="3"/>
        <v>50686.15358</v>
      </c>
      <c r="F2766" s="1">
        <f t="shared" si="4"/>
        <v>95740.51232</v>
      </c>
      <c r="G2766" s="1">
        <f t="shared" si="5"/>
        <v>168953.8453</v>
      </c>
      <c r="H2766" s="1">
        <f t="shared" si="6"/>
        <v>309748.7163</v>
      </c>
      <c r="I2766" s="1">
        <f t="shared" si="7"/>
        <v>506861.5358</v>
      </c>
    </row>
    <row r="2767" hidden="1">
      <c r="A2767" s="266">
        <f>IFERROR(__xludf.DUMMYFUNCTION("""COMPUTED_VALUE"""),45405.99861111111)</f>
        <v>45405.99861</v>
      </c>
      <c r="B2767" s="1">
        <f>IFERROR(__xludf.DUMMYFUNCTION("""COMPUTED_VALUE"""),66402.03)</f>
        <v>66402.03</v>
      </c>
      <c r="C2767" s="58">
        <f t="shared" si="1"/>
        <v>5589.998611</v>
      </c>
      <c r="D2767" s="1">
        <f t="shared" si="2"/>
        <v>28188.20882</v>
      </c>
      <c r="E2767" s="1">
        <f t="shared" si="3"/>
        <v>50738.77588</v>
      </c>
      <c r="F2767" s="1">
        <f t="shared" si="4"/>
        <v>95839.90999</v>
      </c>
      <c r="G2767" s="1">
        <f t="shared" si="5"/>
        <v>169129.2529</v>
      </c>
      <c r="H2767" s="1">
        <f t="shared" si="6"/>
        <v>310070.297</v>
      </c>
      <c r="I2767" s="1">
        <f t="shared" si="7"/>
        <v>507387.7588</v>
      </c>
    </row>
    <row r="2768" hidden="1">
      <c r="A2768" s="266">
        <f>IFERROR(__xludf.DUMMYFUNCTION("""COMPUTED_VALUE"""),45406.99861111111)</f>
        <v>45406.99861</v>
      </c>
      <c r="B2768" s="1">
        <f>IFERROR(__xludf.DUMMYFUNCTION("""COMPUTED_VALUE"""),64270.73)</f>
        <v>64270.73</v>
      </c>
      <c r="C2768" s="58">
        <f t="shared" si="1"/>
        <v>5590.998611</v>
      </c>
      <c r="D2768" s="1">
        <f t="shared" si="2"/>
        <v>28217.46855</v>
      </c>
      <c r="E2768" s="1">
        <f t="shared" si="3"/>
        <v>50791.44338</v>
      </c>
      <c r="F2768" s="1">
        <f t="shared" si="4"/>
        <v>95939.39306</v>
      </c>
      <c r="G2768" s="1">
        <f t="shared" si="5"/>
        <v>169304.8113</v>
      </c>
      <c r="H2768" s="1">
        <f t="shared" si="6"/>
        <v>310392.154</v>
      </c>
      <c r="I2768" s="1">
        <f t="shared" si="7"/>
        <v>507914.4338</v>
      </c>
    </row>
    <row r="2769" hidden="1">
      <c r="A2769" s="266">
        <f>IFERROR(__xludf.DUMMYFUNCTION("""COMPUTED_VALUE"""),45407.99861111111)</f>
        <v>45407.99861</v>
      </c>
      <c r="B2769" s="1">
        <f>IFERROR(__xludf.DUMMYFUNCTION("""COMPUTED_VALUE"""),64506.1)</f>
        <v>64506.1</v>
      </c>
      <c r="C2769" s="58">
        <f t="shared" si="1"/>
        <v>5591.998611</v>
      </c>
      <c r="D2769" s="1">
        <f t="shared" si="2"/>
        <v>28246.7534</v>
      </c>
      <c r="E2769" s="1">
        <f t="shared" si="3"/>
        <v>50844.15612</v>
      </c>
      <c r="F2769" s="1">
        <f t="shared" si="4"/>
        <v>96038.96157</v>
      </c>
      <c r="G2769" s="1">
        <f t="shared" si="5"/>
        <v>169480.5204</v>
      </c>
      <c r="H2769" s="1">
        <f t="shared" si="6"/>
        <v>310714.2874</v>
      </c>
      <c r="I2769" s="1">
        <f t="shared" si="7"/>
        <v>508441.5612</v>
      </c>
    </row>
    <row r="2770" hidden="1">
      <c r="A2770" s="266">
        <f>IFERROR(__xludf.DUMMYFUNCTION("""COMPUTED_VALUE"""),45408.99861111111)</f>
        <v>45408.99861</v>
      </c>
      <c r="B2770" s="1">
        <f>IFERROR(__xludf.DUMMYFUNCTION("""COMPUTED_VALUE"""),63782.04)</f>
        <v>63782.04</v>
      </c>
      <c r="C2770" s="58">
        <f t="shared" si="1"/>
        <v>5592.998611</v>
      </c>
      <c r="D2770" s="1">
        <f t="shared" si="2"/>
        <v>28276.06341</v>
      </c>
      <c r="E2770" s="1">
        <f t="shared" si="3"/>
        <v>50896.91413</v>
      </c>
      <c r="F2770" s="1">
        <f t="shared" si="4"/>
        <v>96138.61558</v>
      </c>
      <c r="G2770" s="1">
        <f t="shared" si="5"/>
        <v>169656.3804</v>
      </c>
      <c r="H2770" s="1">
        <f t="shared" si="6"/>
        <v>311036.6975</v>
      </c>
      <c r="I2770" s="1">
        <f t="shared" si="7"/>
        <v>508969.1413</v>
      </c>
    </row>
    <row r="2771" hidden="1">
      <c r="A2771" s="266">
        <f>IFERROR(__xludf.DUMMYFUNCTION("""COMPUTED_VALUE"""),45409.99861111111)</f>
        <v>45409.99861</v>
      </c>
      <c r="B2771" s="1">
        <f>IFERROR(__xludf.DUMMYFUNCTION("""COMPUTED_VALUE"""),63452.65)</f>
        <v>63452.65</v>
      </c>
      <c r="C2771" s="58">
        <f t="shared" si="1"/>
        <v>5593.998611</v>
      </c>
      <c r="D2771" s="1">
        <f t="shared" si="2"/>
        <v>28305.39857</v>
      </c>
      <c r="E2771" s="1">
        <f t="shared" si="3"/>
        <v>50949.71743</v>
      </c>
      <c r="F2771" s="1">
        <f t="shared" si="4"/>
        <v>96238.35515</v>
      </c>
      <c r="G2771" s="1">
        <f t="shared" si="5"/>
        <v>169832.3914</v>
      </c>
      <c r="H2771" s="1">
        <f t="shared" si="6"/>
        <v>311359.3843</v>
      </c>
      <c r="I2771" s="1">
        <f t="shared" si="7"/>
        <v>509497.1743</v>
      </c>
    </row>
    <row r="2772" hidden="1">
      <c r="A2772" s="266">
        <f>IFERROR(__xludf.DUMMYFUNCTION("""COMPUTED_VALUE"""),45410.99861111111)</f>
        <v>45410.99861</v>
      </c>
      <c r="B2772" s="1">
        <f>IFERROR(__xludf.DUMMYFUNCTION("""COMPUTED_VALUE"""),62987.93)</f>
        <v>62987.93</v>
      </c>
      <c r="C2772" s="58">
        <f t="shared" si="1"/>
        <v>5594.998611</v>
      </c>
      <c r="D2772" s="1">
        <f t="shared" si="2"/>
        <v>28334.75893</v>
      </c>
      <c r="E2772" s="1">
        <f t="shared" si="3"/>
        <v>51002.56607</v>
      </c>
      <c r="F2772" s="1">
        <f t="shared" si="4"/>
        <v>96338.18035</v>
      </c>
      <c r="G2772" s="1">
        <f t="shared" si="5"/>
        <v>170008.5536</v>
      </c>
      <c r="H2772" s="1">
        <f t="shared" si="6"/>
        <v>311682.3482</v>
      </c>
      <c r="I2772" s="1">
        <f t="shared" si="7"/>
        <v>510025.6607</v>
      </c>
    </row>
    <row r="2773" hidden="1">
      <c r="A2773" s="266">
        <f>IFERROR(__xludf.DUMMYFUNCTION("""COMPUTED_VALUE"""),45411.99861111111)</f>
        <v>45411.99861</v>
      </c>
      <c r="B2773" s="1">
        <f>IFERROR(__xludf.DUMMYFUNCTION("""COMPUTED_VALUE"""),63869.59)</f>
        <v>63869.59</v>
      </c>
      <c r="C2773" s="58">
        <f t="shared" si="1"/>
        <v>5595.998611</v>
      </c>
      <c r="D2773" s="1">
        <f t="shared" si="2"/>
        <v>28364.14448</v>
      </c>
      <c r="E2773" s="1">
        <f t="shared" si="3"/>
        <v>51055.46006</v>
      </c>
      <c r="F2773" s="1">
        <f t="shared" si="4"/>
        <v>96438.09122</v>
      </c>
      <c r="G2773" s="1">
        <f t="shared" si="5"/>
        <v>170184.8669</v>
      </c>
      <c r="H2773" s="1">
        <f t="shared" si="6"/>
        <v>312005.5892</v>
      </c>
      <c r="I2773" s="1">
        <f t="shared" si="7"/>
        <v>510554.6006</v>
      </c>
    </row>
    <row r="2774" hidden="1">
      <c r="A2774" s="266">
        <f>IFERROR(__xludf.DUMMYFUNCTION("""COMPUTED_VALUE"""),45412.99861111111)</f>
        <v>45412.99861</v>
      </c>
      <c r="B2774" s="1">
        <f>IFERROR(__xludf.DUMMYFUNCTION("""COMPUTED_VALUE"""),60751.65)</f>
        <v>60751.65</v>
      </c>
      <c r="C2774" s="58">
        <f t="shared" si="1"/>
        <v>5596.998611</v>
      </c>
      <c r="D2774" s="1">
        <f t="shared" si="2"/>
        <v>28393.55524</v>
      </c>
      <c r="E2774" s="1">
        <f t="shared" si="3"/>
        <v>51108.39944</v>
      </c>
      <c r="F2774" s="1">
        <f t="shared" si="4"/>
        <v>96538.08782</v>
      </c>
      <c r="G2774" s="1">
        <f t="shared" si="5"/>
        <v>170361.3315</v>
      </c>
      <c r="H2774" s="1">
        <f t="shared" si="6"/>
        <v>312329.1077</v>
      </c>
      <c r="I2774" s="1">
        <f t="shared" si="7"/>
        <v>511083.9944</v>
      </c>
    </row>
    <row r="2775" hidden="1">
      <c r="A2775" s="266">
        <f>IFERROR(__xludf.DUMMYFUNCTION("""COMPUTED_VALUE"""),45413.99861111111)</f>
        <v>45413.99861</v>
      </c>
      <c r="B2775" s="1">
        <f>IFERROR(__xludf.DUMMYFUNCTION("""COMPUTED_VALUE"""),58311.26)</f>
        <v>58311.26</v>
      </c>
      <c r="C2775" s="58">
        <f t="shared" si="1"/>
        <v>5597.998611</v>
      </c>
      <c r="D2775" s="1">
        <f t="shared" si="2"/>
        <v>28422.99124</v>
      </c>
      <c r="E2775" s="1">
        <f t="shared" si="3"/>
        <v>51161.38424</v>
      </c>
      <c r="F2775" s="1">
        <f t="shared" si="4"/>
        <v>96638.17022</v>
      </c>
      <c r="G2775" s="1">
        <f t="shared" si="5"/>
        <v>170537.9475</v>
      </c>
      <c r="H2775" s="1">
        <f t="shared" si="6"/>
        <v>312652.9037</v>
      </c>
      <c r="I2775" s="1">
        <f t="shared" si="7"/>
        <v>511613.8424</v>
      </c>
    </row>
    <row r="2776" hidden="1">
      <c r="A2776" s="266">
        <f>IFERROR(__xludf.DUMMYFUNCTION("""COMPUTED_VALUE"""),45414.99861111111)</f>
        <v>45414.99861</v>
      </c>
      <c r="B2776" s="1">
        <f>IFERROR(__xludf.DUMMYFUNCTION("""COMPUTED_VALUE"""),59146.74)</f>
        <v>59146.74</v>
      </c>
      <c r="C2776" s="58">
        <f t="shared" si="1"/>
        <v>5598.998611</v>
      </c>
      <c r="D2776" s="1">
        <f t="shared" si="2"/>
        <v>28452.45249</v>
      </c>
      <c r="E2776" s="1">
        <f t="shared" si="3"/>
        <v>51214.41449</v>
      </c>
      <c r="F2776" s="1">
        <f t="shared" si="4"/>
        <v>96738.33848</v>
      </c>
      <c r="G2776" s="1">
        <f t="shared" si="5"/>
        <v>170714.715</v>
      </c>
      <c r="H2776" s="1">
        <f t="shared" si="6"/>
        <v>312976.9774</v>
      </c>
      <c r="I2776" s="1">
        <f t="shared" si="7"/>
        <v>512144.1449</v>
      </c>
    </row>
    <row r="2777" hidden="1">
      <c r="A2777" s="266">
        <f>IFERROR(__xludf.DUMMYFUNCTION("""COMPUTED_VALUE"""),45415.99861111111)</f>
        <v>45415.99861</v>
      </c>
      <c r="B2777" s="1">
        <f>IFERROR(__xludf.DUMMYFUNCTION("""COMPUTED_VALUE"""),62914.16)</f>
        <v>62914.16</v>
      </c>
      <c r="C2777" s="58">
        <f t="shared" si="1"/>
        <v>5599.998611</v>
      </c>
      <c r="D2777" s="1">
        <f t="shared" si="2"/>
        <v>28481.93901</v>
      </c>
      <c r="E2777" s="1">
        <f t="shared" si="3"/>
        <v>51267.49022</v>
      </c>
      <c r="F2777" s="1">
        <f t="shared" si="4"/>
        <v>96838.59264</v>
      </c>
      <c r="G2777" s="1">
        <f t="shared" si="5"/>
        <v>170891.6341</v>
      </c>
      <c r="H2777" s="1">
        <f t="shared" si="6"/>
        <v>313301.3291</v>
      </c>
      <c r="I2777" s="1">
        <f t="shared" si="7"/>
        <v>512674.9022</v>
      </c>
    </row>
    <row r="2778" hidden="1">
      <c r="A2778" s="266">
        <f>IFERROR(__xludf.DUMMYFUNCTION("""COMPUTED_VALUE"""),45416.99861111111)</f>
        <v>45416.99861</v>
      </c>
      <c r="B2778" s="1">
        <f>IFERROR(__xludf.DUMMYFUNCTION("""COMPUTED_VALUE"""),63866.37)</f>
        <v>63866.37</v>
      </c>
      <c r="C2778" s="58">
        <f t="shared" si="1"/>
        <v>5600.998611</v>
      </c>
      <c r="D2778" s="1">
        <f t="shared" si="2"/>
        <v>28511.45082</v>
      </c>
      <c r="E2778" s="1">
        <f t="shared" si="3"/>
        <v>51320.61147</v>
      </c>
      <c r="F2778" s="1">
        <f t="shared" si="4"/>
        <v>96938.93277</v>
      </c>
      <c r="G2778" s="1">
        <f t="shared" si="5"/>
        <v>171068.7049</v>
      </c>
      <c r="H2778" s="1">
        <f t="shared" si="6"/>
        <v>313625.959</v>
      </c>
      <c r="I2778" s="1">
        <f t="shared" si="7"/>
        <v>513206.1147</v>
      </c>
    </row>
    <row r="2779" hidden="1">
      <c r="A2779" s="266">
        <f>IFERROR(__xludf.DUMMYFUNCTION("""COMPUTED_VALUE"""),45417.99861111111)</f>
        <v>45417.99861</v>
      </c>
      <c r="B2779" s="1">
        <f>IFERROR(__xludf.DUMMYFUNCTION("""COMPUTED_VALUE"""),63928.8)</f>
        <v>63928.8</v>
      </c>
      <c r="C2779" s="58">
        <f t="shared" si="1"/>
        <v>5601.998611</v>
      </c>
      <c r="D2779" s="1">
        <f t="shared" si="2"/>
        <v>28540.98792</v>
      </c>
      <c r="E2779" s="1">
        <f t="shared" si="3"/>
        <v>51373.77826</v>
      </c>
      <c r="F2779" s="1">
        <f t="shared" si="4"/>
        <v>97039.35893</v>
      </c>
      <c r="G2779" s="1">
        <f t="shared" si="5"/>
        <v>171245.9275</v>
      </c>
      <c r="H2779" s="1">
        <f t="shared" si="6"/>
        <v>313950.8671</v>
      </c>
      <c r="I2779" s="1">
        <f t="shared" si="7"/>
        <v>513737.7826</v>
      </c>
    </row>
    <row r="2780" hidden="1">
      <c r="A2780" s="266">
        <f>IFERROR(__xludf.DUMMYFUNCTION("""COMPUTED_VALUE"""),45418.99861111111)</f>
        <v>45418.99861</v>
      </c>
      <c r="B2780" s="1">
        <f>IFERROR(__xludf.DUMMYFUNCTION("""COMPUTED_VALUE"""),63193.37)</f>
        <v>63193.37</v>
      </c>
      <c r="C2780" s="58">
        <f t="shared" si="1"/>
        <v>5602.998611</v>
      </c>
      <c r="D2780" s="1">
        <f t="shared" si="2"/>
        <v>28570.55035</v>
      </c>
      <c r="E2780" s="1">
        <f t="shared" si="3"/>
        <v>51426.99063</v>
      </c>
      <c r="F2780" s="1">
        <f t="shared" si="4"/>
        <v>97139.87118</v>
      </c>
      <c r="G2780" s="1">
        <f t="shared" si="5"/>
        <v>171423.3021</v>
      </c>
      <c r="H2780" s="1">
        <f t="shared" si="6"/>
        <v>314276.0538</v>
      </c>
      <c r="I2780" s="1">
        <f t="shared" si="7"/>
        <v>514269.9063</v>
      </c>
    </row>
    <row r="2781" hidden="1">
      <c r="A2781" s="266">
        <f>IFERROR(__xludf.DUMMYFUNCTION("""COMPUTED_VALUE"""),45419.99861111111)</f>
        <v>45419.99861</v>
      </c>
      <c r="B2781" s="1">
        <f>IFERROR(__xludf.DUMMYFUNCTION("""COMPUTED_VALUE"""),62382.92)</f>
        <v>62382.92</v>
      </c>
      <c r="C2781" s="58">
        <f t="shared" si="1"/>
        <v>5603.998611</v>
      </c>
      <c r="D2781" s="1">
        <f t="shared" si="2"/>
        <v>28600.13811</v>
      </c>
      <c r="E2781" s="1">
        <f t="shared" si="3"/>
        <v>51480.2486</v>
      </c>
      <c r="F2781" s="1">
        <f t="shared" si="4"/>
        <v>97240.46957</v>
      </c>
      <c r="G2781" s="1">
        <f t="shared" si="5"/>
        <v>171600.8287</v>
      </c>
      <c r="H2781" s="1">
        <f t="shared" si="6"/>
        <v>314601.5192</v>
      </c>
      <c r="I2781" s="1">
        <f t="shared" si="7"/>
        <v>514802.486</v>
      </c>
    </row>
    <row r="2782" hidden="1">
      <c r="A2782" s="266">
        <f>IFERROR(__xludf.DUMMYFUNCTION("""COMPUTED_VALUE"""),45420.99861111111)</f>
        <v>45420.99861</v>
      </c>
      <c r="B2782" s="1">
        <f>IFERROR(__xludf.DUMMYFUNCTION("""COMPUTED_VALUE"""),61105.57)</f>
        <v>61105.57</v>
      </c>
      <c r="C2782" s="58">
        <f t="shared" si="1"/>
        <v>5604.998611</v>
      </c>
      <c r="D2782" s="1">
        <f t="shared" si="2"/>
        <v>28629.75122</v>
      </c>
      <c r="E2782" s="1">
        <f t="shared" si="3"/>
        <v>51533.5522</v>
      </c>
      <c r="F2782" s="1">
        <f t="shared" si="4"/>
        <v>97341.15416</v>
      </c>
      <c r="G2782" s="1">
        <f t="shared" si="5"/>
        <v>171778.5073</v>
      </c>
      <c r="H2782" s="1">
        <f t="shared" si="6"/>
        <v>314927.2635</v>
      </c>
      <c r="I2782" s="1">
        <f t="shared" si="7"/>
        <v>515335.522</v>
      </c>
    </row>
    <row r="2783" hidden="1">
      <c r="A2783" s="266">
        <f>IFERROR(__xludf.DUMMYFUNCTION("""COMPUTED_VALUE"""),45421.99861111111)</f>
        <v>45421.99861</v>
      </c>
      <c r="B2783" s="1">
        <f>IFERROR(__xludf.DUMMYFUNCTION("""COMPUTED_VALUE"""),63025.2)</f>
        <v>63025.2</v>
      </c>
      <c r="C2783" s="58">
        <f t="shared" si="1"/>
        <v>5605.998611</v>
      </c>
      <c r="D2783" s="1">
        <f t="shared" si="2"/>
        <v>28659.38971</v>
      </c>
      <c r="E2783" s="1">
        <f t="shared" si="3"/>
        <v>51586.90148</v>
      </c>
      <c r="F2783" s="1">
        <f t="shared" si="4"/>
        <v>97441.92502</v>
      </c>
      <c r="G2783" s="1">
        <f t="shared" si="5"/>
        <v>171956.3383</v>
      </c>
      <c r="H2783" s="1">
        <f t="shared" si="6"/>
        <v>315253.2868</v>
      </c>
      <c r="I2783" s="1">
        <f t="shared" si="7"/>
        <v>515869.0148</v>
      </c>
    </row>
    <row r="2784" hidden="1">
      <c r="A2784" s="266">
        <f>IFERROR(__xludf.DUMMYFUNCTION("""COMPUTED_VALUE"""),45422.99861111111)</f>
        <v>45422.99861</v>
      </c>
      <c r="B2784" s="1">
        <f>IFERROR(__xludf.DUMMYFUNCTION("""COMPUTED_VALUE"""),60863.24)</f>
        <v>60863.24</v>
      </c>
      <c r="C2784" s="58">
        <f t="shared" si="1"/>
        <v>5606.998611</v>
      </c>
      <c r="D2784" s="1">
        <f t="shared" si="2"/>
        <v>28689.05359</v>
      </c>
      <c r="E2784" s="1">
        <f t="shared" si="3"/>
        <v>51640.29645</v>
      </c>
      <c r="F2784" s="1">
        <f t="shared" si="4"/>
        <v>97542.78219</v>
      </c>
      <c r="G2784" s="1">
        <f t="shared" si="5"/>
        <v>172134.3215</v>
      </c>
      <c r="H2784" s="1">
        <f t="shared" si="6"/>
        <v>315579.5894</v>
      </c>
      <c r="I2784" s="1">
        <f t="shared" si="7"/>
        <v>516402.9645</v>
      </c>
    </row>
    <row r="2785" hidden="1">
      <c r="A2785" s="266">
        <f>IFERROR(__xludf.DUMMYFUNCTION("""COMPUTED_VALUE"""),45424.99861111111)</f>
        <v>45424.99861</v>
      </c>
      <c r="B2785" s="1">
        <f>IFERROR(__xludf.DUMMYFUNCTION("""COMPUTED_VALUE"""),60914.79)</f>
        <v>60914.79</v>
      </c>
      <c r="C2785" s="58">
        <f t="shared" si="1"/>
        <v>5608.998611</v>
      </c>
      <c r="D2785" s="1">
        <f t="shared" si="2"/>
        <v>28748.45757</v>
      </c>
      <c r="E2785" s="1">
        <f t="shared" si="3"/>
        <v>51747.22362</v>
      </c>
      <c r="F2785" s="1">
        <f t="shared" si="4"/>
        <v>97744.75573</v>
      </c>
      <c r="G2785" s="1">
        <f t="shared" si="5"/>
        <v>172490.7454</v>
      </c>
      <c r="H2785" s="1">
        <f t="shared" si="6"/>
        <v>316233.0332</v>
      </c>
      <c r="I2785" s="1">
        <f t="shared" si="7"/>
        <v>517472.2362</v>
      </c>
    </row>
    <row r="2786" hidden="1">
      <c r="A2786" s="266">
        <f>IFERROR(__xludf.DUMMYFUNCTION("""COMPUTED_VALUE"""),45425.99861111111)</f>
        <v>45425.99861</v>
      </c>
      <c r="B2786" s="1">
        <f>IFERROR(__xludf.DUMMYFUNCTION("""COMPUTED_VALUE"""),61151.16)</f>
        <v>61151.16</v>
      </c>
      <c r="C2786" s="58">
        <f t="shared" si="1"/>
        <v>5609.998611</v>
      </c>
      <c r="D2786" s="1">
        <f t="shared" si="2"/>
        <v>28778.19771</v>
      </c>
      <c r="E2786" s="1">
        <f t="shared" si="3"/>
        <v>51800.75588</v>
      </c>
      <c r="F2786" s="1">
        <f t="shared" si="4"/>
        <v>97845.87221</v>
      </c>
      <c r="G2786" s="1">
        <f t="shared" si="5"/>
        <v>172669.1863</v>
      </c>
      <c r="H2786" s="1">
        <f t="shared" si="6"/>
        <v>316560.1748</v>
      </c>
      <c r="I2786" s="1">
        <f t="shared" si="7"/>
        <v>518007.5588</v>
      </c>
    </row>
    <row r="2787" hidden="1">
      <c r="A2787" s="266">
        <f>IFERROR(__xludf.DUMMYFUNCTION("""COMPUTED_VALUE"""),45426.99861111111)</f>
        <v>45426.99861</v>
      </c>
      <c r="B2787" s="1">
        <f>IFERROR(__xludf.DUMMYFUNCTION("""COMPUTED_VALUE"""),62425.72)</f>
        <v>62425.72</v>
      </c>
      <c r="C2787" s="58">
        <f t="shared" si="1"/>
        <v>5610.998611</v>
      </c>
      <c r="D2787" s="1">
        <f t="shared" si="2"/>
        <v>28807.96331</v>
      </c>
      <c r="E2787" s="1">
        <f t="shared" si="3"/>
        <v>51854.33396</v>
      </c>
      <c r="F2787" s="1">
        <f t="shared" si="4"/>
        <v>97947.07525</v>
      </c>
      <c r="G2787" s="1">
        <f t="shared" si="5"/>
        <v>172847.7799</v>
      </c>
      <c r="H2787" s="1">
        <f t="shared" si="6"/>
        <v>316887.5964</v>
      </c>
      <c r="I2787" s="1">
        <f t="shared" si="7"/>
        <v>518543.3396</v>
      </c>
    </row>
    <row r="2788" hidden="1">
      <c r="A2788" s="266">
        <f>IFERROR(__xludf.DUMMYFUNCTION("""COMPUTED_VALUE"""),45427.99861111111)</f>
        <v>45427.99861</v>
      </c>
      <c r="B2788" s="1">
        <f>IFERROR(__xludf.DUMMYFUNCTION("""COMPUTED_VALUE"""),61854.5)</f>
        <v>61854.5</v>
      </c>
      <c r="C2788" s="58">
        <f t="shared" si="1"/>
        <v>5611.998611</v>
      </c>
      <c r="D2788" s="1">
        <f t="shared" si="2"/>
        <v>28837.75438</v>
      </c>
      <c r="E2788" s="1">
        <f t="shared" si="3"/>
        <v>51907.95789</v>
      </c>
      <c r="F2788" s="1">
        <f t="shared" si="4"/>
        <v>98048.3649</v>
      </c>
      <c r="G2788" s="1">
        <f t="shared" si="5"/>
        <v>173026.5263</v>
      </c>
      <c r="H2788" s="1">
        <f t="shared" si="6"/>
        <v>317215.2982</v>
      </c>
      <c r="I2788" s="1">
        <f t="shared" si="7"/>
        <v>519079.5789</v>
      </c>
    </row>
    <row r="2789" hidden="1">
      <c r="A2789" s="266">
        <f>IFERROR(__xludf.DUMMYFUNCTION("""COMPUTED_VALUE"""),45428.99861111111)</f>
        <v>45428.99861</v>
      </c>
      <c r="B2789" s="1">
        <f>IFERROR(__xludf.DUMMYFUNCTION("""COMPUTED_VALUE"""),66077.67)</f>
        <v>66077.67</v>
      </c>
      <c r="C2789" s="58">
        <f t="shared" si="1"/>
        <v>5612.998611</v>
      </c>
      <c r="D2789" s="1">
        <f t="shared" si="2"/>
        <v>28867.57095</v>
      </c>
      <c r="E2789" s="1">
        <f t="shared" si="3"/>
        <v>51961.6277</v>
      </c>
      <c r="F2789" s="1">
        <f t="shared" si="4"/>
        <v>98149.74122</v>
      </c>
      <c r="G2789" s="1">
        <f t="shared" si="5"/>
        <v>173205.4257</v>
      </c>
      <c r="H2789" s="1">
        <f t="shared" si="6"/>
        <v>317543.2804</v>
      </c>
      <c r="I2789" s="1">
        <f t="shared" si="7"/>
        <v>519616.277</v>
      </c>
    </row>
    <row r="2790" hidden="1">
      <c r="A2790" s="266">
        <f>IFERROR(__xludf.DUMMYFUNCTION("""COMPUTED_VALUE"""),45429.99861111111)</f>
        <v>45429.99861</v>
      </c>
      <c r="B2790" s="1">
        <f>IFERROR(__xludf.DUMMYFUNCTION("""COMPUTED_VALUE"""),65647.21)</f>
        <v>65647.21</v>
      </c>
      <c r="C2790" s="58">
        <f t="shared" si="1"/>
        <v>5613.998611</v>
      </c>
      <c r="D2790" s="1">
        <f t="shared" si="2"/>
        <v>28897.41302</v>
      </c>
      <c r="E2790" s="1">
        <f t="shared" si="3"/>
        <v>52015.34344</v>
      </c>
      <c r="F2790" s="1">
        <f t="shared" si="4"/>
        <v>98251.20427</v>
      </c>
      <c r="G2790" s="1">
        <f t="shared" si="5"/>
        <v>173384.4781</v>
      </c>
      <c r="H2790" s="1">
        <f t="shared" si="6"/>
        <v>317871.5432</v>
      </c>
      <c r="I2790" s="1">
        <f t="shared" si="7"/>
        <v>520153.4344</v>
      </c>
    </row>
    <row r="2791" hidden="1">
      <c r="A2791" s="266">
        <f>IFERROR(__xludf.DUMMYFUNCTION("""COMPUTED_VALUE"""),45430.99861111111)</f>
        <v>45430.99861</v>
      </c>
      <c r="B2791" s="1">
        <f>IFERROR(__xludf.DUMMYFUNCTION("""COMPUTED_VALUE"""),66964.48)</f>
        <v>66964.48</v>
      </c>
      <c r="C2791" s="58">
        <f t="shared" si="1"/>
        <v>5614.998611</v>
      </c>
      <c r="D2791" s="1">
        <f t="shared" si="2"/>
        <v>28927.28062</v>
      </c>
      <c r="E2791" s="1">
        <f t="shared" si="3"/>
        <v>52069.10512</v>
      </c>
      <c r="F2791" s="1">
        <f t="shared" si="4"/>
        <v>98352.75411</v>
      </c>
      <c r="G2791" s="1">
        <f t="shared" si="5"/>
        <v>173563.6837</v>
      </c>
      <c r="H2791" s="1">
        <f t="shared" si="6"/>
        <v>318200.0868</v>
      </c>
      <c r="I2791" s="1">
        <f t="shared" si="7"/>
        <v>520691.0512</v>
      </c>
    </row>
    <row r="2792" hidden="1">
      <c r="A2792" s="266">
        <f>IFERROR(__xludf.DUMMYFUNCTION("""COMPUTED_VALUE"""),45431.99861111111)</f>
        <v>45431.99861</v>
      </c>
      <c r="B2792" s="1">
        <f>IFERROR(__xludf.DUMMYFUNCTION("""COMPUTED_VALUE"""),67052.87)</f>
        <v>67052.87</v>
      </c>
      <c r="C2792" s="58">
        <f t="shared" si="1"/>
        <v>5615.998611</v>
      </c>
      <c r="D2792" s="1">
        <f t="shared" si="2"/>
        <v>28957.17376</v>
      </c>
      <c r="E2792" s="1">
        <f t="shared" si="3"/>
        <v>52122.91277</v>
      </c>
      <c r="F2792" s="1">
        <f t="shared" si="4"/>
        <v>98454.3908</v>
      </c>
      <c r="G2792" s="1">
        <f t="shared" si="5"/>
        <v>173743.0426</v>
      </c>
      <c r="H2792" s="1">
        <f t="shared" si="6"/>
        <v>318528.9114</v>
      </c>
      <c r="I2792" s="1">
        <f t="shared" si="7"/>
        <v>521229.1277</v>
      </c>
    </row>
    <row r="2793" hidden="1">
      <c r="A2793" s="266">
        <f>IFERROR(__xludf.DUMMYFUNCTION("""COMPUTED_VALUE"""),45432.99861111111)</f>
        <v>45432.99861</v>
      </c>
      <c r="B2793" s="1">
        <f>IFERROR(__xludf.DUMMYFUNCTION("""COMPUTED_VALUE"""),66680.9)</f>
        <v>66680.9</v>
      </c>
      <c r="C2793" s="58">
        <f t="shared" si="1"/>
        <v>5616.998611</v>
      </c>
      <c r="D2793" s="1">
        <f t="shared" si="2"/>
        <v>28987.09247</v>
      </c>
      <c r="E2793" s="1">
        <f t="shared" si="3"/>
        <v>52176.76644</v>
      </c>
      <c r="F2793" s="1">
        <f t="shared" si="4"/>
        <v>98556.11439</v>
      </c>
      <c r="G2793" s="1">
        <f t="shared" si="5"/>
        <v>173922.5548</v>
      </c>
      <c r="H2793" s="1">
        <f t="shared" si="6"/>
        <v>318858.0171</v>
      </c>
      <c r="I2793" s="1">
        <f t="shared" si="7"/>
        <v>521767.6644</v>
      </c>
    </row>
    <row r="2794" hidden="1">
      <c r="A2794" s="266">
        <f>IFERROR(__xludf.DUMMYFUNCTION("""COMPUTED_VALUE"""),45433.99861111111)</f>
        <v>45433.99861</v>
      </c>
      <c r="B2794" s="1">
        <f>IFERROR(__xludf.DUMMYFUNCTION("""COMPUTED_VALUE"""),71227.18)</f>
        <v>71227.18</v>
      </c>
      <c r="C2794" s="58">
        <f t="shared" si="1"/>
        <v>5617.998611</v>
      </c>
      <c r="D2794" s="1">
        <f t="shared" si="2"/>
        <v>29017.03675</v>
      </c>
      <c r="E2794" s="1">
        <f t="shared" si="3"/>
        <v>52230.66615</v>
      </c>
      <c r="F2794" s="1">
        <f t="shared" si="4"/>
        <v>98657.92495</v>
      </c>
      <c r="G2794" s="1">
        <f t="shared" si="5"/>
        <v>174102.2205</v>
      </c>
      <c r="H2794" s="1">
        <f t="shared" si="6"/>
        <v>319187.4042</v>
      </c>
      <c r="I2794" s="1">
        <f t="shared" si="7"/>
        <v>522306.6615</v>
      </c>
    </row>
    <row r="2795" hidden="1">
      <c r="A2795" s="266">
        <f>IFERROR(__xludf.DUMMYFUNCTION("""COMPUTED_VALUE"""),45434.99861111111)</f>
        <v>45434.99861</v>
      </c>
      <c r="B2795" s="1">
        <f>IFERROR(__xludf.DUMMYFUNCTION("""COMPUTED_VALUE"""),69901.25)</f>
        <v>69901.25</v>
      </c>
      <c r="C2795" s="58">
        <f t="shared" si="1"/>
        <v>5618.998611</v>
      </c>
      <c r="D2795" s="1">
        <f t="shared" si="2"/>
        <v>29047.00663</v>
      </c>
      <c r="E2795" s="1">
        <f t="shared" si="3"/>
        <v>52284.61193</v>
      </c>
      <c r="F2795" s="1">
        <f t="shared" si="4"/>
        <v>98759.82253</v>
      </c>
      <c r="G2795" s="1">
        <f t="shared" si="5"/>
        <v>174282.0398</v>
      </c>
      <c r="H2795" s="1">
        <f t="shared" si="6"/>
        <v>319517.0729</v>
      </c>
      <c r="I2795" s="1">
        <f t="shared" si="7"/>
        <v>522846.1193</v>
      </c>
    </row>
    <row r="2796" hidden="1">
      <c r="A2796" s="266">
        <f>IFERROR(__xludf.DUMMYFUNCTION("""COMPUTED_VALUE"""),45435.99861111111)</f>
        <v>45435.99861</v>
      </c>
      <c r="B2796" s="1">
        <f>IFERROR(__xludf.DUMMYFUNCTION("""COMPUTED_VALUE"""),69334.23)</f>
        <v>69334.23</v>
      </c>
      <c r="C2796" s="58">
        <f t="shared" si="1"/>
        <v>5619.998611</v>
      </c>
      <c r="D2796" s="1">
        <f t="shared" si="2"/>
        <v>29077.00211</v>
      </c>
      <c r="E2796" s="1">
        <f t="shared" si="3"/>
        <v>52338.60381</v>
      </c>
      <c r="F2796" s="1">
        <f t="shared" si="4"/>
        <v>98861.80719</v>
      </c>
      <c r="G2796" s="1">
        <f t="shared" si="5"/>
        <v>174462.0127</v>
      </c>
      <c r="H2796" s="1">
        <f t="shared" si="6"/>
        <v>319847.0233</v>
      </c>
      <c r="I2796" s="1">
        <f t="shared" si="7"/>
        <v>523386.0381</v>
      </c>
    </row>
    <row r="2797" hidden="1">
      <c r="A2797" s="266">
        <f>IFERROR(__xludf.DUMMYFUNCTION("""COMPUTED_VALUE"""),45436.99861111111)</f>
        <v>45436.99861</v>
      </c>
      <c r="B2797" s="1">
        <f>IFERROR(__xludf.DUMMYFUNCTION("""COMPUTED_VALUE"""),67851.91)</f>
        <v>67851.91</v>
      </c>
      <c r="C2797" s="58">
        <f t="shared" si="1"/>
        <v>5620.998611</v>
      </c>
      <c r="D2797" s="1">
        <f t="shared" si="2"/>
        <v>29107.02323</v>
      </c>
      <c r="E2797" s="1">
        <f t="shared" si="3"/>
        <v>52392.64182</v>
      </c>
      <c r="F2797" s="1">
        <f t="shared" si="4"/>
        <v>98963.879</v>
      </c>
      <c r="G2797" s="1">
        <f t="shared" si="5"/>
        <v>174642.1394</v>
      </c>
      <c r="H2797" s="1">
        <f t="shared" si="6"/>
        <v>320177.2556</v>
      </c>
      <c r="I2797" s="1">
        <f t="shared" si="7"/>
        <v>523926.4182</v>
      </c>
    </row>
    <row r="2798" hidden="1">
      <c r="A2798" s="266">
        <f>IFERROR(__xludf.DUMMYFUNCTION("""COMPUTED_VALUE"""),45437.99861111111)</f>
        <v>45437.99861</v>
      </c>
      <c r="B2798" s="1">
        <f>IFERROR(__xludf.DUMMYFUNCTION("""COMPUTED_VALUE"""),68747.1)</f>
        <v>68747.1</v>
      </c>
      <c r="C2798" s="58">
        <f t="shared" si="1"/>
        <v>5621.998611</v>
      </c>
      <c r="D2798" s="1">
        <f t="shared" si="2"/>
        <v>29137.07</v>
      </c>
      <c r="E2798" s="1">
        <f t="shared" si="3"/>
        <v>52446.726</v>
      </c>
      <c r="F2798" s="1">
        <f t="shared" si="4"/>
        <v>99066.038</v>
      </c>
      <c r="G2798" s="1">
        <f t="shared" si="5"/>
        <v>174822.42</v>
      </c>
      <c r="H2798" s="1">
        <f t="shared" si="6"/>
        <v>320507.77</v>
      </c>
      <c r="I2798" s="1">
        <f t="shared" si="7"/>
        <v>524467.26</v>
      </c>
    </row>
    <row r="2799" hidden="1">
      <c r="A2799" s="266">
        <f>IFERROR(__xludf.DUMMYFUNCTION("""COMPUTED_VALUE"""),45438.99861111111)</f>
        <v>45438.99861</v>
      </c>
      <c r="B2799" s="1">
        <f>IFERROR(__xludf.DUMMYFUNCTION("""COMPUTED_VALUE"""),69076.61)</f>
        <v>69076.61</v>
      </c>
      <c r="C2799" s="58">
        <f t="shared" si="1"/>
        <v>5622.998611</v>
      </c>
      <c r="D2799" s="1">
        <f t="shared" si="2"/>
        <v>29167.14243</v>
      </c>
      <c r="E2799" s="1">
        <f t="shared" si="3"/>
        <v>52500.85638</v>
      </c>
      <c r="F2799" s="1">
        <f t="shared" si="4"/>
        <v>99168.28427</v>
      </c>
      <c r="G2799" s="1">
        <f t="shared" si="5"/>
        <v>175002.8546</v>
      </c>
      <c r="H2799" s="1">
        <f t="shared" si="6"/>
        <v>320838.5667</v>
      </c>
      <c r="I2799" s="1">
        <f t="shared" si="7"/>
        <v>525008.5638</v>
      </c>
    </row>
    <row r="2800" hidden="1">
      <c r="A2800" s="266">
        <f>IFERROR(__xludf.DUMMYFUNCTION("""COMPUTED_VALUE"""),45439.99861111111)</f>
        <v>45439.99861</v>
      </c>
      <c r="B2800" s="1">
        <f>IFERROR(__xludf.DUMMYFUNCTION("""COMPUTED_VALUE"""),68914.83)</f>
        <v>68914.83</v>
      </c>
      <c r="C2800" s="58">
        <f t="shared" si="1"/>
        <v>5623.998611</v>
      </c>
      <c r="D2800" s="1">
        <f t="shared" si="2"/>
        <v>29197.24054</v>
      </c>
      <c r="E2800" s="1">
        <f t="shared" si="3"/>
        <v>52555.03298</v>
      </c>
      <c r="F2800" s="1">
        <f t="shared" si="4"/>
        <v>99270.61785</v>
      </c>
      <c r="G2800" s="1">
        <f t="shared" si="5"/>
        <v>175183.4433</v>
      </c>
      <c r="H2800" s="1">
        <f t="shared" si="6"/>
        <v>321169.646</v>
      </c>
      <c r="I2800" s="1">
        <f t="shared" si="7"/>
        <v>525550.3298</v>
      </c>
    </row>
    <row r="2801" hidden="1">
      <c r="A2801" s="266">
        <f>IFERROR(__xludf.DUMMYFUNCTION("""COMPUTED_VALUE"""),45440.99861111111)</f>
        <v>45440.99861</v>
      </c>
      <c r="B2801" s="1">
        <f>IFERROR(__xludf.DUMMYFUNCTION("""COMPUTED_VALUE"""),68102.04)</f>
        <v>68102.04</v>
      </c>
      <c r="C2801" s="58">
        <f t="shared" si="1"/>
        <v>5624.998611</v>
      </c>
      <c r="D2801" s="1">
        <f t="shared" si="2"/>
        <v>29227.36436</v>
      </c>
      <c r="E2801" s="1">
        <f t="shared" si="3"/>
        <v>52609.25584</v>
      </c>
      <c r="F2801" s="1">
        <f t="shared" si="4"/>
        <v>99373.03881</v>
      </c>
      <c r="G2801" s="1">
        <f t="shared" si="5"/>
        <v>175364.1861</v>
      </c>
      <c r="H2801" s="1">
        <f t="shared" si="6"/>
        <v>321501.0079</v>
      </c>
      <c r="I2801" s="1">
        <f t="shared" si="7"/>
        <v>526092.5584</v>
      </c>
    </row>
    <row r="2802" hidden="1">
      <c r="A2802" s="266">
        <f>IFERROR(__xludf.DUMMYFUNCTION("""COMPUTED_VALUE"""),45441.99861111111)</f>
        <v>45441.99861</v>
      </c>
      <c r="B2802" s="1">
        <f>IFERROR(__xludf.DUMMYFUNCTION("""COMPUTED_VALUE"""),68713.48)</f>
        <v>68713.48</v>
      </c>
      <c r="C2802" s="58">
        <f t="shared" si="1"/>
        <v>5625.998611</v>
      </c>
      <c r="D2802" s="1">
        <f t="shared" si="2"/>
        <v>29257.51389</v>
      </c>
      <c r="E2802" s="1">
        <f t="shared" si="3"/>
        <v>52663.52499</v>
      </c>
      <c r="F2802" s="1">
        <f t="shared" si="4"/>
        <v>99475.54721</v>
      </c>
      <c r="G2802" s="1">
        <f t="shared" si="5"/>
        <v>175545.0833</v>
      </c>
      <c r="H2802" s="1">
        <f t="shared" si="6"/>
        <v>321832.6527</v>
      </c>
      <c r="I2802" s="1">
        <f t="shared" si="7"/>
        <v>526635.2499</v>
      </c>
    </row>
    <row r="2803" hidden="1">
      <c r="A2803" s="266">
        <f>IFERROR(__xludf.DUMMYFUNCTION("""COMPUTED_VALUE"""),45442.99861111111)</f>
        <v>45442.99861</v>
      </c>
      <c r="B2803" s="1">
        <f>IFERROR(__xludf.DUMMYFUNCTION("""COMPUTED_VALUE"""),68038.64)</f>
        <v>68038.64</v>
      </c>
      <c r="C2803" s="58">
        <f t="shared" si="1"/>
        <v>5626.998611</v>
      </c>
      <c r="D2803" s="1">
        <f t="shared" si="2"/>
        <v>29287.68915</v>
      </c>
      <c r="E2803" s="1">
        <f t="shared" si="3"/>
        <v>52717.84047</v>
      </c>
      <c r="F2803" s="1">
        <f t="shared" si="4"/>
        <v>99578.1431</v>
      </c>
      <c r="G2803" s="1">
        <f t="shared" si="5"/>
        <v>175726.1349</v>
      </c>
      <c r="H2803" s="1">
        <f t="shared" si="6"/>
        <v>322164.5806</v>
      </c>
      <c r="I2803" s="1">
        <f t="shared" si="7"/>
        <v>527178.4047</v>
      </c>
    </row>
    <row r="2804" hidden="1">
      <c r="A2804" s="266">
        <f>IFERROR(__xludf.DUMMYFUNCTION("""COMPUTED_VALUE"""),45443.99861111111)</f>
        <v>45443.99861</v>
      </c>
      <c r="B2804" s="1">
        <f>IFERROR(__xludf.DUMMYFUNCTION("""COMPUTED_VALUE"""),68571.17)</f>
        <v>68571.17</v>
      </c>
      <c r="C2804" s="58">
        <f t="shared" si="1"/>
        <v>5627.998611</v>
      </c>
      <c r="D2804" s="1">
        <f t="shared" si="2"/>
        <v>29317.89016</v>
      </c>
      <c r="E2804" s="1">
        <f t="shared" si="3"/>
        <v>52772.20229</v>
      </c>
      <c r="F2804" s="1">
        <f t="shared" si="4"/>
        <v>99680.82655</v>
      </c>
      <c r="G2804" s="1">
        <f t="shared" si="5"/>
        <v>175907.341</v>
      </c>
      <c r="H2804" s="1">
        <f t="shared" si="6"/>
        <v>322496.7918</v>
      </c>
      <c r="I2804" s="1">
        <f t="shared" si="7"/>
        <v>527722.0229</v>
      </c>
    </row>
    <row r="2805" hidden="1">
      <c r="A2805" s="266">
        <f>IFERROR(__xludf.DUMMYFUNCTION("""COMPUTED_VALUE"""),45444.99861111111)</f>
        <v>45444.99861</v>
      </c>
      <c r="B2805" s="1">
        <f>IFERROR(__xludf.DUMMYFUNCTION("""COMPUTED_VALUE"""),67659.3)</f>
        <v>67659.3</v>
      </c>
      <c r="C2805" s="58">
        <f t="shared" si="1"/>
        <v>5628.998611</v>
      </c>
      <c r="D2805" s="1">
        <f t="shared" si="2"/>
        <v>29348.11695</v>
      </c>
      <c r="E2805" s="1">
        <f t="shared" si="3"/>
        <v>52826.6105</v>
      </c>
      <c r="F2805" s="1">
        <f t="shared" si="4"/>
        <v>99783.59761</v>
      </c>
      <c r="G2805" s="1">
        <f t="shared" si="5"/>
        <v>176088.7017</v>
      </c>
      <c r="H2805" s="1">
        <f t="shared" si="6"/>
        <v>322829.2864</v>
      </c>
      <c r="I2805" s="1">
        <f t="shared" si="7"/>
        <v>528266.105</v>
      </c>
    </row>
    <row r="2806" hidden="1">
      <c r="A2806" s="266">
        <f>IFERROR(__xludf.DUMMYFUNCTION("""COMPUTED_VALUE"""),45445.99861111111)</f>
        <v>45445.99861</v>
      </c>
      <c r="B2806" s="1">
        <f>IFERROR(__xludf.DUMMYFUNCTION("""COMPUTED_VALUE"""),67737.81)</f>
        <v>67737.81</v>
      </c>
      <c r="C2806" s="58">
        <f t="shared" si="1"/>
        <v>5629.998611</v>
      </c>
      <c r="D2806" s="1">
        <f t="shared" si="2"/>
        <v>29378.36951</v>
      </c>
      <c r="E2806" s="1">
        <f t="shared" si="3"/>
        <v>52881.06513</v>
      </c>
      <c r="F2806" s="1">
        <f t="shared" si="4"/>
        <v>99886.45635</v>
      </c>
      <c r="G2806" s="1">
        <f t="shared" si="5"/>
        <v>176270.2171</v>
      </c>
      <c r="H2806" s="1">
        <f t="shared" si="6"/>
        <v>323162.0647</v>
      </c>
      <c r="I2806" s="1">
        <f t="shared" si="7"/>
        <v>528810.6513</v>
      </c>
    </row>
    <row r="2807" hidden="1">
      <c r="A2807" s="266">
        <f>IFERROR(__xludf.DUMMYFUNCTION("""COMPUTED_VALUE"""),45446.99861111111)</f>
        <v>45446.99861</v>
      </c>
      <c r="B2807" s="1">
        <f>IFERROR(__xludf.DUMMYFUNCTION("""COMPUTED_VALUE"""),68358.28)</f>
        <v>68358.28</v>
      </c>
      <c r="C2807" s="58">
        <f t="shared" si="1"/>
        <v>5630.998611</v>
      </c>
      <c r="D2807" s="1">
        <f t="shared" si="2"/>
        <v>29408.64789</v>
      </c>
      <c r="E2807" s="1">
        <f t="shared" si="3"/>
        <v>52935.5662</v>
      </c>
      <c r="F2807" s="1">
        <f t="shared" si="4"/>
        <v>99989.40282</v>
      </c>
      <c r="G2807" s="1">
        <f t="shared" si="5"/>
        <v>176451.8873</v>
      </c>
      <c r="H2807" s="1">
        <f t="shared" si="6"/>
        <v>323495.1268</v>
      </c>
      <c r="I2807" s="1">
        <f t="shared" si="7"/>
        <v>529355.662</v>
      </c>
    </row>
    <row r="2808" hidden="1">
      <c r="A2808" s="266">
        <f>IFERROR(__xludf.DUMMYFUNCTION("""COMPUTED_VALUE"""),45447.99861111111)</f>
        <v>45447.99861</v>
      </c>
      <c r="B2808" s="1">
        <f>IFERROR(__xludf.DUMMYFUNCTION("""COMPUTED_VALUE"""),69155.55)</f>
        <v>69155.55</v>
      </c>
      <c r="C2808" s="58">
        <f t="shared" si="1"/>
        <v>5631.998611</v>
      </c>
      <c r="D2808" s="1">
        <f t="shared" si="2"/>
        <v>29438.95208</v>
      </c>
      <c r="E2808" s="1">
        <f t="shared" si="3"/>
        <v>52990.11375</v>
      </c>
      <c r="F2808" s="1">
        <f t="shared" si="4"/>
        <v>100092.4371</v>
      </c>
      <c r="G2808" s="1">
        <f t="shared" si="5"/>
        <v>176633.7125</v>
      </c>
      <c r="H2808" s="1">
        <f t="shared" si="6"/>
        <v>323828.4729</v>
      </c>
      <c r="I2808" s="1">
        <f t="shared" si="7"/>
        <v>529901.1375</v>
      </c>
    </row>
    <row r="2809" hidden="1">
      <c r="A2809" s="266">
        <f>IFERROR(__xludf.DUMMYFUNCTION("""COMPUTED_VALUE"""),45448.99861111111)</f>
        <v>45448.99861</v>
      </c>
      <c r="B2809" s="1">
        <f>IFERROR(__xludf.DUMMYFUNCTION("""COMPUTED_VALUE"""),70883.12)</f>
        <v>70883.12</v>
      </c>
      <c r="C2809" s="58">
        <f t="shared" si="1"/>
        <v>5632.998611</v>
      </c>
      <c r="D2809" s="1">
        <f t="shared" si="2"/>
        <v>29469.28211</v>
      </c>
      <c r="E2809" s="1">
        <f t="shared" si="3"/>
        <v>53044.7078</v>
      </c>
      <c r="F2809" s="1">
        <f t="shared" si="4"/>
        <v>100195.5592</v>
      </c>
      <c r="G2809" s="1">
        <f t="shared" si="5"/>
        <v>176815.6927</v>
      </c>
      <c r="H2809" s="1">
        <f t="shared" si="6"/>
        <v>324162.1032</v>
      </c>
      <c r="I2809" s="1">
        <f t="shared" si="7"/>
        <v>530447.078</v>
      </c>
    </row>
    <row r="2810" hidden="1">
      <c r="A2810" s="266">
        <f>IFERROR(__xludf.DUMMYFUNCTION("""COMPUTED_VALUE"""),45449.99861111111)</f>
        <v>45449.99861</v>
      </c>
      <c r="B2810" s="1">
        <f>IFERROR(__xludf.DUMMYFUNCTION("""COMPUTED_VALUE"""),71103.14)</f>
        <v>71103.14</v>
      </c>
      <c r="C2810" s="58">
        <f t="shared" si="1"/>
        <v>5633.998611</v>
      </c>
      <c r="D2810" s="1">
        <f t="shared" si="2"/>
        <v>29499.638</v>
      </c>
      <c r="E2810" s="1">
        <f t="shared" si="3"/>
        <v>53099.3484</v>
      </c>
      <c r="F2810" s="1">
        <f t="shared" si="4"/>
        <v>100298.7692</v>
      </c>
      <c r="G2810" s="1">
        <f t="shared" si="5"/>
        <v>176997.828</v>
      </c>
      <c r="H2810" s="1">
        <f t="shared" si="6"/>
        <v>324496.018</v>
      </c>
      <c r="I2810" s="1">
        <f t="shared" si="7"/>
        <v>530993.484</v>
      </c>
    </row>
    <row r="2811" hidden="1">
      <c r="A2811" s="266">
        <f>IFERROR(__xludf.DUMMYFUNCTION("""COMPUTED_VALUE"""),45450.99861111111)</f>
        <v>45450.99861</v>
      </c>
      <c r="B2811" s="1">
        <f>IFERROR(__xludf.DUMMYFUNCTION("""COMPUTED_VALUE"""),70959.8)</f>
        <v>70959.8</v>
      </c>
      <c r="C2811" s="58">
        <f t="shared" si="1"/>
        <v>5634.998611</v>
      </c>
      <c r="D2811" s="1">
        <f t="shared" si="2"/>
        <v>29530.01976</v>
      </c>
      <c r="E2811" s="1">
        <f t="shared" si="3"/>
        <v>53154.03557</v>
      </c>
      <c r="F2811" s="1">
        <f t="shared" si="4"/>
        <v>100402.0672</v>
      </c>
      <c r="G2811" s="1">
        <f t="shared" si="5"/>
        <v>177180.1186</v>
      </c>
      <c r="H2811" s="1">
        <f t="shared" si="6"/>
        <v>324830.2174</v>
      </c>
      <c r="I2811" s="1">
        <f t="shared" si="7"/>
        <v>531540.3557</v>
      </c>
    </row>
    <row r="2812" hidden="1">
      <c r="A2812" s="266">
        <f>IFERROR(__xludf.DUMMYFUNCTION("""COMPUTED_VALUE"""),45451.99861111111)</f>
        <v>45451.99861</v>
      </c>
      <c r="B2812" s="1">
        <f>IFERROR(__xludf.DUMMYFUNCTION("""COMPUTED_VALUE"""),69445.59)</f>
        <v>69445.59</v>
      </c>
      <c r="C2812" s="58">
        <f t="shared" si="1"/>
        <v>5635.998611</v>
      </c>
      <c r="D2812" s="1">
        <f t="shared" si="2"/>
        <v>29560.42742</v>
      </c>
      <c r="E2812" s="1">
        <f t="shared" si="3"/>
        <v>53208.76935</v>
      </c>
      <c r="F2812" s="1">
        <f t="shared" si="4"/>
        <v>100505.4532</v>
      </c>
      <c r="G2812" s="1">
        <f t="shared" si="5"/>
        <v>177362.5645</v>
      </c>
      <c r="H2812" s="1">
        <f t="shared" si="6"/>
        <v>325164.7016</v>
      </c>
      <c r="I2812" s="1">
        <f t="shared" si="7"/>
        <v>532087.6935</v>
      </c>
    </row>
    <row r="2813" hidden="1">
      <c r="A2813" s="266">
        <f>IFERROR(__xludf.DUMMYFUNCTION("""COMPUTED_VALUE"""),45452.99861111111)</f>
        <v>45452.99861</v>
      </c>
      <c r="B2813" s="1">
        <f>IFERROR(__xludf.DUMMYFUNCTION("""COMPUTED_VALUE"""),69277.68)</f>
        <v>69277.68</v>
      </c>
      <c r="C2813" s="58">
        <f t="shared" si="1"/>
        <v>5636.998611</v>
      </c>
      <c r="D2813" s="1">
        <f t="shared" si="2"/>
        <v>29590.86098</v>
      </c>
      <c r="E2813" s="1">
        <f t="shared" si="3"/>
        <v>53263.54976</v>
      </c>
      <c r="F2813" s="1">
        <f t="shared" si="4"/>
        <v>100608.9273</v>
      </c>
      <c r="G2813" s="1">
        <f t="shared" si="5"/>
        <v>177545.1659</v>
      </c>
      <c r="H2813" s="1">
        <f t="shared" si="6"/>
        <v>325499.4707</v>
      </c>
      <c r="I2813" s="1">
        <f t="shared" si="7"/>
        <v>532635.4976</v>
      </c>
    </row>
    <row r="2814" hidden="1">
      <c r="A2814" s="266">
        <f>IFERROR(__xludf.DUMMYFUNCTION("""COMPUTED_VALUE"""),45453.99861111111)</f>
        <v>45453.99861</v>
      </c>
      <c r="B2814" s="1">
        <f>IFERROR(__xludf.DUMMYFUNCTION("""COMPUTED_VALUE"""),69633.42)</f>
        <v>69633.42</v>
      </c>
      <c r="C2814" s="58">
        <f t="shared" si="1"/>
        <v>5637.998611</v>
      </c>
      <c r="D2814" s="1">
        <f t="shared" si="2"/>
        <v>29621.32046</v>
      </c>
      <c r="E2814" s="1">
        <f t="shared" si="3"/>
        <v>53318.37683</v>
      </c>
      <c r="F2814" s="1">
        <f t="shared" si="4"/>
        <v>100712.4896</v>
      </c>
      <c r="G2814" s="1">
        <f t="shared" si="5"/>
        <v>177727.9228</v>
      </c>
      <c r="H2814" s="1">
        <f t="shared" si="6"/>
        <v>325834.5251</v>
      </c>
      <c r="I2814" s="1">
        <f t="shared" si="7"/>
        <v>533183.7683</v>
      </c>
    </row>
    <row r="2815" hidden="1">
      <c r="A2815" s="266">
        <f>IFERROR(__xludf.DUMMYFUNCTION("""COMPUTED_VALUE"""),45454.99861111111)</f>
        <v>45454.99861</v>
      </c>
      <c r="B2815" s="1">
        <f>IFERROR(__xludf.DUMMYFUNCTION("""COMPUTED_VALUE"""),68405.53)</f>
        <v>68405.53</v>
      </c>
      <c r="C2815" s="58">
        <f t="shared" si="1"/>
        <v>5638.998611</v>
      </c>
      <c r="D2815" s="1">
        <f t="shared" si="2"/>
        <v>29651.80589</v>
      </c>
      <c r="E2815" s="1">
        <f t="shared" si="3"/>
        <v>53373.2506</v>
      </c>
      <c r="F2815" s="1">
        <f t="shared" si="4"/>
        <v>100816.14</v>
      </c>
      <c r="G2815" s="1">
        <f t="shared" si="5"/>
        <v>177910.8353</v>
      </c>
      <c r="H2815" s="1">
        <f t="shared" si="6"/>
        <v>326169.8648</v>
      </c>
      <c r="I2815" s="1">
        <f t="shared" si="7"/>
        <v>533732.506</v>
      </c>
    </row>
    <row r="2816" hidden="1">
      <c r="A2816" s="266">
        <f>IFERROR(__xludf.DUMMYFUNCTION("""COMPUTED_VALUE"""),45455.99861111111)</f>
        <v>45455.99861</v>
      </c>
      <c r="B2816" s="1">
        <f>IFERROR(__xludf.DUMMYFUNCTION("""COMPUTED_VALUE"""),67369.51)</f>
        <v>67369.51</v>
      </c>
      <c r="C2816" s="58">
        <f t="shared" si="1"/>
        <v>5639.998611</v>
      </c>
      <c r="D2816" s="1">
        <f t="shared" si="2"/>
        <v>29682.31728</v>
      </c>
      <c r="E2816" s="1">
        <f t="shared" si="3"/>
        <v>53428.17111</v>
      </c>
      <c r="F2816" s="1">
        <f t="shared" si="4"/>
        <v>100919.8788</v>
      </c>
      <c r="G2816" s="1">
        <f t="shared" si="5"/>
        <v>178093.9037</v>
      </c>
      <c r="H2816" s="1">
        <f t="shared" si="6"/>
        <v>326505.4901</v>
      </c>
      <c r="I2816" s="1">
        <f t="shared" si="7"/>
        <v>534281.7111</v>
      </c>
    </row>
    <row r="2817" hidden="1">
      <c r="A2817" s="266">
        <f>IFERROR(__xludf.DUMMYFUNCTION("""COMPUTED_VALUE"""),45456.99861111111)</f>
        <v>45456.99861</v>
      </c>
      <c r="B2817" s="1">
        <f>IFERROR(__xludf.DUMMYFUNCTION("""COMPUTED_VALUE"""),67363.84)</f>
        <v>67363.84</v>
      </c>
      <c r="C2817" s="58">
        <f t="shared" si="1"/>
        <v>5640.998611</v>
      </c>
      <c r="D2817" s="1">
        <f t="shared" si="2"/>
        <v>29712.85465</v>
      </c>
      <c r="E2817" s="1">
        <f t="shared" si="3"/>
        <v>53483.13837</v>
      </c>
      <c r="F2817" s="1">
        <f t="shared" si="4"/>
        <v>101023.7058</v>
      </c>
      <c r="G2817" s="1">
        <f t="shared" si="5"/>
        <v>178277.1279</v>
      </c>
      <c r="H2817" s="1">
        <f t="shared" si="6"/>
        <v>326841.4012</v>
      </c>
      <c r="I2817" s="1">
        <f t="shared" si="7"/>
        <v>534831.3837</v>
      </c>
    </row>
    <row r="2818" hidden="1">
      <c r="A2818" s="266">
        <f>IFERROR(__xludf.DUMMYFUNCTION("""COMPUTED_VALUE"""),45457.99861111111)</f>
        <v>45457.99861</v>
      </c>
      <c r="B2818" s="1">
        <f>IFERROR(__xludf.DUMMYFUNCTION("""COMPUTED_VALUE"""),66718.27)</f>
        <v>66718.27</v>
      </c>
      <c r="C2818" s="58">
        <f t="shared" si="1"/>
        <v>5641.998611</v>
      </c>
      <c r="D2818" s="1">
        <f t="shared" si="2"/>
        <v>29743.41801</v>
      </c>
      <c r="E2818" s="1">
        <f t="shared" si="3"/>
        <v>53538.15243</v>
      </c>
      <c r="F2818" s="1">
        <f t="shared" si="4"/>
        <v>101127.6212</v>
      </c>
      <c r="G2818" s="1">
        <f t="shared" si="5"/>
        <v>178460.5081</v>
      </c>
      <c r="H2818" s="1">
        <f t="shared" si="6"/>
        <v>327177.5982</v>
      </c>
      <c r="I2818" s="1">
        <f t="shared" si="7"/>
        <v>535381.5243</v>
      </c>
    </row>
    <row r="2819" hidden="1">
      <c r="A2819" s="266">
        <f>IFERROR(__xludf.DUMMYFUNCTION("""COMPUTED_VALUE"""),45458.99861111111)</f>
        <v>45458.99861</v>
      </c>
      <c r="B2819" s="1">
        <f>IFERROR(__xludf.DUMMYFUNCTION("""COMPUTED_VALUE"""),66138.7)</f>
        <v>66138.7</v>
      </c>
      <c r="C2819" s="58">
        <f t="shared" si="1"/>
        <v>5642.998611</v>
      </c>
      <c r="D2819" s="1">
        <f t="shared" si="2"/>
        <v>29774.00739</v>
      </c>
      <c r="E2819" s="1">
        <f t="shared" si="3"/>
        <v>53593.2133</v>
      </c>
      <c r="F2819" s="1">
        <f t="shared" si="4"/>
        <v>101231.6251</v>
      </c>
      <c r="G2819" s="1">
        <f t="shared" si="5"/>
        <v>178644.0443</v>
      </c>
      <c r="H2819" s="1">
        <f t="shared" si="6"/>
        <v>327514.0813</v>
      </c>
      <c r="I2819" s="1">
        <f t="shared" si="7"/>
        <v>535932.133</v>
      </c>
    </row>
    <row r="2820" hidden="1">
      <c r="A2820" s="266">
        <f>IFERROR(__xludf.DUMMYFUNCTION("""COMPUTED_VALUE"""),45459.99861111111)</f>
        <v>45459.99861</v>
      </c>
      <c r="B2820" s="1">
        <f>IFERROR(__xludf.DUMMYFUNCTION("""COMPUTED_VALUE"""),66111.79)</f>
        <v>66111.79</v>
      </c>
      <c r="C2820" s="58">
        <f t="shared" si="1"/>
        <v>5643.998611</v>
      </c>
      <c r="D2820" s="1">
        <f t="shared" si="2"/>
        <v>29804.6228</v>
      </c>
      <c r="E2820" s="1">
        <f t="shared" si="3"/>
        <v>53648.32104</v>
      </c>
      <c r="F2820" s="1">
        <f t="shared" si="4"/>
        <v>101335.7175</v>
      </c>
      <c r="G2820" s="1">
        <f t="shared" si="5"/>
        <v>178827.7368</v>
      </c>
      <c r="H2820" s="1">
        <f t="shared" si="6"/>
        <v>327850.8508</v>
      </c>
      <c r="I2820" s="1">
        <f t="shared" si="7"/>
        <v>536483.2104</v>
      </c>
    </row>
    <row r="2821" hidden="1">
      <c r="A2821" s="266">
        <f>IFERROR(__xludf.DUMMYFUNCTION("""COMPUTED_VALUE"""),45460.99861111111)</f>
        <v>45460.99861</v>
      </c>
      <c r="B2821" s="1">
        <f>IFERROR(__xludf.DUMMYFUNCTION("""COMPUTED_VALUE"""),66229.78)</f>
        <v>66229.78</v>
      </c>
      <c r="C2821" s="58">
        <f t="shared" si="1"/>
        <v>5644.998611</v>
      </c>
      <c r="D2821" s="1">
        <f t="shared" si="2"/>
        <v>29835.26426</v>
      </c>
      <c r="E2821" s="1">
        <f t="shared" si="3"/>
        <v>53703.47566</v>
      </c>
      <c r="F2821" s="1">
        <f t="shared" si="4"/>
        <v>101439.8985</v>
      </c>
      <c r="G2821" s="1">
        <f t="shared" si="5"/>
        <v>179011.5855</v>
      </c>
      <c r="H2821" s="1">
        <f t="shared" si="6"/>
        <v>328187.9068</v>
      </c>
      <c r="I2821" s="1">
        <f t="shared" si="7"/>
        <v>537034.7566</v>
      </c>
    </row>
    <row r="2822" hidden="1">
      <c r="A2822" s="266">
        <f>IFERROR(__xludf.DUMMYFUNCTION("""COMPUTED_VALUE"""),45461.99861111111)</f>
        <v>45461.99861</v>
      </c>
      <c r="B2822" s="1">
        <f>IFERROR(__xludf.DUMMYFUNCTION("""COMPUTED_VALUE"""),65507.87)</f>
        <v>65507.87</v>
      </c>
      <c r="C2822" s="58">
        <f t="shared" si="1"/>
        <v>5645.998611</v>
      </c>
      <c r="D2822" s="1">
        <f t="shared" si="2"/>
        <v>29865.93178</v>
      </c>
      <c r="E2822" s="1">
        <f t="shared" si="3"/>
        <v>53758.6772</v>
      </c>
      <c r="F2822" s="1">
        <f t="shared" si="4"/>
        <v>101544.168</v>
      </c>
      <c r="G2822" s="1">
        <f t="shared" si="5"/>
        <v>179195.5907</v>
      </c>
      <c r="H2822" s="1">
        <f t="shared" si="6"/>
        <v>328525.2496</v>
      </c>
      <c r="I2822" s="1">
        <f t="shared" si="7"/>
        <v>537586.772</v>
      </c>
    </row>
    <row r="2823" hidden="1">
      <c r="A2823" s="266">
        <f>IFERROR(__xludf.DUMMYFUNCTION("""COMPUTED_VALUE"""),45462.99861111111)</f>
        <v>45462.99861</v>
      </c>
      <c r="B2823" s="1">
        <f>IFERROR(__xludf.DUMMYFUNCTION("""COMPUTED_VALUE"""),65411.28)</f>
        <v>65411.28</v>
      </c>
      <c r="C2823" s="58">
        <f t="shared" si="1"/>
        <v>5646.998611</v>
      </c>
      <c r="D2823" s="1">
        <f t="shared" si="2"/>
        <v>29896.62538</v>
      </c>
      <c r="E2823" s="1">
        <f t="shared" si="3"/>
        <v>53813.92569</v>
      </c>
      <c r="F2823" s="1">
        <f t="shared" si="4"/>
        <v>101648.5263</v>
      </c>
      <c r="G2823" s="1">
        <f t="shared" si="5"/>
        <v>179379.7523</v>
      </c>
      <c r="H2823" s="1">
        <f t="shared" si="6"/>
        <v>328862.8792</v>
      </c>
      <c r="I2823" s="1">
        <f t="shared" si="7"/>
        <v>538139.2569</v>
      </c>
    </row>
    <row r="2824" hidden="1">
      <c r="A2824" s="266">
        <f>IFERROR(__xludf.DUMMYFUNCTION("""COMPUTED_VALUE"""),45463.99861111111)</f>
        <v>45463.99861</v>
      </c>
      <c r="B2824" s="1">
        <f>IFERROR(__xludf.DUMMYFUNCTION("""COMPUTED_VALUE"""),65171.54)</f>
        <v>65171.54</v>
      </c>
      <c r="C2824" s="58">
        <f t="shared" si="1"/>
        <v>5647.998611</v>
      </c>
      <c r="D2824" s="1">
        <f t="shared" si="2"/>
        <v>29927.34509</v>
      </c>
      <c r="E2824" s="1">
        <f t="shared" si="3"/>
        <v>53869.22116</v>
      </c>
      <c r="F2824" s="1">
        <f t="shared" si="4"/>
        <v>101752.9733</v>
      </c>
      <c r="G2824" s="1">
        <f t="shared" si="5"/>
        <v>179564.0705</v>
      </c>
      <c r="H2824" s="1">
        <f t="shared" si="6"/>
        <v>329200.796</v>
      </c>
      <c r="I2824" s="1">
        <f t="shared" si="7"/>
        <v>538692.2116</v>
      </c>
    </row>
    <row r="2825" hidden="1">
      <c r="A2825" s="266">
        <f>IFERROR(__xludf.DUMMYFUNCTION("""COMPUTED_VALUE"""),45464.99861111111)</f>
        <v>45464.99861</v>
      </c>
      <c r="B2825" s="1">
        <f>IFERROR(__xludf.DUMMYFUNCTION("""COMPUTED_VALUE"""),64652.56)</f>
        <v>64652.56</v>
      </c>
      <c r="C2825" s="58">
        <f t="shared" si="1"/>
        <v>5648.998611</v>
      </c>
      <c r="D2825" s="1">
        <f t="shared" si="2"/>
        <v>29958.09091</v>
      </c>
      <c r="E2825" s="1">
        <f t="shared" si="3"/>
        <v>53924.56365</v>
      </c>
      <c r="F2825" s="1">
        <f t="shared" si="4"/>
        <v>101857.5091</v>
      </c>
      <c r="G2825" s="1">
        <f t="shared" si="5"/>
        <v>179748.5455</v>
      </c>
      <c r="H2825" s="1">
        <f t="shared" si="6"/>
        <v>329539.0001</v>
      </c>
      <c r="I2825" s="1">
        <f t="shared" si="7"/>
        <v>539245.6365</v>
      </c>
    </row>
    <row r="2826" hidden="1">
      <c r="A2826" s="266">
        <f>IFERROR(__xludf.DUMMYFUNCTION("""COMPUTED_VALUE"""),45465.99861111111)</f>
        <v>45465.99861</v>
      </c>
      <c r="B2826" s="1">
        <f>IFERROR(__xludf.DUMMYFUNCTION("""COMPUTED_VALUE"""),64283.77)</f>
        <v>64283.77</v>
      </c>
      <c r="C2826" s="58">
        <f t="shared" si="1"/>
        <v>5649.998611</v>
      </c>
      <c r="D2826" s="1">
        <f t="shared" si="2"/>
        <v>29988.86288</v>
      </c>
      <c r="E2826" s="1">
        <f t="shared" si="3"/>
        <v>53979.95318</v>
      </c>
      <c r="F2826" s="1">
        <f t="shared" si="4"/>
        <v>101962.1338</v>
      </c>
      <c r="G2826" s="1">
        <f t="shared" si="5"/>
        <v>179933.1773</v>
      </c>
      <c r="H2826" s="1">
        <f t="shared" si="6"/>
        <v>329877.4916</v>
      </c>
      <c r="I2826" s="1">
        <f t="shared" si="7"/>
        <v>539799.5318</v>
      </c>
    </row>
    <row r="2827" hidden="1">
      <c r="A2827" s="266">
        <f>IFERROR(__xludf.DUMMYFUNCTION("""COMPUTED_VALUE"""),45466.99861111111)</f>
        <v>45466.99861</v>
      </c>
      <c r="B2827" s="1">
        <f>IFERROR(__xludf.DUMMYFUNCTION("""COMPUTED_VALUE"""),64407.0)</f>
        <v>64407</v>
      </c>
      <c r="C2827" s="58">
        <f t="shared" si="1"/>
        <v>5650.998611</v>
      </c>
      <c r="D2827" s="1">
        <f t="shared" si="2"/>
        <v>30019.66099</v>
      </c>
      <c r="E2827" s="1">
        <f t="shared" si="3"/>
        <v>54035.38978</v>
      </c>
      <c r="F2827" s="1">
        <f t="shared" si="4"/>
        <v>102066.8474</v>
      </c>
      <c r="G2827" s="1">
        <f t="shared" si="5"/>
        <v>180117.9659</v>
      </c>
      <c r="H2827" s="1">
        <f t="shared" si="6"/>
        <v>330216.2709</v>
      </c>
      <c r="I2827" s="1">
        <f t="shared" si="7"/>
        <v>540353.8978</v>
      </c>
    </row>
    <row r="2828" hidden="1">
      <c r="A2828" s="266">
        <f>IFERROR(__xludf.DUMMYFUNCTION("""COMPUTED_VALUE"""),45467.99861111111)</f>
        <v>45467.99861</v>
      </c>
      <c r="B2828" s="1">
        <f>IFERROR(__xludf.DUMMYFUNCTION("""COMPUTED_VALUE"""),62860.14)</f>
        <v>62860.14</v>
      </c>
      <c r="C2828" s="58">
        <f t="shared" si="1"/>
        <v>5651.998611</v>
      </c>
      <c r="D2828" s="1">
        <f t="shared" si="2"/>
        <v>30050.48528</v>
      </c>
      <c r="E2828" s="1">
        <f t="shared" si="3"/>
        <v>54090.8735</v>
      </c>
      <c r="F2828" s="1">
        <f t="shared" si="4"/>
        <v>102171.6499</v>
      </c>
      <c r="G2828" s="1">
        <f t="shared" si="5"/>
        <v>180302.9117</v>
      </c>
      <c r="H2828" s="1">
        <f t="shared" si="6"/>
        <v>330555.338</v>
      </c>
      <c r="I2828" s="1">
        <f t="shared" si="7"/>
        <v>540908.735</v>
      </c>
    </row>
    <row r="2829" hidden="1">
      <c r="A2829" s="266">
        <f>IFERROR(__xludf.DUMMYFUNCTION("""COMPUTED_VALUE"""),45468.99861111111)</f>
        <v>45468.99861</v>
      </c>
      <c r="B2829" s="1">
        <f>IFERROR(__xludf.DUMMYFUNCTION("""COMPUTED_VALUE"""),61352.41)</f>
        <v>61352.41</v>
      </c>
      <c r="C2829" s="58">
        <f t="shared" si="1"/>
        <v>5652.998611</v>
      </c>
      <c r="D2829" s="1">
        <f t="shared" si="2"/>
        <v>30081.33575</v>
      </c>
      <c r="E2829" s="1">
        <f t="shared" si="3"/>
        <v>54146.40435</v>
      </c>
      <c r="F2829" s="1">
        <f t="shared" si="4"/>
        <v>102276.5416</v>
      </c>
      <c r="G2829" s="1">
        <f t="shared" si="5"/>
        <v>180488.0145</v>
      </c>
      <c r="H2829" s="1">
        <f t="shared" si="6"/>
        <v>330894.6933</v>
      </c>
      <c r="I2829" s="1">
        <f t="shared" si="7"/>
        <v>541464.0435</v>
      </c>
    </row>
    <row r="2830" hidden="1">
      <c r="A2830" s="266">
        <f>IFERROR(__xludf.DUMMYFUNCTION("""COMPUTED_VALUE"""),45469.99861111111)</f>
        <v>45469.99861</v>
      </c>
      <c r="B2830" s="1">
        <f>IFERROR(__xludf.DUMMYFUNCTION("""COMPUTED_VALUE"""),61958.77)</f>
        <v>61958.77</v>
      </c>
      <c r="C2830" s="58">
        <f t="shared" si="1"/>
        <v>5653.998611</v>
      </c>
      <c r="D2830" s="1">
        <f t="shared" si="2"/>
        <v>30112.21243</v>
      </c>
      <c r="E2830" s="1">
        <f t="shared" si="3"/>
        <v>54201.98238</v>
      </c>
      <c r="F2830" s="1">
        <f t="shared" si="4"/>
        <v>102381.5223</v>
      </c>
      <c r="G2830" s="1">
        <f t="shared" si="5"/>
        <v>180673.2746</v>
      </c>
      <c r="H2830" s="1">
        <f t="shared" si="6"/>
        <v>331234.3368</v>
      </c>
      <c r="I2830" s="1">
        <f t="shared" si="7"/>
        <v>542019.8238</v>
      </c>
    </row>
    <row r="2831" hidden="1">
      <c r="A2831" s="266">
        <f>IFERROR(__xludf.DUMMYFUNCTION("""COMPUTED_VALUE"""),45470.99861111111)</f>
        <v>45470.99861</v>
      </c>
      <c r="B2831" s="1">
        <f>IFERROR(__xludf.DUMMYFUNCTION("""COMPUTED_VALUE"""),61006.5)</f>
        <v>61006.5</v>
      </c>
      <c r="C2831" s="58">
        <f t="shared" si="1"/>
        <v>5654.998611</v>
      </c>
      <c r="D2831" s="1">
        <f t="shared" si="2"/>
        <v>30143.11534</v>
      </c>
      <c r="E2831" s="1">
        <f t="shared" si="3"/>
        <v>54257.60761</v>
      </c>
      <c r="F2831" s="1">
        <f t="shared" si="4"/>
        <v>102486.5922</v>
      </c>
      <c r="G2831" s="1">
        <f t="shared" si="5"/>
        <v>180858.692</v>
      </c>
      <c r="H2831" s="1">
        <f t="shared" si="6"/>
        <v>331574.2687</v>
      </c>
      <c r="I2831" s="1">
        <f t="shared" si="7"/>
        <v>542576.0761</v>
      </c>
    </row>
    <row r="2832" hidden="1">
      <c r="A2832" s="266">
        <f>IFERROR(__xludf.DUMMYFUNCTION("""COMPUTED_VALUE"""),45471.99861111111)</f>
        <v>45471.99861</v>
      </c>
      <c r="B2832" s="1">
        <f>IFERROR(__xludf.DUMMYFUNCTION("""COMPUTED_VALUE"""),61814.18)</f>
        <v>61814.18</v>
      </c>
      <c r="C2832" s="58">
        <f t="shared" si="1"/>
        <v>5655.998611</v>
      </c>
      <c r="D2832" s="1">
        <f t="shared" si="2"/>
        <v>30174.04449</v>
      </c>
      <c r="E2832" s="1">
        <f t="shared" si="3"/>
        <v>54313.28007</v>
      </c>
      <c r="F2832" s="1">
        <f t="shared" si="4"/>
        <v>102591.7513</v>
      </c>
      <c r="G2832" s="1">
        <f t="shared" si="5"/>
        <v>181044.2669</v>
      </c>
      <c r="H2832" s="1">
        <f t="shared" si="6"/>
        <v>331914.4893</v>
      </c>
      <c r="I2832" s="1">
        <f t="shared" si="7"/>
        <v>543132.8007</v>
      </c>
    </row>
    <row r="2833" hidden="1">
      <c r="A2833" s="266">
        <f>IFERROR(__xludf.DUMMYFUNCTION("""COMPUTED_VALUE"""),45472.99861111111)</f>
        <v>45472.99861</v>
      </c>
      <c r="B2833" s="1">
        <f>IFERROR(__xludf.DUMMYFUNCTION("""COMPUTED_VALUE"""),60684.36)</f>
        <v>60684.36</v>
      </c>
      <c r="C2833" s="58">
        <f t="shared" si="1"/>
        <v>5656.998611</v>
      </c>
      <c r="D2833" s="1">
        <f t="shared" si="2"/>
        <v>30204.99989</v>
      </c>
      <c r="E2833" s="1">
        <f t="shared" si="3"/>
        <v>54368.99981</v>
      </c>
      <c r="F2833" s="1">
        <f t="shared" si="4"/>
        <v>102696.9996</v>
      </c>
      <c r="G2833" s="1">
        <f t="shared" si="5"/>
        <v>181229.9994</v>
      </c>
      <c r="H2833" s="1">
        <f t="shared" si="6"/>
        <v>332254.9988</v>
      </c>
      <c r="I2833" s="1">
        <f t="shared" si="7"/>
        <v>543689.9981</v>
      </c>
    </row>
    <row r="2834" hidden="1">
      <c r="A2834" s="266">
        <f>IFERROR(__xludf.DUMMYFUNCTION("""COMPUTED_VALUE"""),45473.99861111111)</f>
        <v>45473.99861</v>
      </c>
      <c r="B2834" s="1">
        <f>IFERROR(__xludf.DUMMYFUNCTION("""COMPUTED_VALUE"""),60860.1)</f>
        <v>60860.1</v>
      </c>
      <c r="C2834" s="58">
        <f t="shared" si="1"/>
        <v>5657.998611</v>
      </c>
      <c r="D2834" s="1">
        <f t="shared" si="2"/>
        <v>30235.98158</v>
      </c>
      <c r="E2834" s="1">
        <f t="shared" si="3"/>
        <v>54424.76684</v>
      </c>
      <c r="F2834" s="1">
        <f t="shared" si="4"/>
        <v>102802.3374</v>
      </c>
      <c r="G2834" s="1">
        <f t="shared" si="5"/>
        <v>181415.8895</v>
      </c>
      <c r="H2834" s="1">
        <f t="shared" si="6"/>
        <v>332595.7973</v>
      </c>
      <c r="I2834" s="1">
        <f t="shared" si="7"/>
        <v>544247.6684</v>
      </c>
    </row>
    <row r="2835" hidden="1">
      <c r="A2835" s="266">
        <f>IFERROR(__xludf.DUMMYFUNCTION("""COMPUTED_VALUE"""),45474.99861111111)</f>
        <v>45474.99861</v>
      </c>
      <c r="B2835" s="1">
        <f>IFERROR(__xludf.DUMMYFUNCTION("""COMPUTED_VALUE"""),63352.62)</f>
        <v>63352.62</v>
      </c>
      <c r="C2835" s="58">
        <f t="shared" si="1"/>
        <v>5658.998611</v>
      </c>
      <c r="D2835" s="1">
        <f t="shared" si="2"/>
        <v>30266.98955</v>
      </c>
      <c r="E2835" s="1">
        <f t="shared" si="3"/>
        <v>54480.5812</v>
      </c>
      <c r="F2835" s="1">
        <f t="shared" si="4"/>
        <v>102907.7645</v>
      </c>
      <c r="G2835" s="1">
        <f t="shared" si="5"/>
        <v>181601.9373</v>
      </c>
      <c r="H2835" s="1">
        <f t="shared" si="6"/>
        <v>332936.8851</v>
      </c>
      <c r="I2835" s="1">
        <f t="shared" si="7"/>
        <v>544805.812</v>
      </c>
    </row>
    <row r="2836" hidden="1">
      <c r="A2836" s="266">
        <f>IFERROR(__xludf.DUMMYFUNCTION("""COMPUTED_VALUE"""),45475.99861111111)</f>
        <v>45475.99861</v>
      </c>
      <c r="B2836" s="1">
        <f>IFERROR(__xludf.DUMMYFUNCTION("""COMPUTED_VALUE"""),63112.1)</f>
        <v>63112.1</v>
      </c>
      <c r="C2836" s="58">
        <f t="shared" si="1"/>
        <v>5659.998611</v>
      </c>
      <c r="D2836" s="1">
        <f t="shared" si="2"/>
        <v>30298.02384</v>
      </c>
      <c r="E2836" s="1">
        <f t="shared" si="3"/>
        <v>54536.44292</v>
      </c>
      <c r="F2836" s="1">
        <f t="shared" si="4"/>
        <v>103013.2811</v>
      </c>
      <c r="G2836" s="1">
        <f t="shared" si="5"/>
        <v>181788.1431</v>
      </c>
      <c r="H2836" s="1">
        <f t="shared" si="6"/>
        <v>333278.2623</v>
      </c>
      <c r="I2836" s="1">
        <f t="shared" si="7"/>
        <v>545364.4292</v>
      </c>
    </row>
    <row r="2837" hidden="1">
      <c r="A2837" s="266">
        <f>IFERROR(__xludf.DUMMYFUNCTION("""COMPUTED_VALUE"""),45476.99861111111)</f>
        <v>45476.99861</v>
      </c>
      <c r="B2837" s="1">
        <f>IFERROR(__xludf.DUMMYFUNCTION("""COMPUTED_VALUE"""),60889.5)</f>
        <v>60889.5</v>
      </c>
      <c r="C2837" s="58">
        <f t="shared" si="1"/>
        <v>5660.998611</v>
      </c>
      <c r="D2837" s="1">
        <f t="shared" si="2"/>
        <v>30329.08446</v>
      </c>
      <c r="E2837" s="1">
        <f t="shared" si="3"/>
        <v>54592.35204</v>
      </c>
      <c r="F2837" s="1">
        <f t="shared" si="4"/>
        <v>103118.8872</v>
      </c>
      <c r="G2837" s="1">
        <f t="shared" si="5"/>
        <v>181974.5068</v>
      </c>
      <c r="H2837" s="1">
        <f t="shared" si="6"/>
        <v>333619.9291</v>
      </c>
      <c r="I2837" s="1">
        <f t="shared" si="7"/>
        <v>545923.5204</v>
      </c>
    </row>
    <row r="2838" hidden="1">
      <c r="A2838" s="266">
        <f>IFERROR(__xludf.DUMMYFUNCTION("""COMPUTED_VALUE"""),45477.99861111111)</f>
        <v>45477.99861</v>
      </c>
      <c r="B2838" s="1">
        <f>IFERROR(__xludf.DUMMYFUNCTION("""COMPUTED_VALUE"""),58973.24)</f>
        <v>58973.24</v>
      </c>
      <c r="C2838" s="58">
        <f t="shared" si="1"/>
        <v>5661.998611</v>
      </c>
      <c r="D2838" s="1">
        <f t="shared" si="2"/>
        <v>30360.17143</v>
      </c>
      <c r="E2838" s="1">
        <f t="shared" si="3"/>
        <v>54648.30858</v>
      </c>
      <c r="F2838" s="1">
        <f t="shared" si="4"/>
        <v>103224.5829</v>
      </c>
      <c r="G2838" s="1">
        <f t="shared" si="5"/>
        <v>182161.0286</v>
      </c>
      <c r="H2838" s="1">
        <f t="shared" si="6"/>
        <v>333961.8858</v>
      </c>
      <c r="I2838" s="1">
        <f t="shared" si="7"/>
        <v>546483.0858</v>
      </c>
    </row>
    <row r="2839" hidden="1">
      <c r="A2839" s="266">
        <f>IFERROR(__xludf.DUMMYFUNCTION("""COMPUTED_VALUE"""),45478.99861111111)</f>
        <v>45478.99861</v>
      </c>
      <c r="B2839" s="1">
        <f>IFERROR(__xludf.DUMMYFUNCTION("""COMPUTED_VALUE"""),55244.81)</f>
        <v>55244.81</v>
      </c>
      <c r="C2839" s="58">
        <f t="shared" si="1"/>
        <v>5662.998611</v>
      </c>
      <c r="D2839" s="1">
        <f t="shared" si="2"/>
        <v>30391.28477</v>
      </c>
      <c r="E2839" s="1">
        <f t="shared" si="3"/>
        <v>54704.31258</v>
      </c>
      <c r="F2839" s="1">
        <f t="shared" si="4"/>
        <v>103330.3682</v>
      </c>
      <c r="G2839" s="1">
        <f t="shared" si="5"/>
        <v>182347.7086</v>
      </c>
      <c r="H2839" s="1">
        <f t="shared" si="6"/>
        <v>334304.1324</v>
      </c>
      <c r="I2839" s="1">
        <f t="shared" si="7"/>
        <v>547043.1258</v>
      </c>
    </row>
    <row r="2840" hidden="1">
      <c r="A2840" s="266">
        <f>IFERROR(__xludf.DUMMYFUNCTION("""COMPUTED_VALUE"""),45479.99861111111)</f>
        <v>45479.99861</v>
      </c>
      <c r="B2840" s="1">
        <f>IFERROR(__xludf.DUMMYFUNCTION("""COMPUTED_VALUE"""),56420.53)</f>
        <v>56420.53</v>
      </c>
      <c r="C2840" s="58">
        <f t="shared" si="1"/>
        <v>5663.998611</v>
      </c>
      <c r="D2840" s="1">
        <f t="shared" si="2"/>
        <v>30422.42448</v>
      </c>
      <c r="E2840" s="1">
        <f t="shared" si="3"/>
        <v>54760.36407</v>
      </c>
      <c r="F2840" s="1">
        <f t="shared" si="4"/>
        <v>103436.2432</v>
      </c>
      <c r="G2840" s="1">
        <f t="shared" si="5"/>
        <v>182534.5469</v>
      </c>
      <c r="H2840" s="1">
        <f t="shared" si="6"/>
        <v>334646.6693</v>
      </c>
      <c r="I2840" s="1">
        <f t="shared" si="7"/>
        <v>547603.6407</v>
      </c>
    </row>
    <row r="2841" hidden="1">
      <c r="A2841" s="266">
        <f>IFERROR(__xludf.DUMMYFUNCTION("""COMPUTED_VALUE"""),45480.99861111111)</f>
        <v>45480.99861</v>
      </c>
      <c r="B2841" s="1">
        <f>IFERROR(__xludf.DUMMYFUNCTION("""COMPUTED_VALUE"""),58088.72)</f>
        <v>58088.72</v>
      </c>
      <c r="C2841" s="58">
        <f t="shared" si="1"/>
        <v>5664.998611</v>
      </c>
      <c r="D2841" s="1">
        <f t="shared" si="2"/>
        <v>30453.5906</v>
      </c>
      <c r="E2841" s="1">
        <f t="shared" si="3"/>
        <v>54816.46308</v>
      </c>
      <c r="F2841" s="1">
        <f t="shared" si="4"/>
        <v>103542.208</v>
      </c>
      <c r="G2841" s="1">
        <f t="shared" si="5"/>
        <v>182721.5436</v>
      </c>
      <c r="H2841" s="1">
        <f t="shared" si="6"/>
        <v>334989.4966</v>
      </c>
      <c r="I2841" s="1">
        <f t="shared" si="7"/>
        <v>548164.6308</v>
      </c>
    </row>
    <row r="2842" hidden="1">
      <c r="A2842" s="266">
        <f>IFERROR(__xludf.DUMMYFUNCTION("""COMPUTED_VALUE"""),45481.99861111111)</f>
        <v>45481.99861</v>
      </c>
      <c r="B2842" s="1">
        <f>IFERROR(__xludf.DUMMYFUNCTION("""COMPUTED_VALUE"""),55184.9)</f>
        <v>55184.9</v>
      </c>
      <c r="C2842" s="58">
        <f t="shared" si="1"/>
        <v>5665.998611</v>
      </c>
      <c r="D2842" s="1">
        <f t="shared" si="2"/>
        <v>30484.78314</v>
      </c>
      <c r="E2842" s="1">
        <f t="shared" si="3"/>
        <v>54872.60965</v>
      </c>
      <c r="F2842" s="1">
        <f t="shared" si="4"/>
        <v>103648.2627</v>
      </c>
      <c r="G2842" s="1">
        <f t="shared" si="5"/>
        <v>182908.6988</v>
      </c>
      <c r="H2842" s="1">
        <f t="shared" si="6"/>
        <v>335332.6145</v>
      </c>
      <c r="I2842" s="1">
        <f t="shared" si="7"/>
        <v>548726.0965</v>
      </c>
    </row>
    <row r="2843" hidden="1">
      <c r="A2843" s="266">
        <f>IFERROR(__xludf.DUMMYFUNCTION("""COMPUTED_VALUE"""),45482.99861111111)</f>
        <v>45482.99861</v>
      </c>
      <c r="B2843" s="1">
        <f>IFERROR(__xludf.DUMMYFUNCTION("""COMPUTED_VALUE"""),57109.26)</f>
        <v>57109.26</v>
      </c>
      <c r="C2843" s="58">
        <f t="shared" si="1"/>
        <v>5666.998611</v>
      </c>
      <c r="D2843" s="1">
        <f t="shared" si="2"/>
        <v>30516.00211</v>
      </c>
      <c r="E2843" s="1">
        <f t="shared" si="3"/>
        <v>54928.80379</v>
      </c>
      <c r="F2843" s="1">
        <f t="shared" si="4"/>
        <v>103754.4072</v>
      </c>
      <c r="G2843" s="1">
        <f t="shared" si="5"/>
        <v>183096.0126</v>
      </c>
      <c r="H2843" s="1">
        <f t="shared" si="6"/>
        <v>335676.0232</v>
      </c>
      <c r="I2843" s="1">
        <f t="shared" si="7"/>
        <v>549288.0379</v>
      </c>
    </row>
    <row r="2844" hidden="1">
      <c r="A2844" s="266">
        <f>IFERROR(__xludf.DUMMYFUNCTION("""COMPUTED_VALUE"""),45483.99861111111)</f>
        <v>45483.99861</v>
      </c>
      <c r="B2844" s="1">
        <f>IFERROR(__xludf.DUMMYFUNCTION("""COMPUTED_VALUE"""),58045.79)</f>
        <v>58045.79</v>
      </c>
      <c r="C2844" s="58">
        <f t="shared" si="1"/>
        <v>5667.998611</v>
      </c>
      <c r="D2844" s="1">
        <f t="shared" si="2"/>
        <v>30547.24753</v>
      </c>
      <c r="E2844" s="1">
        <f t="shared" si="3"/>
        <v>54985.04556</v>
      </c>
      <c r="F2844" s="1">
        <f t="shared" si="4"/>
        <v>103860.6416</v>
      </c>
      <c r="G2844" s="1">
        <f t="shared" si="5"/>
        <v>183283.4852</v>
      </c>
      <c r="H2844" s="1">
        <f t="shared" si="6"/>
        <v>336019.7229</v>
      </c>
      <c r="I2844" s="1">
        <f t="shared" si="7"/>
        <v>549850.4556</v>
      </c>
    </row>
    <row r="2845" hidden="1">
      <c r="A2845" s="266">
        <f>IFERROR(__xludf.DUMMYFUNCTION("""COMPUTED_VALUE"""),45484.99861111111)</f>
        <v>45484.99861</v>
      </c>
      <c r="B2845" s="1">
        <f>IFERROR(__xludf.DUMMYFUNCTION("""COMPUTED_VALUE"""),57602.57)</f>
        <v>57602.57</v>
      </c>
      <c r="C2845" s="58">
        <f t="shared" si="1"/>
        <v>5668.998611</v>
      </c>
      <c r="D2845" s="1">
        <f t="shared" si="2"/>
        <v>30578.51943</v>
      </c>
      <c r="E2845" s="1">
        <f t="shared" si="3"/>
        <v>55041.33498</v>
      </c>
      <c r="F2845" s="1">
        <f t="shared" si="4"/>
        <v>103966.9661</v>
      </c>
      <c r="G2845" s="1">
        <f t="shared" si="5"/>
        <v>183471.1166</v>
      </c>
      <c r="H2845" s="1">
        <f t="shared" si="6"/>
        <v>336363.7138</v>
      </c>
      <c r="I2845" s="1">
        <f t="shared" si="7"/>
        <v>550413.3498</v>
      </c>
    </row>
    <row r="2846" hidden="1">
      <c r="A2846" s="266">
        <f>IFERROR(__xludf.DUMMYFUNCTION("""COMPUTED_VALUE"""),45485.99861111111)</f>
        <v>45485.99861</v>
      </c>
      <c r="B2846" s="1">
        <f>IFERROR(__xludf.DUMMYFUNCTION("""COMPUTED_VALUE"""),56940.31)</f>
        <v>56940.31</v>
      </c>
      <c r="C2846" s="58">
        <f t="shared" si="1"/>
        <v>5669.998611</v>
      </c>
      <c r="D2846" s="1">
        <f t="shared" si="2"/>
        <v>30609.81782</v>
      </c>
      <c r="E2846" s="1">
        <f t="shared" si="3"/>
        <v>55097.67207</v>
      </c>
      <c r="F2846" s="1">
        <f t="shared" si="4"/>
        <v>104073.3806</v>
      </c>
      <c r="G2846" s="1">
        <f t="shared" si="5"/>
        <v>183658.9069</v>
      </c>
      <c r="H2846" s="1">
        <f t="shared" si="6"/>
        <v>336707.996</v>
      </c>
      <c r="I2846" s="1">
        <f t="shared" si="7"/>
        <v>550976.7207</v>
      </c>
    </row>
    <row r="2847" hidden="1">
      <c r="A2847" s="266">
        <f>IFERROR(__xludf.DUMMYFUNCTION("""COMPUTED_VALUE"""),45486.99861111111)</f>
        <v>45486.99861</v>
      </c>
      <c r="B2847" s="1">
        <f>IFERROR(__xludf.DUMMYFUNCTION("""COMPUTED_VALUE"""),57935.24)</f>
        <v>57935.24</v>
      </c>
      <c r="C2847" s="58">
        <f t="shared" si="1"/>
        <v>5670.998611</v>
      </c>
      <c r="D2847" s="1">
        <f t="shared" si="2"/>
        <v>30641.14271</v>
      </c>
      <c r="E2847" s="1">
        <f t="shared" si="3"/>
        <v>55154.05688</v>
      </c>
      <c r="F2847" s="1">
        <f t="shared" si="4"/>
        <v>104179.8852</v>
      </c>
      <c r="G2847" s="1">
        <f t="shared" si="5"/>
        <v>183846.8563</v>
      </c>
      <c r="H2847" s="1">
        <f t="shared" si="6"/>
        <v>337052.5699</v>
      </c>
      <c r="I2847" s="1">
        <f t="shared" si="7"/>
        <v>551540.5688</v>
      </c>
    </row>
    <row r="2848" hidden="1">
      <c r="A2848" s="266">
        <f>IFERROR(__xludf.DUMMYFUNCTION("""COMPUTED_VALUE"""),45487.99861111111)</f>
        <v>45487.99861</v>
      </c>
      <c r="B2848" s="1">
        <f>IFERROR(__xludf.DUMMYFUNCTION("""COMPUTED_VALUE"""),59477.68)</f>
        <v>59477.68</v>
      </c>
      <c r="C2848" s="58">
        <f t="shared" si="1"/>
        <v>5671.998611</v>
      </c>
      <c r="D2848" s="1">
        <f t="shared" si="2"/>
        <v>30672.49413</v>
      </c>
      <c r="E2848" s="1">
        <f t="shared" si="3"/>
        <v>55210.48944</v>
      </c>
      <c r="F2848" s="1">
        <f t="shared" si="4"/>
        <v>104286.4801</v>
      </c>
      <c r="G2848" s="1">
        <f t="shared" si="5"/>
        <v>184034.9648</v>
      </c>
      <c r="H2848" s="1">
        <f t="shared" si="6"/>
        <v>337397.4355</v>
      </c>
      <c r="I2848" s="1">
        <f t="shared" si="7"/>
        <v>552104.8944</v>
      </c>
    </row>
    <row r="2849" hidden="1">
      <c r="A2849" s="266">
        <f>IFERROR(__xludf.DUMMYFUNCTION("""COMPUTED_VALUE"""),45488.99861111111)</f>
        <v>45488.99861</v>
      </c>
      <c r="B2849" s="1">
        <f>IFERROR(__xludf.DUMMYFUNCTION("""COMPUTED_VALUE"""),62609.86)</f>
        <v>62609.86</v>
      </c>
      <c r="C2849" s="58">
        <f t="shared" si="1"/>
        <v>5672.998611</v>
      </c>
      <c r="D2849" s="1">
        <f t="shared" si="2"/>
        <v>30703.8721</v>
      </c>
      <c r="E2849" s="1">
        <f t="shared" si="3"/>
        <v>55266.96977</v>
      </c>
      <c r="F2849" s="1">
        <f t="shared" si="4"/>
        <v>104393.1651</v>
      </c>
      <c r="G2849" s="1">
        <f t="shared" si="5"/>
        <v>184223.2326</v>
      </c>
      <c r="H2849" s="1">
        <f t="shared" si="6"/>
        <v>337742.5931</v>
      </c>
      <c r="I2849" s="1">
        <f t="shared" si="7"/>
        <v>552669.6977</v>
      </c>
    </row>
    <row r="2850" hidden="1">
      <c r="A2850" s="266">
        <f>IFERROR(__xludf.DUMMYFUNCTION("""COMPUTED_VALUE"""),45489.99861111111)</f>
        <v>45489.99861</v>
      </c>
      <c r="B2850" s="1">
        <f>IFERROR(__xludf.DUMMYFUNCTION("""COMPUTED_VALUE"""),64779.16)</f>
        <v>64779.16</v>
      </c>
      <c r="C2850" s="58">
        <f t="shared" si="1"/>
        <v>5673.998611</v>
      </c>
      <c r="D2850" s="1">
        <f t="shared" si="2"/>
        <v>30735.27662</v>
      </c>
      <c r="E2850" s="1">
        <f t="shared" si="3"/>
        <v>55323.49791</v>
      </c>
      <c r="F2850" s="1">
        <f t="shared" si="4"/>
        <v>104499.9405</v>
      </c>
      <c r="G2850" s="1">
        <f t="shared" si="5"/>
        <v>184411.6597</v>
      </c>
      <c r="H2850" s="1">
        <f t="shared" si="6"/>
        <v>338088.0428</v>
      </c>
      <c r="I2850" s="1">
        <f t="shared" si="7"/>
        <v>553234.9791</v>
      </c>
    </row>
    <row r="2851" hidden="1">
      <c r="A2851" s="266">
        <f>IFERROR(__xludf.DUMMYFUNCTION("""COMPUTED_VALUE"""),45490.99861111111)</f>
        <v>45490.99861</v>
      </c>
      <c r="B2851" s="1">
        <f>IFERROR(__xludf.DUMMYFUNCTION("""COMPUTED_VALUE"""),65735.7)</f>
        <v>65735.7</v>
      </c>
      <c r="C2851" s="58">
        <f t="shared" si="1"/>
        <v>5674.998611</v>
      </c>
      <c r="D2851" s="1">
        <f t="shared" si="2"/>
        <v>30766.70772</v>
      </c>
      <c r="E2851" s="1">
        <f t="shared" si="3"/>
        <v>55380.07389</v>
      </c>
      <c r="F2851" s="1">
        <f t="shared" si="4"/>
        <v>104606.8062</v>
      </c>
      <c r="G2851" s="1">
        <f t="shared" si="5"/>
        <v>184600.2463</v>
      </c>
      <c r="H2851" s="1">
        <f t="shared" si="6"/>
        <v>338433.7849</v>
      </c>
      <c r="I2851" s="1">
        <f t="shared" si="7"/>
        <v>553800.7389</v>
      </c>
    </row>
    <row r="2852" hidden="1">
      <c r="A2852" s="266">
        <f>IFERROR(__xludf.DUMMYFUNCTION("""COMPUTED_VALUE"""),45491.99861111111)</f>
        <v>45491.99861</v>
      </c>
      <c r="B2852" s="1">
        <f>IFERROR(__xludf.DUMMYFUNCTION("""COMPUTED_VALUE"""),64883.35)</f>
        <v>64883.35</v>
      </c>
      <c r="C2852" s="58">
        <f t="shared" si="1"/>
        <v>5675.998611</v>
      </c>
      <c r="D2852" s="1">
        <f t="shared" si="2"/>
        <v>30798.16542</v>
      </c>
      <c r="E2852" s="1">
        <f t="shared" si="3"/>
        <v>55436.69775</v>
      </c>
      <c r="F2852" s="1">
        <f t="shared" si="4"/>
        <v>104713.7624</v>
      </c>
      <c r="G2852" s="1">
        <f t="shared" si="5"/>
        <v>184788.9925</v>
      </c>
      <c r="H2852" s="1">
        <f t="shared" si="6"/>
        <v>338779.8196</v>
      </c>
      <c r="I2852" s="1">
        <f t="shared" si="7"/>
        <v>554366.9775</v>
      </c>
    </row>
    <row r="2853" hidden="1">
      <c r="A2853" s="266">
        <f>IFERROR(__xludf.DUMMYFUNCTION("""COMPUTED_VALUE"""),45492.99861111111)</f>
        <v>45492.99861</v>
      </c>
      <c r="B2853" s="1">
        <f>IFERROR(__xludf.DUMMYFUNCTION("""COMPUTED_VALUE"""),64186.21)</f>
        <v>64186.21</v>
      </c>
      <c r="C2853" s="58">
        <f t="shared" si="1"/>
        <v>5676.998611</v>
      </c>
      <c r="D2853" s="1">
        <f t="shared" si="2"/>
        <v>30829.64973</v>
      </c>
      <c r="E2853" s="1">
        <f t="shared" si="3"/>
        <v>55493.36951</v>
      </c>
      <c r="F2853" s="1">
        <f t="shared" si="4"/>
        <v>104820.8091</v>
      </c>
      <c r="G2853" s="1">
        <f t="shared" si="5"/>
        <v>184977.8984</v>
      </c>
      <c r="H2853" s="1">
        <f t="shared" si="6"/>
        <v>339126.147</v>
      </c>
      <c r="I2853" s="1">
        <f t="shared" si="7"/>
        <v>554933.6951</v>
      </c>
    </row>
    <row r="2854" hidden="1">
      <c r="A2854" s="266">
        <f>IFERROR(__xludf.DUMMYFUNCTION("""COMPUTED_VALUE"""),45493.99861111111)</f>
        <v>45493.99861</v>
      </c>
      <c r="B2854" s="1">
        <f>IFERROR(__xludf.DUMMYFUNCTION("""COMPUTED_VALUE"""),66693.2)</f>
        <v>66693.2</v>
      </c>
      <c r="C2854" s="58">
        <f t="shared" si="1"/>
        <v>5677.998611</v>
      </c>
      <c r="D2854" s="1">
        <f t="shared" si="2"/>
        <v>30861.16067</v>
      </c>
      <c r="E2854" s="1">
        <f t="shared" si="3"/>
        <v>55550.08921</v>
      </c>
      <c r="F2854" s="1">
        <f t="shared" si="4"/>
        <v>104927.9463</v>
      </c>
      <c r="G2854" s="1">
        <f t="shared" si="5"/>
        <v>185166.964</v>
      </c>
      <c r="H2854" s="1">
        <f t="shared" si="6"/>
        <v>339472.7674</v>
      </c>
      <c r="I2854" s="1">
        <f t="shared" si="7"/>
        <v>555500.8921</v>
      </c>
    </row>
    <row r="2855" hidden="1">
      <c r="A2855" s="266">
        <f>IFERROR(__xludf.DUMMYFUNCTION("""COMPUTED_VALUE"""),45494.99861111111)</f>
        <v>45494.99861</v>
      </c>
      <c r="B2855" s="1">
        <f>IFERROR(__xludf.DUMMYFUNCTION("""COMPUTED_VALUE"""),67156.72)</f>
        <v>67156.72</v>
      </c>
      <c r="C2855" s="58">
        <f t="shared" si="1"/>
        <v>5678.998611</v>
      </c>
      <c r="D2855" s="1">
        <f t="shared" si="2"/>
        <v>30892.69826</v>
      </c>
      <c r="E2855" s="1">
        <f t="shared" si="3"/>
        <v>55606.85687</v>
      </c>
      <c r="F2855" s="1">
        <f t="shared" si="4"/>
        <v>105035.1741</v>
      </c>
      <c r="G2855" s="1">
        <f t="shared" si="5"/>
        <v>185356.1896</v>
      </c>
      <c r="H2855" s="1">
        <f t="shared" si="6"/>
        <v>339819.6809</v>
      </c>
      <c r="I2855" s="1">
        <f t="shared" si="7"/>
        <v>556068.5687</v>
      </c>
    </row>
    <row r="2856" hidden="1">
      <c r="A2856" s="266">
        <f>IFERROR(__xludf.DUMMYFUNCTION("""COMPUTED_VALUE"""),45495.99861111111)</f>
        <v>45495.99861</v>
      </c>
      <c r="B2856" s="1">
        <f>IFERROR(__xludf.DUMMYFUNCTION("""COMPUTED_VALUE"""),67951.34)</f>
        <v>67951.34</v>
      </c>
      <c r="C2856" s="58">
        <f t="shared" si="1"/>
        <v>5679.998611</v>
      </c>
      <c r="D2856" s="1">
        <f t="shared" si="2"/>
        <v>30924.26252</v>
      </c>
      <c r="E2856" s="1">
        <f t="shared" si="3"/>
        <v>55663.67254</v>
      </c>
      <c r="F2856" s="1">
        <f t="shared" si="4"/>
        <v>105142.4926</v>
      </c>
      <c r="G2856" s="1">
        <f t="shared" si="5"/>
        <v>185545.5751</v>
      </c>
      <c r="H2856" s="1">
        <f t="shared" si="6"/>
        <v>340166.8878</v>
      </c>
      <c r="I2856" s="1">
        <f t="shared" si="7"/>
        <v>556636.7254</v>
      </c>
    </row>
    <row r="2857" hidden="1">
      <c r="A2857" s="266">
        <f>IFERROR(__xludf.DUMMYFUNCTION("""COMPUTED_VALUE"""),45496.99861111111)</f>
        <v>45496.99861</v>
      </c>
      <c r="B2857" s="1">
        <f>IFERROR(__xludf.DUMMYFUNCTION("""COMPUTED_VALUE"""),67566.87)</f>
        <v>67566.87</v>
      </c>
      <c r="C2857" s="58">
        <f t="shared" si="1"/>
        <v>5680.998611</v>
      </c>
      <c r="D2857" s="1">
        <f t="shared" si="2"/>
        <v>30955.85347</v>
      </c>
      <c r="E2857" s="1">
        <f t="shared" si="3"/>
        <v>55720.53624</v>
      </c>
      <c r="F2857" s="1">
        <f t="shared" si="4"/>
        <v>105249.9018</v>
      </c>
      <c r="G2857" s="1">
        <f t="shared" si="5"/>
        <v>185735.1208</v>
      </c>
      <c r="H2857" s="1">
        <f t="shared" si="6"/>
        <v>340514.3882</v>
      </c>
      <c r="I2857" s="1">
        <f t="shared" si="7"/>
        <v>557205.3624</v>
      </c>
    </row>
    <row r="2858" hidden="1">
      <c r="A2858" s="266">
        <f>IFERROR(__xludf.DUMMYFUNCTION("""COMPUTED_VALUE"""),45497.99861111111)</f>
        <v>45497.99861</v>
      </c>
      <c r="B2858" s="1">
        <f>IFERROR(__xludf.DUMMYFUNCTION("""COMPUTED_VALUE"""),66041.17)</f>
        <v>66041.17</v>
      </c>
      <c r="C2858" s="58">
        <f t="shared" si="1"/>
        <v>5681.998611</v>
      </c>
      <c r="D2858" s="1">
        <f t="shared" si="2"/>
        <v>30987.47112</v>
      </c>
      <c r="E2858" s="1">
        <f t="shared" si="3"/>
        <v>55777.44801</v>
      </c>
      <c r="F2858" s="1">
        <f t="shared" si="4"/>
        <v>105357.4018</v>
      </c>
      <c r="G2858" s="1">
        <f t="shared" si="5"/>
        <v>185924.8267</v>
      </c>
      <c r="H2858" s="1">
        <f t="shared" si="6"/>
        <v>340862.1823</v>
      </c>
      <c r="I2858" s="1">
        <f t="shared" si="7"/>
        <v>557774.4801</v>
      </c>
    </row>
    <row r="2859" hidden="1">
      <c r="A2859" s="266">
        <f>IFERROR(__xludf.DUMMYFUNCTION("""COMPUTED_VALUE"""),45498.99861111111)</f>
        <v>45498.99861</v>
      </c>
      <c r="B2859" s="1">
        <f>IFERROR(__xludf.DUMMYFUNCTION("""COMPUTED_VALUE"""),64125.9)</f>
        <v>64125.9</v>
      </c>
      <c r="C2859" s="58">
        <f t="shared" si="1"/>
        <v>5682.998611</v>
      </c>
      <c r="D2859" s="1">
        <f t="shared" si="2"/>
        <v>31019.11549</v>
      </c>
      <c r="E2859" s="1">
        <f t="shared" si="3"/>
        <v>55834.40788</v>
      </c>
      <c r="F2859" s="1">
        <f t="shared" si="4"/>
        <v>105464.9927</v>
      </c>
      <c r="G2859" s="1">
        <f t="shared" si="5"/>
        <v>186114.6929</v>
      </c>
      <c r="H2859" s="1">
        <f t="shared" si="6"/>
        <v>341210.2704</v>
      </c>
      <c r="I2859" s="1">
        <f t="shared" si="7"/>
        <v>558344.0788</v>
      </c>
    </row>
    <row r="2860" hidden="1">
      <c r="A2860" s="266">
        <f>IFERROR(__xludf.DUMMYFUNCTION("""COMPUTED_VALUE"""),45499.99861111111)</f>
        <v>45499.99861</v>
      </c>
      <c r="B2860" s="1">
        <f>IFERROR(__xludf.DUMMYFUNCTION("""COMPUTED_VALUE"""),66948.46)</f>
        <v>66948.46</v>
      </c>
      <c r="C2860" s="58">
        <f t="shared" si="1"/>
        <v>5683.998611</v>
      </c>
      <c r="D2860" s="1">
        <f t="shared" si="2"/>
        <v>31050.7866</v>
      </c>
      <c r="E2860" s="1">
        <f t="shared" si="3"/>
        <v>55891.41587</v>
      </c>
      <c r="F2860" s="1">
        <f t="shared" si="4"/>
        <v>105572.6744</v>
      </c>
      <c r="G2860" s="1">
        <f t="shared" si="5"/>
        <v>186304.7196</v>
      </c>
      <c r="H2860" s="1">
        <f t="shared" si="6"/>
        <v>341558.6525</v>
      </c>
      <c r="I2860" s="1">
        <f t="shared" si="7"/>
        <v>558914.1587</v>
      </c>
    </row>
    <row r="2861" hidden="1">
      <c r="A2861" s="266">
        <f>IFERROR(__xludf.DUMMYFUNCTION("""COMPUTED_VALUE"""),45500.99861111111)</f>
        <v>45500.99861</v>
      </c>
      <c r="B2861" s="1">
        <f>IFERROR(__xludf.DUMMYFUNCTION("""COMPUTED_VALUE"""),67845.7)</f>
        <v>67845.7</v>
      </c>
      <c r="C2861" s="58">
        <f t="shared" si="1"/>
        <v>5684.998611</v>
      </c>
      <c r="D2861" s="1">
        <f t="shared" si="2"/>
        <v>31082.48446</v>
      </c>
      <c r="E2861" s="1">
        <f t="shared" si="3"/>
        <v>55948.47203</v>
      </c>
      <c r="F2861" s="1">
        <f t="shared" si="4"/>
        <v>105680.4472</v>
      </c>
      <c r="G2861" s="1">
        <f t="shared" si="5"/>
        <v>186494.9068</v>
      </c>
      <c r="H2861" s="1">
        <f t="shared" si="6"/>
        <v>341907.3291</v>
      </c>
      <c r="I2861" s="1">
        <f t="shared" si="7"/>
        <v>559484.7203</v>
      </c>
    </row>
    <row r="2862" hidden="1">
      <c r="A2862" s="266">
        <f>IFERROR(__xludf.DUMMYFUNCTION("""COMPUTED_VALUE"""),45501.99861111111)</f>
        <v>45501.99861</v>
      </c>
      <c r="B2862" s="1">
        <f>IFERROR(__xludf.DUMMYFUNCTION("""COMPUTED_VALUE"""),68017.18)</f>
        <v>68017.18</v>
      </c>
      <c r="C2862" s="58">
        <f t="shared" si="1"/>
        <v>5685.998611</v>
      </c>
      <c r="D2862" s="1">
        <f t="shared" si="2"/>
        <v>31114.2091</v>
      </c>
      <c r="E2862" s="1">
        <f t="shared" si="3"/>
        <v>56005.57638</v>
      </c>
      <c r="F2862" s="1">
        <f t="shared" si="4"/>
        <v>105788.3109</v>
      </c>
      <c r="G2862" s="1">
        <f t="shared" si="5"/>
        <v>186685.2546</v>
      </c>
      <c r="H2862" s="1">
        <f t="shared" si="6"/>
        <v>342256.3001</v>
      </c>
      <c r="I2862" s="1">
        <f t="shared" si="7"/>
        <v>560055.7638</v>
      </c>
    </row>
    <row r="2863" hidden="1">
      <c r="A2863" s="266">
        <f>IFERROR(__xludf.DUMMYFUNCTION("""COMPUTED_VALUE"""),45502.99861111111)</f>
        <v>45502.99861</v>
      </c>
      <c r="B2863" s="1">
        <f>IFERROR(__xludf.DUMMYFUNCTION("""COMPUTED_VALUE"""),69351.13)</f>
        <v>69351.13</v>
      </c>
      <c r="C2863" s="58">
        <f t="shared" si="1"/>
        <v>5686.998611</v>
      </c>
      <c r="D2863" s="1">
        <f t="shared" si="2"/>
        <v>31145.96053</v>
      </c>
      <c r="E2863" s="1">
        <f t="shared" si="3"/>
        <v>56062.72896</v>
      </c>
      <c r="F2863" s="1">
        <f t="shared" si="4"/>
        <v>105896.2658</v>
      </c>
      <c r="G2863" s="1">
        <f t="shared" si="5"/>
        <v>186875.7632</v>
      </c>
      <c r="H2863" s="1">
        <f t="shared" si="6"/>
        <v>342605.5659</v>
      </c>
      <c r="I2863" s="1">
        <f t="shared" si="7"/>
        <v>560627.2896</v>
      </c>
    </row>
    <row r="2864" hidden="1">
      <c r="A2864" s="266">
        <f>IFERROR(__xludf.DUMMYFUNCTION("""COMPUTED_VALUE"""),45503.99861111111)</f>
        <v>45503.99861</v>
      </c>
      <c r="B2864" s="1">
        <f>IFERROR(__xludf.DUMMYFUNCTION("""COMPUTED_VALUE"""),66416.08)</f>
        <v>66416.08</v>
      </c>
      <c r="C2864" s="58">
        <f t="shared" si="1"/>
        <v>5687.998611</v>
      </c>
      <c r="D2864" s="1">
        <f t="shared" si="2"/>
        <v>31177.73878</v>
      </c>
      <c r="E2864" s="1">
        <f t="shared" si="3"/>
        <v>56119.9298</v>
      </c>
      <c r="F2864" s="1">
        <f t="shared" si="4"/>
        <v>106004.3118</v>
      </c>
      <c r="G2864" s="1">
        <f t="shared" si="5"/>
        <v>187066.4327</v>
      </c>
      <c r="H2864" s="1">
        <f t="shared" si="6"/>
        <v>342955.1265</v>
      </c>
      <c r="I2864" s="1">
        <f t="shared" si="7"/>
        <v>561199.298</v>
      </c>
    </row>
    <row r="2865" hidden="1">
      <c r="A2865" s="266">
        <f>IFERROR(__xludf.DUMMYFUNCTION("""COMPUTED_VALUE"""),45504.99861111111)</f>
        <v>45504.99861</v>
      </c>
      <c r="B2865" s="1">
        <f>IFERROR(__xludf.DUMMYFUNCTION("""COMPUTED_VALUE"""),66110.05)</f>
        <v>66110.05</v>
      </c>
      <c r="C2865" s="58">
        <f t="shared" si="1"/>
        <v>5688.998611</v>
      </c>
      <c r="D2865" s="1">
        <f t="shared" si="2"/>
        <v>31209.54385</v>
      </c>
      <c r="E2865" s="1">
        <f t="shared" si="3"/>
        <v>56177.17893</v>
      </c>
      <c r="F2865" s="1">
        <f t="shared" si="4"/>
        <v>106112.4491</v>
      </c>
      <c r="G2865" s="1">
        <f t="shared" si="5"/>
        <v>187257.2631</v>
      </c>
      <c r="H2865" s="1">
        <f t="shared" si="6"/>
        <v>343304.9823</v>
      </c>
      <c r="I2865" s="1">
        <f t="shared" si="7"/>
        <v>561771.7893</v>
      </c>
    </row>
    <row r="2866" hidden="1">
      <c r="A2866" s="266">
        <f>IFERROR(__xludf.DUMMYFUNCTION("""COMPUTED_VALUE"""),45505.99861111111)</f>
        <v>45505.99861</v>
      </c>
      <c r="B2866" s="1">
        <f>IFERROR(__xludf.DUMMYFUNCTION("""COMPUTED_VALUE"""),63925.74)</f>
        <v>63925.74</v>
      </c>
      <c r="C2866" s="58">
        <f t="shared" si="1"/>
        <v>5689.998611</v>
      </c>
      <c r="D2866" s="1">
        <f t="shared" si="2"/>
        <v>31241.37577</v>
      </c>
      <c r="E2866" s="1">
        <f t="shared" si="3"/>
        <v>56234.47638</v>
      </c>
      <c r="F2866" s="1">
        <f t="shared" si="4"/>
        <v>106220.6776</v>
      </c>
      <c r="G2866" s="1">
        <f t="shared" si="5"/>
        <v>187448.2546</v>
      </c>
      <c r="H2866" s="1">
        <f t="shared" si="6"/>
        <v>343655.1334</v>
      </c>
      <c r="I2866" s="1">
        <f t="shared" si="7"/>
        <v>562344.7638</v>
      </c>
    </row>
    <row r="2867" hidden="1">
      <c r="A2867" s="266">
        <f>IFERROR(__xludf.DUMMYFUNCTION("""COMPUTED_VALUE"""),45506.99861111111)</f>
        <v>45506.99861</v>
      </c>
      <c r="B2867" s="1">
        <f>IFERROR(__xludf.DUMMYFUNCTION("""COMPUTED_VALUE"""),64529.93)</f>
        <v>64529.93</v>
      </c>
      <c r="C2867" s="58">
        <f t="shared" si="1"/>
        <v>5690.998611</v>
      </c>
      <c r="D2867" s="1">
        <f t="shared" si="2"/>
        <v>31273.23455</v>
      </c>
      <c r="E2867" s="1">
        <f t="shared" si="3"/>
        <v>56291.82218</v>
      </c>
      <c r="F2867" s="1">
        <f t="shared" si="4"/>
        <v>106328.9975</v>
      </c>
      <c r="G2867" s="1">
        <f t="shared" si="5"/>
        <v>187639.4073</v>
      </c>
      <c r="H2867" s="1">
        <f t="shared" si="6"/>
        <v>344005.58</v>
      </c>
      <c r="I2867" s="1">
        <f t="shared" si="7"/>
        <v>562918.2218</v>
      </c>
    </row>
    <row r="2868" hidden="1">
      <c r="A2868" s="266">
        <f>IFERROR(__xludf.DUMMYFUNCTION("""COMPUTED_VALUE"""),45507.99861111111)</f>
        <v>45507.99861</v>
      </c>
      <c r="B2868" s="1">
        <f>IFERROR(__xludf.DUMMYFUNCTION("""COMPUTED_VALUE"""),61732.31)</f>
        <v>61732.31</v>
      </c>
      <c r="C2868" s="58">
        <f t="shared" si="1"/>
        <v>5691.998611</v>
      </c>
      <c r="D2868" s="1">
        <f t="shared" si="2"/>
        <v>31305.12021</v>
      </c>
      <c r="E2868" s="1">
        <f t="shared" si="3"/>
        <v>56349.21638</v>
      </c>
      <c r="F2868" s="1">
        <f t="shared" si="4"/>
        <v>106437.4087</v>
      </c>
      <c r="G2868" s="1">
        <f t="shared" si="5"/>
        <v>187830.7213</v>
      </c>
      <c r="H2868" s="1">
        <f t="shared" si="6"/>
        <v>344356.3223</v>
      </c>
      <c r="I2868" s="1">
        <f t="shared" si="7"/>
        <v>563492.1638</v>
      </c>
    </row>
    <row r="2869" hidden="1">
      <c r="A2869" s="266">
        <f>IFERROR(__xludf.DUMMYFUNCTION("""COMPUTED_VALUE"""),45508.99861111111)</f>
        <v>45508.99861</v>
      </c>
      <c r="B2869" s="1">
        <f>IFERROR(__xludf.DUMMYFUNCTION("""COMPUTED_VALUE"""),60761.09)</f>
        <v>60761.09</v>
      </c>
      <c r="C2869" s="58">
        <f t="shared" si="1"/>
        <v>5692.998611</v>
      </c>
      <c r="D2869" s="1">
        <f t="shared" si="2"/>
        <v>31337.03278</v>
      </c>
      <c r="E2869" s="1">
        <f t="shared" si="3"/>
        <v>56406.659</v>
      </c>
      <c r="F2869" s="1">
        <f t="shared" si="4"/>
        <v>106545.9114</v>
      </c>
      <c r="G2869" s="1">
        <f t="shared" si="5"/>
        <v>188022.1967</v>
      </c>
      <c r="H2869" s="1">
        <f t="shared" si="6"/>
        <v>344707.3605</v>
      </c>
      <c r="I2869" s="1">
        <f t="shared" si="7"/>
        <v>564066.59</v>
      </c>
    </row>
    <row r="2870" hidden="1">
      <c r="A2870" s="266">
        <f>IFERROR(__xludf.DUMMYFUNCTION("""COMPUTED_VALUE"""),45509.99861111111)</f>
        <v>45509.99861</v>
      </c>
      <c r="B2870" s="1">
        <f>IFERROR(__xludf.DUMMYFUNCTION("""COMPUTED_VALUE"""),54237.53)</f>
        <v>54237.53</v>
      </c>
      <c r="C2870" s="58">
        <f t="shared" si="1"/>
        <v>5693.998611</v>
      </c>
      <c r="D2870" s="1">
        <f t="shared" si="2"/>
        <v>31368.97226</v>
      </c>
      <c r="E2870" s="1">
        <f t="shared" si="3"/>
        <v>56464.15006</v>
      </c>
      <c r="F2870" s="1">
        <f t="shared" si="4"/>
        <v>106654.5057</v>
      </c>
      <c r="G2870" s="1">
        <f t="shared" si="5"/>
        <v>188213.8335</v>
      </c>
      <c r="H2870" s="1">
        <f t="shared" si="6"/>
        <v>345058.6948</v>
      </c>
      <c r="I2870" s="1">
        <f t="shared" si="7"/>
        <v>564641.5006</v>
      </c>
    </row>
    <row r="2871" hidden="1">
      <c r="A2871" s="266">
        <f>IFERROR(__xludf.DUMMYFUNCTION("""COMPUTED_VALUE"""),45510.99861111111)</f>
        <v>45510.99861</v>
      </c>
      <c r="B2871" s="1">
        <f>IFERROR(__xludf.DUMMYFUNCTION("""COMPUTED_VALUE"""),55764.82)</f>
        <v>55764.82</v>
      </c>
      <c r="C2871" s="58">
        <f t="shared" si="1"/>
        <v>5694.998611</v>
      </c>
      <c r="D2871" s="1">
        <f t="shared" si="2"/>
        <v>31400.93868</v>
      </c>
      <c r="E2871" s="1">
        <f t="shared" si="3"/>
        <v>56521.68962</v>
      </c>
      <c r="F2871" s="1">
        <f t="shared" si="4"/>
        <v>106763.1915</v>
      </c>
      <c r="G2871" s="1">
        <f t="shared" si="5"/>
        <v>188405.6321</v>
      </c>
      <c r="H2871" s="1">
        <f t="shared" si="6"/>
        <v>345410.3254</v>
      </c>
      <c r="I2871" s="1">
        <f t="shared" si="7"/>
        <v>565216.8962</v>
      </c>
    </row>
    <row r="2872" hidden="1">
      <c r="A2872" s="266">
        <f>IFERROR(__xludf.DUMMYFUNCTION("""COMPUTED_VALUE"""),45511.99861111111)</f>
        <v>45511.99861</v>
      </c>
      <c r="B2872" s="1">
        <f>IFERROR(__xludf.DUMMYFUNCTION("""COMPUTED_VALUE"""),56886.8)</f>
        <v>56886.8</v>
      </c>
      <c r="C2872" s="58">
        <f t="shared" si="1"/>
        <v>5695.998611</v>
      </c>
      <c r="D2872" s="1">
        <f t="shared" si="2"/>
        <v>31432.93205</v>
      </c>
      <c r="E2872" s="1">
        <f t="shared" si="3"/>
        <v>56579.27769</v>
      </c>
      <c r="F2872" s="1">
        <f t="shared" si="4"/>
        <v>106871.969</v>
      </c>
      <c r="G2872" s="1">
        <f t="shared" si="5"/>
        <v>188597.5923</v>
      </c>
      <c r="H2872" s="1">
        <f t="shared" si="6"/>
        <v>345762.2525</v>
      </c>
      <c r="I2872" s="1">
        <f t="shared" si="7"/>
        <v>565792.7769</v>
      </c>
    </row>
    <row r="2873" hidden="1">
      <c r="A2873" s="266">
        <f>IFERROR(__xludf.DUMMYFUNCTION("""COMPUTED_VALUE"""),45512.99861111111)</f>
        <v>45512.99861</v>
      </c>
      <c r="B2873" s="1">
        <f>IFERROR(__xludf.DUMMYFUNCTION("""COMPUTED_VALUE"""),57157.95)</f>
        <v>57157.95</v>
      </c>
      <c r="C2873" s="58">
        <f t="shared" si="1"/>
        <v>5696.998611</v>
      </c>
      <c r="D2873" s="1">
        <f t="shared" si="2"/>
        <v>31464.95239</v>
      </c>
      <c r="E2873" s="1">
        <f t="shared" si="3"/>
        <v>56636.91431</v>
      </c>
      <c r="F2873" s="1">
        <f t="shared" si="4"/>
        <v>106980.8381</v>
      </c>
      <c r="G2873" s="1">
        <f t="shared" si="5"/>
        <v>188789.7144</v>
      </c>
      <c r="H2873" s="1">
        <f t="shared" si="6"/>
        <v>346114.4763</v>
      </c>
      <c r="I2873" s="1">
        <f t="shared" si="7"/>
        <v>566369.1431</v>
      </c>
    </row>
    <row r="2874" hidden="1">
      <c r="A2874" s="266">
        <f>IFERROR(__xludf.DUMMYFUNCTION("""COMPUTED_VALUE"""),45513.99861111111)</f>
        <v>45513.99861</v>
      </c>
      <c r="B2874" s="1">
        <f>IFERROR(__xludf.DUMMYFUNCTION("""COMPUTED_VALUE"""),61347.45)</f>
        <v>61347.45</v>
      </c>
      <c r="C2874" s="58">
        <f t="shared" si="1"/>
        <v>5697.998611</v>
      </c>
      <c r="D2874" s="1">
        <f t="shared" si="2"/>
        <v>31496.99973</v>
      </c>
      <c r="E2874" s="1">
        <f t="shared" si="3"/>
        <v>56694.59951</v>
      </c>
      <c r="F2874" s="1">
        <f t="shared" si="4"/>
        <v>107089.7991</v>
      </c>
      <c r="G2874" s="1">
        <f t="shared" si="5"/>
        <v>188981.9984</v>
      </c>
      <c r="H2874" s="1">
        <f t="shared" si="6"/>
        <v>346466.997</v>
      </c>
      <c r="I2874" s="1">
        <f t="shared" si="7"/>
        <v>566945.9951</v>
      </c>
    </row>
    <row r="2875" hidden="1">
      <c r="A2875" s="266">
        <f>IFERROR(__xludf.DUMMYFUNCTION("""COMPUTED_VALUE"""),45514.99861111111)</f>
        <v>45514.99861</v>
      </c>
      <c r="B2875" s="1">
        <f>IFERROR(__xludf.DUMMYFUNCTION("""COMPUTED_VALUE"""),60463.2)</f>
        <v>60463.2</v>
      </c>
      <c r="C2875" s="58">
        <f t="shared" si="1"/>
        <v>5698.998611</v>
      </c>
      <c r="D2875" s="1">
        <f t="shared" si="2"/>
        <v>31529.07407</v>
      </c>
      <c r="E2875" s="1">
        <f t="shared" si="3"/>
        <v>56752.33333</v>
      </c>
      <c r="F2875" s="1">
        <f t="shared" si="4"/>
        <v>107198.8518</v>
      </c>
      <c r="G2875" s="1">
        <f t="shared" si="5"/>
        <v>189174.4444</v>
      </c>
      <c r="H2875" s="1">
        <f t="shared" si="6"/>
        <v>346819.8148</v>
      </c>
      <c r="I2875" s="1">
        <f t="shared" si="7"/>
        <v>567523.3333</v>
      </c>
    </row>
    <row r="2876" hidden="1">
      <c r="A2876" s="266">
        <f>IFERROR(__xludf.DUMMYFUNCTION("""COMPUTED_VALUE"""),45515.99861111111)</f>
        <v>45515.99861</v>
      </c>
      <c r="B2876" s="1">
        <f>IFERROR(__xludf.DUMMYFUNCTION("""COMPUTED_VALUE"""),61144.88)</f>
        <v>61144.88</v>
      </c>
      <c r="C2876" s="58">
        <f t="shared" si="1"/>
        <v>5699.998611</v>
      </c>
      <c r="D2876" s="1">
        <f t="shared" si="2"/>
        <v>31561.17544</v>
      </c>
      <c r="E2876" s="1">
        <f t="shared" si="3"/>
        <v>56810.11579</v>
      </c>
      <c r="F2876" s="1">
        <f t="shared" si="4"/>
        <v>107307.9965</v>
      </c>
      <c r="G2876" s="1">
        <f t="shared" si="5"/>
        <v>189367.0526</v>
      </c>
      <c r="H2876" s="1">
        <f t="shared" si="6"/>
        <v>347172.9299</v>
      </c>
      <c r="I2876" s="1">
        <f t="shared" si="7"/>
        <v>568101.1579</v>
      </c>
    </row>
    <row r="2877" hidden="1">
      <c r="A2877" s="266">
        <f>IFERROR(__xludf.DUMMYFUNCTION("""COMPUTED_VALUE"""),45516.99861111111)</f>
        <v>45516.99861</v>
      </c>
      <c r="B2877" s="1">
        <f>IFERROR(__xludf.DUMMYFUNCTION("""COMPUTED_VALUE"""),58614.72)</f>
        <v>58614.72</v>
      </c>
      <c r="C2877" s="58">
        <f t="shared" si="1"/>
        <v>5700.998611</v>
      </c>
      <c r="D2877" s="1">
        <f t="shared" si="2"/>
        <v>31593.30385</v>
      </c>
      <c r="E2877" s="1">
        <f t="shared" si="3"/>
        <v>56867.94694</v>
      </c>
      <c r="F2877" s="1">
        <f t="shared" si="4"/>
        <v>107417.2331</v>
      </c>
      <c r="G2877" s="1">
        <f t="shared" si="5"/>
        <v>189559.8231</v>
      </c>
      <c r="H2877" s="1">
        <f t="shared" si="6"/>
        <v>347526.3424</v>
      </c>
      <c r="I2877" s="1">
        <f t="shared" si="7"/>
        <v>568679.4694</v>
      </c>
    </row>
    <row r="2878" hidden="1">
      <c r="A2878" s="266">
        <f>IFERROR(__xludf.DUMMYFUNCTION("""COMPUTED_VALUE"""),45517.99861111111)</f>
        <v>45517.99861</v>
      </c>
      <c r="B2878" s="1">
        <f>IFERROR(__xludf.DUMMYFUNCTION("""COMPUTED_VALUE"""),59135.62)</f>
        <v>59135.62</v>
      </c>
      <c r="C2878" s="58">
        <f t="shared" si="1"/>
        <v>5701.998611</v>
      </c>
      <c r="D2878" s="1">
        <f t="shared" si="2"/>
        <v>31625.45933</v>
      </c>
      <c r="E2878" s="1">
        <f t="shared" si="3"/>
        <v>56925.82679</v>
      </c>
      <c r="F2878" s="1">
        <f t="shared" si="4"/>
        <v>107526.5617</v>
      </c>
      <c r="G2878" s="1">
        <f t="shared" si="5"/>
        <v>189752.756</v>
      </c>
      <c r="H2878" s="1">
        <f t="shared" si="6"/>
        <v>347880.0526</v>
      </c>
      <c r="I2878" s="1">
        <f t="shared" si="7"/>
        <v>569258.2679</v>
      </c>
    </row>
    <row r="2879" hidden="1">
      <c r="A2879" s="266">
        <f>IFERROR(__xludf.DUMMYFUNCTION("""COMPUTED_VALUE"""),45518.99861111111)</f>
        <v>45518.99861</v>
      </c>
      <c r="B2879" s="1">
        <f>IFERROR(__xludf.DUMMYFUNCTION("""COMPUTED_VALUE"""),61051.58)</f>
        <v>61051.58</v>
      </c>
      <c r="C2879" s="58">
        <f t="shared" si="1"/>
        <v>5702.998611</v>
      </c>
      <c r="D2879" s="1">
        <f t="shared" si="2"/>
        <v>31657.64189</v>
      </c>
      <c r="E2879" s="1">
        <f t="shared" si="3"/>
        <v>56983.75539</v>
      </c>
      <c r="F2879" s="1">
        <f t="shared" si="4"/>
        <v>107635.9824</v>
      </c>
      <c r="G2879" s="1">
        <f t="shared" si="5"/>
        <v>189945.8513</v>
      </c>
      <c r="H2879" s="1">
        <f t="shared" si="6"/>
        <v>348234.0607</v>
      </c>
      <c r="I2879" s="1">
        <f t="shared" si="7"/>
        <v>569837.5539</v>
      </c>
    </row>
    <row r="2880" hidden="1">
      <c r="A2880" s="266">
        <f>IFERROR(__xludf.DUMMYFUNCTION("""COMPUTED_VALUE"""),45519.99861111111)</f>
        <v>45519.99861</v>
      </c>
      <c r="B2880" s="1">
        <f>IFERROR(__xludf.DUMMYFUNCTION("""COMPUTED_VALUE"""),58418.11)</f>
        <v>58418.11</v>
      </c>
      <c r="C2880" s="58">
        <f t="shared" si="1"/>
        <v>5703.998611</v>
      </c>
      <c r="D2880" s="1">
        <f t="shared" si="2"/>
        <v>31689.85154</v>
      </c>
      <c r="E2880" s="1">
        <f t="shared" si="3"/>
        <v>57041.73277</v>
      </c>
      <c r="F2880" s="1">
        <f t="shared" si="4"/>
        <v>107745.4952</v>
      </c>
      <c r="G2880" s="1">
        <f t="shared" si="5"/>
        <v>190139.1092</v>
      </c>
      <c r="H2880" s="1">
        <f t="shared" si="6"/>
        <v>348588.3669</v>
      </c>
      <c r="I2880" s="1">
        <f t="shared" si="7"/>
        <v>570417.3277</v>
      </c>
    </row>
    <row r="2881" hidden="1">
      <c r="A2881" s="266">
        <f>IFERROR(__xludf.DUMMYFUNCTION("""COMPUTED_VALUE"""),45520.99861111111)</f>
        <v>45520.99861</v>
      </c>
      <c r="B2881" s="1">
        <f>IFERROR(__xludf.DUMMYFUNCTION("""COMPUTED_VALUE"""),57976.19)</f>
        <v>57976.19</v>
      </c>
      <c r="C2881" s="58">
        <f t="shared" si="1"/>
        <v>5704.998611</v>
      </c>
      <c r="D2881" s="1">
        <f t="shared" si="2"/>
        <v>31722.08831</v>
      </c>
      <c r="E2881" s="1">
        <f t="shared" si="3"/>
        <v>57099.75896</v>
      </c>
      <c r="F2881" s="1">
        <f t="shared" si="4"/>
        <v>107855.1003</v>
      </c>
      <c r="G2881" s="1">
        <f t="shared" si="5"/>
        <v>190332.5299</v>
      </c>
      <c r="H2881" s="1">
        <f t="shared" si="6"/>
        <v>348942.9714</v>
      </c>
      <c r="I2881" s="1">
        <f t="shared" si="7"/>
        <v>570997.5896</v>
      </c>
    </row>
    <row r="2882" hidden="1">
      <c r="A2882" s="266">
        <f>IFERROR(__xludf.DUMMYFUNCTION("""COMPUTED_VALUE"""),45521.99861111111)</f>
        <v>45521.99861</v>
      </c>
      <c r="B2882" s="1">
        <f>IFERROR(__xludf.DUMMYFUNCTION("""COMPUTED_VALUE"""),59131.83)</f>
        <v>59131.83</v>
      </c>
      <c r="C2882" s="58">
        <f t="shared" si="1"/>
        <v>5705.998611</v>
      </c>
      <c r="D2882" s="1">
        <f t="shared" si="2"/>
        <v>31754.35221</v>
      </c>
      <c r="E2882" s="1">
        <f t="shared" si="3"/>
        <v>57157.83398</v>
      </c>
      <c r="F2882" s="1">
        <f t="shared" si="4"/>
        <v>107964.7975</v>
      </c>
      <c r="G2882" s="1">
        <f t="shared" si="5"/>
        <v>190526.1133</v>
      </c>
      <c r="H2882" s="1">
        <f t="shared" si="6"/>
        <v>349297.8743</v>
      </c>
      <c r="I2882" s="1">
        <f t="shared" si="7"/>
        <v>571578.3398</v>
      </c>
    </row>
    <row r="2883" hidden="1">
      <c r="A2883" s="266">
        <f>IFERROR(__xludf.DUMMYFUNCTION("""COMPUTED_VALUE"""),45522.99861111111)</f>
        <v>45522.99861</v>
      </c>
      <c r="B2883" s="1">
        <f>IFERROR(__xludf.DUMMYFUNCTION("""COMPUTED_VALUE"""),59435.34)</f>
        <v>59435.34</v>
      </c>
      <c r="C2883" s="58">
        <f t="shared" si="1"/>
        <v>5706.998611</v>
      </c>
      <c r="D2883" s="1">
        <f t="shared" si="2"/>
        <v>31786.64327</v>
      </c>
      <c r="E2883" s="1">
        <f t="shared" si="3"/>
        <v>57215.95789</v>
      </c>
      <c r="F2883" s="1">
        <f t="shared" si="4"/>
        <v>108074.5871</v>
      </c>
      <c r="G2883" s="1">
        <f t="shared" si="5"/>
        <v>190719.8596</v>
      </c>
      <c r="H2883" s="1">
        <f t="shared" si="6"/>
        <v>349653.076</v>
      </c>
      <c r="I2883" s="1">
        <f t="shared" si="7"/>
        <v>572159.5789</v>
      </c>
    </row>
    <row r="2884" hidden="1">
      <c r="A2884" s="266">
        <f>IFERROR(__xludf.DUMMYFUNCTION("""COMPUTED_VALUE"""),45523.99861111111)</f>
        <v>45523.99861</v>
      </c>
      <c r="B2884" s="1">
        <f>IFERROR(__xludf.DUMMYFUNCTION("""COMPUTED_VALUE"""),58708.96)</f>
        <v>58708.96</v>
      </c>
      <c r="C2884" s="58">
        <f t="shared" si="1"/>
        <v>5707.998611</v>
      </c>
      <c r="D2884" s="1">
        <f t="shared" si="2"/>
        <v>31818.9615</v>
      </c>
      <c r="E2884" s="1">
        <f t="shared" si="3"/>
        <v>57274.1307</v>
      </c>
      <c r="F2884" s="1">
        <f t="shared" si="4"/>
        <v>108184.4691</v>
      </c>
      <c r="G2884" s="1">
        <f t="shared" si="5"/>
        <v>190913.769</v>
      </c>
      <c r="H2884" s="1">
        <f t="shared" si="6"/>
        <v>350008.5765</v>
      </c>
      <c r="I2884" s="1">
        <f t="shared" si="7"/>
        <v>572741.307</v>
      </c>
    </row>
    <row r="2885" hidden="1">
      <c r="A2885" s="266">
        <f>IFERROR(__xludf.DUMMYFUNCTION("""COMPUTED_VALUE"""),45524.99861111111)</f>
        <v>45524.99861</v>
      </c>
      <c r="B2885" s="1">
        <f>IFERROR(__xludf.DUMMYFUNCTION("""COMPUTED_VALUE"""),60549.66)</f>
        <v>60549.66</v>
      </c>
      <c r="C2885" s="58">
        <f t="shared" si="1"/>
        <v>5708.998611</v>
      </c>
      <c r="D2885" s="1">
        <f t="shared" si="2"/>
        <v>31851.30691</v>
      </c>
      <c r="E2885" s="1">
        <f t="shared" si="3"/>
        <v>57332.35245</v>
      </c>
      <c r="F2885" s="1">
        <f t="shared" si="4"/>
        <v>108294.4435</v>
      </c>
      <c r="G2885" s="1">
        <f t="shared" si="5"/>
        <v>191107.8415</v>
      </c>
      <c r="H2885" s="1">
        <f t="shared" si="6"/>
        <v>350364.3761</v>
      </c>
      <c r="I2885" s="1">
        <f t="shared" si="7"/>
        <v>573323.5245</v>
      </c>
    </row>
    <row r="2886" hidden="1">
      <c r="A2886" s="266">
        <f>IFERROR(__xludf.DUMMYFUNCTION("""COMPUTED_VALUE"""),45525.99861111111)</f>
        <v>45525.99861</v>
      </c>
      <c r="B2886" s="1">
        <f>IFERROR(__xludf.DUMMYFUNCTION("""COMPUTED_VALUE"""),59291.03)</f>
        <v>59291.03</v>
      </c>
      <c r="C2886" s="58">
        <f t="shared" si="1"/>
        <v>5709.998611</v>
      </c>
      <c r="D2886" s="1">
        <f t="shared" si="2"/>
        <v>31883.67954</v>
      </c>
      <c r="E2886" s="1">
        <f t="shared" si="3"/>
        <v>57390.62317</v>
      </c>
      <c r="F2886" s="1">
        <f t="shared" si="4"/>
        <v>108404.5104</v>
      </c>
      <c r="G2886" s="1">
        <f t="shared" si="5"/>
        <v>191302.0772</v>
      </c>
      <c r="H2886" s="1">
        <f t="shared" si="6"/>
        <v>350720.4749</v>
      </c>
      <c r="I2886" s="1">
        <f t="shared" si="7"/>
        <v>573906.2317</v>
      </c>
    </row>
    <row r="2887" hidden="1">
      <c r="A2887" s="266">
        <f>IFERROR(__xludf.DUMMYFUNCTION("""COMPUTED_VALUE"""),45526.99861111111)</f>
        <v>45526.99861</v>
      </c>
      <c r="B2887" s="1">
        <f>IFERROR(__xludf.DUMMYFUNCTION("""COMPUTED_VALUE"""),60554.25)</f>
        <v>60554.25</v>
      </c>
      <c r="C2887" s="58">
        <f t="shared" si="1"/>
        <v>5710.998611</v>
      </c>
      <c r="D2887" s="1">
        <f t="shared" si="2"/>
        <v>31916.07938</v>
      </c>
      <c r="E2887" s="1">
        <f t="shared" si="3"/>
        <v>57448.94289</v>
      </c>
      <c r="F2887" s="1">
        <f t="shared" si="4"/>
        <v>108514.6699</v>
      </c>
      <c r="G2887" s="1">
        <f t="shared" si="5"/>
        <v>191496.4763</v>
      </c>
      <c r="H2887" s="1">
        <f t="shared" si="6"/>
        <v>351076.8732</v>
      </c>
      <c r="I2887" s="1">
        <f t="shared" si="7"/>
        <v>574489.4289</v>
      </c>
    </row>
    <row r="2888" hidden="1">
      <c r="A2888" s="266">
        <f>IFERROR(__xludf.DUMMYFUNCTION("""COMPUTED_VALUE"""),45527.99861111111)</f>
        <v>45527.99861</v>
      </c>
      <c r="B2888" s="1">
        <f>IFERROR(__xludf.DUMMYFUNCTION("""COMPUTED_VALUE"""),60625.02)</f>
        <v>60625.02</v>
      </c>
      <c r="C2888" s="58">
        <f t="shared" si="1"/>
        <v>5711.998611</v>
      </c>
      <c r="D2888" s="1">
        <f t="shared" si="2"/>
        <v>31948.50648</v>
      </c>
      <c r="E2888" s="1">
        <f t="shared" si="3"/>
        <v>57507.31166</v>
      </c>
      <c r="F2888" s="1">
        <f t="shared" si="4"/>
        <v>108624.922</v>
      </c>
      <c r="G2888" s="1">
        <f t="shared" si="5"/>
        <v>191691.0389</v>
      </c>
      <c r="H2888" s="1">
        <f t="shared" si="6"/>
        <v>351433.5712</v>
      </c>
      <c r="I2888" s="1">
        <f t="shared" si="7"/>
        <v>575073.1166</v>
      </c>
    </row>
    <row r="2889" hidden="1">
      <c r="A2889" s="266">
        <f>IFERROR(__xludf.DUMMYFUNCTION("""COMPUTED_VALUE"""),45528.99861111111)</f>
        <v>45528.99861</v>
      </c>
      <c r="B2889" s="1">
        <f>IFERROR(__xludf.DUMMYFUNCTION("""COMPUTED_VALUE"""),63975.61)</f>
        <v>63975.61</v>
      </c>
      <c r="C2889" s="58">
        <f t="shared" si="1"/>
        <v>5712.998611</v>
      </c>
      <c r="D2889" s="1">
        <f t="shared" si="2"/>
        <v>31980.96083</v>
      </c>
      <c r="E2889" s="1">
        <f t="shared" si="3"/>
        <v>57565.72949</v>
      </c>
      <c r="F2889" s="1">
        <f t="shared" si="4"/>
        <v>108735.2668</v>
      </c>
      <c r="G2889" s="1">
        <f t="shared" si="5"/>
        <v>191885.765</v>
      </c>
      <c r="H2889" s="1">
        <f t="shared" si="6"/>
        <v>351790.5691</v>
      </c>
      <c r="I2889" s="1">
        <f t="shared" si="7"/>
        <v>575657.2949</v>
      </c>
    </row>
    <row r="2890" hidden="1">
      <c r="A2890" s="266">
        <f>IFERROR(__xludf.DUMMYFUNCTION("""COMPUTED_VALUE"""),45529.99861111111)</f>
        <v>45529.99861</v>
      </c>
      <c r="B2890" s="1">
        <f>IFERROR(__xludf.DUMMYFUNCTION("""COMPUTED_VALUE"""),64153.97)</f>
        <v>64153.97</v>
      </c>
      <c r="C2890" s="58">
        <f t="shared" si="1"/>
        <v>5713.998611</v>
      </c>
      <c r="D2890" s="1">
        <f t="shared" si="2"/>
        <v>32013.44246</v>
      </c>
      <c r="E2890" s="1">
        <f t="shared" si="3"/>
        <v>57624.19642</v>
      </c>
      <c r="F2890" s="1">
        <f t="shared" si="4"/>
        <v>108845.7044</v>
      </c>
      <c r="G2890" s="1">
        <f t="shared" si="5"/>
        <v>192080.6547</v>
      </c>
      <c r="H2890" s="1">
        <f t="shared" si="6"/>
        <v>352147.867</v>
      </c>
      <c r="I2890" s="1">
        <f t="shared" si="7"/>
        <v>576241.9642</v>
      </c>
    </row>
    <row r="2891" hidden="1">
      <c r="A2891" s="266">
        <f>IFERROR(__xludf.DUMMYFUNCTION("""COMPUTED_VALUE"""),45530.99861111111)</f>
        <v>45530.99861</v>
      </c>
      <c r="B2891" s="1">
        <f>IFERROR(__xludf.DUMMYFUNCTION("""COMPUTED_VALUE"""),64134.76)</f>
        <v>64134.76</v>
      </c>
      <c r="C2891" s="58">
        <f t="shared" si="1"/>
        <v>5714.998611</v>
      </c>
      <c r="D2891" s="1">
        <f t="shared" si="2"/>
        <v>32045.95139</v>
      </c>
      <c r="E2891" s="1">
        <f t="shared" si="3"/>
        <v>57682.7125</v>
      </c>
      <c r="F2891" s="1">
        <f t="shared" si="4"/>
        <v>108956.2347</v>
      </c>
      <c r="G2891" s="1">
        <f t="shared" si="5"/>
        <v>192275.7083</v>
      </c>
      <c r="H2891" s="1">
        <f t="shared" si="6"/>
        <v>352505.4653</v>
      </c>
      <c r="I2891" s="1">
        <f t="shared" si="7"/>
        <v>576827.125</v>
      </c>
    </row>
    <row r="2892" hidden="1">
      <c r="A2892" s="266">
        <f>IFERROR(__xludf.DUMMYFUNCTION("""COMPUTED_VALUE"""),45531.99861111111)</f>
        <v>45531.99861</v>
      </c>
      <c r="B2892" s="1">
        <f>IFERROR(__xludf.DUMMYFUNCTION("""COMPUTED_VALUE"""),62976.04)</f>
        <v>62976.04</v>
      </c>
      <c r="C2892" s="58">
        <f t="shared" si="1"/>
        <v>5715.998611</v>
      </c>
      <c r="D2892" s="1">
        <f t="shared" si="2"/>
        <v>32078.48763</v>
      </c>
      <c r="E2892" s="1">
        <f t="shared" si="3"/>
        <v>57741.27774</v>
      </c>
      <c r="F2892" s="1">
        <f t="shared" si="4"/>
        <v>109066.8579</v>
      </c>
      <c r="G2892" s="1">
        <f t="shared" si="5"/>
        <v>192470.9258</v>
      </c>
      <c r="H2892" s="1">
        <f t="shared" si="6"/>
        <v>352863.3639</v>
      </c>
      <c r="I2892" s="1">
        <f t="shared" si="7"/>
        <v>577412.7774</v>
      </c>
    </row>
    <row r="2893" hidden="1">
      <c r="A2893" s="266">
        <f>IFERROR(__xludf.DUMMYFUNCTION("""COMPUTED_VALUE"""),45532.99861111111)</f>
        <v>45532.99861</v>
      </c>
      <c r="B2893" s="1">
        <f>IFERROR(__xludf.DUMMYFUNCTION("""COMPUTED_VALUE"""),59536.44)</f>
        <v>59536.44</v>
      </c>
      <c r="C2893" s="58">
        <f t="shared" si="1"/>
        <v>5716.998611</v>
      </c>
      <c r="D2893" s="1">
        <f t="shared" si="2"/>
        <v>32111.05121</v>
      </c>
      <c r="E2893" s="1">
        <f t="shared" si="3"/>
        <v>57799.89218</v>
      </c>
      <c r="F2893" s="1">
        <f t="shared" si="4"/>
        <v>109177.5741</v>
      </c>
      <c r="G2893" s="1">
        <f t="shared" si="5"/>
        <v>192666.3073</v>
      </c>
      <c r="H2893" s="1">
        <f t="shared" si="6"/>
        <v>353221.5633</v>
      </c>
      <c r="I2893" s="1">
        <f t="shared" si="7"/>
        <v>577998.9218</v>
      </c>
    </row>
    <row r="2894" hidden="1">
      <c r="A2894" s="266">
        <f>IFERROR(__xludf.DUMMYFUNCTION("""COMPUTED_VALUE"""),45533.99861111111)</f>
        <v>45533.99861</v>
      </c>
      <c r="B2894" s="1">
        <f>IFERROR(__xludf.DUMMYFUNCTION("""COMPUTED_VALUE"""),59114.96)</f>
        <v>59114.96</v>
      </c>
      <c r="C2894" s="58">
        <f t="shared" si="1"/>
        <v>5717.998611</v>
      </c>
      <c r="D2894" s="1">
        <f t="shared" si="2"/>
        <v>32143.64214</v>
      </c>
      <c r="E2894" s="1">
        <f t="shared" si="3"/>
        <v>57858.55585</v>
      </c>
      <c r="F2894" s="1">
        <f t="shared" si="4"/>
        <v>109288.3833</v>
      </c>
      <c r="G2894" s="1">
        <f t="shared" si="5"/>
        <v>192861.8528</v>
      </c>
      <c r="H2894" s="1">
        <f t="shared" si="6"/>
        <v>353580.0635</v>
      </c>
      <c r="I2894" s="1">
        <f t="shared" si="7"/>
        <v>578585.5585</v>
      </c>
    </row>
    <row r="2895" hidden="1">
      <c r="A2895" s="266">
        <f>IFERROR(__xludf.DUMMYFUNCTION("""COMPUTED_VALUE"""),45534.99861111111)</f>
        <v>45534.99861</v>
      </c>
      <c r="B2895" s="1">
        <f>IFERROR(__xludf.DUMMYFUNCTION("""COMPUTED_VALUE"""),59061.49)</f>
        <v>59061.49</v>
      </c>
      <c r="C2895" s="58">
        <f t="shared" si="1"/>
        <v>5718.998611</v>
      </c>
      <c r="D2895" s="1">
        <f t="shared" si="2"/>
        <v>32176.26044</v>
      </c>
      <c r="E2895" s="1">
        <f t="shared" si="3"/>
        <v>57917.26879</v>
      </c>
      <c r="F2895" s="1">
        <f t="shared" si="4"/>
        <v>109399.2855</v>
      </c>
      <c r="G2895" s="1">
        <f t="shared" si="5"/>
        <v>193057.5626</v>
      </c>
      <c r="H2895" s="1">
        <f t="shared" si="6"/>
        <v>353938.8648</v>
      </c>
      <c r="I2895" s="1">
        <f t="shared" si="7"/>
        <v>579172.6879</v>
      </c>
    </row>
    <row r="2896" hidden="1">
      <c r="A2896" s="266">
        <f>IFERROR(__xludf.DUMMYFUNCTION("""COMPUTED_VALUE"""),45535.99861111111)</f>
        <v>45535.99861</v>
      </c>
      <c r="B2896" s="1">
        <f>IFERROR(__xludf.DUMMYFUNCTION("""COMPUTED_VALUE"""),59244.12)</f>
        <v>59244.12</v>
      </c>
      <c r="C2896" s="58">
        <f t="shared" si="1"/>
        <v>5719.998611</v>
      </c>
      <c r="D2896" s="1">
        <f t="shared" si="2"/>
        <v>32208.90613</v>
      </c>
      <c r="E2896" s="1">
        <f t="shared" si="3"/>
        <v>57976.03103</v>
      </c>
      <c r="F2896" s="1">
        <f t="shared" si="4"/>
        <v>109510.2808</v>
      </c>
      <c r="G2896" s="1">
        <f t="shared" si="5"/>
        <v>193253.4368</v>
      </c>
      <c r="H2896" s="1">
        <f t="shared" si="6"/>
        <v>354297.9674</v>
      </c>
      <c r="I2896" s="1">
        <f t="shared" si="7"/>
        <v>579760.3103</v>
      </c>
    </row>
    <row r="2897" hidden="1">
      <c r="A2897" s="266">
        <f>IFERROR(__xludf.DUMMYFUNCTION("""COMPUTED_VALUE"""),45536.99861111111)</f>
        <v>45536.99861</v>
      </c>
      <c r="B2897" s="1">
        <f>IFERROR(__xludf.DUMMYFUNCTION("""COMPUTED_VALUE"""),58563.01)</f>
        <v>58563.01</v>
      </c>
      <c r="C2897" s="58">
        <f t="shared" si="1"/>
        <v>5720.998611</v>
      </c>
      <c r="D2897" s="1">
        <f t="shared" si="2"/>
        <v>32241.57922</v>
      </c>
      <c r="E2897" s="1">
        <f t="shared" si="3"/>
        <v>58034.8426</v>
      </c>
      <c r="F2897" s="1">
        <f t="shared" si="4"/>
        <v>109621.3693</v>
      </c>
      <c r="G2897" s="1">
        <f t="shared" si="5"/>
        <v>193449.4753</v>
      </c>
      <c r="H2897" s="1">
        <f t="shared" si="6"/>
        <v>354657.3714</v>
      </c>
      <c r="I2897" s="1">
        <f t="shared" si="7"/>
        <v>580348.426</v>
      </c>
    </row>
    <row r="2898" hidden="1">
      <c r="A2898" s="266">
        <f>IFERROR(__xludf.DUMMYFUNCTION("""COMPUTED_VALUE"""),45537.99861111111)</f>
        <v>45537.99861</v>
      </c>
      <c r="B2898" s="1">
        <f>IFERROR(__xludf.DUMMYFUNCTION("""COMPUTED_VALUE"""),57724.56)</f>
        <v>57724.56</v>
      </c>
      <c r="C2898" s="58">
        <f t="shared" si="1"/>
        <v>5721.998611</v>
      </c>
      <c r="D2898" s="1">
        <f t="shared" si="2"/>
        <v>32274.27974</v>
      </c>
      <c r="E2898" s="1">
        <f t="shared" si="3"/>
        <v>58093.70353</v>
      </c>
      <c r="F2898" s="1">
        <f t="shared" si="4"/>
        <v>109732.5511</v>
      </c>
      <c r="G2898" s="1">
        <f t="shared" si="5"/>
        <v>193645.6784</v>
      </c>
      <c r="H2898" s="1">
        <f t="shared" si="6"/>
        <v>355017.0771</v>
      </c>
      <c r="I2898" s="1">
        <f t="shared" si="7"/>
        <v>580937.0353</v>
      </c>
    </row>
    <row r="2899" hidden="1">
      <c r="A2899" s="266">
        <f>IFERROR(__xludf.DUMMYFUNCTION("""COMPUTED_VALUE"""),45538.99861111111)</f>
        <v>45538.99861</v>
      </c>
      <c r="B2899" s="1">
        <f>IFERROR(__xludf.DUMMYFUNCTION("""COMPUTED_VALUE"""),59123.2)</f>
        <v>59123.2</v>
      </c>
      <c r="C2899" s="58">
        <f t="shared" si="1"/>
        <v>5722.998611</v>
      </c>
      <c r="D2899" s="1">
        <f t="shared" si="2"/>
        <v>32307.0077</v>
      </c>
      <c r="E2899" s="1">
        <f t="shared" si="3"/>
        <v>58152.61386</v>
      </c>
      <c r="F2899" s="1">
        <f t="shared" si="4"/>
        <v>109843.8262</v>
      </c>
      <c r="G2899" s="1">
        <f t="shared" si="5"/>
        <v>193842.0462</v>
      </c>
      <c r="H2899" s="1">
        <f t="shared" si="6"/>
        <v>355377.0847</v>
      </c>
      <c r="I2899" s="1">
        <f t="shared" si="7"/>
        <v>581526.1386</v>
      </c>
    </row>
    <row r="2900" hidden="1">
      <c r="A2900" s="266">
        <f>IFERROR(__xludf.DUMMYFUNCTION("""COMPUTED_VALUE"""),45539.99861111111)</f>
        <v>45539.99861</v>
      </c>
      <c r="B2900" s="1">
        <f>IFERROR(__xludf.DUMMYFUNCTION("""COMPUTED_VALUE"""),56729.19)</f>
        <v>56729.19</v>
      </c>
      <c r="C2900" s="58">
        <f t="shared" si="1"/>
        <v>5723.998611</v>
      </c>
      <c r="D2900" s="1">
        <f t="shared" si="2"/>
        <v>32339.76313</v>
      </c>
      <c r="E2900" s="1">
        <f t="shared" si="3"/>
        <v>58211.57363</v>
      </c>
      <c r="F2900" s="1">
        <f t="shared" si="4"/>
        <v>109955.1946</v>
      </c>
      <c r="G2900" s="1">
        <f t="shared" si="5"/>
        <v>194038.5788</v>
      </c>
      <c r="H2900" s="1">
        <f t="shared" si="6"/>
        <v>355737.3944</v>
      </c>
      <c r="I2900" s="1">
        <f t="shared" si="7"/>
        <v>582115.7363</v>
      </c>
    </row>
    <row r="2901" hidden="1">
      <c r="A2901" s="266">
        <f>IFERROR(__xludf.DUMMYFUNCTION("""COMPUTED_VALUE"""),45540.99861111111)</f>
        <v>45540.99861</v>
      </c>
      <c r="B2901" s="1">
        <f>IFERROR(__xludf.DUMMYFUNCTION("""COMPUTED_VALUE"""),57202.56)</f>
        <v>57202.56</v>
      </c>
      <c r="C2901" s="58">
        <f t="shared" si="1"/>
        <v>5724.998611</v>
      </c>
      <c r="D2901" s="1">
        <f t="shared" si="2"/>
        <v>32372.54603</v>
      </c>
      <c r="E2901" s="1">
        <f t="shared" si="3"/>
        <v>58270.58285</v>
      </c>
      <c r="F2901" s="1">
        <f t="shared" si="4"/>
        <v>110066.6565</v>
      </c>
      <c r="G2901" s="1">
        <f t="shared" si="5"/>
        <v>194235.2762</v>
      </c>
      <c r="H2901" s="1">
        <f t="shared" si="6"/>
        <v>356098.0063</v>
      </c>
      <c r="I2901" s="1">
        <f t="shared" si="7"/>
        <v>582705.8285</v>
      </c>
    </row>
    <row r="2902" hidden="1">
      <c r="A2902" s="266">
        <f>IFERROR(__xludf.DUMMYFUNCTION("""COMPUTED_VALUE"""),45541.99861111111)</f>
        <v>45541.99861</v>
      </c>
      <c r="B2902" s="1">
        <f>IFERROR(__xludf.DUMMYFUNCTION("""COMPUTED_VALUE"""),56604.56)</f>
        <v>56604.56</v>
      </c>
      <c r="C2902" s="58">
        <f t="shared" si="1"/>
        <v>5725.998611</v>
      </c>
      <c r="D2902" s="1">
        <f t="shared" si="2"/>
        <v>32405.35643</v>
      </c>
      <c r="E2902" s="1">
        <f t="shared" si="3"/>
        <v>58329.64157</v>
      </c>
      <c r="F2902" s="1">
        <f t="shared" si="4"/>
        <v>110178.2119</v>
      </c>
      <c r="G2902" s="1">
        <f t="shared" si="5"/>
        <v>194432.1386</v>
      </c>
      <c r="H2902" s="1">
        <f t="shared" si="6"/>
        <v>356458.9207</v>
      </c>
      <c r="I2902" s="1">
        <f t="shared" si="7"/>
        <v>583296.4157</v>
      </c>
    </row>
    <row r="2903" hidden="1">
      <c r="A2903" s="266">
        <f>IFERROR(__xludf.DUMMYFUNCTION("""COMPUTED_VALUE"""),45542.99861111111)</f>
        <v>45542.99861</v>
      </c>
      <c r="B2903" s="1">
        <f>IFERROR(__xludf.DUMMYFUNCTION("""COMPUTED_VALUE"""),53857.56)</f>
        <v>53857.56</v>
      </c>
      <c r="C2903" s="58">
        <f t="shared" si="1"/>
        <v>5726.998611</v>
      </c>
      <c r="D2903" s="1">
        <f t="shared" si="2"/>
        <v>32438.19434</v>
      </c>
      <c r="E2903" s="1">
        <f t="shared" si="3"/>
        <v>58388.74982</v>
      </c>
      <c r="F2903" s="1">
        <f t="shared" si="4"/>
        <v>110289.8608</v>
      </c>
      <c r="G2903" s="1">
        <f t="shared" si="5"/>
        <v>194629.1661</v>
      </c>
      <c r="H2903" s="1">
        <f t="shared" si="6"/>
        <v>356820.1378</v>
      </c>
      <c r="I2903" s="1">
        <f t="shared" si="7"/>
        <v>583887.4982</v>
      </c>
    </row>
    <row r="2904" hidden="1">
      <c r="A2904" s="266">
        <f>IFERROR(__xludf.DUMMYFUNCTION("""COMPUTED_VALUE"""),45543.99861111111)</f>
        <v>45543.99861</v>
      </c>
      <c r="B2904" s="1">
        <f>IFERROR(__xludf.DUMMYFUNCTION("""COMPUTED_VALUE"""),54382.0)</f>
        <v>54382</v>
      </c>
      <c r="C2904" s="58">
        <f t="shared" si="1"/>
        <v>5727.998611</v>
      </c>
      <c r="D2904" s="1">
        <f t="shared" si="2"/>
        <v>32471.05979</v>
      </c>
      <c r="E2904" s="1">
        <f t="shared" si="3"/>
        <v>58447.90763</v>
      </c>
      <c r="F2904" s="1">
        <f t="shared" si="4"/>
        <v>110401.6033</v>
      </c>
      <c r="G2904" s="1">
        <f t="shared" si="5"/>
        <v>194826.3588</v>
      </c>
      <c r="H2904" s="1">
        <f t="shared" si="6"/>
        <v>357181.6577</v>
      </c>
      <c r="I2904" s="1">
        <f t="shared" si="7"/>
        <v>584479.0763</v>
      </c>
    </row>
    <row r="2905" hidden="1">
      <c r="A2905" s="266">
        <f>IFERROR(__xludf.DUMMYFUNCTION("""COMPUTED_VALUE"""),45544.99861111111)</f>
        <v>45544.99861</v>
      </c>
      <c r="B2905" s="1">
        <f>IFERROR(__xludf.DUMMYFUNCTION("""COMPUTED_VALUE"""),55073.68)</f>
        <v>55073.68</v>
      </c>
      <c r="C2905" s="58">
        <f t="shared" si="1"/>
        <v>5728.998611</v>
      </c>
      <c r="D2905" s="1">
        <f t="shared" si="2"/>
        <v>32503.9528</v>
      </c>
      <c r="E2905" s="1">
        <f t="shared" si="3"/>
        <v>58507.11504</v>
      </c>
      <c r="F2905" s="1">
        <f t="shared" si="4"/>
        <v>110513.4395</v>
      </c>
      <c r="G2905" s="1">
        <f t="shared" si="5"/>
        <v>195023.7168</v>
      </c>
      <c r="H2905" s="1">
        <f t="shared" si="6"/>
        <v>357543.4808</v>
      </c>
      <c r="I2905" s="1">
        <f t="shared" si="7"/>
        <v>585071.1504</v>
      </c>
    </row>
    <row r="2906" hidden="1">
      <c r="A2906" s="266">
        <f>IFERROR(__xludf.DUMMYFUNCTION("""COMPUTED_VALUE"""),45545.99861111111)</f>
        <v>45545.99861</v>
      </c>
      <c r="B2906" s="1">
        <f>IFERROR(__xludf.DUMMYFUNCTION("""COMPUTED_VALUE"""),56568.94)</f>
        <v>56568.94</v>
      </c>
      <c r="C2906" s="58">
        <f t="shared" si="1"/>
        <v>5729.998611</v>
      </c>
      <c r="D2906" s="1">
        <f t="shared" si="2"/>
        <v>32536.87337</v>
      </c>
      <c r="E2906" s="1">
        <f t="shared" si="3"/>
        <v>58566.37207</v>
      </c>
      <c r="F2906" s="1">
        <f t="shared" si="4"/>
        <v>110625.3695</v>
      </c>
      <c r="G2906" s="1">
        <f t="shared" si="5"/>
        <v>195221.2402</v>
      </c>
      <c r="H2906" s="1">
        <f t="shared" si="6"/>
        <v>357905.6071</v>
      </c>
      <c r="I2906" s="1">
        <f t="shared" si="7"/>
        <v>585663.7207</v>
      </c>
    </row>
    <row r="2907" hidden="1">
      <c r="A2907" s="266">
        <f>IFERROR(__xludf.DUMMYFUNCTION("""COMPUTED_VALUE"""),45546.99861111111)</f>
        <v>45546.99861</v>
      </c>
      <c r="B2907" s="1">
        <f>IFERROR(__xludf.DUMMYFUNCTION("""COMPUTED_VALUE"""),56778.54)</f>
        <v>56778.54</v>
      </c>
      <c r="C2907" s="58">
        <f t="shared" si="1"/>
        <v>5730.998611</v>
      </c>
      <c r="D2907" s="1">
        <f t="shared" si="2"/>
        <v>32569.82153</v>
      </c>
      <c r="E2907" s="1">
        <f t="shared" si="3"/>
        <v>58625.67876</v>
      </c>
      <c r="F2907" s="1">
        <f t="shared" si="4"/>
        <v>110737.3932</v>
      </c>
      <c r="G2907" s="1">
        <f t="shared" si="5"/>
        <v>195418.9292</v>
      </c>
      <c r="H2907" s="1">
        <f t="shared" si="6"/>
        <v>358268.0369</v>
      </c>
      <c r="I2907" s="1">
        <f t="shared" si="7"/>
        <v>586256.7876</v>
      </c>
    </row>
    <row r="2908" hidden="1">
      <c r="A2908" s="266">
        <f>IFERROR(__xludf.DUMMYFUNCTION("""COMPUTED_VALUE"""),45547.99861111111)</f>
        <v>45547.99861</v>
      </c>
      <c r="B2908" s="1">
        <f>IFERROR(__xludf.DUMMYFUNCTION("""COMPUTED_VALUE"""),58084.02)</f>
        <v>58084.02</v>
      </c>
      <c r="C2908" s="58">
        <f t="shared" si="1"/>
        <v>5731.998611</v>
      </c>
      <c r="D2908" s="1">
        <f t="shared" si="2"/>
        <v>32602.7973</v>
      </c>
      <c r="E2908" s="1">
        <f t="shared" si="3"/>
        <v>58685.03515</v>
      </c>
      <c r="F2908" s="1">
        <f t="shared" si="4"/>
        <v>110849.5108</v>
      </c>
      <c r="G2908" s="1">
        <f t="shared" si="5"/>
        <v>195616.7838</v>
      </c>
      <c r="H2908" s="1">
        <f t="shared" si="6"/>
        <v>358630.7703</v>
      </c>
      <c r="I2908" s="1">
        <f t="shared" si="7"/>
        <v>586850.3515</v>
      </c>
    </row>
    <row r="2909" hidden="1">
      <c r="A2909" s="266">
        <f>IFERROR(__xludf.DUMMYFUNCTION("""COMPUTED_VALUE"""),45548.99861111111)</f>
        <v>45548.99861</v>
      </c>
      <c r="B2909" s="1">
        <f>IFERROR(__xludf.DUMMYFUNCTION("""COMPUTED_VALUE"""),57886.09)</f>
        <v>57886.09</v>
      </c>
      <c r="C2909" s="58">
        <f t="shared" si="1"/>
        <v>5732.998611</v>
      </c>
      <c r="D2909" s="1">
        <f t="shared" si="2"/>
        <v>32635.8007</v>
      </c>
      <c r="E2909" s="1">
        <f t="shared" si="3"/>
        <v>58744.44126</v>
      </c>
      <c r="F2909" s="1">
        <f t="shared" si="4"/>
        <v>110961.7224</v>
      </c>
      <c r="G2909" s="1">
        <f t="shared" si="5"/>
        <v>195814.8042</v>
      </c>
      <c r="H2909" s="1">
        <f t="shared" si="6"/>
        <v>358993.8077</v>
      </c>
      <c r="I2909" s="1">
        <f t="shared" si="7"/>
        <v>587444.4126</v>
      </c>
    </row>
    <row r="2910" hidden="1">
      <c r="A2910" s="266">
        <f>IFERROR(__xludf.DUMMYFUNCTION("""COMPUTED_VALUE"""),45549.99861111111)</f>
        <v>45549.99861</v>
      </c>
      <c r="B2910" s="1">
        <f>IFERROR(__xludf.DUMMYFUNCTION("""COMPUTED_VALUE"""),60382.43)</f>
        <v>60382.43</v>
      </c>
      <c r="C2910" s="58">
        <f t="shared" si="1"/>
        <v>5733.998611</v>
      </c>
      <c r="D2910" s="1">
        <f t="shared" si="2"/>
        <v>32668.83174</v>
      </c>
      <c r="E2910" s="1">
        <f t="shared" si="3"/>
        <v>58803.89713</v>
      </c>
      <c r="F2910" s="1">
        <f t="shared" si="4"/>
        <v>111074.0279</v>
      </c>
      <c r="G2910" s="1">
        <f t="shared" si="5"/>
        <v>196012.9904</v>
      </c>
      <c r="H2910" s="1">
        <f t="shared" si="6"/>
        <v>359357.1491</v>
      </c>
      <c r="I2910" s="1">
        <f t="shared" si="7"/>
        <v>588038.9713</v>
      </c>
    </row>
    <row r="2911" hidden="1">
      <c r="A2911" s="266">
        <f>IFERROR(__xludf.DUMMYFUNCTION("""COMPUTED_VALUE"""),45550.99861111111)</f>
        <v>45550.99861</v>
      </c>
      <c r="B2911" s="1">
        <f>IFERROR(__xludf.DUMMYFUNCTION("""COMPUTED_VALUE"""),60186.94)</f>
        <v>60186.94</v>
      </c>
      <c r="C2911" s="58">
        <f t="shared" si="1"/>
        <v>5734.998611</v>
      </c>
      <c r="D2911" s="1">
        <f t="shared" si="2"/>
        <v>32701.89044</v>
      </c>
      <c r="E2911" s="1">
        <f t="shared" si="3"/>
        <v>58863.40279</v>
      </c>
      <c r="F2911" s="1">
        <f t="shared" si="4"/>
        <v>111186.4275</v>
      </c>
      <c r="G2911" s="1">
        <f t="shared" si="5"/>
        <v>196211.3426</v>
      </c>
      <c r="H2911" s="1">
        <f t="shared" si="6"/>
        <v>359720.7948</v>
      </c>
      <c r="I2911" s="1">
        <f t="shared" si="7"/>
        <v>588634.0279</v>
      </c>
    </row>
    <row r="2912" hidden="1">
      <c r="A2912" s="266">
        <f>IFERROR(__xludf.DUMMYFUNCTION("""COMPUTED_VALUE"""),45551.99861111111)</f>
        <v>45551.99861</v>
      </c>
      <c r="B2912" s="1">
        <f>IFERROR(__xludf.DUMMYFUNCTION("""COMPUTED_VALUE"""),58582.38)</f>
        <v>58582.38</v>
      </c>
      <c r="C2912" s="58">
        <f t="shared" si="1"/>
        <v>5735.998611</v>
      </c>
      <c r="D2912" s="1">
        <f t="shared" si="2"/>
        <v>32734.97682</v>
      </c>
      <c r="E2912" s="1">
        <f t="shared" si="3"/>
        <v>58922.95828</v>
      </c>
      <c r="F2912" s="1">
        <f t="shared" si="4"/>
        <v>111298.9212</v>
      </c>
      <c r="G2912" s="1">
        <f t="shared" si="5"/>
        <v>196409.8609</v>
      </c>
      <c r="H2912" s="1">
        <f t="shared" si="6"/>
        <v>360084.745</v>
      </c>
      <c r="I2912" s="1">
        <f t="shared" si="7"/>
        <v>589229.5828</v>
      </c>
    </row>
    <row r="2913" hidden="1">
      <c r="A2913" s="266">
        <f>IFERROR(__xludf.DUMMYFUNCTION("""COMPUTED_VALUE"""),45552.99861111111)</f>
        <v>45552.99861</v>
      </c>
      <c r="B2913" s="1">
        <f>IFERROR(__xludf.DUMMYFUNCTION("""COMPUTED_VALUE"""),58073.78)</f>
        <v>58073.78</v>
      </c>
      <c r="C2913" s="58">
        <f t="shared" si="1"/>
        <v>5736.998611</v>
      </c>
      <c r="D2913" s="1">
        <f t="shared" si="2"/>
        <v>32768.0909</v>
      </c>
      <c r="E2913" s="1">
        <f t="shared" si="3"/>
        <v>58982.56363</v>
      </c>
      <c r="F2913" s="1">
        <f t="shared" si="4"/>
        <v>111411.5091</v>
      </c>
      <c r="G2913" s="1">
        <f t="shared" si="5"/>
        <v>196608.5454</v>
      </c>
      <c r="H2913" s="1">
        <f t="shared" si="6"/>
        <v>360448.9999</v>
      </c>
      <c r="I2913" s="1">
        <f t="shared" si="7"/>
        <v>589825.6363</v>
      </c>
    </row>
    <row r="2914" hidden="1">
      <c r="A2914" s="266">
        <f>IFERROR(__xludf.DUMMYFUNCTION("""COMPUTED_VALUE"""),45553.99861111111)</f>
        <v>45553.99861</v>
      </c>
      <c r="B2914" s="1">
        <f>IFERROR(__xludf.DUMMYFUNCTION("""COMPUTED_VALUE"""),60545.42)</f>
        <v>60545.42</v>
      </c>
      <c r="C2914" s="58">
        <f t="shared" si="1"/>
        <v>5737.998611</v>
      </c>
      <c r="D2914" s="1">
        <f t="shared" si="2"/>
        <v>32801.2327</v>
      </c>
      <c r="E2914" s="1">
        <f t="shared" si="3"/>
        <v>59042.21886</v>
      </c>
      <c r="F2914" s="1">
        <f t="shared" si="4"/>
        <v>111524.1912</v>
      </c>
      <c r="G2914" s="1">
        <f t="shared" si="5"/>
        <v>196807.3962</v>
      </c>
      <c r="H2914" s="1">
        <f t="shared" si="6"/>
        <v>360813.5597</v>
      </c>
      <c r="I2914" s="1">
        <f t="shared" si="7"/>
        <v>590422.1886</v>
      </c>
    </row>
    <row r="2915" hidden="1">
      <c r="A2915" s="266">
        <f>IFERROR(__xludf.DUMMYFUNCTION("""COMPUTED_VALUE"""),45554.99861111111)</f>
        <v>45554.99861</v>
      </c>
      <c r="B2915" s="1">
        <f>IFERROR(__xludf.DUMMYFUNCTION("""COMPUTED_VALUE"""),62095.62)</f>
        <v>62095.62</v>
      </c>
      <c r="C2915" s="58">
        <f t="shared" si="1"/>
        <v>5738.998611</v>
      </c>
      <c r="D2915" s="1">
        <f t="shared" si="2"/>
        <v>32834.40224</v>
      </c>
      <c r="E2915" s="1">
        <f t="shared" si="3"/>
        <v>59101.92403</v>
      </c>
      <c r="F2915" s="1">
        <f t="shared" si="4"/>
        <v>111636.9676</v>
      </c>
      <c r="G2915" s="1">
        <f t="shared" si="5"/>
        <v>197006.4134</v>
      </c>
      <c r="H2915" s="1">
        <f t="shared" si="6"/>
        <v>361178.4246</v>
      </c>
      <c r="I2915" s="1">
        <f t="shared" si="7"/>
        <v>591019.2403</v>
      </c>
    </row>
    <row r="2916" hidden="1">
      <c r="A2916" s="266">
        <f>IFERROR(__xludf.DUMMYFUNCTION("""COMPUTED_VALUE"""),45555.99861111111)</f>
        <v>45555.99861</v>
      </c>
      <c r="B2916" s="1">
        <f>IFERROR(__xludf.DUMMYFUNCTION("""COMPUTED_VALUE"""),63671.56)</f>
        <v>63671.56</v>
      </c>
      <c r="C2916" s="58">
        <f t="shared" si="1"/>
        <v>5739.998611</v>
      </c>
      <c r="D2916" s="1">
        <f t="shared" si="2"/>
        <v>32867.59952</v>
      </c>
      <c r="E2916" s="1">
        <f t="shared" si="3"/>
        <v>59161.67914</v>
      </c>
      <c r="F2916" s="1">
        <f t="shared" si="4"/>
        <v>111749.8384</v>
      </c>
      <c r="G2916" s="1">
        <f t="shared" si="5"/>
        <v>197205.5971</v>
      </c>
      <c r="H2916" s="1">
        <f t="shared" si="6"/>
        <v>361543.5948</v>
      </c>
      <c r="I2916" s="1">
        <f t="shared" si="7"/>
        <v>591616.7914</v>
      </c>
    </row>
    <row r="2917" hidden="1">
      <c r="A2917" s="266">
        <f>IFERROR(__xludf.DUMMYFUNCTION("""COMPUTED_VALUE"""),45556.99861111111)</f>
        <v>45556.99861</v>
      </c>
      <c r="B2917" s="1">
        <f>IFERROR(__xludf.DUMMYFUNCTION("""COMPUTED_VALUE"""),62922.14)</f>
        <v>62922.14</v>
      </c>
      <c r="C2917" s="58">
        <f t="shared" si="1"/>
        <v>5740.998611</v>
      </c>
      <c r="D2917" s="1">
        <f t="shared" si="2"/>
        <v>32900.82458</v>
      </c>
      <c r="E2917" s="1">
        <f t="shared" si="3"/>
        <v>59221.48425</v>
      </c>
      <c r="F2917" s="1">
        <f t="shared" si="4"/>
        <v>111862.8036</v>
      </c>
      <c r="G2917" s="1">
        <f t="shared" si="5"/>
        <v>197404.9475</v>
      </c>
      <c r="H2917" s="1">
        <f t="shared" si="6"/>
        <v>361909.0704</v>
      </c>
      <c r="I2917" s="1">
        <f t="shared" si="7"/>
        <v>592214.8425</v>
      </c>
    </row>
    <row r="2918" hidden="1">
      <c r="A2918" s="266">
        <f>IFERROR(__xludf.DUMMYFUNCTION("""COMPUTED_VALUE"""),45557.99861111111)</f>
        <v>45557.99861</v>
      </c>
      <c r="B2918" s="1">
        <f>IFERROR(__xludf.DUMMYFUNCTION("""COMPUTED_VALUE"""),63140.06)</f>
        <v>63140.06</v>
      </c>
      <c r="C2918" s="58">
        <f t="shared" si="1"/>
        <v>5741.998611</v>
      </c>
      <c r="D2918" s="1">
        <f t="shared" si="2"/>
        <v>32934.07744</v>
      </c>
      <c r="E2918" s="1">
        <f t="shared" si="3"/>
        <v>59281.33939</v>
      </c>
      <c r="F2918" s="1">
        <f t="shared" si="4"/>
        <v>111975.8633</v>
      </c>
      <c r="G2918" s="1">
        <f t="shared" si="5"/>
        <v>197604.4646</v>
      </c>
      <c r="H2918" s="1">
        <f t="shared" si="6"/>
        <v>362274.8518</v>
      </c>
      <c r="I2918" s="1">
        <f t="shared" si="7"/>
        <v>592813.3939</v>
      </c>
    </row>
    <row r="2919" hidden="1">
      <c r="A2919" s="266">
        <f>IFERROR(__xludf.DUMMYFUNCTION("""COMPUTED_VALUE"""),45558.99861111111)</f>
        <v>45558.99861</v>
      </c>
      <c r="B2919" s="1">
        <f>IFERROR(__xludf.DUMMYFUNCTION("""COMPUTED_VALUE"""),64343.49)</f>
        <v>64343.49</v>
      </c>
      <c r="C2919" s="58">
        <f t="shared" si="1"/>
        <v>5742.998611</v>
      </c>
      <c r="D2919" s="1">
        <f t="shared" si="2"/>
        <v>32967.3581</v>
      </c>
      <c r="E2919" s="1">
        <f t="shared" si="3"/>
        <v>59341.24457</v>
      </c>
      <c r="F2919" s="1">
        <f t="shared" si="4"/>
        <v>112089.0175</v>
      </c>
      <c r="G2919" s="1">
        <f t="shared" si="5"/>
        <v>197804.1486</v>
      </c>
      <c r="H2919" s="1">
        <f t="shared" si="6"/>
        <v>362640.9391</v>
      </c>
      <c r="I2919" s="1">
        <f t="shared" si="7"/>
        <v>593412.4457</v>
      </c>
    </row>
    <row r="2920" hidden="1">
      <c r="A2920" s="266">
        <f>IFERROR(__xludf.DUMMYFUNCTION("""COMPUTED_VALUE"""),45559.99861111111)</f>
        <v>45559.99861</v>
      </c>
      <c r="B2920" s="1">
        <f>IFERROR(__xludf.DUMMYFUNCTION("""COMPUTED_VALUE"""),63130.39)</f>
        <v>63130.39</v>
      </c>
      <c r="C2920" s="58">
        <f t="shared" si="1"/>
        <v>5743.998611</v>
      </c>
      <c r="D2920" s="1">
        <f t="shared" si="2"/>
        <v>33000.66659</v>
      </c>
      <c r="E2920" s="1">
        <f t="shared" si="3"/>
        <v>59401.19985</v>
      </c>
      <c r="F2920" s="1">
        <f t="shared" si="4"/>
        <v>112202.2664</v>
      </c>
      <c r="G2920" s="1">
        <f t="shared" si="5"/>
        <v>198003.9995</v>
      </c>
      <c r="H2920" s="1">
        <f t="shared" si="6"/>
        <v>363007.3324</v>
      </c>
      <c r="I2920" s="1">
        <f t="shared" si="7"/>
        <v>594011.9985</v>
      </c>
    </row>
    <row r="2921" hidden="1">
      <c r="A2921" s="266">
        <f>IFERROR(__xludf.DUMMYFUNCTION("""COMPUTED_VALUE"""),45560.99861111111)</f>
        <v>45560.99861</v>
      </c>
      <c r="B2921" s="1">
        <f>IFERROR(__xludf.DUMMYFUNCTION("""COMPUTED_VALUE"""),64450.64)</f>
        <v>64450.64</v>
      </c>
      <c r="C2921" s="58">
        <f t="shared" si="1"/>
        <v>5744.998611</v>
      </c>
      <c r="D2921" s="1">
        <f t="shared" si="2"/>
        <v>33034.00292</v>
      </c>
      <c r="E2921" s="1">
        <f t="shared" si="3"/>
        <v>59461.20525</v>
      </c>
      <c r="F2921" s="1">
        <f t="shared" si="4"/>
        <v>112315.6099</v>
      </c>
      <c r="G2921" s="1">
        <f t="shared" si="5"/>
        <v>198204.0175</v>
      </c>
      <c r="H2921" s="1">
        <f t="shared" si="6"/>
        <v>363374.0321</v>
      </c>
      <c r="I2921" s="1">
        <f t="shared" si="7"/>
        <v>594612.0525</v>
      </c>
    </row>
    <row r="2922" hidden="1">
      <c r="A2922" s="266">
        <f>IFERROR(__xludf.DUMMYFUNCTION("""COMPUTED_VALUE"""),45561.99861111111)</f>
        <v>45561.99861</v>
      </c>
      <c r="B2922" s="1">
        <f>IFERROR(__xludf.DUMMYFUNCTION("""COMPUTED_VALUE"""),63495.91)</f>
        <v>63495.91</v>
      </c>
      <c r="C2922" s="58">
        <f t="shared" si="1"/>
        <v>5745.998611</v>
      </c>
      <c r="D2922" s="1">
        <f t="shared" si="2"/>
        <v>33067.36712</v>
      </c>
      <c r="E2922" s="1">
        <f t="shared" si="3"/>
        <v>59521.26081</v>
      </c>
      <c r="F2922" s="1">
        <f t="shared" si="4"/>
        <v>112429.0482</v>
      </c>
      <c r="G2922" s="1">
        <f t="shared" si="5"/>
        <v>198404.2027</v>
      </c>
      <c r="H2922" s="1">
        <f t="shared" si="6"/>
        <v>363741.0383</v>
      </c>
      <c r="I2922" s="1">
        <f t="shared" si="7"/>
        <v>595212.6081</v>
      </c>
    </row>
    <row r="2923" hidden="1">
      <c r="A2923" s="266">
        <f>IFERROR(__xludf.DUMMYFUNCTION("""COMPUTED_VALUE"""),45562.99861111111)</f>
        <v>45562.99861</v>
      </c>
      <c r="B2923" s="1">
        <f>IFERROR(__xludf.DUMMYFUNCTION("""COMPUTED_VALUE"""),65390.85)</f>
        <v>65390.85</v>
      </c>
      <c r="C2923" s="58">
        <f t="shared" si="1"/>
        <v>5746.998611</v>
      </c>
      <c r="D2923" s="1">
        <f t="shared" si="2"/>
        <v>33100.7592</v>
      </c>
      <c r="E2923" s="1">
        <f t="shared" si="3"/>
        <v>59581.36656</v>
      </c>
      <c r="F2923" s="1">
        <f t="shared" si="4"/>
        <v>112542.5813</v>
      </c>
      <c r="G2923" s="1">
        <f t="shared" si="5"/>
        <v>198604.5552</v>
      </c>
      <c r="H2923" s="1">
        <f t="shared" si="6"/>
        <v>364108.3512</v>
      </c>
      <c r="I2923" s="1">
        <f t="shared" si="7"/>
        <v>595813.6656</v>
      </c>
    </row>
    <row r="2924" hidden="1">
      <c r="A2924" s="266">
        <f>IFERROR(__xludf.DUMMYFUNCTION("""COMPUTED_VALUE"""),45563.99861111111)</f>
        <v>45563.99861</v>
      </c>
      <c r="B2924" s="1">
        <f>IFERROR(__xludf.DUMMYFUNCTION("""COMPUTED_VALUE"""),66096.32)</f>
        <v>66096.32</v>
      </c>
      <c r="C2924" s="58">
        <f t="shared" si="1"/>
        <v>5747.998611</v>
      </c>
      <c r="D2924" s="1">
        <f t="shared" si="2"/>
        <v>33134.17918</v>
      </c>
      <c r="E2924" s="1">
        <f t="shared" si="3"/>
        <v>59641.52253</v>
      </c>
      <c r="F2924" s="1">
        <f t="shared" si="4"/>
        <v>112656.2092</v>
      </c>
      <c r="G2924" s="1">
        <f t="shared" si="5"/>
        <v>198805.0751</v>
      </c>
      <c r="H2924" s="1">
        <f t="shared" si="6"/>
        <v>364475.971</v>
      </c>
      <c r="I2924" s="1">
        <f t="shared" si="7"/>
        <v>596415.2253</v>
      </c>
    </row>
    <row r="2925" hidden="1">
      <c r="A2925" s="266">
        <f>IFERROR(__xludf.DUMMYFUNCTION("""COMPUTED_VALUE"""),45564.99861111111)</f>
        <v>45564.99861</v>
      </c>
      <c r="B2925" s="1">
        <f>IFERROR(__xludf.DUMMYFUNCTION("""COMPUTED_VALUE"""),65848.43)</f>
        <v>65848.43</v>
      </c>
      <c r="C2925" s="58">
        <f t="shared" si="1"/>
        <v>5748.998611</v>
      </c>
      <c r="D2925" s="1">
        <f t="shared" si="2"/>
        <v>33167.62709</v>
      </c>
      <c r="E2925" s="1">
        <f t="shared" si="3"/>
        <v>59701.72875</v>
      </c>
      <c r="F2925" s="1">
        <f t="shared" si="4"/>
        <v>112769.9321</v>
      </c>
      <c r="G2925" s="1">
        <f t="shared" si="5"/>
        <v>199005.7625</v>
      </c>
      <c r="H2925" s="1">
        <f t="shared" si="6"/>
        <v>364843.8979</v>
      </c>
      <c r="I2925" s="1">
        <f t="shared" si="7"/>
        <v>597017.2875</v>
      </c>
    </row>
    <row r="2926" hidden="1">
      <c r="A2926" s="266">
        <f>IFERROR(__xludf.DUMMYFUNCTION("""COMPUTED_VALUE"""),45565.99861111111)</f>
        <v>45565.99861</v>
      </c>
      <c r="B2926" s="1">
        <f>IFERROR(__xludf.DUMMYFUNCTION("""COMPUTED_VALUE"""),64544.22)</f>
        <v>64544.22</v>
      </c>
      <c r="C2926" s="58">
        <f t="shared" si="1"/>
        <v>5749.998611</v>
      </c>
      <c r="D2926" s="1">
        <f t="shared" si="2"/>
        <v>33201.10293</v>
      </c>
      <c r="E2926" s="1">
        <f t="shared" si="3"/>
        <v>59761.98527</v>
      </c>
      <c r="F2926" s="1">
        <f t="shared" si="4"/>
        <v>112883.7499</v>
      </c>
      <c r="G2926" s="1">
        <f t="shared" si="5"/>
        <v>199206.6176</v>
      </c>
      <c r="H2926" s="1">
        <f t="shared" si="6"/>
        <v>365212.1322</v>
      </c>
      <c r="I2926" s="1">
        <f t="shared" si="7"/>
        <v>597619.8527</v>
      </c>
    </row>
    <row r="2927" hidden="1">
      <c r="A2927" s="266">
        <f>IFERROR(__xludf.DUMMYFUNCTION("""COMPUTED_VALUE"""),45566.99861111111)</f>
        <v>45566.99861</v>
      </c>
      <c r="B2927" s="1">
        <f>IFERROR(__xludf.DUMMYFUNCTION("""COMPUTED_VALUE"""),63711.69)</f>
        <v>63711.69</v>
      </c>
      <c r="C2927" s="58">
        <f t="shared" si="1"/>
        <v>5750.998611</v>
      </c>
      <c r="D2927" s="1">
        <f t="shared" si="2"/>
        <v>33234.60672</v>
      </c>
      <c r="E2927" s="1">
        <f t="shared" si="3"/>
        <v>59822.2921</v>
      </c>
      <c r="F2927" s="1">
        <f t="shared" si="4"/>
        <v>112997.6629</v>
      </c>
      <c r="G2927" s="1">
        <f t="shared" si="5"/>
        <v>199407.6403</v>
      </c>
      <c r="H2927" s="1">
        <f t="shared" si="6"/>
        <v>365580.674</v>
      </c>
      <c r="I2927" s="1">
        <f t="shared" si="7"/>
        <v>598222.921</v>
      </c>
    </row>
    <row r="2928" hidden="1">
      <c r="A2928" s="266">
        <f>IFERROR(__xludf.DUMMYFUNCTION("""COMPUTED_VALUE"""),45567.99861111111)</f>
        <v>45567.99861</v>
      </c>
      <c r="B2928" s="1">
        <f>IFERROR(__xludf.DUMMYFUNCTION("""COMPUTED_VALUE"""),61781.73)</f>
        <v>61781.73</v>
      </c>
      <c r="C2928" s="58">
        <f t="shared" si="1"/>
        <v>5751.998611</v>
      </c>
      <c r="D2928" s="1">
        <f t="shared" si="2"/>
        <v>33268.1385</v>
      </c>
      <c r="E2928" s="1">
        <f t="shared" si="3"/>
        <v>59882.64929</v>
      </c>
      <c r="F2928" s="1">
        <f t="shared" si="4"/>
        <v>113111.6709</v>
      </c>
      <c r="G2928" s="1">
        <f t="shared" si="5"/>
        <v>199608.831</v>
      </c>
      <c r="H2928" s="1">
        <f t="shared" si="6"/>
        <v>365949.5235</v>
      </c>
      <c r="I2928" s="1">
        <f t="shared" si="7"/>
        <v>598826.4929</v>
      </c>
    </row>
    <row r="2929" hidden="1">
      <c r="A2929" s="266">
        <f>IFERROR(__xludf.DUMMYFUNCTION("""COMPUTED_VALUE"""),45568.99861111111)</f>
        <v>45568.99861</v>
      </c>
      <c r="B2929" s="1">
        <f>IFERROR(__xludf.DUMMYFUNCTION("""COMPUTED_VALUE"""),61441.14)</f>
        <v>61441.14</v>
      </c>
      <c r="C2929" s="58">
        <f t="shared" si="1"/>
        <v>5752.998611</v>
      </c>
      <c r="D2929" s="1">
        <f t="shared" si="2"/>
        <v>33301.69826</v>
      </c>
      <c r="E2929" s="1">
        <f t="shared" si="3"/>
        <v>59943.05687</v>
      </c>
      <c r="F2929" s="1">
        <f t="shared" si="4"/>
        <v>113225.7741</v>
      </c>
      <c r="G2929" s="1">
        <f t="shared" si="5"/>
        <v>199810.1896</v>
      </c>
      <c r="H2929" s="1">
        <f t="shared" si="6"/>
        <v>366318.6809</v>
      </c>
      <c r="I2929" s="1">
        <f t="shared" si="7"/>
        <v>599430.5687</v>
      </c>
    </row>
    <row r="2930" hidden="1">
      <c r="A2930" s="266">
        <f>IFERROR(__xludf.DUMMYFUNCTION("""COMPUTED_VALUE"""),45569.99861111111)</f>
        <v>45569.99861</v>
      </c>
      <c r="B2930" s="1">
        <f>IFERROR(__xludf.DUMMYFUNCTION("""COMPUTED_VALUE"""),60953.97)</f>
        <v>60953.97</v>
      </c>
      <c r="C2930" s="58">
        <f t="shared" si="1"/>
        <v>5753.998611</v>
      </c>
      <c r="D2930" s="1">
        <f t="shared" si="2"/>
        <v>33335.28604</v>
      </c>
      <c r="E2930" s="1">
        <f t="shared" si="3"/>
        <v>60003.51488</v>
      </c>
      <c r="F2930" s="1">
        <f t="shared" si="4"/>
        <v>113339.9725</v>
      </c>
      <c r="G2930" s="1">
        <f t="shared" si="5"/>
        <v>200011.7163</v>
      </c>
      <c r="H2930" s="1">
        <f t="shared" si="6"/>
        <v>366688.1465</v>
      </c>
      <c r="I2930" s="1">
        <f t="shared" si="7"/>
        <v>600035.1488</v>
      </c>
    </row>
    <row r="2931" hidden="1">
      <c r="A2931" s="266">
        <f>IFERROR(__xludf.DUMMYFUNCTION("""COMPUTED_VALUE"""),45570.99861111111)</f>
        <v>45570.99861</v>
      </c>
      <c r="B2931" s="1">
        <f>IFERROR(__xludf.DUMMYFUNCTION("""COMPUTED_VALUE"""),61897.85)</f>
        <v>61897.85</v>
      </c>
      <c r="C2931" s="58">
        <f t="shared" si="1"/>
        <v>5754.998611</v>
      </c>
      <c r="D2931" s="1">
        <f t="shared" si="2"/>
        <v>33368.90185</v>
      </c>
      <c r="E2931" s="1">
        <f t="shared" si="3"/>
        <v>60064.02333</v>
      </c>
      <c r="F2931" s="1">
        <f t="shared" si="4"/>
        <v>113454.2663</v>
      </c>
      <c r="G2931" s="1">
        <f t="shared" si="5"/>
        <v>200213.4111</v>
      </c>
      <c r="H2931" s="1">
        <f t="shared" si="6"/>
        <v>367057.9204</v>
      </c>
      <c r="I2931" s="1">
        <f t="shared" si="7"/>
        <v>600640.2333</v>
      </c>
    </row>
    <row r="2932" hidden="1">
      <c r="A2932" s="266">
        <f>IFERROR(__xludf.DUMMYFUNCTION("""COMPUTED_VALUE"""),45571.99861111111)</f>
        <v>45571.99861</v>
      </c>
      <c r="B2932" s="1">
        <f>IFERROR(__xludf.DUMMYFUNCTION("""COMPUTED_VALUE"""),61906.66)</f>
        <v>61906.66</v>
      </c>
      <c r="C2932" s="58">
        <f t="shared" si="1"/>
        <v>5755.998611</v>
      </c>
      <c r="D2932" s="1">
        <f t="shared" si="2"/>
        <v>33402.54571</v>
      </c>
      <c r="E2932" s="1">
        <f t="shared" si="3"/>
        <v>60124.58228</v>
      </c>
      <c r="F2932" s="1">
        <f t="shared" si="4"/>
        <v>113568.6554</v>
      </c>
      <c r="G2932" s="1">
        <f t="shared" si="5"/>
        <v>200415.2743</v>
      </c>
      <c r="H2932" s="1">
        <f t="shared" si="6"/>
        <v>367428.0028</v>
      </c>
      <c r="I2932" s="1">
        <f t="shared" si="7"/>
        <v>601245.8228</v>
      </c>
    </row>
    <row r="2933" hidden="1">
      <c r="A2933" s="266">
        <f>IFERROR(__xludf.DUMMYFUNCTION("""COMPUTED_VALUE"""),45572.99861111111)</f>
        <v>45572.99861</v>
      </c>
      <c r="B2933" s="1">
        <f>IFERROR(__xludf.DUMMYFUNCTION("""COMPUTED_VALUE"""),63514.6)</f>
        <v>63514.6</v>
      </c>
      <c r="C2933" s="58">
        <f t="shared" si="1"/>
        <v>5756.998611</v>
      </c>
      <c r="D2933" s="1">
        <f t="shared" si="2"/>
        <v>33436.21764</v>
      </c>
      <c r="E2933" s="1">
        <f t="shared" si="3"/>
        <v>60185.19175</v>
      </c>
      <c r="F2933" s="1">
        <f t="shared" si="4"/>
        <v>113683.14</v>
      </c>
      <c r="G2933" s="1">
        <f t="shared" si="5"/>
        <v>200617.3058</v>
      </c>
      <c r="H2933" s="1">
        <f t="shared" si="6"/>
        <v>367798.394</v>
      </c>
      <c r="I2933" s="1">
        <f t="shared" si="7"/>
        <v>601851.9175</v>
      </c>
    </row>
    <row r="2934" hidden="1">
      <c r="A2934" s="266">
        <f>IFERROR(__xludf.DUMMYFUNCTION("""COMPUTED_VALUE"""),45573.99861111111)</f>
        <v>45573.99861</v>
      </c>
      <c r="B2934" s="1">
        <f>IFERROR(__xludf.DUMMYFUNCTION("""COMPUTED_VALUE"""),62609.76)</f>
        <v>62609.76</v>
      </c>
      <c r="C2934" s="58">
        <f t="shared" si="1"/>
        <v>5757.998611</v>
      </c>
      <c r="D2934" s="1">
        <f t="shared" si="2"/>
        <v>33469.91765</v>
      </c>
      <c r="E2934" s="1">
        <f t="shared" si="3"/>
        <v>60245.85177</v>
      </c>
      <c r="F2934" s="1">
        <f t="shared" si="4"/>
        <v>113797.72</v>
      </c>
      <c r="G2934" s="1">
        <f t="shared" si="5"/>
        <v>200819.5059</v>
      </c>
      <c r="H2934" s="1">
        <f t="shared" si="6"/>
        <v>368169.0941</v>
      </c>
      <c r="I2934" s="1">
        <f t="shared" si="7"/>
        <v>602458.5177</v>
      </c>
    </row>
    <row r="2935" hidden="1">
      <c r="A2935" s="266">
        <f>IFERROR(__xludf.DUMMYFUNCTION("""COMPUTED_VALUE"""),45574.99861111111)</f>
        <v>45574.99861</v>
      </c>
      <c r="B2935" s="1">
        <f>IFERROR(__xludf.DUMMYFUNCTION("""COMPUTED_VALUE"""),62359.38)</f>
        <v>62359.38</v>
      </c>
      <c r="C2935" s="58">
        <f t="shared" si="1"/>
        <v>5758.998611</v>
      </c>
      <c r="D2935" s="1">
        <f t="shared" si="2"/>
        <v>33503.64577</v>
      </c>
      <c r="E2935" s="1">
        <f t="shared" si="3"/>
        <v>60306.56238</v>
      </c>
      <c r="F2935" s="1">
        <f t="shared" si="4"/>
        <v>113912.3956</v>
      </c>
      <c r="G2935" s="1">
        <f t="shared" si="5"/>
        <v>201021.8746</v>
      </c>
      <c r="H2935" s="1">
        <f t="shared" si="6"/>
        <v>368540.1034</v>
      </c>
      <c r="I2935" s="1">
        <f t="shared" si="7"/>
        <v>603065.6238</v>
      </c>
    </row>
    <row r="2936" hidden="1">
      <c r="A2936" s="266">
        <f>IFERROR(__xludf.DUMMYFUNCTION("""COMPUTED_VALUE"""),45575.99861111111)</f>
        <v>45575.99861</v>
      </c>
      <c r="B2936" s="1">
        <f>IFERROR(__xludf.DUMMYFUNCTION("""COMPUTED_VALUE"""),60833.65)</f>
        <v>60833.65</v>
      </c>
      <c r="C2936" s="58">
        <f t="shared" si="1"/>
        <v>5759.998611</v>
      </c>
      <c r="D2936" s="1">
        <f t="shared" si="2"/>
        <v>33537.40201</v>
      </c>
      <c r="E2936" s="1">
        <f t="shared" si="3"/>
        <v>60367.32361</v>
      </c>
      <c r="F2936" s="1">
        <f t="shared" si="4"/>
        <v>114027.1668</v>
      </c>
      <c r="G2936" s="1">
        <f t="shared" si="5"/>
        <v>201224.412</v>
      </c>
      <c r="H2936" s="1">
        <f t="shared" si="6"/>
        <v>368911.4221</v>
      </c>
      <c r="I2936" s="1">
        <f t="shared" si="7"/>
        <v>603673.2361</v>
      </c>
    </row>
    <row r="2937" hidden="1">
      <c r="A2937" s="266">
        <f>IFERROR(__xludf.DUMMYFUNCTION("""COMPUTED_VALUE"""),45576.99861111111)</f>
        <v>45576.99861</v>
      </c>
      <c r="B2937" s="1">
        <f>IFERROR(__xludf.DUMMYFUNCTION("""COMPUTED_VALUE"""),60607.19)</f>
        <v>60607.19</v>
      </c>
      <c r="C2937" s="58">
        <f t="shared" si="1"/>
        <v>5760.998611</v>
      </c>
      <c r="D2937" s="1">
        <f t="shared" si="2"/>
        <v>33571.18639</v>
      </c>
      <c r="E2937" s="1">
        <f t="shared" si="3"/>
        <v>60428.1355</v>
      </c>
      <c r="F2937" s="1">
        <f t="shared" si="4"/>
        <v>114142.0337</v>
      </c>
      <c r="G2937" s="1">
        <f t="shared" si="5"/>
        <v>201427.1183</v>
      </c>
      <c r="H2937" s="1">
        <f t="shared" si="6"/>
        <v>369283.0503</v>
      </c>
      <c r="I2937" s="1">
        <f t="shared" si="7"/>
        <v>604281.355</v>
      </c>
    </row>
    <row r="2938" hidden="1">
      <c r="A2938" s="266">
        <f>IFERROR(__xludf.DUMMYFUNCTION("""COMPUTED_VALUE"""),45577.99861111111)</f>
        <v>45577.99861</v>
      </c>
      <c r="B2938" s="1">
        <f>IFERROR(__xludf.DUMMYFUNCTION("""COMPUTED_VALUE"""),62555.24)</f>
        <v>62555.24</v>
      </c>
      <c r="C2938" s="58">
        <f t="shared" si="1"/>
        <v>5761.998611</v>
      </c>
      <c r="D2938" s="1">
        <f t="shared" si="2"/>
        <v>33604.99893</v>
      </c>
      <c r="E2938" s="1">
        <f t="shared" si="3"/>
        <v>60488.99808</v>
      </c>
      <c r="F2938" s="1">
        <f t="shared" si="4"/>
        <v>114256.9964</v>
      </c>
      <c r="G2938" s="1">
        <f t="shared" si="5"/>
        <v>201629.9936</v>
      </c>
      <c r="H2938" s="1">
        <f t="shared" si="6"/>
        <v>369654.9883</v>
      </c>
      <c r="I2938" s="1">
        <f t="shared" si="7"/>
        <v>604889.9808</v>
      </c>
    </row>
    <row r="2939" hidden="1">
      <c r="A2939" s="266">
        <f>IFERROR(__xludf.DUMMYFUNCTION("""COMPUTED_VALUE"""),45578.99861111111)</f>
        <v>45578.99861</v>
      </c>
      <c r="B2939" s="1">
        <f>IFERROR(__xludf.DUMMYFUNCTION("""COMPUTED_VALUE"""),62717.15)</f>
        <v>62717.15</v>
      </c>
      <c r="C2939" s="58">
        <f t="shared" si="1"/>
        <v>5762.998611</v>
      </c>
      <c r="D2939" s="1">
        <f t="shared" si="2"/>
        <v>33638.83966</v>
      </c>
      <c r="E2939" s="1">
        <f t="shared" si="3"/>
        <v>60549.91138</v>
      </c>
      <c r="F2939" s="1">
        <f t="shared" si="4"/>
        <v>114372.0548</v>
      </c>
      <c r="G2939" s="1">
        <f t="shared" si="5"/>
        <v>201833.0379</v>
      </c>
      <c r="H2939" s="1">
        <f t="shared" si="6"/>
        <v>370027.2362</v>
      </c>
      <c r="I2939" s="1">
        <f t="shared" si="7"/>
        <v>605499.1138</v>
      </c>
    </row>
    <row r="2940" hidden="1">
      <c r="A2940" s="266">
        <f>IFERROR(__xludf.DUMMYFUNCTION("""COMPUTED_VALUE"""),45579.99861111111)</f>
        <v>45579.99861</v>
      </c>
      <c r="B2940" s="1">
        <f>IFERROR(__xludf.DUMMYFUNCTION("""COMPUTED_VALUE"""),64195.47)</f>
        <v>64195.47</v>
      </c>
      <c r="C2940" s="58">
        <f t="shared" si="1"/>
        <v>5763.998611</v>
      </c>
      <c r="D2940" s="1">
        <f t="shared" si="2"/>
        <v>33672.70858</v>
      </c>
      <c r="E2940" s="1">
        <f t="shared" si="3"/>
        <v>60610.87544</v>
      </c>
      <c r="F2940" s="1">
        <f t="shared" si="4"/>
        <v>114487.2092</v>
      </c>
      <c r="G2940" s="1">
        <f t="shared" si="5"/>
        <v>202036.2515</v>
      </c>
      <c r="H2940" s="1">
        <f t="shared" si="6"/>
        <v>370399.7943</v>
      </c>
      <c r="I2940" s="1">
        <f t="shared" si="7"/>
        <v>606108.7544</v>
      </c>
    </row>
    <row r="2941" hidden="1">
      <c r="A2941" s="266">
        <f>IFERROR(__xludf.DUMMYFUNCTION("""COMPUTED_VALUE"""),45580.99861111111)</f>
        <v>45580.99861</v>
      </c>
      <c r="B2941" s="1">
        <f>IFERROR(__xludf.DUMMYFUNCTION("""COMPUTED_VALUE"""),65353.81)</f>
        <v>65353.81</v>
      </c>
      <c r="C2941" s="58">
        <f t="shared" si="1"/>
        <v>5764.998611</v>
      </c>
      <c r="D2941" s="1">
        <f t="shared" si="2"/>
        <v>33706.60571</v>
      </c>
      <c r="E2941" s="1">
        <f t="shared" si="3"/>
        <v>60671.89028</v>
      </c>
      <c r="F2941" s="1">
        <f t="shared" si="4"/>
        <v>114602.4594</v>
      </c>
      <c r="G2941" s="1">
        <f t="shared" si="5"/>
        <v>202239.6343</v>
      </c>
      <c r="H2941" s="1">
        <f t="shared" si="6"/>
        <v>370772.6628</v>
      </c>
      <c r="I2941" s="1">
        <f t="shared" si="7"/>
        <v>606718.9028</v>
      </c>
    </row>
    <row r="2942" hidden="1">
      <c r="A2942" s="266">
        <f>IFERROR(__xludf.DUMMYFUNCTION("""COMPUTED_VALUE"""),45581.99861111111)</f>
        <v>45581.99861</v>
      </c>
      <c r="B2942" s="1">
        <f>IFERROR(__xludf.DUMMYFUNCTION("""COMPUTED_VALUE"""),67104.47)</f>
        <v>67104.47</v>
      </c>
      <c r="C2942" s="58">
        <f t="shared" si="1"/>
        <v>5765.998611</v>
      </c>
      <c r="D2942" s="1">
        <f t="shared" si="2"/>
        <v>33740.53108</v>
      </c>
      <c r="E2942" s="1">
        <f t="shared" si="3"/>
        <v>60732.95595</v>
      </c>
      <c r="F2942" s="1">
        <f t="shared" si="4"/>
        <v>114717.8057</v>
      </c>
      <c r="G2942" s="1">
        <f t="shared" si="5"/>
        <v>202443.1865</v>
      </c>
      <c r="H2942" s="1">
        <f t="shared" si="6"/>
        <v>371145.8419</v>
      </c>
      <c r="I2942" s="1">
        <f t="shared" si="7"/>
        <v>607329.5595</v>
      </c>
    </row>
    <row r="2943" hidden="1">
      <c r="A2943" s="266">
        <f>IFERROR(__xludf.DUMMYFUNCTION("""COMPUTED_VALUE"""),45582.99861111111)</f>
        <v>45582.99861</v>
      </c>
      <c r="B2943" s="1">
        <f>IFERROR(__xludf.DUMMYFUNCTION("""COMPUTED_VALUE"""),67605.86)</f>
        <v>67605.86</v>
      </c>
      <c r="C2943" s="58">
        <f t="shared" si="1"/>
        <v>5766.998611</v>
      </c>
      <c r="D2943" s="1">
        <f t="shared" si="2"/>
        <v>33774.48471</v>
      </c>
      <c r="E2943" s="1">
        <f t="shared" si="3"/>
        <v>60794.07248</v>
      </c>
      <c r="F2943" s="1">
        <f t="shared" si="4"/>
        <v>114833.248</v>
      </c>
      <c r="G2943" s="1">
        <f t="shared" si="5"/>
        <v>202646.9083</v>
      </c>
      <c r="H2943" s="1">
        <f t="shared" si="6"/>
        <v>371519.3318</v>
      </c>
      <c r="I2943" s="1">
        <f t="shared" si="7"/>
        <v>607940.7248</v>
      </c>
    </row>
    <row r="2944" hidden="1">
      <c r="A2944" s="266">
        <f>IFERROR(__xludf.DUMMYFUNCTION("""COMPUTED_VALUE"""),45583.99861111111)</f>
        <v>45583.99861</v>
      </c>
      <c r="B2944" s="1">
        <f>IFERROR(__xludf.DUMMYFUNCTION("""COMPUTED_VALUE"""),67535.72)</f>
        <v>67535.72</v>
      </c>
      <c r="C2944" s="58">
        <f t="shared" si="1"/>
        <v>5767.998611</v>
      </c>
      <c r="D2944" s="1">
        <f t="shared" si="2"/>
        <v>33808.46661</v>
      </c>
      <c r="E2944" s="1">
        <f t="shared" si="3"/>
        <v>60855.23989</v>
      </c>
      <c r="F2944" s="1">
        <f t="shared" si="4"/>
        <v>114948.7865</v>
      </c>
      <c r="G2944" s="1">
        <f t="shared" si="5"/>
        <v>202850.7996</v>
      </c>
      <c r="H2944" s="1">
        <f t="shared" si="6"/>
        <v>371893.1327</v>
      </c>
      <c r="I2944" s="1">
        <f t="shared" si="7"/>
        <v>608552.3989</v>
      </c>
    </row>
    <row r="2945" hidden="1">
      <c r="A2945" s="266">
        <f>IFERROR(__xludf.DUMMYFUNCTION("""COMPUTED_VALUE"""),45584.99861111111)</f>
        <v>45584.99861</v>
      </c>
      <c r="B2945" s="1">
        <f>IFERROR(__xludf.DUMMYFUNCTION("""COMPUTED_VALUE"""),68456.86)</f>
        <v>68456.86</v>
      </c>
      <c r="C2945" s="58">
        <f t="shared" si="1"/>
        <v>5768.998611</v>
      </c>
      <c r="D2945" s="1">
        <f t="shared" si="2"/>
        <v>33842.47679</v>
      </c>
      <c r="E2945" s="1">
        <f t="shared" si="3"/>
        <v>60916.45823</v>
      </c>
      <c r="F2945" s="1">
        <f t="shared" si="4"/>
        <v>115064.4211</v>
      </c>
      <c r="G2945" s="1">
        <f t="shared" si="5"/>
        <v>203054.8608</v>
      </c>
      <c r="H2945" s="1">
        <f t="shared" si="6"/>
        <v>372267.2447</v>
      </c>
      <c r="I2945" s="1">
        <f t="shared" si="7"/>
        <v>609164.5823</v>
      </c>
    </row>
    <row r="2946" hidden="1">
      <c r="A2946" s="266">
        <f>IFERROR(__xludf.DUMMYFUNCTION("""COMPUTED_VALUE"""),45585.99861111111)</f>
        <v>45585.99861</v>
      </c>
      <c r="B2946" s="1">
        <f>IFERROR(__xludf.DUMMYFUNCTION("""COMPUTED_VALUE"""),68179.25)</f>
        <v>68179.25</v>
      </c>
      <c r="C2946" s="58">
        <f t="shared" si="1"/>
        <v>5769.998611</v>
      </c>
      <c r="D2946" s="1">
        <f t="shared" si="2"/>
        <v>33876.51529</v>
      </c>
      <c r="E2946" s="1">
        <f t="shared" si="3"/>
        <v>60977.72752</v>
      </c>
      <c r="F2946" s="1">
        <f t="shared" si="4"/>
        <v>115180.152</v>
      </c>
      <c r="G2946" s="1">
        <f t="shared" si="5"/>
        <v>203259.0917</v>
      </c>
      <c r="H2946" s="1">
        <f t="shared" si="6"/>
        <v>372641.6682</v>
      </c>
      <c r="I2946" s="1">
        <f t="shared" si="7"/>
        <v>609777.2752</v>
      </c>
    </row>
    <row r="2947" hidden="1">
      <c r="A2947" s="266">
        <f>IFERROR(__xludf.DUMMYFUNCTION("""COMPUTED_VALUE"""),45586.99861111111)</f>
        <v>45586.99861</v>
      </c>
      <c r="B2947" s="1">
        <f>IFERROR(__xludf.DUMMYFUNCTION("""COMPUTED_VALUE"""),68890.14)</f>
        <v>68890.14</v>
      </c>
      <c r="C2947" s="58">
        <f t="shared" si="1"/>
        <v>5770.998611</v>
      </c>
      <c r="D2947" s="1">
        <f t="shared" si="2"/>
        <v>33910.58212</v>
      </c>
      <c r="E2947" s="1">
        <f t="shared" si="3"/>
        <v>61039.04781</v>
      </c>
      <c r="F2947" s="1">
        <f t="shared" si="4"/>
        <v>115295.9792</v>
      </c>
      <c r="G2947" s="1">
        <f t="shared" si="5"/>
        <v>203463.4927</v>
      </c>
      <c r="H2947" s="1">
        <f t="shared" si="6"/>
        <v>373016.4033</v>
      </c>
      <c r="I2947" s="1">
        <f t="shared" si="7"/>
        <v>610390.4781</v>
      </c>
    </row>
    <row r="2948" hidden="1">
      <c r="A2948" s="266">
        <f>IFERROR(__xludf.DUMMYFUNCTION("""COMPUTED_VALUE"""),45587.99861111111)</f>
        <v>45587.99861</v>
      </c>
      <c r="B2948" s="1">
        <f>IFERROR(__xludf.DUMMYFUNCTION("""COMPUTED_VALUE"""),67344.48)</f>
        <v>67344.48</v>
      </c>
      <c r="C2948" s="58">
        <f t="shared" si="1"/>
        <v>5771.998611</v>
      </c>
      <c r="D2948" s="1">
        <f t="shared" si="2"/>
        <v>33944.67729</v>
      </c>
      <c r="E2948" s="1">
        <f t="shared" si="3"/>
        <v>61100.41912</v>
      </c>
      <c r="F2948" s="1">
        <f t="shared" si="4"/>
        <v>115411.9028</v>
      </c>
      <c r="G2948" s="1">
        <f t="shared" si="5"/>
        <v>203668.0637</v>
      </c>
      <c r="H2948" s="1">
        <f t="shared" si="6"/>
        <v>373391.4502</v>
      </c>
      <c r="I2948" s="1">
        <f t="shared" si="7"/>
        <v>611004.1912</v>
      </c>
    </row>
    <row r="2949" hidden="1">
      <c r="A2949" s="266">
        <f>IFERROR(__xludf.DUMMYFUNCTION("""COMPUTED_VALUE"""),45588.99861111111)</f>
        <v>45588.99861</v>
      </c>
      <c r="B2949" s="1">
        <f>IFERROR(__xludf.DUMMYFUNCTION("""COMPUTED_VALUE"""),67029.24)</f>
        <v>67029.24</v>
      </c>
      <c r="C2949" s="58">
        <f t="shared" si="1"/>
        <v>5772.998611</v>
      </c>
      <c r="D2949" s="1">
        <f t="shared" si="2"/>
        <v>33978.80082</v>
      </c>
      <c r="E2949" s="1">
        <f t="shared" si="3"/>
        <v>61161.84148</v>
      </c>
      <c r="F2949" s="1">
        <f t="shared" si="4"/>
        <v>115527.9228</v>
      </c>
      <c r="G2949" s="1">
        <f t="shared" si="5"/>
        <v>203872.8049</v>
      </c>
      <c r="H2949" s="1">
        <f t="shared" si="6"/>
        <v>373766.8091</v>
      </c>
      <c r="I2949" s="1">
        <f t="shared" si="7"/>
        <v>611618.4148</v>
      </c>
    </row>
    <row r="2950" hidden="1">
      <c r="A2950" s="266">
        <f>IFERROR(__xludf.DUMMYFUNCTION("""COMPUTED_VALUE"""),45589.99861111111)</f>
        <v>45589.99861</v>
      </c>
      <c r="B2950" s="1">
        <f>IFERROR(__xludf.DUMMYFUNCTION("""COMPUTED_VALUE"""),67189.43)</f>
        <v>67189.43</v>
      </c>
      <c r="C2950" s="58">
        <f t="shared" si="1"/>
        <v>5773.998611</v>
      </c>
      <c r="D2950" s="1">
        <f t="shared" si="2"/>
        <v>34012.95275</v>
      </c>
      <c r="E2950" s="1">
        <f t="shared" si="3"/>
        <v>61223.31494</v>
      </c>
      <c r="F2950" s="1">
        <f t="shared" si="4"/>
        <v>115644.0393</v>
      </c>
      <c r="G2950" s="1">
        <f t="shared" si="5"/>
        <v>204077.7165</v>
      </c>
      <c r="H2950" s="1">
        <f t="shared" si="6"/>
        <v>374142.4802</v>
      </c>
      <c r="I2950" s="1">
        <f t="shared" si="7"/>
        <v>612233.1494</v>
      </c>
    </row>
    <row r="2951" hidden="1">
      <c r="A2951" s="266">
        <f>IFERROR(__xludf.DUMMYFUNCTION("""COMPUTED_VALUE"""),45590.99861111111)</f>
        <v>45590.99861</v>
      </c>
      <c r="B2951" s="1">
        <f>IFERROR(__xludf.DUMMYFUNCTION("""COMPUTED_VALUE"""),67973.21)</f>
        <v>67973.21</v>
      </c>
      <c r="C2951" s="58">
        <f t="shared" si="1"/>
        <v>5774.998611</v>
      </c>
      <c r="D2951" s="1">
        <f t="shared" si="2"/>
        <v>34047.13307</v>
      </c>
      <c r="E2951" s="1">
        <f t="shared" si="3"/>
        <v>61284.83952</v>
      </c>
      <c r="F2951" s="1">
        <f t="shared" si="4"/>
        <v>115760.2524</v>
      </c>
      <c r="G2951" s="1">
        <f t="shared" si="5"/>
        <v>204282.7984</v>
      </c>
      <c r="H2951" s="1">
        <f t="shared" si="6"/>
        <v>374518.4638</v>
      </c>
      <c r="I2951" s="1">
        <f t="shared" si="7"/>
        <v>612848.3952</v>
      </c>
    </row>
    <row r="2952" hidden="1">
      <c r="A2952" s="266">
        <f>IFERROR(__xludf.DUMMYFUNCTION("""COMPUTED_VALUE"""),45592.99861111111)</f>
        <v>45592.99861</v>
      </c>
      <c r="B2952" s="1">
        <f>IFERROR(__xludf.DUMMYFUNCTION("""COMPUTED_VALUE"""),67196.3)</f>
        <v>67196.3</v>
      </c>
      <c r="C2952" s="58">
        <f t="shared" si="1"/>
        <v>5776.998611</v>
      </c>
      <c r="D2952" s="1">
        <f t="shared" si="2"/>
        <v>34115.579</v>
      </c>
      <c r="E2952" s="1">
        <f t="shared" si="3"/>
        <v>61408.0422</v>
      </c>
      <c r="F2952" s="1">
        <f t="shared" si="4"/>
        <v>115992.9686</v>
      </c>
      <c r="G2952" s="1">
        <f t="shared" si="5"/>
        <v>204693.474</v>
      </c>
      <c r="H2952" s="1">
        <f t="shared" si="6"/>
        <v>375271.369</v>
      </c>
      <c r="I2952" s="1">
        <f t="shared" si="7"/>
        <v>614080.422</v>
      </c>
    </row>
    <row r="2953" hidden="1">
      <c r="A2953" s="266">
        <f>IFERROR(__xludf.DUMMYFUNCTION("""COMPUTED_VALUE"""),45593.99861111111)</f>
        <v>45593.99861</v>
      </c>
      <c r="B2953" s="1">
        <f>IFERROR(__xludf.DUMMYFUNCTION("""COMPUTED_VALUE"""),67672.59)</f>
        <v>67672.59</v>
      </c>
      <c r="C2953" s="58">
        <f t="shared" si="1"/>
        <v>5777.998611</v>
      </c>
      <c r="D2953" s="1">
        <f t="shared" si="2"/>
        <v>34149.84464</v>
      </c>
      <c r="E2953" s="1">
        <f t="shared" si="3"/>
        <v>61469.72036</v>
      </c>
      <c r="F2953" s="1">
        <f t="shared" si="4"/>
        <v>116109.4718</v>
      </c>
      <c r="G2953" s="1">
        <f t="shared" si="5"/>
        <v>204899.0679</v>
      </c>
      <c r="H2953" s="1">
        <f t="shared" si="6"/>
        <v>375648.2911</v>
      </c>
      <c r="I2953" s="1">
        <f t="shared" si="7"/>
        <v>614697.2036</v>
      </c>
    </row>
    <row r="2954" hidden="1">
      <c r="A2954" s="266">
        <f>IFERROR(__xludf.DUMMYFUNCTION("""COMPUTED_VALUE"""),45596.99861111111)</f>
        <v>45596.99861</v>
      </c>
      <c r="B2954" s="1">
        <f>IFERROR(__xludf.DUMMYFUNCTION("""COMPUTED_VALUE"""),72327.32)</f>
        <v>72327.32</v>
      </c>
      <c r="C2954" s="58">
        <f t="shared" si="1"/>
        <v>5780.998611</v>
      </c>
      <c r="D2954" s="1">
        <f t="shared" si="2"/>
        <v>34252.81252</v>
      </c>
      <c r="E2954" s="1">
        <f t="shared" si="3"/>
        <v>61655.06253</v>
      </c>
      <c r="F2954" s="1">
        <f t="shared" si="4"/>
        <v>116459.5626</v>
      </c>
      <c r="G2954" s="1">
        <f t="shared" si="5"/>
        <v>205516.8751</v>
      </c>
      <c r="H2954" s="1">
        <f t="shared" si="6"/>
        <v>376780.9377</v>
      </c>
      <c r="I2954" s="1">
        <f t="shared" si="7"/>
        <v>616550.6253</v>
      </c>
    </row>
    <row r="2955" hidden="1">
      <c r="A2955" s="266">
        <f>IFERROR(__xludf.DUMMYFUNCTION("""COMPUTED_VALUE"""),45597.99861111111)</f>
        <v>45597.99861</v>
      </c>
      <c r="B2955" s="1">
        <f>IFERROR(__xludf.DUMMYFUNCTION("""COMPUTED_VALUE"""),69310.14)</f>
        <v>69310.14</v>
      </c>
      <c r="C2955" s="58">
        <f t="shared" si="1"/>
        <v>5781.998611</v>
      </c>
      <c r="D2955" s="1">
        <f t="shared" si="2"/>
        <v>34287.19218</v>
      </c>
      <c r="E2955" s="1">
        <f t="shared" si="3"/>
        <v>61716.94593</v>
      </c>
      <c r="F2955" s="1">
        <f t="shared" si="4"/>
        <v>116576.4534</v>
      </c>
      <c r="G2955" s="1">
        <f t="shared" si="5"/>
        <v>205723.1531</v>
      </c>
      <c r="H2955" s="1">
        <f t="shared" si="6"/>
        <v>377159.114</v>
      </c>
      <c r="I2955" s="1">
        <f t="shared" si="7"/>
        <v>617169.4593</v>
      </c>
    </row>
    <row r="2956" hidden="1">
      <c r="A2956" s="266">
        <f>IFERROR(__xludf.DUMMYFUNCTION("""COMPUTED_VALUE"""),45598.99861111111)</f>
        <v>45598.99861</v>
      </c>
      <c r="B2956" s="1">
        <f>IFERROR(__xludf.DUMMYFUNCTION("""COMPUTED_VALUE"""),69621.91)</f>
        <v>69621.91</v>
      </c>
      <c r="C2956" s="58">
        <f t="shared" si="1"/>
        <v>5782.998611</v>
      </c>
      <c r="D2956" s="1">
        <f t="shared" si="2"/>
        <v>34321.6004</v>
      </c>
      <c r="E2956" s="1">
        <f t="shared" si="3"/>
        <v>61778.88073</v>
      </c>
      <c r="F2956" s="1">
        <f t="shared" si="4"/>
        <v>116693.4414</v>
      </c>
      <c r="G2956" s="1">
        <f t="shared" si="5"/>
        <v>205929.6024</v>
      </c>
      <c r="H2956" s="1">
        <f t="shared" si="6"/>
        <v>377537.6044</v>
      </c>
      <c r="I2956" s="1">
        <f t="shared" si="7"/>
        <v>617788.8073</v>
      </c>
    </row>
    <row r="2957" hidden="1">
      <c r="A2957" s="266">
        <f>IFERROR(__xludf.DUMMYFUNCTION("""COMPUTED_VALUE"""),45599.99861111111)</f>
        <v>45599.99861</v>
      </c>
      <c r="B2957" s="1">
        <f>IFERROR(__xludf.DUMMYFUNCTION("""COMPUTED_VALUE"""),68434.65)</f>
        <v>68434.65</v>
      </c>
      <c r="C2957" s="58">
        <f t="shared" si="1"/>
        <v>5783.998611</v>
      </c>
      <c r="D2957" s="1">
        <f t="shared" si="2"/>
        <v>34356.0372</v>
      </c>
      <c r="E2957" s="1">
        <f t="shared" si="3"/>
        <v>61840.86695</v>
      </c>
      <c r="F2957" s="1">
        <f t="shared" si="4"/>
        <v>116810.5265</v>
      </c>
      <c r="G2957" s="1">
        <f t="shared" si="5"/>
        <v>206136.2232</v>
      </c>
      <c r="H2957" s="1">
        <f t="shared" si="6"/>
        <v>377916.4091</v>
      </c>
      <c r="I2957" s="1">
        <f t="shared" si="7"/>
        <v>618408.6695</v>
      </c>
    </row>
    <row r="2958" hidden="1">
      <c r="A2958" s="266">
        <f>IFERROR(__xludf.DUMMYFUNCTION("""COMPUTED_VALUE"""),45600.99861111111)</f>
        <v>45600.99861</v>
      </c>
      <c r="B2958" s="1">
        <f>IFERROR(__xludf.DUMMYFUNCTION("""COMPUTED_VALUE"""),69121.93)</f>
        <v>69121.93</v>
      </c>
      <c r="C2958" s="58">
        <f t="shared" si="1"/>
        <v>5784.998611</v>
      </c>
      <c r="D2958" s="1">
        <f t="shared" si="2"/>
        <v>34390.50258</v>
      </c>
      <c r="E2958" s="1">
        <f t="shared" si="3"/>
        <v>61902.90464</v>
      </c>
      <c r="F2958" s="1">
        <f t="shared" si="4"/>
        <v>116927.7088</v>
      </c>
      <c r="G2958" s="1">
        <f t="shared" si="5"/>
        <v>206343.0155</v>
      </c>
      <c r="H2958" s="1">
        <f t="shared" si="6"/>
        <v>378295.5283</v>
      </c>
      <c r="I2958" s="1">
        <f t="shared" si="7"/>
        <v>619029.0464</v>
      </c>
    </row>
    <row r="2959" hidden="1">
      <c r="A2959" s="266">
        <f>IFERROR(__xludf.DUMMYFUNCTION("""COMPUTED_VALUE"""),45601.99861111111)</f>
        <v>45601.99861</v>
      </c>
      <c r="B2959" s="1">
        <f>IFERROR(__xludf.DUMMYFUNCTION("""COMPUTED_VALUE"""),68317.69)</f>
        <v>68317.69</v>
      </c>
      <c r="C2959" s="58">
        <f t="shared" si="1"/>
        <v>5785.998611</v>
      </c>
      <c r="D2959" s="1">
        <f t="shared" si="2"/>
        <v>34424.99657</v>
      </c>
      <c r="E2959" s="1">
        <f t="shared" si="3"/>
        <v>61964.99382</v>
      </c>
      <c r="F2959" s="1">
        <f t="shared" si="4"/>
        <v>117044.9883</v>
      </c>
      <c r="G2959" s="1">
        <f t="shared" si="5"/>
        <v>206549.9794</v>
      </c>
      <c r="H2959" s="1">
        <f t="shared" si="6"/>
        <v>378674.9622</v>
      </c>
      <c r="I2959" s="1">
        <f t="shared" si="7"/>
        <v>619649.9382</v>
      </c>
    </row>
    <row r="2960" hidden="1">
      <c r="A2960" s="266">
        <f>IFERROR(__xludf.DUMMYFUNCTION("""COMPUTED_VALUE"""),45602.99861111111)</f>
        <v>45602.99861</v>
      </c>
      <c r="B2960" s="1">
        <f>IFERROR(__xludf.DUMMYFUNCTION("""COMPUTED_VALUE"""),74445.82)</f>
        <v>74445.82</v>
      </c>
      <c r="C2960" s="58">
        <f t="shared" si="1"/>
        <v>5786.998611</v>
      </c>
      <c r="D2960" s="1">
        <f t="shared" si="2"/>
        <v>34459.51918</v>
      </c>
      <c r="E2960" s="1">
        <f t="shared" si="3"/>
        <v>62027.13453</v>
      </c>
      <c r="F2960" s="1">
        <f t="shared" si="4"/>
        <v>117162.3652</v>
      </c>
      <c r="G2960" s="1">
        <f t="shared" si="5"/>
        <v>206757.1151</v>
      </c>
      <c r="H2960" s="1">
        <f t="shared" si="6"/>
        <v>379054.711</v>
      </c>
      <c r="I2960" s="1">
        <f t="shared" si="7"/>
        <v>620271.3453</v>
      </c>
    </row>
    <row r="2961" hidden="1">
      <c r="A2961" s="266">
        <f>IFERROR(__xludf.DUMMYFUNCTION("""COMPUTED_VALUE"""),45603.99861111111)</f>
        <v>45603.99861</v>
      </c>
      <c r="B2961" s="1">
        <f>IFERROR(__xludf.DUMMYFUNCTION("""COMPUTED_VALUE"""),74732.36)</f>
        <v>74732.36</v>
      </c>
      <c r="C2961" s="58">
        <f t="shared" si="1"/>
        <v>5787.998611</v>
      </c>
      <c r="D2961" s="1">
        <f t="shared" si="2"/>
        <v>34494.07045</v>
      </c>
      <c r="E2961" s="1">
        <f t="shared" si="3"/>
        <v>62089.32681</v>
      </c>
      <c r="F2961" s="1">
        <f t="shared" si="4"/>
        <v>117279.8395</v>
      </c>
      <c r="G2961" s="1">
        <f t="shared" si="5"/>
        <v>206964.4227</v>
      </c>
      <c r="H2961" s="1">
        <f t="shared" si="6"/>
        <v>379434.7749</v>
      </c>
      <c r="I2961" s="1">
        <f t="shared" si="7"/>
        <v>620893.2681</v>
      </c>
    </row>
    <row r="2962" hidden="1">
      <c r="A2962" s="266">
        <f>IFERROR(__xludf.DUMMYFUNCTION("""COMPUTED_VALUE"""),45604.99861111111)</f>
        <v>45604.99861</v>
      </c>
      <c r="B2962" s="1">
        <f>IFERROR(__xludf.DUMMYFUNCTION("""COMPUTED_VALUE"""),75883.62)</f>
        <v>75883.62</v>
      </c>
      <c r="C2962" s="58">
        <f t="shared" si="1"/>
        <v>5788.998611</v>
      </c>
      <c r="D2962" s="1">
        <f t="shared" si="2"/>
        <v>34528.65038</v>
      </c>
      <c r="E2962" s="1">
        <f t="shared" si="3"/>
        <v>62151.57068</v>
      </c>
      <c r="F2962" s="1">
        <f t="shared" si="4"/>
        <v>117397.4113</v>
      </c>
      <c r="G2962" s="1">
        <f t="shared" si="5"/>
        <v>207171.9023</v>
      </c>
      <c r="H2962" s="1">
        <f t="shared" si="6"/>
        <v>379815.1542</v>
      </c>
      <c r="I2962" s="1">
        <f t="shared" si="7"/>
        <v>621515.7068</v>
      </c>
    </row>
    <row r="2963" hidden="1">
      <c r="A2963" s="266">
        <f>IFERROR(__xludf.DUMMYFUNCTION("""COMPUTED_VALUE"""),45605.99861111111)</f>
        <v>45605.99861</v>
      </c>
      <c r="B2963" s="1">
        <f>IFERROR(__xludf.DUMMYFUNCTION("""COMPUTED_VALUE"""),76410.7)</f>
        <v>76410.7</v>
      </c>
      <c r="C2963" s="58">
        <f t="shared" si="1"/>
        <v>5789.998611</v>
      </c>
      <c r="D2963" s="1">
        <f t="shared" si="2"/>
        <v>34563.25899</v>
      </c>
      <c r="E2963" s="1">
        <f t="shared" si="3"/>
        <v>62213.86619</v>
      </c>
      <c r="F2963" s="1">
        <f t="shared" si="4"/>
        <v>117515.0806</v>
      </c>
      <c r="G2963" s="1">
        <f t="shared" si="5"/>
        <v>207379.554</v>
      </c>
      <c r="H2963" s="1">
        <f t="shared" si="6"/>
        <v>380195.8489</v>
      </c>
      <c r="I2963" s="1">
        <f t="shared" si="7"/>
        <v>622138.6619</v>
      </c>
    </row>
    <row r="2964" hidden="1">
      <c r="A2964" s="266">
        <f>IFERROR(__xludf.DUMMYFUNCTION("""COMPUTED_VALUE"""),45606.99861111111)</f>
        <v>45606.99861</v>
      </c>
      <c r="B2964" s="1">
        <f>IFERROR(__xludf.DUMMYFUNCTION("""COMPUTED_VALUE"""),78990.8)</f>
        <v>78990.8</v>
      </c>
      <c r="C2964" s="58">
        <f t="shared" si="1"/>
        <v>5790.998611</v>
      </c>
      <c r="D2964" s="1">
        <f t="shared" si="2"/>
        <v>34597.89631</v>
      </c>
      <c r="E2964" s="1">
        <f t="shared" si="3"/>
        <v>62276.21336</v>
      </c>
      <c r="F2964" s="1">
        <f t="shared" si="4"/>
        <v>117632.8474</v>
      </c>
      <c r="G2964" s="1">
        <f t="shared" si="5"/>
        <v>207587.3779</v>
      </c>
      <c r="H2964" s="1">
        <f t="shared" si="6"/>
        <v>380576.8594</v>
      </c>
      <c r="I2964" s="1">
        <f t="shared" si="7"/>
        <v>622762.1336</v>
      </c>
    </row>
    <row r="2965" hidden="1">
      <c r="A2965" s="266">
        <f>IFERROR(__xludf.DUMMYFUNCTION("""COMPUTED_VALUE"""),45607.99861111111)</f>
        <v>45607.99861</v>
      </c>
      <c r="B2965" s="1">
        <f>IFERROR(__xludf.DUMMYFUNCTION("""COMPUTED_VALUE"""),81483.31)</f>
        <v>81483.31</v>
      </c>
      <c r="C2965" s="58">
        <f t="shared" si="1"/>
        <v>5791.998611</v>
      </c>
      <c r="D2965" s="1">
        <f t="shared" si="2"/>
        <v>34632.56235</v>
      </c>
      <c r="E2965" s="1">
        <f t="shared" si="3"/>
        <v>62338.61222</v>
      </c>
      <c r="F2965" s="1">
        <f t="shared" si="4"/>
        <v>117750.712</v>
      </c>
      <c r="G2965" s="1">
        <f t="shared" si="5"/>
        <v>207795.3741</v>
      </c>
      <c r="H2965" s="1">
        <f t="shared" si="6"/>
        <v>380958.1858</v>
      </c>
      <c r="I2965" s="1">
        <f t="shared" si="7"/>
        <v>623386.1222</v>
      </c>
    </row>
    <row r="2966" hidden="1">
      <c r="A2966" s="266">
        <f>IFERROR(__xludf.DUMMYFUNCTION("""COMPUTED_VALUE"""),45608.99861111111)</f>
        <v>45608.99861</v>
      </c>
      <c r="B2966" s="1">
        <f>IFERROR(__xludf.DUMMYFUNCTION("""COMPUTED_VALUE"""),88470.49)</f>
        <v>88470.49</v>
      </c>
      <c r="C2966" s="58">
        <f t="shared" si="1"/>
        <v>5792.998611</v>
      </c>
      <c r="D2966" s="1">
        <f t="shared" si="2"/>
        <v>34667.25713</v>
      </c>
      <c r="E2966" s="1">
        <f t="shared" si="3"/>
        <v>62401.06283</v>
      </c>
      <c r="F2966" s="1">
        <f t="shared" si="4"/>
        <v>117868.6742</v>
      </c>
      <c r="G2966" s="1">
        <f t="shared" si="5"/>
        <v>208003.5428</v>
      </c>
      <c r="H2966" s="1">
        <f t="shared" si="6"/>
        <v>381339.8284</v>
      </c>
      <c r="I2966" s="1">
        <f t="shared" si="7"/>
        <v>624010.6283</v>
      </c>
    </row>
    <row r="2967" hidden="1">
      <c r="A2967" s="266">
        <f>IFERROR(__xludf.DUMMYFUNCTION("""COMPUTED_VALUE"""),45609.99861111111)</f>
        <v>45609.99861</v>
      </c>
      <c r="B2967" s="1">
        <f>IFERROR(__xludf.DUMMYFUNCTION("""COMPUTED_VALUE"""),87125.45)</f>
        <v>87125.45</v>
      </c>
      <c r="C2967" s="58">
        <f t="shared" si="1"/>
        <v>5793.998611</v>
      </c>
      <c r="D2967" s="1">
        <f t="shared" si="2"/>
        <v>34701.98066</v>
      </c>
      <c r="E2967" s="1">
        <f t="shared" si="3"/>
        <v>62463.5652</v>
      </c>
      <c r="F2967" s="1">
        <f t="shared" si="4"/>
        <v>117986.7343</v>
      </c>
      <c r="G2967" s="1">
        <f t="shared" si="5"/>
        <v>208211.884</v>
      </c>
      <c r="H2967" s="1">
        <f t="shared" si="6"/>
        <v>381721.7873</v>
      </c>
      <c r="I2967" s="1">
        <f t="shared" si="7"/>
        <v>624635.652</v>
      </c>
    </row>
    <row r="2968" hidden="1">
      <c r="A2968" s="266">
        <f>IFERROR(__xludf.DUMMYFUNCTION("""COMPUTED_VALUE"""),45610.99861111111)</f>
        <v>45610.99861</v>
      </c>
      <c r="B2968" s="1">
        <f>IFERROR(__xludf.DUMMYFUNCTION("""COMPUTED_VALUE"""),90107.27)</f>
        <v>90107.27</v>
      </c>
      <c r="C2968" s="58">
        <f t="shared" si="1"/>
        <v>5794.998611</v>
      </c>
      <c r="D2968" s="1">
        <f t="shared" si="2"/>
        <v>34736.73298</v>
      </c>
      <c r="E2968" s="1">
        <f t="shared" si="3"/>
        <v>62526.11937</v>
      </c>
      <c r="F2968" s="1">
        <f t="shared" si="4"/>
        <v>118104.8921</v>
      </c>
      <c r="G2968" s="1">
        <f t="shared" si="5"/>
        <v>208420.3979</v>
      </c>
      <c r="H2968" s="1">
        <f t="shared" si="6"/>
        <v>382104.0628</v>
      </c>
      <c r="I2968" s="1">
        <f t="shared" si="7"/>
        <v>625261.1937</v>
      </c>
    </row>
    <row r="2969" hidden="1">
      <c r="A2969" s="266">
        <f>IFERROR(__xludf.DUMMYFUNCTION("""COMPUTED_VALUE"""),45611.99861111111)</f>
        <v>45611.99861</v>
      </c>
      <c r="B2969" s="1">
        <f>IFERROR(__xludf.DUMMYFUNCTION("""COMPUTED_VALUE"""),87426.22)</f>
        <v>87426.22</v>
      </c>
      <c r="C2969" s="58">
        <f t="shared" si="1"/>
        <v>5795.998611</v>
      </c>
      <c r="D2969" s="1">
        <f t="shared" si="2"/>
        <v>34771.5141</v>
      </c>
      <c r="E2969" s="1">
        <f t="shared" si="3"/>
        <v>62588.72537</v>
      </c>
      <c r="F2969" s="1">
        <f t="shared" si="4"/>
        <v>118223.1479</v>
      </c>
      <c r="G2969" s="1">
        <f t="shared" si="5"/>
        <v>208629.0846</v>
      </c>
      <c r="H2969" s="1">
        <f t="shared" si="6"/>
        <v>382486.6551</v>
      </c>
      <c r="I2969" s="1">
        <f t="shared" si="7"/>
        <v>625887.2537</v>
      </c>
    </row>
    <row r="2970" hidden="1">
      <c r="A2970" s="266">
        <f>IFERROR(__xludf.DUMMYFUNCTION("""COMPUTED_VALUE"""),45612.99861111111)</f>
        <v>45612.99861</v>
      </c>
      <c r="B2970" s="1">
        <f>IFERROR(__xludf.DUMMYFUNCTION("""COMPUTED_VALUE"""),91278.47)</f>
        <v>91278.47</v>
      </c>
      <c r="C2970" s="58">
        <f t="shared" si="1"/>
        <v>5796.998611</v>
      </c>
      <c r="D2970" s="1">
        <f t="shared" si="2"/>
        <v>34806.32403</v>
      </c>
      <c r="E2970" s="1">
        <f t="shared" si="3"/>
        <v>62651.38325</v>
      </c>
      <c r="F2970" s="1">
        <f t="shared" si="4"/>
        <v>118341.5017</v>
      </c>
      <c r="G2970" s="1">
        <f t="shared" si="5"/>
        <v>208837.9442</v>
      </c>
      <c r="H2970" s="1">
        <f t="shared" si="6"/>
        <v>382869.5643</v>
      </c>
      <c r="I2970" s="1">
        <f t="shared" si="7"/>
        <v>626513.8325</v>
      </c>
    </row>
    <row r="2971" hidden="1">
      <c r="A2971" s="266">
        <f>IFERROR(__xludf.DUMMYFUNCTION("""COMPUTED_VALUE"""),45613.99861111111)</f>
        <v>45613.99861</v>
      </c>
      <c r="B2971" s="1">
        <f>IFERROR(__xludf.DUMMYFUNCTION("""COMPUTED_VALUE"""),90318.17)</f>
        <v>90318.17</v>
      </c>
      <c r="C2971" s="58">
        <f t="shared" si="1"/>
        <v>5797.998611</v>
      </c>
      <c r="D2971" s="1">
        <f t="shared" si="2"/>
        <v>34841.16279</v>
      </c>
      <c r="E2971" s="1">
        <f t="shared" si="3"/>
        <v>62714.09303</v>
      </c>
      <c r="F2971" s="1">
        <f t="shared" si="4"/>
        <v>118459.9535</v>
      </c>
      <c r="G2971" s="1">
        <f t="shared" si="5"/>
        <v>209046.9768</v>
      </c>
      <c r="H2971" s="1">
        <f t="shared" si="6"/>
        <v>383252.7907</v>
      </c>
      <c r="I2971" s="1">
        <f t="shared" si="7"/>
        <v>627140.9303</v>
      </c>
    </row>
    <row r="2972" hidden="1">
      <c r="A2972" s="266">
        <f>IFERROR(__xludf.DUMMYFUNCTION("""COMPUTED_VALUE"""),45614.99861111111)</f>
        <v>45614.99861</v>
      </c>
      <c r="B2972" s="1">
        <f>IFERROR(__xludf.DUMMYFUNCTION("""COMPUTED_VALUE"""),90449.91)</f>
        <v>90449.91</v>
      </c>
      <c r="C2972" s="58">
        <f t="shared" si="1"/>
        <v>5798.998611</v>
      </c>
      <c r="D2972" s="1">
        <f t="shared" si="2"/>
        <v>34876.03041</v>
      </c>
      <c r="E2972" s="1">
        <f t="shared" si="3"/>
        <v>62776.85474</v>
      </c>
      <c r="F2972" s="1">
        <f t="shared" si="4"/>
        <v>118578.5034</v>
      </c>
      <c r="G2972" s="1">
        <f t="shared" si="5"/>
        <v>209256.1825</v>
      </c>
      <c r="H2972" s="1">
        <f t="shared" si="6"/>
        <v>383636.3345</v>
      </c>
      <c r="I2972" s="1">
        <f t="shared" si="7"/>
        <v>627768.5474</v>
      </c>
    </row>
    <row r="2973" hidden="1">
      <c r="A2973" s="266">
        <f>IFERROR(__xludf.DUMMYFUNCTION("""COMPUTED_VALUE"""),45615.99861111111)</f>
        <v>45615.99861</v>
      </c>
      <c r="B2973" s="1">
        <f>IFERROR(__xludf.DUMMYFUNCTION("""COMPUTED_VALUE"""),91546.89)</f>
        <v>91546.89</v>
      </c>
      <c r="C2973" s="58">
        <f t="shared" si="1"/>
        <v>5799.998611</v>
      </c>
      <c r="D2973" s="1">
        <f t="shared" si="2"/>
        <v>34910.9269</v>
      </c>
      <c r="E2973" s="1">
        <f t="shared" si="3"/>
        <v>62839.66843</v>
      </c>
      <c r="F2973" s="1">
        <f t="shared" si="4"/>
        <v>118697.1515</v>
      </c>
      <c r="G2973" s="1">
        <f t="shared" si="5"/>
        <v>209465.5614</v>
      </c>
      <c r="H2973" s="1">
        <f t="shared" si="6"/>
        <v>384020.196</v>
      </c>
      <c r="I2973" s="1">
        <f t="shared" si="7"/>
        <v>628396.6843</v>
      </c>
    </row>
    <row r="2974" hidden="1">
      <c r="A2974" s="266">
        <f>IFERROR(__xludf.DUMMYFUNCTION("""COMPUTED_VALUE"""),45616.99861111111)</f>
        <v>45616.99861</v>
      </c>
      <c r="B2974" s="1">
        <f>IFERROR(__xludf.DUMMYFUNCTION("""COMPUTED_VALUE"""),92217.93)</f>
        <v>92217.93</v>
      </c>
      <c r="C2974" s="58">
        <f t="shared" si="1"/>
        <v>5800.998611</v>
      </c>
      <c r="D2974" s="1">
        <f t="shared" si="2"/>
        <v>34945.85229</v>
      </c>
      <c r="E2974" s="1">
        <f t="shared" si="3"/>
        <v>62902.53412</v>
      </c>
      <c r="F2974" s="1">
        <f t="shared" si="4"/>
        <v>118815.8978</v>
      </c>
      <c r="G2974" s="1">
        <f t="shared" si="5"/>
        <v>209675.1137</v>
      </c>
      <c r="H2974" s="1">
        <f t="shared" si="6"/>
        <v>384404.3752</v>
      </c>
      <c r="I2974" s="1">
        <f t="shared" si="7"/>
        <v>629025.3412</v>
      </c>
    </row>
    <row r="2975" hidden="1">
      <c r="A2975" s="266">
        <f>IFERROR(__xludf.DUMMYFUNCTION("""COMPUTED_VALUE"""),45617.99861111111)</f>
        <v>45617.99861</v>
      </c>
      <c r="B2975" s="1">
        <f>IFERROR(__xludf.DUMMYFUNCTION("""COMPUTED_VALUE"""),97402.66)</f>
        <v>97402.66</v>
      </c>
      <c r="C2975" s="58">
        <f t="shared" si="1"/>
        <v>5801.998611</v>
      </c>
      <c r="D2975" s="1">
        <f t="shared" si="2"/>
        <v>34980.80658</v>
      </c>
      <c r="E2975" s="1">
        <f t="shared" si="3"/>
        <v>62965.45185</v>
      </c>
      <c r="F2975" s="1">
        <f t="shared" si="4"/>
        <v>118934.7424</v>
      </c>
      <c r="G2975" s="1">
        <f t="shared" si="5"/>
        <v>209884.8395</v>
      </c>
      <c r="H2975" s="1">
        <f t="shared" si="6"/>
        <v>384788.8724</v>
      </c>
      <c r="I2975" s="1">
        <f t="shared" si="7"/>
        <v>629654.5185</v>
      </c>
    </row>
    <row r="2976" hidden="1">
      <c r="A2976" s="266">
        <f>IFERROR(__xludf.DUMMYFUNCTION("""COMPUTED_VALUE"""),45618.99861111111)</f>
        <v>45618.99861</v>
      </c>
      <c r="B2976" s="1">
        <f>IFERROR(__xludf.DUMMYFUNCTION("""COMPUTED_VALUE"""),98739.25)</f>
        <v>98739.25</v>
      </c>
      <c r="C2976" s="58">
        <f t="shared" si="1"/>
        <v>5802.998611</v>
      </c>
      <c r="D2976" s="1">
        <f t="shared" si="2"/>
        <v>35015.78981</v>
      </c>
      <c r="E2976" s="1">
        <f t="shared" si="3"/>
        <v>63028.42166</v>
      </c>
      <c r="F2976" s="1">
        <f t="shared" si="4"/>
        <v>119053.6853</v>
      </c>
      <c r="G2976" s="1">
        <f t="shared" si="5"/>
        <v>210094.7389</v>
      </c>
      <c r="H2976" s="1">
        <f t="shared" si="6"/>
        <v>385173.6879</v>
      </c>
      <c r="I2976" s="1">
        <f t="shared" si="7"/>
        <v>630284.2166</v>
      </c>
    </row>
    <row r="2977" hidden="1">
      <c r="A2977" s="266">
        <f>IFERROR(__xludf.DUMMYFUNCTION("""COMPUTED_VALUE"""),45619.99861111111)</f>
        <v>45619.99861</v>
      </c>
      <c r="B2977" s="1">
        <f>IFERROR(__xludf.DUMMYFUNCTION("""COMPUTED_VALUE"""),98496.91)</f>
        <v>98496.91</v>
      </c>
      <c r="C2977" s="58">
        <f t="shared" si="1"/>
        <v>5803.998611</v>
      </c>
      <c r="D2977" s="1">
        <f t="shared" si="2"/>
        <v>35050.80198</v>
      </c>
      <c r="E2977" s="1">
        <f t="shared" si="3"/>
        <v>63091.44357</v>
      </c>
      <c r="F2977" s="1">
        <f t="shared" si="4"/>
        <v>119172.7267</v>
      </c>
      <c r="G2977" s="1">
        <f t="shared" si="5"/>
        <v>210304.8119</v>
      </c>
      <c r="H2977" s="1">
        <f t="shared" si="6"/>
        <v>385558.8218</v>
      </c>
      <c r="I2977" s="1">
        <f t="shared" si="7"/>
        <v>630914.4357</v>
      </c>
    </row>
    <row r="2978" hidden="1">
      <c r="A2978" s="266">
        <f>IFERROR(__xludf.DUMMYFUNCTION("""COMPUTED_VALUE"""),45620.99861111111)</f>
        <v>45620.99861</v>
      </c>
      <c r="B2978" s="1">
        <f>IFERROR(__xludf.DUMMYFUNCTION("""COMPUTED_VALUE"""),98110.87)</f>
        <v>98110.87</v>
      </c>
      <c r="C2978" s="58">
        <f t="shared" si="1"/>
        <v>5804.998611</v>
      </c>
      <c r="D2978" s="1">
        <f t="shared" si="2"/>
        <v>35085.84312</v>
      </c>
      <c r="E2978" s="1">
        <f t="shared" si="3"/>
        <v>63154.51762</v>
      </c>
      <c r="F2978" s="1">
        <f t="shared" si="4"/>
        <v>119291.8666</v>
      </c>
      <c r="G2978" s="1">
        <f t="shared" si="5"/>
        <v>210515.0587</v>
      </c>
      <c r="H2978" s="1">
        <f t="shared" si="6"/>
        <v>385944.2744</v>
      </c>
      <c r="I2978" s="1">
        <f t="shared" si="7"/>
        <v>631545.1762</v>
      </c>
    </row>
    <row r="2979" hidden="1">
      <c r="A2979" s="266">
        <f>IFERROR(__xludf.DUMMYFUNCTION("""COMPUTED_VALUE"""),45621.99861111111)</f>
        <v>45621.99861</v>
      </c>
      <c r="B2979" s="1">
        <f>IFERROR(__xludf.DUMMYFUNCTION("""COMPUTED_VALUE"""),97811.99)</f>
        <v>97811.99</v>
      </c>
      <c r="C2979" s="58">
        <f t="shared" si="1"/>
        <v>5805.998611</v>
      </c>
      <c r="D2979" s="1">
        <f t="shared" si="2"/>
        <v>35120.91325</v>
      </c>
      <c r="E2979" s="1">
        <f t="shared" si="3"/>
        <v>63217.64385</v>
      </c>
      <c r="F2979" s="1">
        <f t="shared" si="4"/>
        <v>119411.1051</v>
      </c>
      <c r="G2979" s="1">
        <f t="shared" si="5"/>
        <v>210725.4795</v>
      </c>
      <c r="H2979" s="1">
        <f t="shared" si="6"/>
        <v>386330.0458</v>
      </c>
      <c r="I2979" s="1">
        <f t="shared" si="7"/>
        <v>632176.4385</v>
      </c>
    </row>
    <row r="2980" hidden="1">
      <c r="A2980" s="266">
        <f>IFERROR(__xludf.DUMMYFUNCTION("""COMPUTED_VALUE"""),45622.99861111111)</f>
        <v>45622.99861</v>
      </c>
      <c r="B2980" s="1">
        <f>IFERROR(__xludf.DUMMYFUNCTION("""COMPUTED_VALUE"""),94322.14)</f>
        <v>94322.14</v>
      </c>
      <c r="C2980" s="58">
        <f t="shared" si="1"/>
        <v>5806.998611</v>
      </c>
      <c r="D2980" s="1">
        <f t="shared" si="2"/>
        <v>35156.01238</v>
      </c>
      <c r="E2980" s="1">
        <f t="shared" si="3"/>
        <v>63280.82229</v>
      </c>
      <c r="F2980" s="1">
        <f t="shared" si="4"/>
        <v>119530.4421</v>
      </c>
      <c r="G2980" s="1">
        <f t="shared" si="5"/>
        <v>210936.0743</v>
      </c>
      <c r="H2980" s="1">
        <f t="shared" si="6"/>
        <v>386716.1362</v>
      </c>
      <c r="I2980" s="1">
        <f t="shared" si="7"/>
        <v>632808.2229</v>
      </c>
    </row>
    <row r="2981" hidden="1">
      <c r="A2981" s="266">
        <f>IFERROR(__xludf.DUMMYFUNCTION("""COMPUTED_VALUE"""),45623.99861111111)</f>
        <v>45623.99861</v>
      </c>
      <c r="B2981" s="1">
        <f>IFERROR(__xludf.DUMMYFUNCTION("""COMPUTED_VALUE"""),92545.14)</f>
        <v>92545.14</v>
      </c>
      <c r="C2981" s="58">
        <f t="shared" si="1"/>
        <v>5807.998611</v>
      </c>
      <c r="D2981" s="1">
        <f t="shared" si="2"/>
        <v>35191.14054</v>
      </c>
      <c r="E2981" s="1">
        <f t="shared" si="3"/>
        <v>63344.05298</v>
      </c>
      <c r="F2981" s="1">
        <f t="shared" si="4"/>
        <v>119649.8778</v>
      </c>
      <c r="G2981" s="1">
        <f t="shared" si="5"/>
        <v>211146.8433</v>
      </c>
      <c r="H2981" s="1">
        <f t="shared" si="6"/>
        <v>387102.546</v>
      </c>
      <c r="I2981" s="1">
        <f t="shared" si="7"/>
        <v>633440.5298</v>
      </c>
    </row>
    <row r="2982" hidden="1">
      <c r="A2982" s="266">
        <f>IFERROR(__xludf.DUMMYFUNCTION("""COMPUTED_VALUE"""),45624.99861111111)</f>
        <v>45624.99861</v>
      </c>
      <c r="B2982" s="1">
        <f>IFERROR(__xludf.DUMMYFUNCTION("""COMPUTED_VALUE"""),95797.01)</f>
        <v>95797.01</v>
      </c>
      <c r="C2982" s="58">
        <f t="shared" si="1"/>
        <v>5808.998611</v>
      </c>
      <c r="D2982" s="1">
        <f t="shared" si="2"/>
        <v>35226.29774</v>
      </c>
      <c r="E2982" s="1">
        <f t="shared" si="3"/>
        <v>63407.33594</v>
      </c>
      <c r="F2982" s="1">
        <f t="shared" si="4"/>
        <v>119769.4123</v>
      </c>
      <c r="G2982" s="1">
        <f t="shared" si="5"/>
        <v>211357.7865</v>
      </c>
      <c r="H2982" s="1">
        <f t="shared" si="6"/>
        <v>387489.2752</v>
      </c>
      <c r="I2982" s="1">
        <f t="shared" si="7"/>
        <v>634073.3594</v>
      </c>
    </row>
    <row r="2983" hidden="1">
      <c r="A2983" s="266">
        <f>IFERROR(__xludf.DUMMYFUNCTION("""COMPUTED_VALUE"""),45625.99861111111)</f>
        <v>45625.99861</v>
      </c>
      <c r="B2983" s="1">
        <f>IFERROR(__xludf.DUMMYFUNCTION("""COMPUTED_VALUE"""),96293.35)</f>
        <v>96293.35</v>
      </c>
      <c r="C2983" s="58">
        <f t="shared" si="1"/>
        <v>5809.998611</v>
      </c>
      <c r="D2983" s="1">
        <f t="shared" si="2"/>
        <v>35261.48401</v>
      </c>
      <c r="E2983" s="1">
        <f t="shared" si="3"/>
        <v>63470.67121</v>
      </c>
      <c r="F2983" s="1">
        <f t="shared" si="4"/>
        <v>119889.0456</v>
      </c>
      <c r="G2983" s="1">
        <f t="shared" si="5"/>
        <v>211568.904</v>
      </c>
      <c r="H2983" s="1">
        <f t="shared" si="6"/>
        <v>387876.3241</v>
      </c>
      <c r="I2983" s="1">
        <f t="shared" si="7"/>
        <v>634706.7121</v>
      </c>
    </row>
    <row r="2984" hidden="1">
      <c r="A2984" s="266">
        <f>IFERROR(__xludf.DUMMYFUNCTION("""COMPUTED_VALUE"""),45626.99861111111)</f>
        <v>45626.99861</v>
      </c>
      <c r="B2984" s="1">
        <f>IFERROR(__xludf.DUMMYFUNCTION("""COMPUTED_VALUE"""),96716.79)</f>
        <v>96716.79</v>
      </c>
      <c r="C2984" s="58">
        <f t="shared" si="1"/>
        <v>5810.998611</v>
      </c>
      <c r="D2984" s="1">
        <f t="shared" si="2"/>
        <v>35296.69935</v>
      </c>
      <c r="E2984" s="1">
        <f t="shared" si="3"/>
        <v>63534.05883</v>
      </c>
      <c r="F2984" s="1">
        <f t="shared" si="4"/>
        <v>120008.7778</v>
      </c>
      <c r="G2984" s="1">
        <f t="shared" si="5"/>
        <v>211780.1961</v>
      </c>
      <c r="H2984" s="1">
        <f t="shared" si="6"/>
        <v>388263.6929</v>
      </c>
      <c r="I2984" s="1">
        <f t="shared" si="7"/>
        <v>635340.5883</v>
      </c>
    </row>
    <row r="2985" hidden="1">
      <c r="A2985" s="266">
        <f>IFERROR(__xludf.DUMMYFUNCTION("""COMPUTED_VALUE"""),45627.99861111111)</f>
        <v>45627.99861</v>
      </c>
      <c r="B2985" s="1">
        <f>IFERROR(__xludf.DUMMYFUNCTION("""COMPUTED_VALUE"""),96490.37)</f>
        <v>96490.37</v>
      </c>
      <c r="C2985" s="58">
        <f t="shared" si="1"/>
        <v>5811.998611</v>
      </c>
      <c r="D2985" s="1">
        <f t="shared" si="2"/>
        <v>35331.9438</v>
      </c>
      <c r="E2985" s="1">
        <f t="shared" si="3"/>
        <v>63597.49884</v>
      </c>
      <c r="F2985" s="1">
        <f t="shared" si="4"/>
        <v>120128.6089</v>
      </c>
      <c r="G2985" s="1">
        <f t="shared" si="5"/>
        <v>211991.6628</v>
      </c>
      <c r="H2985" s="1">
        <f t="shared" si="6"/>
        <v>388651.3818</v>
      </c>
      <c r="I2985" s="1">
        <f t="shared" si="7"/>
        <v>635974.9884</v>
      </c>
    </row>
    <row r="2986" hidden="1">
      <c r="A2986" s="266">
        <f>IFERROR(__xludf.DUMMYFUNCTION("""COMPUTED_VALUE"""),45628.99861111111)</f>
        <v>45628.99861</v>
      </c>
      <c r="B2986" s="1">
        <f>IFERROR(__xludf.DUMMYFUNCTION("""COMPUTED_VALUE"""),96741.65)</f>
        <v>96741.65</v>
      </c>
      <c r="C2986" s="58">
        <f t="shared" si="1"/>
        <v>5812.998611</v>
      </c>
      <c r="D2986" s="1">
        <f t="shared" si="2"/>
        <v>35367.21736</v>
      </c>
      <c r="E2986" s="1">
        <f t="shared" si="3"/>
        <v>63660.99125</v>
      </c>
      <c r="F2986" s="1">
        <f t="shared" si="4"/>
        <v>120248.539</v>
      </c>
      <c r="G2986" s="1">
        <f t="shared" si="5"/>
        <v>212203.3042</v>
      </c>
      <c r="H2986" s="1">
        <f t="shared" si="6"/>
        <v>389039.391</v>
      </c>
      <c r="I2986" s="1">
        <f t="shared" si="7"/>
        <v>636609.9125</v>
      </c>
    </row>
    <row r="2987" hidden="1">
      <c r="A2987" s="266">
        <f>IFERROR(__xludf.DUMMYFUNCTION("""COMPUTED_VALUE"""),45629.99861111111)</f>
        <v>45629.99861</v>
      </c>
      <c r="B2987" s="1">
        <f>IFERROR(__xludf.DUMMYFUNCTION("""COMPUTED_VALUE"""),95939.93)</f>
        <v>95939.93</v>
      </c>
      <c r="C2987" s="58">
        <f t="shared" si="1"/>
        <v>5813.998611</v>
      </c>
      <c r="D2987" s="1">
        <f t="shared" si="2"/>
        <v>35402.52007</v>
      </c>
      <c r="E2987" s="1">
        <f t="shared" si="3"/>
        <v>63724.53612</v>
      </c>
      <c r="F2987" s="1">
        <f t="shared" si="4"/>
        <v>120368.5682</v>
      </c>
      <c r="G2987" s="1">
        <f t="shared" si="5"/>
        <v>212415.1204</v>
      </c>
      <c r="H2987" s="1">
        <f t="shared" si="6"/>
        <v>389427.7207</v>
      </c>
      <c r="I2987" s="1">
        <f t="shared" si="7"/>
        <v>637245.3612</v>
      </c>
    </row>
    <row r="2988" hidden="1">
      <c r="A2988" s="266">
        <f>IFERROR(__xludf.DUMMYFUNCTION("""COMPUTED_VALUE"""),45630.99861111111)</f>
        <v>45630.99861</v>
      </c>
      <c r="B2988" s="1">
        <f>IFERROR(__xludf.DUMMYFUNCTION("""COMPUTED_VALUE"""),95934.26)</f>
        <v>95934.26</v>
      </c>
      <c r="C2988" s="58">
        <f t="shared" si="1"/>
        <v>5814.998611</v>
      </c>
      <c r="D2988" s="1">
        <f t="shared" si="2"/>
        <v>35437.85193</v>
      </c>
      <c r="E2988" s="1">
        <f t="shared" si="3"/>
        <v>63788.13347</v>
      </c>
      <c r="F2988" s="1">
        <f t="shared" si="4"/>
        <v>120488.6966</v>
      </c>
      <c r="G2988" s="1">
        <f t="shared" si="5"/>
        <v>212627.1116</v>
      </c>
      <c r="H2988" s="1">
        <f t="shared" si="6"/>
        <v>389816.3712</v>
      </c>
      <c r="I2988" s="1">
        <f t="shared" si="7"/>
        <v>637881.3347</v>
      </c>
    </row>
    <row r="2989" hidden="1">
      <c r="A2989" s="266">
        <f>IFERROR(__xludf.DUMMYFUNCTION("""COMPUTED_VALUE"""),45631.99861111111)</f>
        <v>45631.99861</v>
      </c>
      <c r="B2989" s="1">
        <f>IFERROR(__xludf.DUMMYFUNCTION("""COMPUTED_VALUE"""),103242.7)</f>
        <v>103242.7</v>
      </c>
      <c r="C2989" s="58">
        <f t="shared" si="1"/>
        <v>5815.998611</v>
      </c>
      <c r="D2989" s="1">
        <f t="shared" si="2"/>
        <v>35473.21297</v>
      </c>
      <c r="E2989" s="1">
        <f t="shared" si="3"/>
        <v>63851.78334</v>
      </c>
      <c r="F2989" s="1">
        <f t="shared" si="4"/>
        <v>120608.9241</v>
      </c>
      <c r="G2989" s="1">
        <f t="shared" si="5"/>
        <v>212839.2778</v>
      </c>
      <c r="H2989" s="1">
        <f t="shared" si="6"/>
        <v>390205.3427</v>
      </c>
      <c r="I2989" s="1">
        <f t="shared" si="7"/>
        <v>638517.8334</v>
      </c>
    </row>
    <row r="2990" hidden="1">
      <c r="A2990" s="266">
        <f>IFERROR(__xludf.DUMMYFUNCTION("""COMPUTED_VALUE"""),45632.99861111111)</f>
        <v>45632.99861</v>
      </c>
      <c r="B2990" s="1">
        <f>IFERROR(__xludf.DUMMYFUNCTION("""COMPUTED_VALUE"""),97952.27)</f>
        <v>97952.27</v>
      </c>
      <c r="C2990" s="58">
        <f t="shared" si="1"/>
        <v>5816.998611</v>
      </c>
      <c r="D2990" s="1">
        <f t="shared" si="2"/>
        <v>35508.6032</v>
      </c>
      <c r="E2990" s="1">
        <f t="shared" si="3"/>
        <v>63915.48577</v>
      </c>
      <c r="F2990" s="1">
        <f t="shared" si="4"/>
        <v>120729.2509</v>
      </c>
      <c r="G2990" s="1">
        <f t="shared" si="5"/>
        <v>213051.6192</v>
      </c>
      <c r="H2990" s="1">
        <f t="shared" si="6"/>
        <v>390594.6352</v>
      </c>
      <c r="I2990" s="1">
        <f t="shared" si="7"/>
        <v>639154.8577</v>
      </c>
    </row>
    <row r="2991" hidden="1">
      <c r="A2991" s="266">
        <f>IFERROR(__xludf.DUMMYFUNCTION("""COMPUTED_VALUE"""),45633.99861111111)</f>
        <v>45633.99861</v>
      </c>
      <c r="B2991" s="1">
        <f>IFERROR(__xludf.DUMMYFUNCTION("""COMPUTED_VALUE"""),99702.98)</f>
        <v>99702.98</v>
      </c>
      <c r="C2991" s="58">
        <f t="shared" si="1"/>
        <v>5817.998611</v>
      </c>
      <c r="D2991" s="1">
        <f t="shared" si="2"/>
        <v>35544.02265</v>
      </c>
      <c r="E2991" s="1">
        <f t="shared" si="3"/>
        <v>63979.24077</v>
      </c>
      <c r="F2991" s="1">
        <f t="shared" si="4"/>
        <v>120849.677</v>
      </c>
      <c r="G2991" s="1">
        <f t="shared" si="5"/>
        <v>213264.1359</v>
      </c>
      <c r="H2991" s="1">
        <f t="shared" si="6"/>
        <v>390984.2492</v>
      </c>
      <c r="I2991" s="1">
        <f t="shared" si="7"/>
        <v>639792.4077</v>
      </c>
    </row>
    <row r="2992" hidden="1">
      <c r="A2992" s="266">
        <f>IFERROR(__xludf.DUMMYFUNCTION("""COMPUTED_VALUE"""),45634.99861111111)</f>
        <v>45634.99861</v>
      </c>
      <c r="B2992" s="1">
        <f>IFERROR(__xludf.DUMMYFUNCTION("""COMPUTED_VALUE"""),99819.01)</f>
        <v>99819.01</v>
      </c>
      <c r="C2992" s="58">
        <f t="shared" si="1"/>
        <v>5818.998611</v>
      </c>
      <c r="D2992" s="1">
        <f t="shared" si="2"/>
        <v>35579.47134</v>
      </c>
      <c r="E2992" s="1">
        <f t="shared" si="3"/>
        <v>64043.04841</v>
      </c>
      <c r="F2992" s="1">
        <f t="shared" si="4"/>
        <v>120970.2025</v>
      </c>
      <c r="G2992" s="1">
        <f t="shared" si="5"/>
        <v>213476.828</v>
      </c>
      <c r="H2992" s="1">
        <f t="shared" si="6"/>
        <v>391374.1847</v>
      </c>
      <c r="I2992" s="1">
        <f t="shared" si="7"/>
        <v>640430.4841</v>
      </c>
    </row>
    <row r="2993" hidden="1">
      <c r="A2993" s="266">
        <f>IFERROR(__xludf.DUMMYFUNCTION("""COMPUTED_VALUE"""),45635.99861111111)</f>
        <v>45635.99861</v>
      </c>
      <c r="B2993" s="1">
        <f>IFERROR(__xludf.DUMMYFUNCTION("""COMPUTED_VALUE"""),99438.46)</f>
        <v>99438.46</v>
      </c>
      <c r="C2993" s="58">
        <f t="shared" si="1"/>
        <v>5819.998611</v>
      </c>
      <c r="D2993" s="1">
        <f t="shared" si="2"/>
        <v>35614.94927</v>
      </c>
      <c r="E2993" s="1">
        <f t="shared" si="3"/>
        <v>64106.90869</v>
      </c>
      <c r="F2993" s="1">
        <f t="shared" si="4"/>
        <v>121090.8275</v>
      </c>
      <c r="G2993" s="1">
        <f t="shared" si="5"/>
        <v>213689.6956</v>
      </c>
      <c r="H2993" s="1">
        <f t="shared" si="6"/>
        <v>391764.442</v>
      </c>
      <c r="I2993" s="1">
        <f t="shared" si="7"/>
        <v>641069.0869</v>
      </c>
    </row>
    <row r="2994" hidden="1">
      <c r="A2994" s="266">
        <f>IFERROR(__xludf.DUMMYFUNCTION("""COMPUTED_VALUE"""),45636.99861111111)</f>
        <v>45636.99861</v>
      </c>
      <c r="B2994" s="1">
        <f>IFERROR(__xludf.DUMMYFUNCTION("""COMPUTED_VALUE"""),97077.3)</f>
        <v>97077.3</v>
      </c>
      <c r="C2994" s="58">
        <f t="shared" si="1"/>
        <v>5820.998611</v>
      </c>
      <c r="D2994" s="1">
        <f t="shared" si="2"/>
        <v>35650.45648</v>
      </c>
      <c r="E2994" s="1">
        <f t="shared" si="3"/>
        <v>64170.82167</v>
      </c>
      <c r="F2994" s="1">
        <f t="shared" si="4"/>
        <v>121211.552</v>
      </c>
      <c r="G2994" s="1">
        <f t="shared" si="5"/>
        <v>213902.7389</v>
      </c>
      <c r="H2994" s="1">
        <f t="shared" si="6"/>
        <v>392155.0213</v>
      </c>
      <c r="I2994" s="1">
        <f t="shared" si="7"/>
        <v>641708.2167</v>
      </c>
    </row>
    <row r="2995" hidden="1">
      <c r="A2995" s="266">
        <f>IFERROR(__xludf.DUMMYFUNCTION("""COMPUTED_VALUE"""),45637.99861111111)</f>
        <v>45637.99861</v>
      </c>
      <c r="B2995" s="1">
        <f>IFERROR(__xludf.DUMMYFUNCTION("""COMPUTED_VALUE"""),97601.6)</f>
        <v>97601.6</v>
      </c>
      <c r="C2995" s="58">
        <f t="shared" si="1"/>
        <v>5821.998611</v>
      </c>
      <c r="D2995" s="1">
        <f t="shared" si="2"/>
        <v>35685.99298</v>
      </c>
      <c r="E2995" s="1">
        <f t="shared" si="3"/>
        <v>64234.78737</v>
      </c>
      <c r="F2995" s="1">
        <f t="shared" si="4"/>
        <v>121332.3761</v>
      </c>
      <c r="G2995" s="1">
        <f t="shared" si="5"/>
        <v>214115.9579</v>
      </c>
      <c r="H2995" s="1">
        <f t="shared" si="6"/>
        <v>392545.9228</v>
      </c>
      <c r="I2995" s="1">
        <f t="shared" si="7"/>
        <v>642347.8737</v>
      </c>
    </row>
    <row r="2996" hidden="1">
      <c r="A2996" s="266">
        <f>IFERROR(__xludf.DUMMYFUNCTION("""COMPUTED_VALUE"""),45638.99861111111)</f>
        <v>45638.99861</v>
      </c>
      <c r="B2996" s="1">
        <f>IFERROR(__xludf.DUMMYFUNCTION("""COMPUTED_VALUE"""),100697.2)</f>
        <v>100697.2</v>
      </c>
      <c r="C2996" s="58">
        <f t="shared" si="1"/>
        <v>5822.998611</v>
      </c>
      <c r="D2996" s="1">
        <f t="shared" si="2"/>
        <v>35721.55879</v>
      </c>
      <c r="E2996" s="1">
        <f t="shared" si="3"/>
        <v>64298.80583</v>
      </c>
      <c r="F2996" s="1">
        <f t="shared" si="4"/>
        <v>121453.2999</v>
      </c>
      <c r="G2996" s="1">
        <f t="shared" si="5"/>
        <v>214329.3528</v>
      </c>
      <c r="H2996" s="1">
        <f t="shared" si="6"/>
        <v>392937.1467</v>
      </c>
      <c r="I2996" s="1">
        <f t="shared" si="7"/>
        <v>642988.0583</v>
      </c>
    </row>
    <row r="2997" hidden="1">
      <c r="A2997" s="266">
        <f>IFERROR(__xludf.DUMMYFUNCTION("""COMPUTED_VALUE"""),45639.99861111111)</f>
        <v>45639.99861</v>
      </c>
      <c r="B2997" s="1">
        <f>IFERROR(__xludf.DUMMYFUNCTION("""COMPUTED_VALUE"""),99999.12)</f>
        <v>99999.12</v>
      </c>
      <c r="C2997" s="58">
        <f t="shared" si="1"/>
        <v>5823.998611</v>
      </c>
      <c r="D2997" s="1">
        <f t="shared" si="2"/>
        <v>35757.15393</v>
      </c>
      <c r="E2997" s="1">
        <f t="shared" si="3"/>
        <v>64362.87708</v>
      </c>
      <c r="F2997" s="1">
        <f t="shared" si="4"/>
        <v>121574.3234</v>
      </c>
      <c r="G2997" s="1">
        <f t="shared" si="5"/>
        <v>214542.9236</v>
      </c>
      <c r="H2997" s="1">
        <f t="shared" si="6"/>
        <v>393328.6933</v>
      </c>
      <c r="I2997" s="1">
        <f t="shared" si="7"/>
        <v>643628.7708</v>
      </c>
    </row>
    <row r="2998" hidden="1">
      <c r="A2998" s="266">
        <f>IFERROR(__xludf.DUMMYFUNCTION("""COMPUTED_VALUE"""),45640.99861111111)</f>
        <v>45640.99861</v>
      </c>
      <c r="B2998" s="1">
        <f>IFERROR(__xludf.DUMMYFUNCTION("""COMPUTED_VALUE"""),101680.9)</f>
        <v>101680.9</v>
      </c>
      <c r="C2998" s="58">
        <f t="shared" si="1"/>
        <v>5824.998611</v>
      </c>
      <c r="D2998" s="1">
        <f t="shared" si="2"/>
        <v>35792.77842</v>
      </c>
      <c r="E2998" s="1">
        <f t="shared" si="3"/>
        <v>64427.00116</v>
      </c>
      <c r="F2998" s="1">
        <f t="shared" si="4"/>
        <v>121695.4466</v>
      </c>
      <c r="G2998" s="1">
        <f t="shared" si="5"/>
        <v>214756.6705</v>
      </c>
      <c r="H2998" s="1">
        <f t="shared" si="6"/>
        <v>393720.5626</v>
      </c>
      <c r="I2998" s="1">
        <f t="shared" si="7"/>
        <v>644270.0116</v>
      </c>
    </row>
    <row r="2999" hidden="1">
      <c r="A2999" s="266">
        <f>IFERROR(__xludf.DUMMYFUNCTION("""COMPUTED_VALUE"""),45641.99861111111)</f>
        <v>45641.99861</v>
      </c>
      <c r="B2999" s="1">
        <f>IFERROR(__xludf.DUMMYFUNCTION("""COMPUTED_VALUE"""),102259.9)</f>
        <v>102259.9</v>
      </c>
      <c r="C2999" s="58">
        <f t="shared" si="1"/>
        <v>5825.998611</v>
      </c>
      <c r="D2999" s="1">
        <f t="shared" si="2"/>
        <v>35828.43228</v>
      </c>
      <c r="E2999" s="1">
        <f t="shared" si="3"/>
        <v>64491.1781</v>
      </c>
      <c r="F2999" s="1">
        <f t="shared" si="4"/>
        <v>121816.6697</v>
      </c>
      <c r="G2999" s="1">
        <f t="shared" si="5"/>
        <v>214970.5937</v>
      </c>
      <c r="H2999" s="1">
        <f t="shared" si="6"/>
        <v>394112.7551</v>
      </c>
      <c r="I2999" s="1">
        <f t="shared" si="7"/>
        <v>644911.781</v>
      </c>
    </row>
    <row r="3000" hidden="1">
      <c r="A3000" s="266">
        <f>IFERROR(__xludf.DUMMYFUNCTION("""COMPUTED_VALUE"""),45642.99861111111)</f>
        <v>45642.99861</v>
      </c>
      <c r="B3000" s="1">
        <f>IFERROR(__xludf.DUMMYFUNCTION("""COMPUTED_VALUE"""),104572.1)</f>
        <v>104572.1</v>
      </c>
      <c r="C3000" s="58">
        <f t="shared" si="1"/>
        <v>5826.998611</v>
      </c>
      <c r="D3000" s="1">
        <f t="shared" si="2"/>
        <v>35864.11552</v>
      </c>
      <c r="E3000" s="1">
        <f t="shared" si="3"/>
        <v>64555.40794</v>
      </c>
      <c r="F3000" s="1">
        <f t="shared" si="4"/>
        <v>121937.9928</v>
      </c>
      <c r="G3000" s="1">
        <f t="shared" si="5"/>
        <v>215184.6931</v>
      </c>
      <c r="H3000" s="1">
        <f t="shared" si="6"/>
        <v>394505.2708</v>
      </c>
      <c r="I3000" s="1">
        <f t="shared" si="7"/>
        <v>645554.0794</v>
      </c>
    </row>
    <row r="3001" hidden="1">
      <c r="A3001" s="266">
        <f>IFERROR(__xludf.DUMMYFUNCTION("""COMPUTED_VALUE"""),45643.99861111111)</f>
        <v>45643.99861</v>
      </c>
      <c r="B3001" s="1">
        <f>IFERROR(__xludf.DUMMYFUNCTION("""COMPUTED_VALUE"""),106490.1)</f>
        <v>106490.1</v>
      </c>
      <c r="C3001" s="58">
        <f t="shared" si="1"/>
        <v>5827.998611</v>
      </c>
      <c r="D3001" s="1">
        <f t="shared" si="2"/>
        <v>35899.82817</v>
      </c>
      <c r="E3001" s="1">
        <f t="shared" si="3"/>
        <v>64619.69071</v>
      </c>
      <c r="F3001" s="1">
        <f t="shared" si="4"/>
        <v>122059.4158</v>
      </c>
      <c r="G3001" s="1">
        <f t="shared" si="5"/>
        <v>215398.969</v>
      </c>
      <c r="H3001" s="1">
        <f t="shared" si="6"/>
        <v>394898.1099</v>
      </c>
      <c r="I3001" s="1">
        <f t="shared" si="7"/>
        <v>646196.9071</v>
      </c>
    </row>
    <row r="3002" hidden="1">
      <c r="A3002" s="266">
        <f>IFERROR(__xludf.DUMMYFUNCTION("""COMPUTED_VALUE"""),45644.99861111111)</f>
        <v>45644.99861</v>
      </c>
      <c r="B3002" s="1">
        <f>IFERROR(__xludf.DUMMYFUNCTION("""COMPUTED_VALUE"""),103848.1)</f>
        <v>103848.1</v>
      </c>
      <c r="C3002" s="58">
        <f t="shared" si="1"/>
        <v>5828.998611</v>
      </c>
      <c r="D3002" s="1">
        <f t="shared" si="2"/>
        <v>35935.57025</v>
      </c>
      <c r="E3002" s="1">
        <f t="shared" si="3"/>
        <v>64684.02645</v>
      </c>
      <c r="F3002" s="1">
        <f t="shared" si="4"/>
        <v>122180.9388</v>
      </c>
      <c r="G3002" s="1">
        <f t="shared" si="5"/>
        <v>215613.4215</v>
      </c>
      <c r="H3002" s="1">
        <f t="shared" si="6"/>
        <v>395291.2727</v>
      </c>
      <c r="I3002" s="1">
        <f t="shared" si="7"/>
        <v>646840.2645</v>
      </c>
    </row>
    <row r="3003" hidden="1">
      <c r="A3003" s="266">
        <f>IFERROR(__xludf.DUMMYFUNCTION("""COMPUTED_VALUE"""),45645.99861111111)</f>
        <v>45645.99861</v>
      </c>
      <c r="B3003" s="1">
        <f>IFERROR(__xludf.DUMMYFUNCTION("""COMPUTED_VALUE"""),100646.2)</f>
        <v>100646.2</v>
      </c>
      <c r="C3003" s="58">
        <f t="shared" si="1"/>
        <v>5829.998611</v>
      </c>
      <c r="D3003" s="1">
        <f t="shared" si="2"/>
        <v>35971.34177</v>
      </c>
      <c r="E3003" s="1">
        <f t="shared" si="3"/>
        <v>64748.41519</v>
      </c>
      <c r="F3003" s="1">
        <f t="shared" si="4"/>
        <v>122302.562</v>
      </c>
      <c r="G3003" s="1">
        <f t="shared" si="5"/>
        <v>215828.0506</v>
      </c>
      <c r="H3003" s="1">
        <f t="shared" si="6"/>
        <v>395684.7595</v>
      </c>
      <c r="I3003" s="1">
        <f t="shared" si="7"/>
        <v>647484.1519</v>
      </c>
    </row>
    <row r="3004" hidden="1">
      <c r="A3004" s="266">
        <f>IFERROR(__xludf.DUMMYFUNCTION("""COMPUTED_VALUE"""),45646.99861111111)</f>
        <v>45646.99861</v>
      </c>
      <c r="B3004" s="1">
        <f>IFERROR(__xludf.DUMMYFUNCTION("""COMPUTED_VALUE"""),97334.15)</f>
        <v>97334.15</v>
      </c>
      <c r="C3004" s="58">
        <f t="shared" si="1"/>
        <v>5830.998611</v>
      </c>
      <c r="D3004" s="1">
        <f t="shared" si="2"/>
        <v>36007.14275</v>
      </c>
      <c r="E3004" s="1">
        <f t="shared" si="3"/>
        <v>64812.85696</v>
      </c>
      <c r="F3004" s="1">
        <f t="shared" si="4"/>
        <v>122424.2854</v>
      </c>
      <c r="G3004" s="1">
        <f t="shared" si="5"/>
        <v>216042.8565</v>
      </c>
      <c r="H3004" s="1">
        <f t="shared" si="6"/>
        <v>396078.5703</v>
      </c>
      <c r="I3004" s="1">
        <f t="shared" si="7"/>
        <v>648128.5696</v>
      </c>
    </row>
    <row r="3005" hidden="1">
      <c r="A3005" s="266">
        <f>IFERROR(__xludf.DUMMYFUNCTION("""COMPUTED_VALUE"""),45647.99861111111)</f>
        <v>45647.99861</v>
      </c>
      <c r="B3005" s="1">
        <f>IFERROR(__xludf.DUMMYFUNCTION("""COMPUTED_VALUE"""),97623.92)</f>
        <v>97623.92</v>
      </c>
      <c r="C3005" s="58">
        <f t="shared" si="1"/>
        <v>5831.998611</v>
      </c>
      <c r="D3005" s="1">
        <f t="shared" si="2"/>
        <v>36042.97322</v>
      </c>
      <c r="E3005" s="1">
        <f t="shared" si="3"/>
        <v>64877.3518</v>
      </c>
      <c r="F3005" s="1">
        <f t="shared" si="4"/>
        <v>122546.109</v>
      </c>
      <c r="G3005" s="1">
        <f t="shared" si="5"/>
        <v>216257.8393</v>
      </c>
      <c r="H3005" s="1">
        <f t="shared" si="6"/>
        <v>396472.7054</v>
      </c>
      <c r="I3005" s="1">
        <f t="shared" si="7"/>
        <v>648773.518</v>
      </c>
    </row>
    <row r="3006" hidden="1">
      <c r="A3006" s="266">
        <f>IFERROR(__xludf.DUMMYFUNCTION("""COMPUTED_VALUE"""),45648.99861111111)</f>
        <v>45648.99861</v>
      </c>
      <c r="B3006" s="1">
        <f>IFERROR(__xludf.DUMMYFUNCTION("""COMPUTED_VALUE"""),96193.61)</f>
        <v>96193.61</v>
      </c>
      <c r="C3006" s="58">
        <f t="shared" si="1"/>
        <v>5832.998611</v>
      </c>
      <c r="D3006" s="1">
        <f t="shared" si="2"/>
        <v>36078.83319</v>
      </c>
      <c r="E3006" s="1">
        <f t="shared" si="3"/>
        <v>64941.89974</v>
      </c>
      <c r="F3006" s="1">
        <f t="shared" si="4"/>
        <v>122668.0328</v>
      </c>
      <c r="G3006" s="1">
        <f t="shared" si="5"/>
        <v>216472.9991</v>
      </c>
      <c r="H3006" s="1">
        <f t="shared" si="6"/>
        <v>396867.1651</v>
      </c>
      <c r="I3006" s="1">
        <f t="shared" si="7"/>
        <v>649418.9974</v>
      </c>
    </row>
    <row r="3007" hidden="1">
      <c r="A3007" s="266">
        <f>IFERROR(__xludf.DUMMYFUNCTION("""COMPUTED_VALUE"""),45649.99861111111)</f>
        <v>45649.99861</v>
      </c>
      <c r="B3007" s="1">
        <f>IFERROR(__xludf.DUMMYFUNCTION("""COMPUTED_VALUE"""),95786.72)</f>
        <v>95786.72</v>
      </c>
      <c r="C3007" s="58">
        <f t="shared" si="1"/>
        <v>5833.998611</v>
      </c>
      <c r="D3007" s="1">
        <f t="shared" si="2"/>
        <v>36114.72268</v>
      </c>
      <c r="E3007" s="1">
        <f t="shared" si="3"/>
        <v>65006.50083</v>
      </c>
      <c r="F3007" s="1">
        <f t="shared" si="4"/>
        <v>122790.0571</v>
      </c>
      <c r="G3007" s="1">
        <f t="shared" si="5"/>
        <v>216688.3361</v>
      </c>
      <c r="H3007" s="1">
        <f t="shared" si="6"/>
        <v>397261.9495</v>
      </c>
      <c r="I3007" s="1">
        <f t="shared" si="7"/>
        <v>650065.0083</v>
      </c>
    </row>
    <row r="3008" hidden="1">
      <c r="A3008" s="266">
        <f>IFERROR(__xludf.DUMMYFUNCTION("""COMPUTED_VALUE"""),45650.99861111111)</f>
        <v>45650.99861</v>
      </c>
      <c r="B3008" s="1">
        <f>IFERROR(__xludf.DUMMYFUNCTION("""COMPUTED_VALUE"""),94287.05)</f>
        <v>94287.05</v>
      </c>
      <c r="C3008" s="58">
        <f t="shared" si="1"/>
        <v>5834.998611</v>
      </c>
      <c r="D3008" s="1">
        <f t="shared" si="2"/>
        <v>36150.64171</v>
      </c>
      <c r="E3008" s="1">
        <f t="shared" si="3"/>
        <v>65071.15508</v>
      </c>
      <c r="F3008" s="1">
        <f t="shared" si="4"/>
        <v>122912.1818</v>
      </c>
      <c r="G3008" s="1">
        <f t="shared" si="5"/>
        <v>216903.8503</v>
      </c>
      <c r="H3008" s="1">
        <f t="shared" si="6"/>
        <v>397657.0588</v>
      </c>
      <c r="I3008" s="1">
        <f t="shared" si="7"/>
        <v>650711.5508</v>
      </c>
    </row>
    <row r="3009" hidden="1">
      <c r="A3009" s="266">
        <f>IFERROR(__xludf.DUMMYFUNCTION("""COMPUTED_VALUE"""),45651.99861111111)</f>
        <v>45651.99861</v>
      </c>
      <c r="B3009" s="1">
        <f>IFERROR(__xludf.DUMMYFUNCTION("""COMPUTED_VALUE"""),98209.62)</f>
        <v>98209.62</v>
      </c>
      <c r="C3009" s="58">
        <f t="shared" si="1"/>
        <v>5835.998611</v>
      </c>
      <c r="D3009" s="1">
        <f t="shared" si="2"/>
        <v>36186.5903</v>
      </c>
      <c r="E3009" s="1">
        <f t="shared" si="3"/>
        <v>65135.86255</v>
      </c>
      <c r="F3009" s="1">
        <f t="shared" si="4"/>
        <v>123034.407</v>
      </c>
      <c r="G3009" s="1">
        <f t="shared" si="5"/>
        <v>217119.5418</v>
      </c>
      <c r="H3009" s="1">
        <f t="shared" si="6"/>
        <v>398052.4933</v>
      </c>
      <c r="I3009" s="1">
        <f t="shared" si="7"/>
        <v>651358.6255</v>
      </c>
    </row>
    <row r="3010" hidden="1">
      <c r="A3010" s="266">
        <f>IFERROR(__xludf.DUMMYFUNCTION("""COMPUTED_VALUE"""),45652.99861111111)</f>
        <v>45652.99861</v>
      </c>
      <c r="B3010" s="1">
        <f>IFERROR(__xludf.DUMMYFUNCTION("""COMPUTED_VALUE"""),98294.12)</f>
        <v>98294.12</v>
      </c>
      <c r="C3010" s="58">
        <f t="shared" si="1"/>
        <v>5836.998611</v>
      </c>
      <c r="D3010" s="1">
        <f t="shared" si="2"/>
        <v>36222.56848</v>
      </c>
      <c r="E3010" s="1">
        <f t="shared" si="3"/>
        <v>65200.62326</v>
      </c>
      <c r="F3010" s="1">
        <f t="shared" si="4"/>
        <v>123156.7328</v>
      </c>
      <c r="G3010" s="1">
        <f t="shared" si="5"/>
        <v>217335.4109</v>
      </c>
      <c r="H3010" s="1">
        <f t="shared" si="6"/>
        <v>398448.2532</v>
      </c>
      <c r="I3010" s="1">
        <f t="shared" si="7"/>
        <v>652006.2326</v>
      </c>
    </row>
    <row r="3011" hidden="1">
      <c r="A3011" s="266">
        <f>IFERROR(__xludf.DUMMYFUNCTION("""COMPUTED_VALUE"""),45653.99861111111)</f>
        <v>45653.99861</v>
      </c>
      <c r="B3011" s="1">
        <f>IFERROR(__xludf.DUMMYFUNCTION("""COMPUTED_VALUE"""),96209.8)</f>
        <v>96209.8</v>
      </c>
      <c r="C3011" s="58">
        <f t="shared" si="1"/>
        <v>5837.998611</v>
      </c>
      <c r="D3011" s="1">
        <f t="shared" si="2"/>
        <v>36258.57624</v>
      </c>
      <c r="E3011" s="1">
        <f t="shared" si="3"/>
        <v>65265.43724</v>
      </c>
      <c r="F3011" s="1">
        <f t="shared" si="4"/>
        <v>123279.1592</v>
      </c>
      <c r="G3011" s="1">
        <f t="shared" si="5"/>
        <v>217551.4575</v>
      </c>
      <c r="H3011" s="1">
        <f t="shared" si="6"/>
        <v>398844.3387</v>
      </c>
      <c r="I3011" s="1">
        <f t="shared" si="7"/>
        <v>652654.3724</v>
      </c>
    </row>
    <row r="3012" hidden="1">
      <c r="A3012" s="266">
        <f>IFERROR(__xludf.DUMMYFUNCTION("""COMPUTED_VALUE"""),45654.99861111111)</f>
        <v>45654.99861</v>
      </c>
      <c r="B3012" s="1">
        <f>IFERROR(__xludf.DUMMYFUNCTION("""COMPUTED_VALUE"""),94449.97)</f>
        <v>94449.97</v>
      </c>
      <c r="C3012" s="58">
        <f t="shared" si="1"/>
        <v>5838.998611</v>
      </c>
      <c r="D3012" s="1">
        <f t="shared" si="2"/>
        <v>36294.61363</v>
      </c>
      <c r="E3012" s="1">
        <f t="shared" si="3"/>
        <v>65330.30454</v>
      </c>
      <c r="F3012" s="1">
        <f t="shared" si="4"/>
        <v>123401.6863</v>
      </c>
      <c r="G3012" s="1">
        <f t="shared" si="5"/>
        <v>217767.6818</v>
      </c>
      <c r="H3012" s="1">
        <f t="shared" si="6"/>
        <v>399240.7499</v>
      </c>
      <c r="I3012" s="1">
        <f t="shared" si="7"/>
        <v>653303.0454</v>
      </c>
    </row>
    <row r="3013" hidden="1">
      <c r="A3013" s="266">
        <f>IFERROR(__xludf.DUMMYFUNCTION("""COMPUTED_VALUE"""),45655.99861111111)</f>
        <v>45655.99861</v>
      </c>
      <c r="B3013" s="1">
        <f>IFERROR(__xludf.DUMMYFUNCTION("""COMPUTED_VALUE"""),94996.09)</f>
        <v>94996.09</v>
      </c>
      <c r="C3013" s="58">
        <f t="shared" si="1"/>
        <v>5839.998611</v>
      </c>
      <c r="D3013" s="1">
        <f t="shared" si="2"/>
        <v>36330.68066</v>
      </c>
      <c r="E3013" s="1">
        <f t="shared" si="3"/>
        <v>65395.22518</v>
      </c>
      <c r="F3013" s="1">
        <f t="shared" si="4"/>
        <v>123524.3142</v>
      </c>
      <c r="G3013" s="1">
        <f t="shared" si="5"/>
        <v>217984.0839</v>
      </c>
      <c r="H3013" s="1">
        <f t="shared" si="6"/>
        <v>399637.4872</v>
      </c>
      <c r="I3013" s="1">
        <f t="shared" si="7"/>
        <v>653952.2518</v>
      </c>
    </row>
    <row r="3014" hidden="1">
      <c r="A3014" s="266">
        <f>IFERROR(__xludf.DUMMYFUNCTION("""COMPUTED_VALUE"""),45656.99861111111)</f>
        <v>45656.99861</v>
      </c>
      <c r="B3014" s="1">
        <f>IFERROR(__xludf.DUMMYFUNCTION("""COMPUTED_VALUE"""),93169.94)</f>
        <v>93169.94</v>
      </c>
      <c r="C3014" s="58">
        <f t="shared" si="1"/>
        <v>5840.998611</v>
      </c>
      <c r="D3014" s="1">
        <f t="shared" si="2"/>
        <v>36366.77734</v>
      </c>
      <c r="E3014" s="1">
        <f t="shared" si="3"/>
        <v>65460.1992</v>
      </c>
      <c r="F3014" s="1">
        <f t="shared" si="4"/>
        <v>123647.0429</v>
      </c>
      <c r="G3014" s="1">
        <f t="shared" si="5"/>
        <v>218200.664</v>
      </c>
      <c r="H3014" s="1">
        <f t="shared" si="6"/>
        <v>400034.5507</v>
      </c>
      <c r="I3014" s="1">
        <f t="shared" si="7"/>
        <v>654601.992</v>
      </c>
    </row>
    <row r="3015" hidden="1">
      <c r="A3015" s="266">
        <f>IFERROR(__xludf.DUMMYFUNCTION("""COMPUTED_VALUE"""),45657.99861111111)</f>
        <v>45657.99861</v>
      </c>
      <c r="B3015" s="1">
        <f>IFERROR(__xludf.DUMMYFUNCTION("""COMPUTED_VALUE"""),92382.89)</f>
        <v>92382.89</v>
      </c>
      <c r="C3015" s="58">
        <f t="shared" si="1"/>
        <v>5841.998611</v>
      </c>
      <c r="D3015" s="1">
        <f t="shared" si="2"/>
        <v>36402.90369</v>
      </c>
      <c r="E3015" s="1">
        <f t="shared" si="3"/>
        <v>65525.22665</v>
      </c>
      <c r="F3015" s="1">
        <f t="shared" si="4"/>
        <v>123769.8726</v>
      </c>
      <c r="G3015" s="1">
        <f t="shared" si="5"/>
        <v>218417.4222</v>
      </c>
      <c r="H3015" s="1">
        <f t="shared" si="6"/>
        <v>400431.9406</v>
      </c>
      <c r="I3015" s="1">
        <f t="shared" si="7"/>
        <v>655252.2665</v>
      </c>
    </row>
    <row r="3016" hidden="1">
      <c r="A3016" s="266">
        <f>IFERROR(__xludf.DUMMYFUNCTION("""COMPUTED_VALUE"""),45658.99861111111)</f>
        <v>45658.99861</v>
      </c>
      <c r="B3016" s="1">
        <f>IFERROR(__xludf.DUMMYFUNCTION("""COMPUTED_VALUE"""),93462.86)</f>
        <v>93462.86</v>
      </c>
      <c r="C3016" s="58">
        <f t="shared" si="1"/>
        <v>5842.998611</v>
      </c>
      <c r="D3016" s="1">
        <f t="shared" si="2"/>
        <v>36439.05974</v>
      </c>
      <c r="E3016" s="1">
        <f t="shared" si="3"/>
        <v>65590.30754</v>
      </c>
      <c r="F3016" s="1">
        <f t="shared" si="4"/>
        <v>123892.8031</v>
      </c>
      <c r="G3016" s="1">
        <f t="shared" si="5"/>
        <v>218634.3585</v>
      </c>
      <c r="H3016" s="1">
        <f t="shared" si="6"/>
        <v>400829.6572</v>
      </c>
      <c r="I3016" s="1">
        <f t="shared" si="7"/>
        <v>655903.0754</v>
      </c>
    </row>
    <row r="3017" hidden="1">
      <c r="A3017" s="266">
        <f>IFERROR(__xludf.DUMMYFUNCTION("""COMPUTED_VALUE"""),45659.99861111111)</f>
        <v>45659.99861</v>
      </c>
      <c r="B3017" s="1">
        <f>IFERROR(__xludf.DUMMYFUNCTION("""COMPUTED_VALUE"""),95642.54)</f>
        <v>95642.54</v>
      </c>
      <c r="C3017" s="58">
        <f t="shared" si="1"/>
        <v>5843.998611</v>
      </c>
      <c r="D3017" s="1">
        <f t="shared" si="2"/>
        <v>36475.24551</v>
      </c>
      <c r="E3017" s="1">
        <f t="shared" si="3"/>
        <v>65655.44191</v>
      </c>
      <c r="F3017" s="1">
        <f t="shared" si="4"/>
        <v>124015.8347</v>
      </c>
      <c r="G3017" s="1">
        <f t="shared" si="5"/>
        <v>218851.473</v>
      </c>
      <c r="H3017" s="1">
        <f t="shared" si="6"/>
        <v>401227.7006</v>
      </c>
      <c r="I3017" s="1">
        <f t="shared" si="7"/>
        <v>656554.4191</v>
      </c>
    </row>
    <row r="3018" hidden="1">
      <c r="A3018" s="266">
        <f>IFERROR(__xludf.DUMMYFUNCTION("""COMPUTED_VALUE"""),45660.99861111111)</f>
        <v>45660.99861</v>
      </c>
      <c r="B3018" s="1">
        <f>IFERROR(__xludf.DUMMYFUNCTION("""COMPUTED_VALUE"""),96732.46)</f>
        <v>96732.46</v>
      </c>
      <c r="C3018" s="58">
        <f t="shared" si="1"/>
        <v>5844.998611</v>
      </c>
      <c r="D3018" s="1">
        <f t="shared" si="2"/>
        <v>36511.46101</v>
      </c>
      <c r="E3018" s="1">
        <f t="shared" si="3"/>
        <v>65720.62981</v>
      </c>
      <c r="F3018" s="1">
        <f t="shared" si="4"/>
        <v>124138.9674</v>
      </c>
      <c r="G3018" s="1">
        <f t="shared" si="5"/>
        <v>219068.766</v>
      </c>
      <c r="H3018" s="1">
        <f t="shared" si="6"/>
        <v>401626.0711</v>
      </c>
      <c r="I3018" s="1">
        <f t="shared" si="7"/>
        <v>657206.2981</v>
      </c>
    </row>
    <row r="3019" hidden="1">
      <c r="A3019" s="266">
        <f>IFERROR(__xludf.DUMMYFUNCTION("""COMPUTED_VALUE"""),45661.99861111111)</f>
        <v>45661.99861</v>
      </c>
      <c r="B3019" s="1">
        <f>IFERROR(__xludf.DUMMYFUNCTION("""COMPUTED_VALUE"""),97942.97)</f>
        <v>97942.97</v>
      </c>
      <c r="C3019" s="58">
        <f t="shared" si="1"/>
        <v>5845.998611</v>
      </c>
      <c r="D3019" s="1">
        <f t="shared" si="2"/>
        <v>36547.70626</v>
      </c>
      <c r="E3019" s="1">
        <f t="shared" si="3"/>
        <v>65785.87126</v>
      </c>
      <c r="F3019" s="1">
        <f t="shared" si="4"/>
        <v>124262.2013</v>
      </c>
      <c r="G3019" s="1">
        <f t="shared" si="5"/>
        <v>219286.2375</v>
      </c>
      <c r="H3019" s="1">
        <f t="shared" si="6"/>
        <v>402024.7688</v>
      </c>
      <c r="I3019" s="1">
        <f t="shared" si="7"/>
        <v>657858.7126</v>
      </c>
    </row>
    <row r="3020" hidden="1">
      <c r="A3020" s="266">
        <f>IFERROR(__xludf.DUMMYFUNCTION("""COMPUTED_VALUE"""),45662.99861111111)</f>
        <v>45662.99861</v>
      </c>
      <c r="B3020" s="1">
        <f>IFERROR(__xludf.DUMMYFUNCTION("""COMPUTED_VALUE"""),98355.51)</f>
        <v>98355.51</v>
      </c>
      <c r="C3020" s="58">
        <f t="shared" si="1"/>
        <v>5846.998611</v>
      </c>
      <c r="D3020" s="1">
        <f t="shared" si="2"/>
        <v>36583.98128</v>
      </c>
      <c r="E3020" s="1">
        <f t="shared" si="3"/>
        <v>65851.16631</v>
      </c>
      <c r="F3020" s="1">
        <f t="shared" si="4"/>
        <v>124385.5364</v>
      </c>
      <c r="G3020" s="1">
        <f t="shared" si="5"/>
        <v>219503.8877</v>
      </c>
      <c r="H3020" s="1">
        <f t="shared" si="6"/>
        <v>402423.7941</v>
      </c>
      <c r="I3020" s="1">
        <f t="shared" si="7"/>
        <v>658511.6631</v>
      </c>
    </row>
    <row r="3021" hidden="1">
      <c r="A3021" s="266">
        <f>IFERROR(__xludf.DUMMYFUNCTION("""COMPUTED_VALUE"""),45663.99861111111)</f>
        <v>45663.99861</v>
      </c>
      <c r="B3021" s="1">
        <f>IFERROR(__xludf.DUMMYFUNCTION("""COMPUTED_VALUE"""),99424.66)</f>
        <v>99424.66</v>
      </c>
      <c r="C3021" s="58">
        <f t="shared" si="1"/>
        <v>5847.998611</v>
      </c>
      <c r="D3021" s="1">
        <f t="shared" si="2"/>
        <v>36620.2861</v>
      </c>
      <c r="E3021" s="1">
        <f t="shared" si="3"/>
        <v>65916.51498</v>
      </c>
      <c r="F3021" s="1">
        <f t="shared" si="4"/>
        <v>124508.9727</v>
      </c>
      <c r="G3021" s="1">
        <f t="shared" si="5"/>
        <v>219721.7166</v>
      </c>
      <c r="H3021" s="1">
        <f t="shared" si="6"/>
        <v>402823.1471</v>
      </c>
      <c r="I3021" s="1">
        <f t="shared" si="7"/>
        <v>659165.1498</v>
      </c>
    </row>
    <row r="3022" hidden="1">
      <c r="A3022" s="266">
        <f>IFERROR(__xludf.DUMMYFUNCTION("""COMPUTED_VALUE"""),45664.99861111111)</f>
        <v>45664.99861</v>
      </c>
      <c r="B3022" s="1">
        <f>IFERROR(__xludf.DUMMYFUNCTION("""COMPUTED_VALUE"""),101731.0)</f>
        <v>101731</v>
      </c>
      <c r="C3022" s="58">
        <f t="shared" si="1"/>
        <v>5848.998611</v>
      </c>
      <c r="D3022" s="1">
        <f t="shared" si="2"/>
        <v>36656.62072</v>
      </c>
      <c r="E3022" s="1">
        <f t="shared" si="3"/>
        <v>65981.9173</v>
      </c>
      <c r="F3022" s="1">
        <f t="shared" si="4"/>
        <v>124632.5105</v>
      </c>
      <c r="G3022" s="1">
        <f t="shared" si="5"/>
        <v>219939.7243</v>
      </c>
      <c r="H3022" s="1">
        <f t="shared" si="6"/>
        <v>403222.828</v>
      </c>
      <c r="I3022" s="1">
        <f t="shared" si="7"/>
        <v>659819.173</v>
      </c>
    </row>
    <row r="3023" hidden="1">
      <c r="A3023" s="266">
        <f>IFERROR(__xludf.DUMMYFUNCTION("""COMPUTED_VALUE"""),45665.99861111111)</f>
        <v>45665.99861</v>
      </c>
      <c r="B3023" s="1">
        <f>IFERROR(__xludf.DUMMYFUNCTION("""COMPUTED_VALUE"""),96294.37)</f>
        <v>96294.37</v>
      </c>
      <c r="C3023" s="58">
        <f t="shared" si="1"/>
        <v>5849.998611</v>
      </c>
      <c r="D3023" s="1">
        <f t="shared" si="2"/>
        <v>36692.98518</v>
      </c>
      <c r="E3023" s="1">
        <f t="shared" si="3"/>
        <v>66047.37333</v>
      </c>
      <c r="F3023" s="1">
        <f t="shared" si="4"/>
        <v>124756.1496</v>
      </c>
      <c r="G3023" s="1">
        <f t="shared" si="5"/>
        <v>220157.9111</v>
      </c>
      <c r="H3023" s="1">
        <f t="shared" si="6"/>
        <v>403622.837</v>
      </c>
      <c r="I3023" s="1">
        <f t="shared" si="7"/>
        <v>660473.7333</v>
      </c>
    </row>
    <row r="3024" hidden="1">
      <c r="A3024" s="266">
        <f>IFERROR(__xludf.DUMMYFUNCTION("""COMPUTED_VALUE"""),45666.99861111111)</f>
        <v>45666.99861</v>
      </c>
      <c r="B3024" s="1">
        <f>IFERROR(__xludf.DUMMYFUNCTION("""COMPUTED_VALUE"""),94409.58)</f>
        <v>94409.58</v>
      </c>
      <c r="C3024" s="58">
        <f t="shared" si="1"/>
        <v>5850.998611</v>
      </c>
      <c r="D3024" s="1">
        <f t="shared" si="2"/>
        <v>36729.37949</v>
      </c>
      <c r="E3024" s="1">
        <f t="shared" si="3"/>
        <v>66112.88308</v>
      </c>
      <c r="F3024" s="1">
        <f t="shared" si="4"/>
        <v>124879.8903</v>
      </c>
      <c r="G3024" s="1">
        <f t="shared" si="5"/>
        <v>220376.2769</v>
      </c>
      <c r="H3024" s="1">
        <f t="shared" si="6"/>
        <v>404023.1744</v>
      </c>
      <c r="I3024" s="1">
        <f t="shared" si="7"/>
        <v>661128.8308</v>
      </c>
    </row>
    <row r="3025" hidden="1">
      <c r="A3025" s="266">
        <f>IFERROR(__xludf.DUMMYFUNCTION("""COMPUTED_VALUE"""),45667.99861111111)</f>
        <v>45667.99861</v>
      </c>
      <c r="B3025" s="1">
        <f>IFERROR(__xludf.DUMMYFUNCTION("""COMPUTED_VALUE"""),93850.97)</f>
        <v>93850.97</v>
      </c>
      <c r="C3025" s="58">
        <f t="shared" si="1"/>
        <v>5851.998611</v>
      </c>
      <c r="D3025" s="1">
        <f t="shared" si="2"/>
        <v>36765.80366</v>
      </c>
      <c r="E3025" s="1">
        <f t="shared" si="3"/>
        <v>66178.44659</v>
      </c>
      <c r="F3025" s="1">
        <f t="shared" si="4"/>
        <v>125003.7325</v>
      </c>
      <c r="G3025" s="1">
        <f t="shared" si="5"/>
        <v>220594.822</v>
      </c>
      <c r="H3025" s="1">
        <f t="shared" si="6"/>
        <v>404423.8403</v>
      </c>
      <c r="I3025" s="1">
        <f t="shared" si="7"/>
        <v>661784.4659</v>
      </c>
    </row>
    <row r="3026" hidden="1">
      <c r="A3026" s="266">
        <f>IFERROR(__xludf.DUMMYFUNCTION("""COMPUTED_VALUE"""),45668.99861111111)</f>
        <v>45668.99861</v>
      </c>
      <c r="B3026" s="1">
        <f>IFERROR(__xludf.DUMMYFUNCTION("""COMPUTED_VALUE"""),94033.5)</f>
        <v>94033.5</v>
      </c>
      <c r="C3026" s="58">
        <f t="shared" si="1"/>
        <v>5852.998611</v>
      </c>
      <c r="D3026" s="1">
        <f t="shared" si="2"/>
        <v>36802.25773</v>
      </c>
      <c r="E3026" s="1">
        <f t="shared" si="3"/>
        <v>66244.06391</v>
      </c>
      <c r="F3026" s="1">
        <f t="shared" si="4"/>
        <v>125127.6763</v>
      </c>
      <c r="G3026" s="1">
        <f t="shared" si="5"/>
        <v>220813.5464</v>
      </c>
      <c r="H3026" s="1">
        <f t="shared" si="6"/>
        <v>404824.835</v>
      </c>
      <c r="I3026" s="1">
        <f t="shared" si="7"/>
        <v>662440.6391</v>
      </c>
    </row>
    <row r="3027" hidden="1">
      <c r="A3027" s="266">
        <f>IFERROR(__xludf.DUMMYFUNCTION("""COMPUTED_VALUE"""),45669.99861111111)</f>
        <v>45669.99861</v>
      </c>
      <c r="B3027" s="1">
        <f>IFERROR(__xludf.DUMMYFUNCTION("""COMPUTED_VALUE"""),94575.31)</f>
        <v>94575.31</v>
      </c>
      <c r="C3027" s="58">
        <f t="shared" si="1"/>
        <v>5853.998611</v>
      </c>
      <c r="D3027" s="1">
        <f t="shared" si="2"/>
        <v>36838.7417</v>
      </c>
      <c r="E3027" s="1">
        <f t="shared" si="3"/>
        <v>66309.73506</v>
      </c>
      <c r="F3027" s="1">
        <f t="shared" si="4"/>
        <v>125251.7218</v>
      </c>
      <c r="G3027" s="1">
        <f t="shared" si="5"/>
        <v>221032.4502</v>
      </c>
      <c r="H3027" s="1">
        <f t="shared" si="6"/>
        <v>405226.1587</v>
      </c>
      <c r="I3027" s="1">
        <f t="shared" si="7"/>
        <v>663097.3506</v>
      </c>
    </row>
    <row r="3028" hidden="1">
      <c r="A3028" s="266">
        <f>IFERROR(__xludf.DUMMYFUNCTION("""COMPUTED_VALUE"""),45670.99861111111)</f>
        <v>45670.99861</v>
      </c>
      <c r="B3028" s="1">
        <f>IFERROR(__xludf.DUMMYFUNCTION("""COMPUTED_VALUE"""),94559.12)</f>
        <v>94559.12</v>
      </c>
      <c r="C3028" s="58">
        <f t="shared" si="1"/>
        <v>5854.998611</v>
      </c>
      <c r="D3028" s="1">
        <f t="shared" si="2"/>
        <v>36875.2556</v>
      </c>
      <c r="E3028" s="1">
        <f t="shared" si="3"/>
        <v>66375.46008</v>
      </c>
      <c r="F3028" s="1">
        <f t="shared" si="4"/>
        <v>125375.869</v>
      </c>
      <c r="G3028" s="1">
        <f t="shared" si="5"/>
        <v>221251.5336</v>
      </c>
      <c r="H3028" s="1">
        <f t="shared" si="6"/>
        <v>405627.8116</v>
      </c>
      <c r="I3028" s="1">
        <f t="shared" si="7"/>
        <v>663754.6008</v>
      </c>
    </row>
    <row r="3029" hidden="1">
      <c r="A3029" s="266">
        <f>IFERROR(__xludf.DUMMYFUNCTION("""COMPUTED_VALUE"""),45671.99861111111)</f>
        <v>45671.99861</v>
      </c>
      <c r="B3029" s="1">
        <f>IFERROR(__xludf.DUMMYFUNCTION("""COMPUTED_VALUE"""),95099.77)</f>
        <v>95099.77</v>
      </c>
      <c r="C3029" s="58">
        <f t="shared" si="1"/>
        <v>5855.998611</v>
      </c>
      <c r="D3029" s="1">
        <f t="shared" si="2"/>
        <v>36911.79945</v>
      </c>
      <c r="E3029" s="1">
        <f t="shared" si="3"/>
        <v>66441.239</v>
      </c>
      <c r="F3029" s="1">
        <f t="shared" si="4"/>
        <v>125500.1181</v>
      </c>
      <c r="G3029" s="1">
        <f t="shared" si="5"/>
        <v>221470.7967</v>
      </c>
      <c r="H3029" s="1">
        <f t="shared" si="6"/>
        <v>406029.7939</v>
      </c>
      <c r="I3029" s="1">
        <f t="shared" si="7"/>
        <v>664412.39</v>
      </c>
    </row>
    <row r="3030" hidden="1">
      <c r="A3030" s="266">
        <f>IFERROR(__xludf.DUMMYFUNCTION("""COMPUTED_VALUE"""),45672.99861111111)</f>
        <v>45672.99861</v>
      </c>
      <c r="B3030" s="1">
        <f>IFERROR(__xludf.DUMMYFUNCTION("""COMPUTED_VALUE"""),97176.71)</f>
        <v>97176.71</v>
      </c>
      <c r="C3030" s="58">
        <f t="shared" si="1"/>
        <v>5856.998611</v>
      </c>
      <c r="D3030" s="1">
        <f t="shared" si="2"/>
        <v>36948.37326</v>
      </c>
      <c r="E3030" s="1">
        <f t="shared" si="3"/>
        <v>66507.07187</v>
      </c>
      <c r="F3030" s="1">
        <f t="shared" si="4"/>
        <v>125624.4691</v>
      </c>
      <c r="G3030" s="1">
        <f t="shared" si="5"/>
        <v>221690.2396</v>
      </c>
      <c r="H3030" s="1">
        <f t="shared" si="6"/>
        <v>406432.1059</v>
      </c>
      <c r="I3030" s="1">
        <f t="shared" si="7"/>
        <v>665070.7187</v>
      </c>
    </row>
    <row r="3031" hidden="1">
      <c r="A3031" s="266">
        <f>IFERROR(__xludf.DUMMYFUNCTION("""COMPUTED_VALUE"""),45673.99861111111)</f>
        <v>45673.99861</v>
      </c>
      <c r="B3031" s="1">
        <f>IFERROR(__xludf.DUMMYFUNCTION("""COMPUTED_VALUE"""),99576.98)</f>
        <v>99576.98</v>
      </c>
      <c r="C3031" s="58">
        <f t="shared" si="1"/>
        <v>5857.998611</v>
      </c>
      <c r="D3031" s="1">
        <f t="shared" si="2"/>
        <v>36984.97706</v>
      </c>
      <c r="E3031" s="1">
        <f t="shared" si="3"/>
        <v>66572.9587</v>
      </c>
      <c r="F3031" s="1">
        <f t="shared" si="4"/>
        <v>125748.922</v>
      </c>
      <c r="G3031" s="1">
        <f t="shared" si="5"/>
        <v>221909.8623</v>
      </c>
      <c r="H3031" s="1">
        <f t="shared" si="6"/>
        <v>406834.7476</v>
      </c>
      <c r="I3031" s="1">
        <f t="shared" si="7"/>
        <v>665729.587</v>
      </c>
    </row>
    <row r="3032" hidden="1">
      <c r="A3032" s="266">
        <f>IFERROR(__xludf.DUMMYFUNCTION("""COMPUTED_VALUE"""),45674.99861111111)</f>
        <v>45674.99861</v>
      </c>
      <c r="B3032" s="1">
        <f>IFERROR(__xludf.DUMMYFUNCTION("""COMPUTED_VALUE"""),101413.4)</f>
        <v>101413.4</v>
      </c>
      <c r="C3032" s="58">
        <f t="shared" si="1"/>
        <v>5858.998611</v>
      </c>
      <c r="D3032" s="1">
        <f t="shared" si="2"/>
        <v>37021.61086</v>
      </c>
      <c r="E3032" s="1">
        <f t="shared" si="3"/>
        <v>66638.89955</v>
      </c>
      <c r="F3032" s="1">
        <f t="shared" si="4"/>
        <v>125873.4769</v>
      </c>
      <c r="G3032" s="1">
        <f t="shared" si="5"/>
        <v>222129.6652</v>
      </c>
      <c r="H3032" s="1">
        <f t="shared" si="6"/>
        <v>407237.7195</v>
      </c>
      <c r="I3032" s="1">
        <f t="shared" si="7"/>
        <v>666388.9955</v>
      </c>
    </row>
    <row r="3033" hidden="1">
      <c r="A3033" s="266">
        <f>IFERROR(__xludf.DUMMYFUNCTION("""COMPUTED_VALUE"""),45675.99861111111)</f>
        <v>45675.99861</v>
      </c>
      <c r="B3033" s="1">
        <f>IFERROR(__xludf.DUMMYFUNCTION("""COMPUTED_VALUE"""),103545.4)</f>
        <v>103545.4</v>
      </c>
      <c r="C3033" s="58">
        <f t="shared" si="1"/>
        <v>5859.998611</v>
      </c>
      <c r="D3033" s="1">
        <f t="shared" si="2"/>
        <v>37058.27469</v>
      </c>
      <c r="E3033" s="1">
        <f t="shared" si="3"/>
        <v>66704.89444</v>
      </c>
      <c r="F3033" s="1">
        <f t="shared" si="4"/>
        <v>125998.1339</v>
      </c>
      <c r="G3033" s="1">
        <f t="shared" si="5"/>
        <v>222349.6481</v>
      </c>
      <c r="H3033" s="1">
        <f t="shared" si="6"/>
        <v>407641.0216</v>
      </c>
      <c r="I3033" s="1">
        <f t="shared" si="7"/>
        <v>667048.9444</v>
      </c>
    </row>
    <row r="3034" hidden="1">
      <c r="A3034" s="266">
        <f>IFERROR(__xludf.DUMMYFUNCTION("""COMPUTED_VALUE"""),45676.99861111111)</f>
        <v>45676.99861</v>
      </c>
      <c r="B3034" s="1">
        <f>IFERROR(__xludf.DUMMYFUNCTION("""COMPUTED_VALUE"""),104841.0)</f>
        <v>104841</v>
      </c>
      <c r="C3034" s="58">
        <f t="shared" si="1"/>
        <v>5860.998611</v>
      </c>
      <c r="D3034" s="1">
        <f t="shared" si="2"/>
        <v>37094.96856</v>
      </c>
      <c r="E3034" s="1">
        <f t="shared" si="3"/>
        <v>66770.94341</v>
      </c>
      <c r="F3034" s="1">
        <f t="shared" si="4"/>
        <v>126122.8931</v>
      </c>
      <c r="G3034" s="1">
        <f t="shared" si="5"/>
        <v>222569.8114</v>
      </c>
      <c r="H3034" s="1">
        <f t="shared" si="6"/>
        <v>408044.6542</v>
      </c>
      <c r="I3034" s="1">
        <f t="shared" si="7"/>
        <v>667709.4341</v>
      </c>
    </row>
    <row r="3035" hidden="1">
      <c r="A3035" s="266">
        <f>IFERROR(__xludf.DUMMYFUNCTION("""COMPUTED_VALUE"""),45677.99861111111)</f>
        <v>45677.99861</v>
      </c>
      <c r="B3035" s="1">
        <f>IFERROR(__xludf.DUMMYFUNCTION("""COMPUTED_VALUE"""),102194.9)</f>
        <v>102194.9</v>
      </c>
      <c r="C3035" s="58">
        <f t="shared" si="1"/>
        <v>5861.998611</v>
      </c>
      <c r="D3035" s="1">
        <f t="shared" si="2"/>
        <v>37131.6925</v>
      </c>
      <c r="E3035" s="1">
        <f t="shared" si="3"/>
        <v>66837.0465</v>
      </c>
      <c r="F3035" s="1">
        <f t="shared" si="4"/>
        <v>126247.7545</v>
      </c>
      <c r="G3035" s="1">
        <f t="shared" si="5"/>
        <v>222790.155</v>
      </c>
      <c r="H3035" s="1">
        <f t="shared" si="6"/>
        <v>408448.6175</v>
      </c>
      <c r="I3035" s="1">
        <f t="shared" si="7"/>
        <v>668370.465</v>
      </c>
    </row>
    <row r="3036" hidden="1">
      <c r="A3036" s="266">
        <f>IFERROR(__xludf.DUMMYFUNCTION("""COMPUTED_VALUE"""),45678.99861111111)</f>
        <v>45678.99861</v>
      </c>
      <c r="B3036" s="1">
        <f>IFERROR(__xludf.DUMMYFUNCTION("""COMPUTED_VALUE"""),102204.3)</f>
        <v>102204.3</v>
      </c>
      <c r="C3036" s="58">
        <f t="shared" si="1"/>
        <v>5862.998611</v>
      </c>
      <c r="D3036" s="1">
        <f t="shared" si="2"/>
        <v>37168.44652</v>
      </c>
      <c r="E3036" s="1">
        <f t="shared" si="3"/>
        <v>66903.20373</v>
      </c>
      <c r="F3036" s="1">
        <f t="shared" si="4"/>
        <v>126372.7182</v>
      </c>
      <c r="G3036" s="1">
        <f t="shared" si="5"/>
        <v>223010.6791</v>
      </c>
      <c r="H3036" s="1">
        <f t="shared" si="6"/>
        <v>408852.9117</v>
      </c>
      <c r="I3036" s="1">
        <f t="shared" si="7"/>
        <v>669032.0373</v>
      </c>
    </row>
    <row r="3037" hidden="1">
      <c r="A3037" s="266">
        <f>IFERROR(__xludf.DUMMYFUNCTION("""COMPUTED_VALUE"""),45679.99861111111)</f>
        <v>45679.99861</v>
      </c>
      <c r="B3037" s="1">
        <f>IFERROR(__xludf.DUMMYFUNCTION("""COMPUTED_VALUE"""),105559.4)</f>
        <v>105559.4</v>
      </c>
      <c r="C3037" s="58">
        <f t="shared" si="1"/>
        <v>5863.998611</v>
      </c>
      <c r="D3037" s="1">
        <f t="shared" si="2"/>
        <v>37205.23064</v>
      </c>
      <c r="E3037" s="1">
        <f t="shared" si="3"/>
        <v>66969.41515</v>
      </c>
      <c r="F3037" s="1">
        <f t="shared" si="4"/>
        <v>126497.7842</v>
      </c>
      <c r="G3037" s="1">
        <f t="shared" si="5"/>
        <v>223231.3838</v>
      </c>
      <c r="H3037" s="1">
        <f t="shared" si="6"/>
        <v>409257.537</v>
      </c>
      <c r="I3037" s="1">
        <f t="shared" si="7"/>
        <v>669694.1515</v>
      </c>
    </row>
    <row r="3038" hidden="1">
      <c r="A3038" s="266">
        <f>IFERROR(__xludf.DUMMYFUNCTION("""COMPUTED_VALUE"""),45680.99861111111)</f>
        <v>45680.99861</v>
      </c>
      <c r="B3038" s="1">
        <f>IFERROR(__xludf.DUMMYFUNCTION("""COMPUTED_VALUE"""),101964.6)</f>
        <v>101964.6</v>
      </c>
      <c r="C3038" s="58">
        <f t="shared" si="1"/>
        <v>5864.998611</v>
      </c>
      <c r="D3038" s="1">
        <f t="shared" si="2"/>
        <v>37242.04488</v>
      </c>
      <c r="E3038" s="1">
        <f t="shared" si="3"/>
        <v>67035.68079</v>
      </c>
      <c r="F3038" s="1">
        <f t="shared" si="4"/>
        <v>126622.9526</v>
      </c>
      <c r="G3038" s="1">
        <f t="shared" si="5"/>
        <v>223452.2693</v>
      </c>
      <c r="H3038" s="1">
        <f t="shared" si="6"/>
        <v>409662.4937</v>
      </c>
      <c r="I3038" s="1">
        <f t="shared" si="7"/>
        <v>670356.8079</v>
      </c>
    </row>
    <row r="3039" hidden="1">
      <c r="A3039" s="266">
        <f>IFERROR(__xludf.DUMMYFUNCTION("""COMPUTED_VALUE"""),45681.99861111111)</f>
        <v>45681.99861</v>
      </c>
      <c r="B3039" s="1">
        <f>IFERROR(__xludf.DUMMYFUNCTION("""COMPUTED_VALUE"""),104563.0)</f>
        <v>104563</v>
      </c>
      <c r="C3039" s="58">
        <f t="shared" si="1"/>
        <v>5865.998611</v>
      </c>
      <c r="D3039" s="1">
        <f t="shared" si="2"/>
        <v>37278.88927</v>
      </c>
      <c r="E3039" s="1">
        <f t="shared" si="3"/>
        <v>67102.00068</v>
      </c>
      <c r="F3039" s="1">
        <f t="shared" si="4"/>
        <v>126748.2235</v>
      </c>
      <c r="G3039" s="1">
        <f t="shared" si="5"/>
        <v>223673.3356</v>
      </c>
      <c r="H3039" s="1">
        <f t="shared" si="6"/>
        <v>410067.782</v>
      </c>
      <c r="I3039" s="1">
        <f t="shared" si="7"/>
        <v>671020.0068</v>
      </c>
    </row>
    <row r="3040" hidden="1">
      <c r="A3040" s="266">
        <f>IFERROR(__xludf.DUMMYFUNCTION("""COMPUTED_VALUE"""),45682.99861111111)</f>
        <v>45682.99861</v>
      </c>
      <c r="B3040" s="1">
        <f>IFERROR(__xludf.DUMMYFUNCTION("""COMPUTED_VALUE"""),104669.3)</f>
        <v>104669.3</v>
      </c>
      <c r="C3040" s="58">
        <f t="shared" si="1"/>
        <v>5866.998611</v>
      </c>
      <c r="D3040" s="1">
        <f t="shared" si="2"/>
        <v>37315.76382</v>
      </c>
      <c r="E3040" s="1">
        <f t="shared" si="3"/>
        <v>67168.37487</v>
      </c>
      <c r="F3040" s="1">
        <f t="shared" si="4"/>
        <v>126873.597</v>
      </c>
      <c r="G3040" s="1">
        <f t="shared" si="5"/>
        <v>223894.5829</v>
      </c>
      <c r="H3040" s="1">
        <f t="shared" si="6"/>
        <v>410473.402</v>
      </c>
      <c r="I3040" s="1">
        <f t="shared" si="7"/>
        <v>671683.7487</v>
      </c>
    </row>
    <row r="3041" hidden="1">
      <c r="A3041" s="266">
        <f>IFERROR(__xludf.DUMMYFUNCTION("""COMPUTED_VALUE"""),45683.99861111111)</f>
        <v>45683.99861</v>
      </c>
      <c r="B3041" s="1">
        <f>IFERROR(__xludf.DUMMYFUNCTION("""COMPUTED_VALUE"""),105193.9)</f>
        <v>105193.9</v>
      </c>
      <c r="C3041" s="58">
        <f t="shared" si="1"/>
        <v>5867.998611</v>
      </c>
      <c r="D3041" s="1">
        <f t="shared" si="2"/>
        <v>37352.66854</v>
      </c>
      <c r="E3041" s="1">
        <f t="shared" si="3"/>
        <v>67234.80338</v>
      </c>
      <c r="F3041" s="1">
        <f t="shared" si="4"/>
        <v>126999.073</v>
      </c>
      <c r="G3041" s="1">
        <f t="shared" si="5"/>
        <v>224116.0113</v>
      </c>
      <c r="H3041" s="1">
        <f t="shared" si="6"/>
        <v>410879.354</v>
      </c>
      <c r="I3041" s="1">
        <f t="shared" si="7"/>
        <v>672348.0338</v>
      </c>
    </row>
    <row r="3042" hidden="1">
      <c r="A3042" s="266">
        <f>IFERROR(__xludf.DUMMYFUNCTION("""COMPUTED_VALUE"""),45684.99861111111)</f>
        <v>45684.99861</v>
      </c>
      <c r="B3042" s="1">
        <f>IFERROR(__xludf.DUMMYFUNCTION("""COMPUTED_VALUE"""),100414.1)</f>
        <v>100414.1</v>
      </c>
      <c r="C3042" s="58">
        <f t="shared" si="1"/>
        <v>5868.998611</v>
      </c>
      <c r="D3042" s="1">
        <f t="shared" si="2"/>
        <v>37389.60347</v>
      </c>
      <c r="E3042" s="1">
        <f t="shared" si="3"/>
        <v>67301.28625</v>
      </c>
      <c r="F3042" s="1">
        <f t="shared" si="4"/>
        <v>127124.6518</v>
      </c>
      <c r="G3042" s="1">
        <f t="shared" si="5"/>
        <v>224337.6208</v>
      </c>
      <c r="H3042" s="1">
        <f t="shared" si="6"/>
        <v>411285.6382</v>
      </c>
      <c r="I3042" s="1">
        <f t="shared" si="7"/>
        <v>673012.8625</v>
      </c>
    </row>
    <row r="3043" hidden="1">
      <c r="A3043" s="266">
        <f>IFERROR(__xludf.DUMMYFUNCTION("""COMPUTED_VALUE"""),45685.99861111111)</f>
        <v>45685.99861</v>
      </c>
      <c r="B3043" s="1">
        <f>IFERROR(__xludf.DUMMYFUNCTION("""COMPUTED_VALUE"""),102938.0)</f>
        <v>102938</v>
      </c>
      <c r="C3043" s="58">
        <f t="shared" si="1"/>
        <v>5869.998611</v>
      </c>
      <c r="D3043" s="1">
        <f t="shared" si="2"/>
        <v>37426.56862</v>
      </c>
      <c r="E3043" s="1">
        <f t="shared" si="3"/>
        <v>67367.82351</v>
      </c>
      <c r="F3043" s="1">
        <f t="shared" si="4"/>
        <v>127250.3333</v>
      </c>
      <c r="G3043" s="1">
        <f t="shared" si="5"/>
        <v>224559.4117</v>
      </c>
      <c r="H3043" s="1">
        <f t="shared" si="6"/>
        <v>411692.2548</v>
      </c>
      <c r="I3043" s="1">
        <f t="shared" si="7"/>
        <v>673678.2351</v>
      </c>
    </row>
    <row r="3044" hidden="1">
      <c r="A3044" s="266">
        <f>IFERROR(__xludf.DUMMYFUNCTION("""COMPUTED_VALUE"""),45686.99861111111)</f>
        <v>45686.99861</v>
      </c>
      <c r="B3044" s="1">
        <f>IFERROR(__xludf.DUMMYFUNCTION("""COMPUTED_VALUE"""),101995.6)</f>
        <v>101995.6</v>
      </c>
      <c r="C3044" s="58">
        <f t="shared" si="1"/>
        <v>5870.998611</v>
      </c>
      <c r="D3044" s="1">
        <f t="shared" si="2"/>
        <v>37463.564</v>
      </c>
      <c r="E3044" s="1">
        <f t="shared" si="3"/>
        <v>67434.41521</v>
      </c>
      <c r="F3044" s="1">
        <f t="shared" si="4"/>
        <v>127376.1176</v>
      </c>
      <c r="G3044" s="1">
        <f t="shared" si="5"/>
        <v>224781.384</v>
      </c>
      <c r="H3044" s="1">
        <f t="shared" si="6"/>
        <v>412099.2041</v>
      </c>
      <c r="I3044" s="1">
        <f t="shared" si="7"/>
        <v>674344.1521</v>
      </c>
    </row>
    <row r="3045" hidden="1">
      <c r="A3045" s="266">
        <f>IFERROR(__xludf.DUMMYFUNCTION("""COMPUTED_VALUE"""),45687.99861111111)</f>
        <v>45687.99861</v>
      </c>
      <c r="B3045" s="1">
        <f>IFERROR(__xludf.DUMMYFUNCTION("""COMPUTED_VALUE"""),105403.1)</f>
        <v>105403.1</v>
      </c>
      <c r="C3045" s="58">
        <f t="shared" si="1"/>
        <v>5871.998611</v>
      </c>
      <c r="D3045" s="1">
        <f t="shared" si="2"/>
        <v>37500.58965</v>
      </c>
      <c r="E3045" s="1">
        <f t="shared" si="3"/>
        <v>67501.06137</v>
      </c>
      <c r="F3045" s="1">
        <f t="shared" si="4"/>
        <v>127502.0048</v>
      </c>
      <c r="G3045" s="1">
        <f t="shared" si="5"/>
        <v>225003.5379</v>
      </c>
      <c r="H3045" s="1">
        <f t="shared" si="6"/>
        <v>412506.4862</v>
      </c>
      <c r="I3045" s="1">
        <f t="shared" si="7"/>
        <v>675010.6137</v>
      </c>
    </row>
    <row r="3046" hidden="1">
      <c r="A3046" s="266">
        <f>IFERROR(__xludf.DUMMYFUNCTION("""COMPUTED_VALUE"""),45688.99861111111)</f>
        <v>45688.99861</v>
      </c>
      <c r="B3046" s="1">
        <f>IFERROR(__xludf.DUMMYFUNCTION("""COMPUTED_VALUE"""),104008.8)</f>
        <v>104008.8</v>
      </c>
      <c r="C3046" s="58">
        <f t="shared" si="1"/>
        <v>5872.998611</v>
      </c>
      <c r="D3046" s="1">
        <f t="shared" si="2"/>
        <v>37537.64557</v>
      </c>
      <c r="E3046" s="1">
        <f t="shared" si="3"/>
        <v>67567.76203</v>
      </c>
      <c r="F3046" s="1">
        <f t="shared" si="4"/>
        <v>127627.995</v>
      </c>
      <c r="G3046" s="1">
        <f t="shared" si="5"/>
        <v>225225.8734</v>
      </c>
      <c r="H3046" s="1">
        <f t="shared" si="6"/>
        <v>412914.1013</v>
      </c>
      <c r="I3046" s="1">
        <f t="shared" si="7"/>
        <v>675677.6203</v>
      </c>
    </row>
    <row r="3047" hidden="1">
      <c r="A3047" s="266">
        <f>IFERROR(__xludf.DUMMYFUNCTION("""COMPUTED_VALUE"""),45689.99861111111)</f>
        <v>45689.99861</v>
      </c>
      <c r="B3047" s="1">
        <f>IFERROR(__xludf.DUMMYFUNCTION("""COMPUTED_VALUE"""),102345.6)</f>
        <v>102345.6</v>
      </c>
      <c r="C3047" s="58">
        <f t="shared" si="1"/>
        <v>5873.998611</v>
      </c>
      <c r="D3047" s="1">
        <f t="shared" si="2"/>
        <v>37574.7318</v>
      </c>
      <c r="E3047" s="1">
        <f t="shared" si="3"/>
        <v>67634.51724</v>
      </c>
      <c r="F3047" s="1">
        <f t="shared" si="4"/>
        <v>127754.0881</v>
      </c>
      <c r="G3047" s="1">
        <f t="shared" si="5"/>
        <v>225448.3908</v>
      </c>
      <c r="H3047" s="1">
        <f t="shared" si="6"/>
        <v>413322.0498</v>
      </c>
      <c r="I3047" s="1">
        <f t="shared" si="7"/>
        <v>676345.1724</v>
      </c>
    </row>
    <row r="3048" hidden="1">
      <c r="A3048" s="266">
        <f>IFERROR(__xludf.DUMMYFUNCTION("""COMPUTED_VALUE"""),45690.99861111111)</f>
        <v>45690.99861</v>
      </c>
      <c r="B3048" s="1">
        <f>IFERROR(__xludf.DUMMYFUNCTION("""COMPUTED_VALUE"""),99655.54)</f>
        <v>99655.54</v>
      </c>
      <c r="C3048" s="58">
        <f t="shared" si="1"/>
        <v>5874.998611</v>
      </c>
      <c r="D3048" s="1">
        <f t="shared" si="2"/>
        <v>37611.84834</v>
      </c>
      <c r="E3048" s="1">
        <f t="shared" si="3"/>
        <v>67701.32701</v>
      </c>
      <c r="F3048" s="1">
        <f t="shared" si="4"/>
        <v>127880.2843</v>
      </c>
      <c r="G3048" s="1">
        <f t="shared" si="5"/>
        <v>225671.09</v>
      </c>
      <c r="H3048" s="1">
        <f t="shared" si="6"/>
        <v>413730.3317</v>
      </c>
      <c r="I3048" s="1">
        <f t="shared" si="7"/>
        <v>677013.2701</v>
      </c>
    </row>
    <row r="3049" hidden="1">
      <c r="A3049" s="266">
        <f>IFERROR(__xludf.DUMMYFUNCTION("""COMPUTED_VALUE"""),45691.99861111111)</f>
        <v>45691.99861</v>
      </c>
      <c r="B3049" s="1">
        <f>IFERROR(__xludf.DUMMYFUNCTION("""COMPUTED_VALUE"""),92883.21)</f>
        <v>92883.21</v>
      </c>
      <c r="C3049" s="58">
        <f t="shared" si="1"/>
        <v>5875.998611</v>
      </c>
      <c r="D3049" s="1">
        <f t="shared" si="2"/>
        <v>37648.99522</v>
      </c>
      <c r="E3049" s="1">
        <f t="shared" si="3"/>
        <v>67768.19139</v>
      </c>
      <c r="F3049" s="1">
        <f t="shared" si="4"/>
        <v>128006.5837</v>
      </c>
      <c r="G3049" s="1">
        <f t="shared" si="5"/>
        <v>225893.9713</v>
      </c>
      <c r="H3049" s="1">
        <f t="shared" si="6"/>
        <v>414138.9474</v>
      </c>
      <c r="I3049" s="1">
        <f t="shared" si="7"/>
        <v>677681.9139</v>
      </c>
    </row>
    <row r="3050" hidden="1">
      <c r="A3050" s="266">
        <f>IFERROR(__xludf.DUMMYFUNCTION("""COMPUTED_VALUE"""),45692.99861111111)</f>
        <v>45692.99861</v>
      </c>
      <c r="B3050" s="1">
        <f>IFERROR(__xludf.DUMMYFUNCTION("""COMPUTED_VALUE"""),100156.4)</f>
        <v>100156.4</v>
      </c>
      <c r="C3050" s="58">
        <f t="shared" si="1"/>
        <v>5876.998611</v>
      </c>
      <c r="D3050" s="1">
        <f t="shared" si="2"/>
        <v>37686.17245</v>
      </c>
      <c r="E3050" s="1">
        <f t="shared" si="3"/>
        <v>67835.11041</v>
      </c>
      <c r="F3050" s="1">
        <f t="shared" si="4"/>
        <v>128132.9863</v>
      </c>
      <c r="G3050" s="1">
        <f t="shared" si="5"/>
        <v>226117.0347</v>
      </c>
      <c r="H3050" s="1">
        <f t="shared" si="6"/>
        <v>414547.897</v>
      </c>
      <c r="I3050" s="1">
        <f t="shared" si="7"/>
        <v>678351.1041</v>
      </c>
    </row>
    <row r="3051" hidden="1">
      <c r="A3051" s="266">
        <f>IFERROR(__xludf.DUMMYFUNCTION("""COMPUTED_VALUE"""),45693.99861111111)</f>
        <v>45693.99861</v>
      </c>
      <c r="B3051" s="1">
        <f>IFERROR(__xludf.DUMMYFUNCTION("""COMPUTED_VALUE"""),98136.17)</f>
        <v>98136.17</v>
      </c>
      <c r="C3051" s="58">
        <f t="shared" si="1"/>
        <v>5877.998611</v>
      </c>
      <c r="D3051" s="1">
        <f t="shared" si="2"/>
        <v>37723.38006</v>
      </c>
      <c r="E3051" s="1">
        <f t="shared" si="3"/>
        <v>67902.08411</v>
      </c>
      <c r="F3051" s="1">
        <f t="shared" si="4"/>
        <v>128259.4922</v>
      </c>
      <c r="G3051" s="1">
        <f t="shared" si="5"/>
        <v>226340.2804</v>
      </c>
      <c r="H3051" s="1">
        <f t="shared" si="6"/>
        <v>414957.1807</v>
      </c>
      <c r="I3051" s="1">
        <f t="shared" si="7"/>
        <v>679020.8411</v>
      </c>
    </row>
    <row r="3052" hidden="1">
      <c r="A3052" s="266">
        <f>IFERROR(__xludf.DUMMYFUNCTION("""COMPUTED_VALUE"""),45694.99861111111)</f>
        <v>45694.99861</v>
      </c>
      <c r="B3052" s="1">
        <f>IFERROR(__xludf.DUMMYFUNCTION("""COMPUTED_VALUE"""),97649.43)</f>
        <v>97649.43</v>
      </c>
      <c r="C3052" s="58">
        <f t="shared" si="1"/>
        <v>5878.998611</v>
      </c>
      <c r="D3052" s="1">
        <f t="shared" si="2"/>
        <v>37760.61807</v>
      </c>
      <c r="E3052" s="1">
        <f t="shared" si="3"/>
        <v>67969.11253</v>
      </c>
      <c r="F3052" s="1">
        <f t="shared" si="4"/>
        <v>128386.1014</v>
      </c>
      <c r="G3052" s="1">
        <f t="shared" si="5"/>
        <v>226563.7084</v>
      </c>
      <c r="H3052" s="1">
        <f t="shared" si="6"/>
        <v>415366.7988</v>
      </c>
      <c r="I3052" s="1">
        <f t="shared" si="7"/>
        <v>679691.1253</v>
      </c>
    </row>
    <row r="3053" hidden="1">
      <c r="A3053" s="266">
        <f>IFERROR(__xludf.DUMMYFUNCTION("""COMPUTED_VALUE"""),45695.99861111111)</f>
        <v>45695.99861</v>
      </c>
      <c r="B3053" s="1">
        <f>IFERROR(__xludf.DUMMYFUNCTION("""COMPUTED_VALUE"""),97519.86)</f>
        <v>97519.86</v>
      </c>
      <c r="C3053" s="58">
        <f t="shared" si="1"/>
        <v>5879.998611</v>
      </c>
      <c r="D3053" s="1">
        <f t="shared" si="2"/>
        <v>37797.88649</v>
      </c>
      <c r="E3053" s="1">
        <f t="shared" si="3"/>
        <v>68036.19569</v>
      </c>
      <c r="F3053" s="1">
        <f t="shared" si="4"/>
        <v>128512.8141</v>
      </c>
      <c r="G3053" s="1">
        <f t="shared" si="5"/>
        <v>226787.319</v>
      </c>
      <c r="H3053" s="1">
        <f t="shared" si="6"/>
        <v>415776.7514</v>
      </c>
      <c r="I3053" s="1">
        <f t="shared" si="7"/>
        <v>680361.9569</v>
      </c>
    </row>
    <row r="3054" hidden="1">
      <c r="A3054" s="266">
        <f>IFERROR(__xludf.DUMMYFUNCTION("""COMPUTED_VALUE"""),45696.99861111111)</f>
        <v>45696.99861</v>
      </c>
      <c r="B3054" s="1">
        <f>IFERROR(__xludf.DUMMYFUNCTION("""COMPUTED_VALUE"""),96362.31)</f>
        <v>96362.31</v>
      </c>
      <c r="C3054" s="58">
        <f t="shared" si="1"/>
        <v>5880.998611</v>
      </c>
      <c r="D3054" s="1">
        <f t="shared" si="2"/>
        <v>37835.18535</v>
      </c>
      <c r="E3054" s="1">
        <f t="shared" si="3"/>
        <v>68103.33364</v>
      </c>
      <c r="F3054" s="1">
        <f t="shared" si="4"/>
        <v>128639.6302</v>
      </c>
      <c r="G3054" s="1">
        <f t="shared" si="5"/>
        <v>227011.1121</v>
      </c>
      <c r="H3054" s="1">
        <f t="shared" si="6"/>
        <v>416187.0389</v>
      </c>
      <c r="I3054" s="1">
        <f t="shared" si="7"/>
        <v>681033.3364</v>
      </c>
    </row>
    <row r="3055" hidden="1">
      <c r="A3055" s="266">
        <f>IFERROR(__xludf.DUMMYFUNCTION("""COMPUTED_VALUE"""),45697.99861111111)</f>
        <v>45697.99861</v>
      </c>
      <c r="B3055" s="1">
        <f>IFERROR(__xludf.DUMMYFUNCTION("""COMPUTED_VALUE"""),97281.8)</f>
        <v>97281.8</v>
      </c>
      <c r="C3055" s="58">
        <f t="shared" si="1"/>
        <v>5881.998611</v>
      </c>
      <c r="D3055" s="1">
        <f t="shared" si="2"/>
        <v>37872.51467</v>
      </c>
      <c r="E3055" s="1">
        <f t="shared" si="3"/>
        <v>68170.5264</v>
      </c>
      <c r="F3055" s="1">
        <f t="shared" si="4"/>
        <v>128766.5499</v>
      </c>
      <c r="G3055" s="1">
        <f t="shared" si="5"/>
        <v>227235.088</v>
      </c>
      <c r="H3055" s="1">
        <f t="shared" si="6"/>
        <v>416597.6613</v>
      </c>
      <c r="I3055" s="1">
        <f t="shared" si="7"/>
        <v>681705.264</v>
      </c>
    </row>
    <row r="3056" hidden="1">
      <c r="A3056" s="266">
        <f>IFERROR(__xludf.DUMMYFUNCTION("""COMPUTED_VALUE"""),45698.99861111111)</f>
        <v>45698.99861</v>
      </c>
      <c r="B3056" s="1">
        <f>IFERROR(__xludf.DUMMYFUNCTION("""COMPUTED_VALUE"""),96932.82)</f>
        <v>96932.82</v>
      </c>
      <c r="C3056" s="58">
        <f t="shared" si="1"/>
        <v>5882.998611</v>
      </c>
      <c r="D3056" s="1">
        <f t="shared" si="2"/>
        <v>37909.87446</v>
      </c>
      <c r="E3056" s="1">
        <f t="shared" si="3"/>
        <v>68237.77402</v>
      </c>
      <c r="F3056" s="1">
        <f t="shared" si="4"/>
        <v>128893.5732</v>
      </c>
      <c r="G3056" s="1">
        <f t="shared" si="5"/>
        <v>227459.2467</v>
      </c>
      <c r="H3056" s="1">
        <f t="shared" si="6"/>
        <v>417008.619</v>
      </c>
      <c r="I3056" s="1">
        <f t="shared" si="7"/>
        <v>682377.7402</v>
      </c>
    </row>
    <row r="3057" hidden="1">
      <c r="A3057" s="266">
        <f>IFERROR(__xludf.DUMMYFUNCTION("""COMPUTED_VALUE"""),45699.99861111111)</f>
        <v>45699.99861</v>
      </c>
      <c r="B3057" s="1">
        <f>IFERROR(__xludf.DUMMYFUNCTION("""COMPUTED_VALUE"""),98077.13)</f>
        <v>98077.13</v>
      </c>
      <c r="C3057" s="58">
        <f t="shared" si="1"/>
        <v>5883.998611</v>
      </c>
      <c r="D3057" s="1">
        <f t="shared" si="2"/>
        <v>37947.26474</v>
      </c>
      <c r="E3057" s="1">
        <f t="shared" si="3"/>
        <v>68305.07654</v>
      </c>
      <c r="F3057" s="1">
        <f t="shared" si="4"/>
        <v>129020.7001</v>
      </c>
      <c r="G3057" s="1">
        <f t="shared" si="5"/>
        <v>227683.5885</v>
      </c>
      <c r="H3057" s="1">
        <f t="shared" si="6"/>
        <v>417419.9122</v>
      </c>
      <c r="I3057" s="1">
        <f t="shared" si="7"/>
        <v>683050.7654</v>
      </c>
    </row>
    <row r="3058" hidden="1">
      <c r="A3058" s="266">
        <f>IFERROR(__xludf.DUMMYFUNCTION("""COMPUTED_VALUE"""),45700.99861111111)</f>
        <v>45700.99861</v>
      </c>
      <c r="B3058" s="1">
        <f>IFERROR(__xludf.DUMMYFUNCTION("""COMPUTED_VALUE"""),95573.3)</f>
        <v>95573.3</v>
      </c>
      <c r="C3058" s="58">
        <f t="shared" si="1"/>
        <v>5884.998611</v>
      </c>
      <c r="D3058" s="1">
        <f t="shared" si="2"/>
        <v>37984.68554</v>
      </c>
      <c r="E3058" s="1">
        <f t="shared" si="3"/>
        <v>68372.43397</v>
      </c>
      <c r="F3058" s="1">
        <f t="shared" si="4"/>
        <v>129147.9308</v>
      </c>
      <c r="G3058" s="1">
        <f t="shared" si="5"/>
        <v>227908.1132</v>
      </c>
      <c r="H3058" s="1">
        <f t="shared" si="6"/>
        <v>417831.541</v>
      </c>
      <c r="I3058" s="1">
        <f t="shared" si="7"/>
        <v>683724.3397</v>
      </c>
    </row>
    <row r="3059" hidden="1">
      <c r="A3059" s="266">
        <f>IFERROR(__xludf.DUMMYFUNCTION("""COMPUTED_VALUE"""),45701.99861111111)</f>
        <v>45701.99861</v>
      </c>
      <c r="B3059" s="1">
        <f>IFERROR(__xludf.DUMMYFUNCTION("""COMPUTED_VALUE"""),96900.99)</f>
        <v>96900.99</v>
      </c>
      <c r="C3059" s="58">
        <f t="shared" si="1"/>
        <v>5885.998611</v>
      </c>
      <c r="D3059" s="1">
        <f t="shared" si="2"/>
        <v>38022.13687</v>
      </c>
      <c r="E3059" s="1">
        <f t="shared" si="3"/>
        <v>68439.84637</v>
      </c>
      <c r="F3059" s="1">
        <f t="shared" si="4"/>
        <v>129275.2654</v>
      </c>
      <c r="G3059" s="1">
        <f t="shared" si="5"/>
        <v>228132.8212</v>
      </c>
      <c r="H3059" s="1">
        <f t="shared" si="6"/>
        <v>418243.5056</v>
      </c>
      <c r="I3059" s="1">
        <f t="shared" si="7"/>
        <v>684398.4637</v>
      </c>
    </row>
    <row r="3060" hidden="1">
      <c r="A3060" s="266">
        <f>IFERROR(__xludf.DUMMYFUNCTION("""COMPUTED_VALUE"""),45702.99861111111)</f>
        <v>45702.99861</v>
      </c>
      <c r="B3060" s="1">
        <f>IFERROR(__xludf.DUMMYFUNCTION("""COMPUTED_VALUE"""),96796.01)</f>
        <v>96796.01</v>
      </c>
      <c r="C3060" s="58">
        <f t="shared" si="1"/>
        <v>5886.998611</v>
      </c>
      <c r="D3060" s="1">
        <f t="shared" si="2"/>
        <v>38059.61876</v>
      </c>
      <c r="E3060" s="1">
        <f t="shared" si="3"/>
        <v>68507.31377</v>
      </c>
      <c r="F3060" s="1">
        <f t="shared" si="4"/>
        <v>129402.7038</v>
      </c>
      <c r="G3060" s="1">
        <f t="shared" si="5"/>
        <v>228357.7126</v>
      </c>
      <c r="H3060" s="1">
        <f t="shared" si="6"/>
        <v>418655.8064</v>
      </c>
      <c r="I3060" s="1">
        <f t="shared" si="7"/>
        <v>685073.1377</v>
      </c>
    </row>
    <row r="3061" hidden="1">
      <c r="A3061" s="266">
        <f>IFERROR(__xludf.DUMMYFUNCTION("""COMPUTED_VALUE"""),45703.99861111111)</f>
        <v>45703.99861</v>
      </c>
      <c r="B3061" s="1">
        <f>IFERROR(__xludf.DUMMYFUNCTION("""COMPUTED_VALUE"""),97544.53)</f>
        <v>97544.53</v>
      </c>
      <c r="C3061" s="58">
        <f t="shared" si="1"/>
        <v>5887.998611</v>
      </c>
      <c r="D3061" s="1">
        <f t="shared" si="2"/>
        <v>38097.13122</v>
      </c>
      <c r="E3061" s="1">
        <f t="shared" si="3"/>
        <v>68574.8362</v>
      </c>
      <c r="F3061" s="1">
        <f t="shared" si="4"/>
        <v>129530.2462</v>
      </c>
      <c r="G3061" s="1">
        <f t="shared" si="5"/>
        <v>228582.7873</v>
      </c>
      <c r="H3061" s="1">
        <f t="shared" si="6"/>
        <v>419068.4434</v>
      </c>
      <c r="I3061" s="1">
        <f t="shared" si="7"/>
        <v>685748.362</v>
      </c>
    </row>
    <row r="3062" hidden="1">
      <c r="A3062" s="266">
        <f>IFERROR(__xludf.DUMMYFUNCTION("""COMPUTED_VALUE"""),45704.99861111111)</f>
        <v>45704.99861</v>
      </c>
      <c r="B3062" s="1">
        <f>IFERROR(__xludf.DUMMYFUNCTION("""COMPUTED_VALUE"""),97580.92)</f>
        <v>97580.92</v>
      </c>
      <c r="C3062" s="58">
        <f t="shared" si="1"/>
        <v>5888.998611</v>
      </c>
      <c r="D3062" s="1">
        <f t="shared" si="2"/>
        <v>38134.67427</v>
      </c>
      <c r="E3062" s="1">
        <f t="shared" si="3"/>
        <v>68642.41369</v>
      </c>
      <c r="F3062" s="1">
        <f t="shared" si="4"/>
        <v>129657.8925</v>
      </c>
      <c r="G3062" s="1">
        <f t="shared" si="5"/>
        <v>228808.0456</v>
      </c>
      <c r="H3062" s="1">
        <f t="shared" si="6"/>
        <v>419481.417</v>
      </c>
      <c r="I3062" s="1">
        <f t="shared" si="7"/>
        <v>686424.1369</v>
      </c>
    </row>
    <row r="3063" hidden="1">
      <c r="A3063" s="266">
        <f>IFERROR(__xludf.DUMMYFUNCTION("""COMPUTED_VALUE"""),45705.99861111111)</f>
        <v>45705.99861</v>
      </c>
      <c r="B3063" s="1">
        <f>IFERROR(__xludf.DUMMYFUNCTION("""COMPUTED_VALUE"""),96127.14)</f>
        <v>96127.14</v>
      </c>
      <c r="C3063" s="58">
        <f t="shared" si="1"/>
        <v>5889.998611</v>
      </c>
      <c r="D3063" s="1">
        <f t="shared" si="2"/>
        <v>38172.24794</v>
      </c>
      <c r="E3063" s="1">
        <f t="shared" si="3"/>
        <v>68710.04629</v>
      </c>
      <c r="F3063" s="1">
        <f t="shared" si="4"/>
        <v>129785.643</v>
      </c>
      <c r="G3063" s="1">
        <f t="shared" si="5"/>
        <v>229033.4876</v>
      </c>
      <c r="H3063" s="1">
        <f t="shared" si="6"/>
        <v>419894.7274</v>
      </c>
      <c r="I3063" s="1">
        <f t="shared" si="7"/>
        <v>687100.4629</v>
      </c>
    </row>
    <row r="3064" hidden="1">
      <c r="A3064" s="266">
        <f>IFERROR(__xludf.DUMMYFUNCTION("""COMPUTED_VALUE"""),45706.99861111111)</f>
        <v>45706.99861</v>
      </c>
      <c r="B3064" s="1">
        <f>IFERROR(__xludf.DUMMYFUNCTION("""COMPUTED_VALUE"""),96096.47)</f>
        <v>96096.47</v>
      </c>
      <c r="C3064" s="58">
        <f t="shared" si="1"/>
        <v>5890.998611</v>
      </c>
      <c r="D3064" s="1">
        <f t="shared" si="2"/>
        <v>38209.85224</v>
      </c>
      <c r="E3064" s="1">
        <f t="shared" si="3"/>
        <v>68777.73403</v>
      </c>
      <c r="F3064" s="1">
        <f t="shared" si="4"/>
        <v>129913.4976</v>
      </c>
      <c r="G3064" s="1">
        <f t="shared" si="5"/>
        <v>229259.1134</v>
      </c>
      <c r="H3064" s="1">
        <f t="shared" si="6"/>
        <v>420308.3746</v>
      </c>
      <c r="I3064" s="1">
        <f t="shared" si="7"/>
        <v>687777.3403</v>
      </c>
    </row>
    <row r="3065" hidden="1">
      <c r="A3065" s="266">
        <f>IFERROR(__xludf.DUMMYFUNCTION("""COMPUTED_VALUE"""),45707.99861111111)</f>
        <v>45707.99861</v>
      </c>
      <c r="B3065" s="1">
        <f>IFERROR(__xludf.DUMMYFUNCTION("""COMPUTED_VALUE"""),95307.54)</f>
        <v>95307.54</v>
      </c>
      <c r="C3065" s="58">
        <f t="shared" si="1"/>
        <v>5891.998611</v>
      </c>
      <c r="D3065" s="1">
        <f t="shared" si="2"/>
        <v>38247.48719</v>
      </c>
      <c r="E3065" s="1">
        <f t="shared" si="3"/>
        <v>68845.47695</v>
      </c>
      <c r="F3065" s="1">
        <f t="shared" si="4"/>
        <v>130041.4565</v>
      </c>
      <c r="G3065" s="1">
        <f t="shared" si="5"/>
        <v>229484.9232</v>
      </c>
      <c r="H3065" s="1">
        <f t="shared" si="6"/>
        <v>420722.3591</v>
      </c>
      <c r="I3065" s="1">
        <f t="shared" si="7"/>
        <v>688454.7695</v>
      </c>
    </row>
    <row r="3066" hidden="1">
      <c r="A3066" s="266">
        <f>IFERROR(__xludf.DUMMYFUNCTION("""COMPUTED_VALUE"""),45708.99861111111)</f>
        <v>45708.99861</v>
      </c>
      <c r="B3066" s="1">
        <f>IFERROR(__xludf.DUMMYFUNCTION("""COMPUTED_VALUE"""),97243.08)</f>
        <v>97243.08</v>
      </c>
      <c r="C3066" s="58">
        <f t="shared" si="1"/>
        <v>5892.998611</v>
      </c>
      <c r="D3066" s="1">
        <f t="shared" si="2"/>
        <v>38285.15282</v>
      </c>
      <c r="E3066" s="1">
        <f t="shared" si="3"/>
        <v>68913.27507</v>
      </c>
      <c r="F3066" s="1">
        <f t="shared" si="4"/>
        <v>130169.5196</v>
      </c>
      <c r="G3066" s="1">
        <f t="shared" si="5"/>
        <v>229710.9169</v>
      </c>
      <c r="H3066" s="1">
        <f t="shared" si="6"/>
        <v>421136.681</v>
      </c>
      <c r="I3066" s="1">
        <f t="shared" si="7"/>
        <v>689132.7507</v>
      </c>
    </row>
    <row r="3067" hidden="1">
      <c r="A3067" s="266">
        <f>IFERROR(__xludf.DUMMYFUNCTION("""COMPUTED_VALUE"""),45709.99861111111)</f>
        <v>45709.99861</v>
      </c>
      <c r="B3067" s="1">
        <f>IFERROR(__xludf.DUMMYFUNCTION("""COMPUTED_VALUE"""),98249.46)</f>
        <v>98249.46</v>
      </c>
      <c r="C3067" s="58">
        <f t="shared" si="1"/>
        <v>5893.998611</v>
      </c>
      <c r="D3067" s="1">
        <f t="shared" si="2"/>
        <v>38322.84913</v>
      </c>
      <c r="E3067" s="1">
        <f t="shared" si="3"/>
        <v>68981.12844</v>
      </c>
      <c r="F3067" s="1">
        <f t="shared" si="4"/>
        <v>130297.6871</v>
      </c>
      <c r="G3067" s="1">
        <f t="shared" si="5"/>
        <v>229937.0948</v>
      </c>
      <c r="H3067" s="1">
        <f t="shared" si="6"/>
        <v>421551.3405</v>
      </c>
      <c r="I3067" s="1">
        <f t="shared" si="7"/>
        <v>689811.2844</v>
      </c>
    </row>
    <row r="3068" hidden="1">
      <c r="A3068" s="266">
        <f>IFERROR(__xludf.DUMMYFUNCTION("""COMPUTED_VALUE"""),45710.99861111111)</f>
        <v>45710.99861</v>
      </c>
      <c r="B3068" s="1">
        <f>IFERROR(__xludf.DUMMYFUNCTION("""COMPUTED_VALUE"""),96436.56)</f>
        <v>96436.56</v>
      </c>
      <c r="C3068" s="58">
        <f t="shared" si="1"/>
        <v>5894.998611</v>
      </c>
      <c r="D3068" s="1">
        <f t="shared" si="2"/>
        <v>38360.57616</v>
      </c>
      <c r="E3068" s="1">
        <f t="shared" si="3"/>
        <v>69049.03709</v>
      </c>
      <c r="F3068" s="1">
        <f t="shared" si="4"/>
        <v>130425.9589</v>
      </c>
      <c r="G3068" s="1">
        <f t="shared" si="5"/>
        <v>230163.457</v>
      </c>
      <c r="H3068" s="1">
        <f t="shared" si="6"/>
        <v>421966.3378</v>
      </c>
      <c r="I3068" s="1">
        <f t="shared" si="7"/>
        <v>690490.3709</v>
      </c>
    </row>
    <row r="3069" hidden="1">
      <c r="A3069" s="266">
        <f>IFERROR(__xludf.DUMMYFUNCTION("""COMPUTED_VALUE"""),45711.99861111111)</f>
        <v>45711.99861</v>
      </c>
      <c r="B3069" s="1">
        <f>IFERROR(__xludf.DUMMYFUNCTION("""COMPUTED_VALUE"""),96443.38)</f>
        <v>96443.38</v>
      </c>
      <c r="C3069" s="58">
        <f t="shared" si="1"/>
        <v>5895.998611</v>
      </c>
      <c r="D3069" s="1">
        <f t="shared" si="2"/>
        <v>38398.33392</v>
      </c>
      <c r="E3069" s="1">
        <f t="shared" si="3"/>
        <v>69117.00106</v>
      </c>
      <c r="F3069" s="1">
        <f t="shared" si="4"/>
        <v>130554.3353</v>
      </c>
      <c r="G3069" s="1">
        <f t="shared" si="5"/>
        <v>230390.0035</v>
      </c>
      <c r="H3069" s="1">
        <f t="shared" si="6"/>
        <v>422381.6731</v>
      </c>
      <c r="I3069" s="1">
        <f t="shared" si="7"/>
        <v>691170.0106</v>
      </c>
    </row>
    <row r="3070" hidden="1">
      <c r="A3070" s="266">
        <f>IFERROR(__xludf.DUMMYFUNCTION("""COMPUTED_VALUE"""),45712.99861111111)</f>
        <v>45712.99861</v>
      </c>
      <c r="B3070" s="1">
        <f>IFERROR(__xludf.DUMMYFUNCTION("""COMPUTED_VALUE"""),95278.63)</f>
        <v>95278.63</v>
      </c>
      <c r="C3070" s="58">
        <f t="shared" si="1"/>
        <v>5896.998611</v>
      </c>
      <c r="D3070" s="1">
        <f t="shared" si="2"/>
        <v>38436.12243</v>
      </c>
      <c r="E3070" s="1">
        <f t="shared" si="3"/>
        <v>69185.02038</v>
      </c>
      <c r="F3070" s="1">
        <f t="shared" si="4"/>
        <v>130682.8163</v>
      </c>
      <c r="G3070" s="1">
        <f t="shared" si="5"/>
        <v>230616.7346</v>
      </c>
      <c r="H3070" s="1">
        <f t="shared" si="6"/>
        <v>422797.3468</v>
      </c>
      <c r="I3070" s="1">
        <f t="shared" si="7"/>
        <v>691850.2038</v>
      </c>
    </row>
    <row r="3071" hidden="1">
      <c r="A3071" s="266">
        <f>IFERROR(__xludf.DUMMYFUNCTION("""COMPUTED_VALUE"""),45713.99861111111)</f>
        <v>45713.99861</v>
      </c>
      <c r="B3071" s="1">
        <f>IFERROR(__xludf.DUMMYFUNCTION("""COMPUTED_VALUE"""),92066.2)</f>
        <v>92066.2</v>
      </c>
      <c r="C3071" s="58">
        <f t="shared" si="1"/>
        <v>5897.998611</v>
      </c>
      <c r="D3071" s="1">
        <f t="shared" si="2"/>
        <v>38473.94172</v>
      </c>
      <c r="E3071" s="1">
        <f t="shared" si="3"/>
        <v>69253.09509</v>
      </c>
      <c r="F3071" s="1">
        <f t="shared" si="4"/>
        <v>130811.4018</v>
      </c>
      <c r="G3071" s="1">
        <f t="shared" si="5"/>
        <v>230843.6503</v>
      </c>
      <c r="H3071" s="1">
        <f t="shared" si="6"/>
        <v>423213.3589</v>
      </c>
      <c r="I3071" s="1">
        <f t="shared" si="7"/>
        <v>692530.9509</v>
      </c>
    </row>
    <row r="3072" hidden="1">
      <c r="A3072" s="266">
        <f>IFERROR(__xludf.DUMMYFUNCTION("""COMPUTED_VALUE"""),45714.99861111111)</f>
        <v>45714.99861</v>
      </c>
      <c r="B3072" s="1">
        <f>IFERROR(__xludf.DUMMYFUNCTION("""COMPUTED_VALUE"""),88801.82)</f>
        <v>88801.82</v>
      </c>
      <c r="C3072" s="58">
        <f t="shared" si="1"/>
        <v>5898.998611</v>
      </c>
      <c r="D3072" s="1">
        <f t="shared" si="2"/>
        <v>38511.79179</v>
      </c>
      <c r="E3072" s="1">
        <f t="shared" si="3"/>
        <v>69321.22522</v>
      </c>
      <c r="F3072" s="1">
        <f t="shared" si="4"/>
        <v>130940.0921</v>
      </c>
      <c r="G3072" s="1">
        <f t="shared" si="5"/>
        <v>231070.7507</v>
      </c>
      <c r="H3072" s="1">
        <f t="shared" si="6"/>
        <v>423629.7097</v>
      </c>
      <c r="I3072" s="1">
        <f t="shared" si="7"/>
        <v>693212.2522</v>
      </c>
    </row>
    <row r="3073" hidden="1">
      <c r="A3073" s="266">
        <f>IFERROR(__xludf.DUMMYFUNCTION("""COMPUTED_VALUE"""),45715.99861111111)</f>
        <v>45715.99861</v>
      </c>
      <c r="B3073" s="1">
        <f>IFERROR(__xludf.DUMMYFUNCTION("""COMPUTED_VALUE"""),85090.99)</f>
        <v>85090.99</v>
      </c>
      <c r="C3073" s="58">
        <f t="shared" si="1"/>
        <v>5899.998611</v>
      </c>
      <c r="D3073" s="1">
        <f t="shared" si="2"/>
        <v>38549.67268</v>
      </c>
      <c r="E3073" s="1">
        <f t="shared" si="3"/>
        <v>69389.41082</v>
      </c>
      <c r="F3073" s="1">
        <f t="shared" si="4"/>
        <v>131068.8871</v>
      </c>
      <c r="G3073" s="1">
        <f t="shared" si="5"/>
        <v>231298.0361</v>
      </c>
      <c r="H3073" s="1">
        <f t="shared" si="6"/>
        <v>424046.3994</v>
      </c>
      <c r="I3073" s="1">
        <f t="shared" si="7"/>
        <v>693894.1082</v>
      </c>
    </row>
    <row r="3074" hidden="1">
      <c r="A3074" s="266">
        <f>IFERROR(__xludf.DUMMYFUNCTION("""COMPUTED_VALUE"""),45716.99861111111)</f>
        <v>45716.99861</v>
      </c>
      <c r="B3074" s="1">
        <f>IFERROR(__xludf.DUMMYFUNCTION("""COMPUTED_VALUE"""),80376.5)</f>
        <v>80376.5</v>
      </c>
      <c r="C3074" s="58">
        <f t="shared" si="1"/>
        <v>5900.998611</v>
      </c>
      <c r="D3074" s="1">
        <f t="shared" si="2"/>
        <v>38587.58439</v>
      </c>
      <c r="E3074" s="1">
        <f t="shared" si="3"/>
        <v>69457.6519</v>
      </c>
      <c r="F3074" s="1">
        <f t="shared" si="4"/>
        <v>131197.7869</v>
      </c>
      <c r="G3074" s="1">
        <f t="shared" si="5"/>
        <v>231525.5063</v>
      </c>
      <c r="H3074" s="1">
        <f t="shared" si="6"/>
        <v>424463.4283</v>
      </c>
      <c r="I3074" s="1">
        <f t="shared" si="7"/>
        <v>694576.519</v>
      </c>
    </row>
    <row r="3075" hidden="1">
      <c r="A3075" s="266">
        <f>IFERROR(__xludf.DUMMYFUNCTION("""COMPUTED_VALUE"""),45717.99861111111)</f>
        <v>45717.99861</v>
      </c>
      <c r="B3075" s="1">
        <f>IFERROR(__xludf.DUMMYFUNCTION("""COMPUTED_VALUE"""),86273.05)</f>
        <v>86273.05</v>
      </c>
      <c r="C3075" s="58">
        <f t="shared" si="1"/>
        <v>5901.998611</v>
      </c>
      <c r="D3075" s="1">
        <f t="shared" si="2"/>
        <v>38625.52696</v>
      </c>
      <c r="E3075" s="1">
        <f t="shared" si="3"/>
        <v>69525.94852</v>
      </c>
      <c r="F3075" s="1">
        <f t="shared" si="4"/>
        <v>131326.7917</v>
      </c>
      <c r="G3075" s="1">
        <f t="shared" si="5"/>
        <v>231753.1617</v>
      </c>
      <c r="H3075" s="1">
        <f t="shared" si="6"/>
        <v>424880.7965</v>
      </c>
      <c r="I3075" s="1">
        <f t="shared" si="7"/>
        <v>695259.4852</v>
      </c>
    </row>
    <row r="3076" hidden="1">
      <c r="A3076" s="266">
        <f>IFERROR(__xludf.DUMMYFUNCTION("""COMPUTED_VALUE"""),45718.99861111111)</f>
        <v>45718.99861</v>
      </c>
      <c r="B3076" s="1">
        <f>IFERROR(__xludf.DUMMYFUNCTION("""COMPUTED_VALUE"""),85812.15)</f>
        <v>85812.15</v>
      </c>
      <c r="C3076" s="58">
        <f t="shared" si="1"/>
        <v>5902.998611</v>
      </c>
      <c r="D3076" s="1">
        <f t="shared" si="2"/>
        <v>38663.5004</v>
      </c>
      <c r="E3076" s="1">
        <f t="shared" si="3"/>
        <v>69594.30071</v>
      </c>
      <c r="F3076" s="1">
        <f t="shared" si="4"/>
        <v>131455.9013</v>
      </c>
      <c r="G3076" s="1">
        <f t="shared" si="5"/>
        <v>231981.0024</v>
      </c>
      <c r="H3076" s="1">
        <f t="shared" si="6"/>
        <v>425298.5043</v>
      </c>
      <c r="I3076" s="1">
        <f t="shared" si="7"/>
        <v>695943.0071</v>
      </c>
    </row>
    <row r="3077" hidden="1">
      <c r="A3077" s="266">
        <f>IFERROR(__xludf.DUMMYFUNCTION("""COMPUTED_VALUE"""),45719.99861111111)</f>
        <v>45719.99861</v>
      </c>
      <c r="B3077" s="1">
        <f>IFERROR(__xludf.DUMMYFUNCTION("""COMPUTED_VALUE"""),92841.09)</f>
        <v>92841.09</v>
      </c>
      <c r="C3077" s="58">
        <f t="shared" si="1"/>
        <v>5903.998611</v>
      </c>
      <c r="D3077" s="1">
        <f t="shared" si="2"/>
        <v>38701.50472</v>
      </c>
      <c r="E3077" s="1">
        <f t="shared" si="3"/>
        <v>69662.7085</v>
      </c>
      <c r="F3077" s="1">
        <f t="shared" si="4"/>
        <v>131585.1161</v>
      </c>
      <c r="G3077" s="1">
        <f t="shared" si="5"/>
        <v>232209.0283</v>
      </c>
      <c r="H3077" s="1">
        <f t="shared" si="6"/>
        <v>425716.552</v>
      </c>
      <c r="I3077" s="1">
        <f t="shared" si="7"/>
        <v>696627.085</v>
      </c>
    </row>
    <row r="3078" hidden="1">
      <c r="A3078" s="266">
        <f>IFERROR(__xludf.DUMMYFUNCTION("""COMPUTED_VALUE"""),45720.99861111111)</f>
        <v>45720.99861</v>
      </c>
      <c r="B3078" s="1">
        <f>IFERROR(__xludf.DUMMYFUNCTION("""COMPUTED_VALUE"""),83518.82)</f>
        <v>83518.82</v>
      </c>
      <c r="C3078" s="58">
        <f t="shared" si="1"/>
        <v>5904.998611</v>
      </c>
      <c r="D3078" s="1">
        <f t="shared" si="2"/>
        <v>38739.53996</v>
      </c>
      <c r="E3078" s="1">
        <f t="shared" si="3"/>
        <v>69731.17193</v>
      </c>
      <c r="F3078" s="1">
        <f t="shared" si="4"/>
        <v>131714.4359</v>
      </c>
      <c r="G3078" s="1">
        <f t="shared" si="5"/>
        <v>232437.2398</v>
      </c>
      <c r="H3078" s="1">
        <f t="shared" si="6"/>
        <v>426134.9396</v>
      </c>
      <c r="I3078" s="1">
        <f t="shared" si="7"/>
        <v>697311.7193</v>
      </c>
    </row>
    <row r="3079" hidden="1">
      <c r="A3079" s="266">
        <f>IFERROR(__xludf.DUMMYFUNCTION("""COMPUTED_VALUE"""),45721.99861111111)</f>
        <v>45721.99861</v>
      </c>
      <c r="B3079" s="1">
        <f>IFERROR(__xludf.DUMMYFUNCTION("""COMPUTED_VALUE"""),86951.6)</f>
        <v>86951.6</v>
      </c>
      <c r="C3079" s="58">
        <f t="shared" si="1"/>
        <v>5905.998611</v>
      </c>
      <c r="D3079" s="1">
        <f t="shared" si="2"/>
        <v>38777.60613</v>
      </c>
      <c r="E3079" s="1">
        <f t="shared" si="3"/>
        <v>69799.69103</v>
      </c>
      <c r="F3079" s="1">
        <f t="shared" si="4"/>
        <v>131843.8608</v>
      </c>
      <c r="G3079" s="1">
        <f t="shared" si="5"/>
        <v>232665.6368</v>
      </c>
      <c r="H3079" s="1">
        <f t="shared" si="6"/>
        <v>426553.6674</v>
      </c>
      <c r="I3079" s="1">
        <f t="shared" si="7"/>
        <v>697996.9103</v>
      </c>
    </row>
    <row r="3080" hidden="1">
      <c r="A3080" s="266">
        <f>IFERROR(__xludf.DUMMYFUNCTION("""COMPUTED_VALUE"""),45722.99861111111)</f>
        <v>45722.99861</v>
      </c>
      <c r="B3080" s="1">
        <f>IFERROR(__xludf.DUMMYFUNCTION("""COMPUTED_VALUE"""),92272.38)</f>
        <v>92272.38</v>
      </c>
      <c r="C3080" s="58">
        <f t="shared" si="1"/>
        <v>5906.998611</v>
      </c>
      <c r="D3080" s="1">
        <f t="shared" si="2"/>
        <v>38815.70325</v>
      </c>
      <c r="E3080" s="1">
        <f t="shared" si="3"/>
        <v>69868.26585</v>
      </c>
      <c r="F3080" s="1">
        <f t="shared" si="4"/>
        <v>131973.391</v>
      </c>
      <c r="G3080" s="1">
        <f t="shared" si="5"/>
        <v>232894.2195</v>
      </c>
      <c r="H3080" s="1">
        <f t="shared" si="6"/>
        <v>426972.7357</v>
      </c>
      <c r="I3080" s="1">
        <f t="shared" si="7"/>
        <v>698682.6585</v>
      </c>
    </row>
    <row r="3081" hidden="1">
      <c r="A3081" s="266">
        <f>IFERROR(__xludf.DUMMYFUNCTION("""COMPUTED_VALUE"""),45723.99861111111)</f>
        <v>45723.99861</v>
      </c>
      <c r="B3081" s="1">
        <f>IFERROR(__xludf.DUMMYFUNCTION("""COMPUTED_VALUE"""),87701.4)</f>
        <v>87701.4</v>
      </c>
      <c r="C3081" s="58">
        <f t="shared" si="1"/>
        <v>5907.998611</v>
      </c>
      <c r="D3081" s="1">
        <f t="shared" si="2"/>
        <v>38853.83134</v>
      </c>
      <c r="E3081" s="1">
        <f t="shared" si="3"/>
        <v>69936.89641</v>
      </c>
      <c r="F3081" s="1">
        <f t="shared" si="4"/>
        <v>132103.0265</v>
      </c>
      <c r="G3081" s="1">
        <f t="shared" si="5"/>
        <v>233122.988</v>
      </c>
      <c r="H3081" s="1">
        <f t="shared" si="6"/>
        <v>427392.1447</v>
      </c>
      <c r="I3081" s="1">
        <f t="shared" si="7"/>
        <v>699368.9641</v>
      </c>
    </row>
    <row r="3082" hidden="1">
      <c r="A3082" s="266">
        <f>IFERROR(__xludf.DUMMYFUNCTION("""COMPUTED_VALUE"""),45724.99861111111)</f>
        <v>45724.99861</v>
      </c>
      <c r="B3082" s="1">
        <f>IFERROR(__xludf.DUMMYFUNCTION("""COMPUTED_VALUE"""),86468.85)</f>
        <v>86468.85</v>
      </c>
      <c r="C3082" s="58">
        <f t="shared" si="1"/>
        <v>5908.998611</v>
      </c>
      <c r="D3082" s="1">
        <f t="shared" si="2"/>
        <v>38891.99042</v>
      </c>
      <c r="E3082" s="1">
        <f t="shared" si="3"/>
        <v>70005.58275</v>
      </c>
      <c r="F3082" s="1">
        <f t="shared" si="4"/>
        <v>132232.7674</v>
      </c>
      <c r="G3082" s="1">
        <f t="shared" si="5"/>
        <v>233351.9425</v>
      </c>
      <c r="H3082" s="1">
        <f t="shared" si="6"/>
        <v>427811.8946</v>
      </c>
      <c r="I3082" s="1">
        <f t="shared" si="7"/>
        <v>700055.8275</v>
      </c>
    </row>
    <row r="3083" hidden="1">
      <c r="A3083" s="266">
        <f>IFERROR(__xludf.DUMMYFUNCTION("""COMPUTED_VALUE"""),45725.99861111111)</f>
        <v>45725.99861</v>
      </c>
      <c r="B3083" s="1">
        <f>IFERROR(__xludf.DUMMYFUNCTION("""COMPUTED_VALUE"""),86143.01)</f>
        <v>86143.01</v>
      </c>
      <c r="C3083" s="58">
        <f t="shared" si="1"/>
        <v>5909.998611</v>
      </c>
      <c r="D3083" s="1">
        <f t="shared" si="2"/>
        <v>38930.18051</v>
      </c>
      <c r="E3083" s="1">
        <f t="shared" si="3"/>
        <v>70074.32491</v>
      </c>
      <c r="F3083" s="1">
        <f t="shared" si="4"/>
        <v>132362.6137</v>
      </c>
      <c r="G3083" s="1">
        <f t="shared" si="5"/>
        <v>233581.083</v>
      </c>
      <c r="H3083" s="1">
        <f t="shared" si="6"/>
        <v>428231.9856</v>
      </c>
      <c r="I3083" s="1">
        <f t="shared" si="7"/>
        <v>700743.2491</v>
      </c>
    </row>
    <row r="3084" hidden="1">
      <c r="A3084" s="266">
        <f>IFERROR(__xludf.DUMMYFUNCTION("""COMPUTED_VALUE"""),45726.99861111111)</f>
        <v>45726.99861</v>
      </c>
      <c r="B3084" s="1">
        <f>IFERROR(__xludf.DUMMYFUNCTION("""COMPUTED_VALUE"""),82106.8)</f>
        <v>82106.8</v>
      </c>
      <c r="C3084" s="58">
        <f t="shared" si="1"/>
        <v>5910.998611</v>
      </c>
      <c r="D3084" s="1">
        <f t="shared" si="2"/>
        <v>38968.40163</v>
      </c>
      <c r="E3084" s="1">
        <f t="shared" si="3"/>
        <v>70143.12293</v>
      </c>
      <c r="F3084" s="1">
        <f t="shared" si="4"/>
        <v>132492.5655</v>
      </c>
      <c r="G3084" s="1">
        <f t="shared" si="5"/>
        <v>233810.4098</v>
      </c>
      <c r="H3084" s="1">
        <f t="shared" si="6"/>
        <v>428652.4179</v>
      </c>
      <c r="I3084" s="1">
        <f t="shared" si="7"/>
        <v>701431.2293</v>
      </c>
    </row>
    <row r="3085" hidden="1">
      <c r="A3085" s="266">
        <f>IFERROR(__xludf.DUMMYFUNCTION("""COMPUTED_VALUE"""),45727.99861111111)</f>
        <v>45727.99861</v>
      </c>
      <c r="B3085" s="1">
        <f>IFERROR(__xludf.DUMMYFUNCTION("""COMPUTED_VALUE"""),79506.47)</f>
        <v>79506.47</v>
      </c>
      <c r="C3085" s="58">
        <f t="shared" si="1"/>
        <v>5911.998611</v>
      </c>
      <c r="D3085" s="1">
        <f t="shared" si="2"/>
        <v>39006.65379</v>
      </c>
      <c r="E3085" s="1">
        <f t="shared" si="3"/>
        <v>70211.97683</v>
      </c>
      <c r="F3085" s="1">
        <f t="shared" si="4"/>
        <v>132622.6229</v>
      </c>
      <c r="G3085" s="1">
        <f t="shared" si="5"/>
        <v>234039.9228</v>
      </c>
      <c r="H3085" s="1">
        <f t="shared" si="6"/>
        <v>429073.1917</v>
      </c>
      <c r="I3085" s="1">
        <f t="shared" si="7"/>
        <v>702119.7683</v>
      </c>
    </row>
    <row r="3086" hidden="1">
      <c r="A3086" s="266">
        <f>IFERROR(__xludf.DUMMYFUNCTION("""COMPUTED_VALUE"""),45728.99861111111)</f>
        <v>45728.99861</v>
      </c>
      <c r="B3086" s="1">
        <f>IFERROR(__xludf.DUMMYFUNCTION("""COMPUTED_VALUE"""),82201.03)</f>
        <v>82201.03</v>
      </c>
      <c r="C3086" s="58">
        <f t="shared" si="1"/>
        <v>5912.998611</v>
      </c>
      <c r="D3086" s="1">
        <f t="shared" si="2"/>
        <v>39044.93703</v>
      </c>
      <c r="E3086" s="1">
        <f t="shared" si="3"/>
        <v>70280.88666</v>
      </c>
      <c r="F3086" s="1">
        <f t="shared" si="4"/>
        <v>132752.7859</v>
      </c>
      <c r="G3086" s="1">
        <f t="shared" si="5"/>
        <v>234269.6222</v>
      </c>
      <c r="H3086" s="1">
        <f t="shared" si="6"/>
        <v>429494.3074</v>
      </c>
      <c r="I3086" s="1">
        <f t="shared" si="7"/>
        <v>702808.8666</v>
      </c>
    </row>
    <row r="3087" hidden="1">
      <c r="A3087" s="266">
        <f>IFERROR(__xludf.DUMMYFUNCTION("""COMPUTED_VALUE"""),45729.99861111111)</f>
        <v>45729.99861</v>
      </c>
      <c r="B3087" s="1">
        <f>IFERROR(__xludf.DUMMYFUNCTION("""COMPUTED_VALUE"""),83605.95)</f>
        <v>83605.95</v>
      </c>
      <c r="C3087" s="58">
        <f t="shared" si="1"/>
        <v>5913.998611</v>
      </c>
      <c r="D3087" s="1">
        <f t="shared" si="2"/>
        <v>39083.25136</v>
      </c>
      <c r="E3087" s="1">
        <f t="shared" si="3"/>
        <v>70349.85245</v>
      </c>
      <c r="F3087" s="1">
        <f t="shared" si="4"/>
        <v>132883.0546</v>
      </c>
      <c r="G3087" s="1">
        <f t="shared" si="5"/>
        <v>234499.5082</v>
      </c>
      <c r="H3087" s="1">
        <f t="shared" si="6"/>
        <v>429915.765</v>
      </c>
      <c r="I3087" s="1">
        <f t="shared" si="7"/>
        <v>703498.5245</v>
      </c>
    </row>
    <row r="3088" hidden="1">
      <c r="A3088" s="266">
        <f>IFERROR(__xludf.DUMMYFUNCTION("""COMPUTED_VALUE"""),45730.99861111111)</f>
        <v>45730.99861</v>
      </c>
      <c r="B3088" s="1">
        <f>IFERROR(__xludf.DUMMYFUNCTION("""COMPUTED_VALUE"""),81877.78)</f>
        <v>81877.78</v>
      </c>
      <c r="C3088" s="58">
        <f t="shared" si="1"/>
        <v>5914.998611</v>
      </c>
      <c r="D3088" s="1">
        <f t="shared" si="2"/>
        <v>39121.5968</v>
      </c>
      <c r="E3088" s="1">
        <f t="shared" si="3"/>
        <v>70418.87424</v>
      </c>
      <c r="F3088" s="1">
        <f t="shared" si="4"/>
        <v>133013.4291</v>
      </c>
      <c r="G3088" s="1">
        <f t="shared" si="5"/>
        <v>234729.5808</v>
      </c>
      <c r="H3088" s="1">
        <f t="shared" si="6"/>
        <v>430337.5648</v>
      </c>
      <c r="I3088" s="1">
        <f t="shared" si="7"/>
        <v>704188.7424</v>
      </c>
    </row>
    <row r="3089" hidden="1">
      <c r="A3089" s="266">
        <f>IFERROR(__xludf.DUMMYFUNCTION("""COMPUTED_VALUE"""),45731.99861111111)</f>
        <v>45731.99861</v>
      </c>
      <c r="B3089" s="1">
        <f>IFERROR(__xludf.DUMMYFUNCTION("""COMPUTED_VALUE"""),84582.41)</f>
        <v>84582.41</v>
      </c>
      <c r="C3089" s="58">
        <f t="shared" si="1"/>
        <v>5915.998611</v>
      </c>
      <c r="D3089" s="1">
        <f t="shared" si="2"/>
        <v>39159.97337</v>
      </c>
      <c r="E3089" s="1">
        <f t="shared" si="3"/>
        <v>70487.95206</v>
      </c>
      <c r="F3089" s="1">
        <f t="shared" si="4"/>
        <v>133143.9095</v>
      </c>
      <c r="G3089" s="1">
        <f t="shared" si="5"/>
        <v>234959.8402</v>
      </c>
      <c r="H3089" s="1">
        <f t="shared" si="6"/>
        <v>430759.707</v>
      </c>
      <c r="I3089" s="1">
        <f t="shared" si="7"/>
        <v>704879.5206</v>
      </c>
    </row>
    <row r="3090" hidden="1">
      <c r="A3090" s="266">
        <f>IFERROR(__xludf.DUMMYFUNCTION("""COMPUTED_VALUE"""),45732.99861111111)</f>
        <v>45732.99861</v>
      </c>
      <c r="B3090" s="1">
        <f>IFERROR(__xludf.DUMMYFUNCTION("""COMPUTED_VALUE"""),84410.52)</f>
        <v>84410.52</v>
      </c>
      <c r="C3090" s="58">
        <f t="shared" si="1"/>
        <v>5916.998611</v>
      </c>
      <c r="D3090" s="1">
        <f t="shared" si="2"/>
        <v>39198.38109</v>
      </c>
      <c r="E3090" s="1">
        <f t="shared" si="3"/>
        <v>70557.08595</v>
      </c>
      <c r="F3090" s="1">
        <f t="shared" si="4"/>
        <v>133274.4957</v>
      </c>
      <c r="G3090" s="1">
        <f t="shared" si="5"/>
        <v>235190.2865</v>
      </c>
      <c r="H3090" s="1">
        <f t="shared" si="6"/>
        <v>431182.1919</v>
      </c>
      <c r="I3090" s="1">
        <f t="shared" si="7"/>
        <v>705570.8595</v>
      </c>
    </row>
    <row r="3091" hidden="1">
      <c r="A3091" s="266">
        <f>IFERROR(__xludf.DUMMYFUNCTION("""COMPUTED_VALUE"""),45733.99861111111)</f>
        <v>45733.99861</v>
      </c>
      <c r="B3091" s="1">
        <f>IFERROR(__xludf.DUMMYFUNCTION("""COMPUTED_VALUE"""),83702.25)</f>
        <v>83702.25</v>
      </c>
      <c r="C3091" s="58">
        <f t="shared" si="1"/>
        <v>5917.998611</v>
      </c>
      <c r="D3091" s="1">
        <f t="shared" si="2"/>
        <v>39236.81997</v>
      </c>
      <c r="E3091" s="1">
        <f t="shared" si="3"/>
        <v>70626.27595</v>
      </c>
      <c r="F3091" s="1">
        <f t="shared" si="4"/>
        <v>133405.1879</v>
      </c>
      <c r="G3091" s="1">
        <f t="shared" si="5"/>
        <v>235420.9198</v>
      </c>
      <c r="H3091" s="1">
        <f t="shared" si="6"/>
        <v>431605.0197</v>
      </c>
      <c r="I3091" s="1">
        <f t="shared" si="7"/>
        <v>706262.7595</v>
      </c>
    </row>
    <row r="3092" hidden="1">
      <c r="A3092" s="266">
        <f>IFERROR(__xludf.DUMMYFUNCTION("""COMPUTED_VALUE"""),45734.99861111111)</f>
        <v>45734.99861</v>
      </c>
      <c r="B3092" s="1">
        <f>IFERROR(__xludf.DUMMYFUNCTION("""COMPUTED_VALUE"""),83152.52)</f>
        <v>83152.52</v>
      </c>
      <c r="C3092" s="58">
        <f t="shared" si="1"/>
        <v>5918.998611</v>
      </c>
      <c r="D3092" s="1">
        <f t="shared" si="2"/>
        <v>39275.29005</v>
      </c>
      <c r="E3092" s="1">
        <f t="shared" si="3"/>
        <v>70695.52209</v>
      </c>
      <c r="F3092" s="1">
        <f t="shared" si="4"/>
        <v>133535.9862</v>
      </c>
      <c r="G3092" s="1">
        <f t="shared" si="5"/>
        <v>235651.7403</v>
      </c>
      <c r="H3092" s="1">
        <f t="shared" si="6"/>
        <v>432028.1906</v>
      </c>
      <c r="I3092" s="1">
        <f t="shared" si="7"/>
        <v>706955.2209</v>
      </c>
    </row>
    <row r="3093" hidden="1">
      <c r="A3093" s="266">
        <f>IFERROR(__xludf.DUMMYFUNCTION("""COMPUTED_VALUE"""),45735.99861111111)</f>
        <v>45735.99861</v>
      </c>
      <c r="B3093" s="1">
        <f>IFERROR(__xludf.DUMMYFUNCTION("""COMPUTED_VALUE"""),83076.51)</f>
        <v>83076.51</v>
      </c>
      <c r="C3093" s="58">
        <f t="shared" si="1"/>
        <v>5919.998611</v>
      </c>
      <c r="D3093" s="1">
        <f t="shared" si="2"/>
        <v>39313.79134</v>
      </c>
      <c r="E3093" s="1">
        <f t="shared" si="3"/>
        <v>70764.82441</v>
      </c>
      <c r="F3093" s="1">
        <f t="shared" si="4"/>
        <v>133666.8906</v>
      </c>
      <c r="G3093" s="1">
        <f t="shared" si="5"/>
        <v>235882.748</v>
      </c>
      <c r="H3093" s="1">
        <f t="shared" si="6"/>
        <v>432451.7047</v>
      </c>
      <c r="I3093" s="1">
        <f t="shared" si="7"/>
        <v>707648.2441</v>
      </c>
    </row>
    <row r="3094" hidden="1">
      <c r="A3094" s="266">
        <f>IFERROR(__xludf.DUMMYFUNCTION("""COMPUTED_VALUE"""),45736.99861111111)</f>
        <v>45736.99861</v>
      </c>
      <c r="B3094" s="1">
        <f>IFERROR(__xludf.DUMMYFUNCTION("""COMPUTED_VALUE"""),85919.08)</f>
        <v>85919.08</v>
      </c>
      <c r="C3094" s="58">
        <f t="shared" si="1"/>
        <v>5920.998611</v>
      </c>
      <c r="D3094" s="1">
        <f t="shared" si="2"/>
        <v>39352.32386</v>
      </c>
      <c r="E3094" s="1">
        <f t="shared" si="3"/>
        <v>70834.18294</v>
      </c>
      <c r="F3094" s="1">
        <f t="shared" si="4"/>
        <v>133797.9011</v>
      </c>
      <c r="G3094" s="1">
        <f t="shared" si="5"/>
        <v>236113.9431</v>
      </c>
      <c r="H3094" s="1">
        <f t="shared" si="6"/>
        <v>432875.5624</v>
      </c>
      <c r="I3094" s="1">
        <f t="shared" si="7"/>
        <v>708341.8294</v>
      </c>
    </row>
    <row r="3095" hidden="1">
      <c r="A3095" s="266">
        <f>IFERROR(__xludf.DUMMYFUNCTION("""COMPUTED_VALUE"""),45737.99861111111)</f>
        <v>45737.99861</v>
      </c>
      <c r="B3095" s="1">
        <f>IFERROR(__xludf.DUMMYFUNCTION("""COMPUTED_VALUE"""),84434.41)</f>
        <v>84434.41</v>
      </c>
      <c r="C3095" s="58">
        <f t="shared" si="1"/>
        <v>5921.998611</v>
      </c>
      <c r="D3095" s="1">
        <f t="shared" si="2"/>
        <v>39390.88762</v>
      </c>
      <c r="E3095" s="1">
        <f t="shared" si="3"/>
        <v>70903.59772</v>
      </c>
      <c r="F3095" s="1">
        <f t="shared" si="4"/>
        <v>133929.0179</v>
      </c>
      <c r="G3095" s="1">
        <f t="shared" si="5"/>
        <v>236345.3257</v>
      </c>
      <c r="H3095" s="1">
        <f t="shared" si="6"/>
        <v>433299.7639</v>
      </c>
      <c r="I3095" s="1">
        <f t="shared" si="7"/>
        <v>709035.9772</v>
      </c>
    </row>
    <row r="3096" hidden="1">
      <c r="A3096" s="266">
        <f>IFERROR(__xludf.DUMMYFUNCTION("""COMPUTED_VALUE"""),45738.99861111111)</f>
        <v>45738.99861</v>
      </c>
      <c r="B3096" s="1">
        <f>IFERROR(__xludf.DUMMYFUNCTION("""COMPUTED_VALUE"""),84345.25)</f>
        <v>84345.25</v>
      </c>
      <c r="C3096" s="58">
        <f t="shared" si="1"/>
        <v>5922.998611</v>
      </c>
      <c r="D3096" s="1">
        <f t="shared" si="2"/>
        <v>39429.48266</v>
      </c>
      <c r="E3096" s="1">
        <f t="shared" si="3"/>
        <v>70973.06879</v>
      </c>
      <c r="F3096" s="1">
        <f t="shared" si="4"/>
        <v>134060.241</v>
      </c>
      <c r="G3096" s="1">
        <f t="shared" si="5"/>
        <v>236576.896</v>
      </c>
      <c r="H3096" s="1">
        <f t="shared" si="6"/>
        <v>433724.3093</v>
      </c>
      <c r="I3096" s="1">
        <f t="shared" si="7"/>
        <v>709730.6879</v>
      </c>
    </row>
    <row r="3097" hidden="1">
      <c r="A3097" s="266">
        <f>IFERROR(__xludf.DUMMYFUNCTION("""COMPUTED_VALUE"""),45739.99861111111)</f>
        <v>45739.99861</v>
      </c>
      <c r="B3097" s="1">
        <f>IFERROR(__xludf.DUMMYFUNCTION("""COMPUTED_VALUE"""),84294.35)</f>
        <v>84294.35</v>
      </c>
      <c r="C3097" s="58">
        <f t="shared" si="1"/>
        <v>5923.998611</v>
      </c>
      <c r="D3097" s="1">
        <f t="shared" si="2"/>
        <v>39468.10899</v>
      </c>
      <c r="E3097" s="1">
        <f t="shared" si="3"/>
        <v>71042.59618</v>
      </c>
      <c r="F3097" s="1">
        <f t="shared" si="4"/>
        <v>134191.5706</v>
      </c>
      <c r="G3097" s="1">
        <f t="shared" si="5"/>
        <v>236808.6539</v>
      </c>
      <c r="H3097" s="1">
        <f t="shared" si="6"/>
        <v>434149.1989</v>
      </c>
      <c r="I3097" s="1">
        <f t="shared" si="7"/>
        <v>710425.9618</v>
      </c>
    </row>
    <row r="3098" hidden="1">
      <c r="A3098" s="266">
        <f>IFERROR(__xludf.DUMMYFUNCTION("""COMPUTED_VALUE"""),45740.99861111111)</f>
        <v>45740.99861</v>
      </c>
      <c r="B3098" s="1">
        <f>IFERROR(__xludf.DUMMYFUNCTION("""COMPUTED_VALUE"""),86531.37)</f>
        <v>86531.37</v>
      </c>
      <c r="C3098" s="58">
        <f t="shared" si="1"/>
        <v>5924.998611</v>
      </c>
      <c r="D3098" s="1">
        <f t="shared" si="2"/>
        <v>39506.76663</v>
      </c>
      <c r="E3098" s="1">
        <f t="shared" si="3"/>
        <v>71112.17993</v>
      </c>
      <c r="F3098" s="1">
        <f t="shared" si="4"/>
        <v>134323.0065</v>
      </c>
      <c r="G3098" s="1">
        <f t="shared" si="5"/>
        <v>237040.5998</v>
      </c>
      <c r="H3098" s="1">
        <f t="shared" si="6"/>
        <v>434574.4329</v>
      </c>
      <c r="I3098" s="1">
        <f t="shared" si="7"/>
        <v>711121.7993</v>
      </c>
    </row>
    <row r="3099" hidden="1">
      <c r="A3099" s="266">
        <f>IFERROR(__xludf.DUMMYFUNCTION("""COMPUTED_VALUE"""),45741.99861111111)</f>
        <v>45741.99861</v>
      </c>
      <c r="B3099" s="1">
        <f>IFERROR(__xludf.DUMMYFUNCTION("""COMPUTED_VALUE"""),86496.49)</f>
        <v>86496.49</v>
      </c>
      <c r="C3099" s="58">
        <f t="shared" si="1"/>
        <v>5925.998611</v>
      </c>
      <c r="D3099" s="1">
        <f t="shared" si="2"/>
        <v>39545.4556</v>
      </c>
      <c r="E3099" s="1">
        <f t="shared" si="3"/>
        <v>71181.82007</v>
      </c>
      <c r="F3099" s="1">
        <f t="shared" si="4"/>
        <v>134454.549</v>
      </c>
      <c r="G3099" s="1">
        <f t="shared" si="5"/>
        <v>237272.7336</v>
      </c>
      <c r="H3099" s="1">
        <f t="shared" si="6"/>
        <v>435000.0115</v>
      </c>
      <c r="I3099" s="1">
        <f t="shared" si="7"/>
        <v>711818.2007</v>
      </c>
    </row>
    <row r="3100" hidden="1">
      <c r="A3100" s="266">
        <f>IFERROR(__xludf.DUMMYFUNCTION("""COMPUTED_VALUE"""),45742.99861111111)</f>
        <v>45742.99861</v>
      </c>
      <c r="B3100" s="1">
        <f>IFERROR(__xludf.DUMMYFUNCTION("""COMPUTED_VALUE"""),87186.84)</f>
        <v>87186.84</v>
      </c>
      <c r="C3100" s="58">
        <f t="shared" si="1"/>
        <v>5926.998611</v>
      </c>
      <c r="D3100" s="1">
        <f t="shared" si="2"/>
        <v>39584.17591</v>
      </c>
      <c r="E3100" s="1">
        <f t="shared" si="3"/>
        <v>71251.51664</v>
      </c>
      <c r="F3100" s="1">
        <f t="shared" si="4"/>
        <v>134586.1981</v>
      </c>
      <c r="G3100" s="1">
        <f t="shared" si="5"/>
        <v>237505.0555</v>
      </c>
      <c r="H3100" s="1">
        <f t="shared" si="6"/>
        <v>435425.935</v>
      </c>
      <c r="I3100" s="1">
        <f t="shared" si="7"/>
        <v>712515.1664</v>
      </c>
    </row>
    <row r="3101" hidden="1">
      <c r="A3101" s="266">
        <f>IFERROR(__xludf.DUMMYFUNCTION("""COMPUTED_VALUE"""),45743.99861111111)</f>
        <v>45743.99861</v>
      </c>
      <c r="B3101" s="1">
        <f>IFERROR(__xludf.DUMMYFUNCTION("""COMPUTED_VALUE"""),87692.71)</f>
        <v>87692.71</v>
      </c>
      <c r="C3101" s="58">
        <f t="shared" si="1"/>
        <v>5927.998611</v>
      </c>
      <c r="D3101" s="1">
        <f t="shared" si="2"/>
        <v>39622.9276</v>
      </c>
      <c r="E3101" s="1">
        <f t="shared" si="3"/>
        <v>71321.26968</v>
      </c>
      <c r="F3101" s="1">
        <f t="shared" si="4"/>
        <v>134717.9538</v>
      </c>
      <c r="G3101" s="1">
        <f t="shared" si="5"/>
        <v>237737.5656</v>
      </c>
      <c r="H3101" s="1">
        <f t="shared" si="6"/>
        <v>435852.2036</v>
      </c>
      <c r="I3101" s="1">
        <f t="shared" si="7"/>
        <v>713212.6968</v>
      </c>
    </row>
    <row r="3102" hidden="1">
      <c r="A3102" s="266">
        <f>IFERROR(__xludf.DUMMYFUNCTION("""COMPUTED_VALUE"""),45744.99861111111)</f>
        <v>45744.99861</v>
      </c>
      <c r="B3102" s="1">
        <f>IFERROR(__xludf.DUMMYFUNCTION("""COMPUTED_VALUE"""),86810.84)</f>
        <v>86810.84</v>
      </c>
      <c r="C3102" s="58">
        <f t="shared" si="1"/>
        <v>5928.998611</v>
      </c>
      <c r="D3102" s="1">
        <f t="shared" si="2"/>
        <v>39661.71068</v>
      </c>
      <c r="E3102" s="1">
        <f t="shared" si="3"/>
        <v>71391.07923</v>
      </c>
      <c r="F3102" s="1">
        <f t="shared" si="4"/>
        <v>134849.8163</v>
      </c>
      <c r="G3102" s="1">
        <f t="shared" si="5"/>
        <v>237970.2641</v>
      </c>
      <c r="H3102" s="1">
        <f t="shared" si="6"/>
        <v>436278.8175</v>
      </c>
      <c r="I3102" s="1">
        <f t="shared" si="7"/>
        <v>713910.7923</v>
      </c>
    </row>
    <row r="3103" hidden="1">
      <c r="A3103" s="266">
        <f>IFERROR(__xludf.DUMMYFUNCTION("""COMPUTED_VALUE"""),45745.99861111111)</f>
        <v>45745.99861</v>
      </c>
      <c r="B3103" s="1">
        <f>IFERROR(__xludf.DUMMYFUNCTION("""COMPUTED_VALUE"""),84261.42)</f>
        <v>84261.42</v>
      </c>
      <c r="C3103" s="58">
        <f t="shared" si="1"/>
        <v>5929.998611</v>
      </c>
      <c r="D3103" s="1">
        <f t="shared" si="2"/>
        <v>39700.52517</v>
      </c>
      <c r="E3103" s="1">
        <f t="shared" si="3"/>
        <v>71460.94531</v>
      </c>
      <c r="F3103" s="1">
        <f t="shared" si="4"/>
        <v>134981.7856</v>
      </c>
      <c r="G3103" s="1">
        <f t="shared" si="5"/>
        <v>238203.151</v>
      </c>
      <c r="H3103" s="1">
        <f t="shared" si="6"/>
        <v>436705.7769</v>
      </c>
      <c r="I3103" s="1">
        <f t="shared" si="7"/>
        <v>714609.4531</v>
      </c>
    </row>
    <row r="3104" hidden="1">
      <c r="A3104" s="266">
        <f>IFERROR(__xludf.DUMMYFUNCTION("""COMPUTED_VALUE"""),45746.99861111111)</f>
        <v>45746.99861</v>
      </c>
      <c r="B3104" s="1">
        <f>IFERROR(__xludf.DUMMYFUNCTION("""COMPUTED_VALUE"""),83184.34)</f>
        <v>83184.34</v>
      </c>
      <c r="C3104" s="58">
        <f t="shared" si="1"/>
        <v>5930.998611</v>
      </c>
      <c r="D3104" s="1">
        <f t="shared" si="2"/>
        <v>39739.37109</v>
      </c>
      <c r="E3104" s="1">
        <f t="shared" si="3"/>
        <v>71530.86797</v>
      </c>
      <c r="F3104" s="1">
        <f t="shared" si="4"/>
        <v>135113.8617</v>
      </c>
      <c r="G3104" s="1">
        <f t="shared" si="5"/>
        <v>238436.2266</v>
      </c>
      <c r="H3104" s="1">
        <f t="shared" si="6"/>
        <v>437133.082</v>
      </c>
      <c r="I3104" s="1">
        <f t="shared" si="7"/>
        <v>715308.6797</v>
      </c>
    </row>
    <row r="3105" hidden="1">
      <c r="A3105" s="266">
        <f>IFERROR(__xludf.DUMMYFUNCTION("""COMPUTED_VALUE"""),45747.99861111111)</f>
        <v>45747.99861</v>
      </c>
      <c r="B3105" s="1">
        <f>IFERROR(__xludf.DUMMYFUNCTION("""COMPUTED_VALUE"""),81559.22)</f>
        <v>81559.22</v>
      </c>
      <c r="C3105" s="58">
        <f t="shared" si="1"/>
        <v>5931.998611</v>
      </c>
      <c r="D3105" s="1">
        <f t="shared" si="2"/>
        <v>39778.24847</v>
      </c>
      <c r="E3105" s="1">
        <f t="shared" si="3"/>
        <v>71600.84724</v>
      </c>
      <c r="F3105" s="1">
        <f t="shared" si="4"/>
        <v>135246.0448</v>
      </c>
      <c r="G3105" s="1">
        <f t="shared" si="5"/>
        <v>238669.4908</v>
      </c>
      <c r="H3105" s="1">
        <f t="shared" si="6"/>
        <v>437560.7331</v>
      </c>
      <c r="I3105" s="1">
        <f t="shared" si="7"/>
        <v>716008.4724</v>
      </c>
    </row>
    <row r="3106" hidden="1">
      <c r="A3106" s="266">
        <f>IFERROR(__xludf.DUMMYFUNCTION("""COMPUTED_VALUE"""),45748.99861111111)</f>
        <v>45748.99861</v>
      </c>
      <c r="B3106" s="1">
        <f>IFERROR(__xludf.DUMMYFUNCTION("""COMPUTED_VALUE"""),82963.95)</f>
        <v>82963.95</v>
      </c>
      <c r="C3106" s="58">
        <f t="shared" si="1"/>
        <v>5932.998611</v>
      </c>
      <c r="D3106" s="1">
        <f t="shared" si="2"/>
        <v>39817.15731</v>
      </c>
      <c r="E3106" s="1">
        <f t="shared" si="3"/>
        <v>71670.88316</v>
      </c>
      <c r="F3106" s="1">
        <f t="shared" si="4"/>
        <v>135378.3349</v>
      </c>
      <c r="G3106" s="1">
        <f t="shared" si="5"/>
        <v>238902.9439</v>
      </c>
      <c r="H3106" s="1">
        <f t="shared" si="6"/>
        <v>437988.7304</v>
      </c>
      <c r="I3106" s="1">
        <f t="shared" si="7"/>
        <v>716708.8316</v>
      </c>
    </row>
    <row r="3107" hidden="1">
      <c r="A3107" s="266">
        <f>IFERROR(__xludf.DUMMYFUNCTION("""COMPUTED_VALUE"""),45749.99861111111)</f>
        <v>45749.99861</v>
      </c>
      <c r="B3107" s="1">
        <f>IFERROR(__xludf.DUMMYFUNCTION("""COMPUTED_VALUE"""),84598.74)</f>
        <v>84598.74</v>
      </c>
      <c r="C3107" s="58">
        <f t="shared" si="1"/>
        <v>5933.998611</v>
      </c>
      <c r="D3107" s="1">
        <f t="shared" si="2"/>
        <v>39856.09764</v>
      </c>
      <c r="E3107" s="1">
        <f t="shared" si="3"/>
        <v>71740.97576</v>
      </c>
      <c r="F3107" s="1">
        <f t="shared" si="4"/>
        <v>135510.732</v>
      </c>
      <c r="G3107" s="1">
        <f t="shared" si="5"/>
        <v>239136.5859</v>
      </c>
      <c r="H3107" s="1">
        <f t="shared" si="6"/>
        <v>438417.0741</v>
      </c>
      <c r="I3107" s="1">
        <f t="shared" si="7"/>
        <v>717409.7576</v>
      </c>
    </row>
    <row r="3108" hidden="1">
      <c r="A3108" s="266">
        <f>IFERROR(__xludf.DUMMYFUNCTION("""COMPUTED_VALUE"""),45750.99861111111)</f>
        <v>45750.99861</v>
      </c>
      <c r="B3108" s="1">
        <f>IFERROR(__xludf.DUMMYFUNCTION("""COMPUTED_VALUE"""),83479.15)</f>
        <v>83479.15</v>
      </c>
      <c r="C3108" s="58">
        <f t="shared" si="1"/>
        <v>5934.998611</v>
      </c>
      <c r="D3108" s="1">
        <f t="shared" si="2"/>
        <v>39895.06949</v>
      </c>
      <c r="E3108" s="1">
        <f t="shared" si="3"/>
        <v>71811.12508</v>
      </c>
      <c r="F3108" s="1">
        <f t="shared" si="4"/>
        <v>135643.2363</v>
      </c>
      <c r="G3108" s="1">
        <f t="shared" si="5"/>
        <v>239370.4169</v>
      </c>
      <c r="H3108" s="1">
        <f t="shared" si="6"/>
        <v>438845.7644</v>
      </c>
      <c r="I3108" s="1">
        <f t="shared" si="7"/>
        <v>718111.2508</v>
      </c>
    </row>
    <row r="3109" hidden="1">
      <c r="A3109" s="266">
        <f>IFERROR(__xludf.DUMMYFUNCTION("""COMPUTED_VALUE"""),45751.99861111111)</f>
        <v>45751.99861</v>
      </c>
      <c r="B3109" s="1">
        <f>IFERROR(__xludf.DUMMYFUNCTION("""COMPUTED_VALUE"""),82740.93)</f>
        <v>82740.93</v>
      </c>
      <c r="C3109" s="58">
        <f t="shared" si="1"/>
        <v>5935.998611</v>
      </c>
      <c r="D3109" s="1">
        <f t="shared" si="2"/>
        <v>39934.07287</v>
      </c>
      <c r="E3109" s="1">
        <f t="shared" si="3"/>
        <v>71881.33116</v>
      </c>
      <c r="F3109" s="1">
        <f t="shared" si="4"/>
        <v>135775.8477</v>
      </c>
      <c r="G3109" s="1">
        <f t="shared" si="5"/>
        <v>239604.4372</v>
      </c>
      <c r="H3109" s="1">
        <f t="shared" si="6"/>
        <v>439274.8015</v>
      </c>
      <c r="I3109" s="1">
        <f t="shared" si="7"/>
        <v>718813.3116</v>
      </c>
    </row>
    <row r="3110" hidden="1">
      <c r="A3110" s="266">
        <f>IFERROR(__xludf.DUMMYFUNCTION("""COMPUTED_VALUE"""),45752.99861111111)</f>
        <v>45752.99861</v>
      </c>
      <c r="B3110" s="1">
        <f>IFERROR(__xludf.DUMMYFUNCTION("""COMPUTED_VALUE"""),83624.02)</f>
        <v>83624.02</v>
      </c>
      <c r="C3110" s="58">
        <f t="shared" si="1"/>
        <v>5936.998611</v>
      </c>
      <c r="D3110" s="1">
        <f t="shared" si="2"/>
        <v>39973.1078</v>
      </c>
      <c r="E3110" s="1">
        <f t="shared" si="3"/>
        <v>71951.59404</v>
      </c>
      <c r="F3110" s="1">
        <f t="shared" si="4"/>
        <v>135908.5665</v>
      </c>
      <c r="G3110" s="1">
        <f t="shared" si="5"/>
        <v>239838.6468</v>
      </c>
      <c r="H3110" s="1">
        <f t="shared" si="6"/>
        <v>439704.1858</v>
      </c>
      <c r="I3110" s="1">
        <f t="shared" si="7"/>
        <v>719515.9404</v>
      </c>
    </row>
    <row r="3111" hidden="1">
      <c r="A3111" s="266">
        <f>IFERROR(__xludf.DUMMYFUNCTION("""COMPUTED_VALUE"""),45753.99861111111)</f>
        <v>45753.99861</v>
      </c>
      <c r="B3111" s="1">
        <f>IFERROR(__xludf.DUMMYFUNCTION("""COMPUTED_VALUE"""),83332.85)</f>
        <v>83332.85</v>
      </c>
      <c r="C3111" s="58">
        <f t="shared" si="1"/>
        <v>5937.998611</v>
      </c>
      <c r="D3111" s="1">
        <f t="shared" si="2"/>
        <v>40012.1743</v>
      </c>
      <c r="E3111" s="1">
        <f t="shared" si="3"/>
        <v>72021.91374</v>
      </c>
      <c r="F3111" s="1">
        <f t="shared" si="4"/>
        <v>136041.3926</v>
      </c>
      <c r="G3111" s="1">
        <f t="shared" si="5"/>
        <v>240073.0458</v>
      </c>
      <c r="H3111" s="1">
        <f t="shared" si="6"/>
        <v>440133.9173</v>
      </c>
      <c r="I3111" s="1">
        <f t="shared" si="7"/>
        <v>720219.1374</v>
      </c>
    </row>
    <row r="3112" hidden="1">
      <c r="A3112" s="266">
        <f>IFERROR(__xludf.DUMMYFUNCTION("""COMPUTED_VALUE"""),45754.99861111111)</f>
        <v>45754.99861</v>
      </c>
      <c r="B3112" s="1">
        <f>IFERROR(__xludf.DUMMYFUNCTION("""COMPUTED_VALUE"""),77555.34)</f>
        <v>77555.34</v>
      </c>
      <c r="C3112" s="58">
        <f t="shared" si="1"/>
        <v>5938.998611</v>
      </c>
      <c r="D3112" s="1">
        <f t="shared" si="2"/>
        <v>40051.27239</v>
      </c>
      <c r="E3112" s="1">
        <f t="shared" si="3"/>
        <v>72092.29031</v>
      </c>
      <c r="F3112" s="1">
        <f t="shared" si="4"/>
        <v>136174.3261</v>
      </c>
      <c r="G3112" s="1">
        <f t="shared" si="5"/>
        <v>240307.6344</v>
      </c>
      <c r="H3112" s="1">
        <f t="shared" si="6"/>
        <v>440563.9963</v>
      </c>
      <c r="I3112" s="1">
        <f t="shared" si="7"/>
        <v>720922.9031</v>
      </c>
    </row>
    <row r="3113" hidden="1">
      <c r="A3113" s="266">
        <f>IFERROR(__xludf.DUMMYFUNCTION("""COMPUTED_VALUE"""),45756.99861111111)</f>
        <v>45756.99861</v>
      </c>
      <c r="B3113" s="1">
        <f>IFERROR(__xludf.DUMMYFUNCTION("""COMPUTED_VALUE"""),75004.68)</f>
        <v>75004.68</v>
      </c>
      <c r="C3113" s="58">
        <f t="shared" si="1"/>
        <v>5940.998611</v>
      </c>
      <c r="D3113" s="1">
        <f t="shared" si="2"/>
        <v>40129.56344</v>
      </c>
      <c r="E3113" s="1">
        <f t="shared" si="3"/>
        <v>72233.21419</v>
      </c>
      <c r="F3113" s="1">
        <f t="shared" si="4"/>
        <v>136440.5157</v>
      </c>
      <c r="G3113" s="1">
        <f t="shared" si="5"/>
        <v>240777.3806</v>
      </c>
      <c r="H3113" s="1">
        <f t="shared" si="6"/>
        <v>441425.1978</v>
      </c>
      <c r="I3113" s="1">
        <f t="shared" si="7"/>
        <v>722332.1419</v>
      </c>
    </row>
    <row r="3114" hidden="1">
      <c r="A3114" s="266">
        <f>IFERROR(__xludf.DUMMYFUNCTION("""COMPUTED_VALUE"""),45757.99861111111)</f>
        <v>45757.99861</v>
      </c>
      <c r="B3114" s="1">
        <f>IFERROR(__xludf.DUMMYFUNCTION("""COMPUTED_VALUE"""),81681.0)</f>
        <v>81681</v>
      </c>
      <c r="C3114" s="58">
        <f t="shared" si="1"/>
        <v>5941.998611</v>
      </c>
      <c r="D3114" s="1">
        <f t="shared" si="2"/>
        <v>40168.75643</v>
      </c>
      <c r="E3114" s="1">
        <f t="shared" si="3"/>
        <v>72303.76158</v>
      </c>
      <c r="F3114" s="1">
        <f t="shared" si="4"/>
        <v>136573.7719</v>
      </c>
      <c r="G3114" s="1">
        <f t="shared" si="5"/>
        <v>241012.5386</v>
      </c>
      <c r="H3114" s="1">
        <f t="shared" si="6"/>
        <v>441856.3207</v>
      </c>
      <c r="I3114" s="1">
        <f t="shared" si="7"/>
        <v>723037.6158</v>
      </c>
    </row>
    <row r="3115" hidden="1">
      <c r="A3115" s="266">
        <f>IFERROR(__xludf.DUMMYFUNCTION("""COMPUTED_VALUE"""),45758.99861111111)</f>
        <v>45758.99861</v>
      </c>
      <c r="B3115" s="1">
        <f>IFERROR(__xludf.DUMMYFUNCTION("""COMPUTED_VALUE"""),80721.91)</f>
        <v>80721.91</v>
      </c>
      <c r="C3115" s="58">
        <f t="shared" si="1"/>
        <v>5942.998611</v>
      </c>
      <c r="D3115" s="1">
        <f t="shared" si="2"/>
        <v>40207.9811</v>
      </c>
      <c r="E3115" s="1">
        <f t="shared" si="3"/>
        <v>72374.36597</v>
      </c>
      <c r="F3115" s="1">
        <f t="shared" si="4"/>
        <v>136707.1357</v>
      </c>
      <c r="G3115" s="1">
        <f t="shared" si="5"/>
        <v>241247.8866</v>
      </c>
      <c r="H3115" s="1">
        <f t="shared" si="6"/>
        <v>442287.7921</v>
      </c>
      <c r="I3115" s="1">
        <f t="shared" si="7"/>
        <v>723743.6597</v>
      </c>
    </row>
    <row r="3116" hidden="1">
      <c r="A3116" s="266">
        <f>IFERROR(__xludf.DUMMYFUNCTION("""COMPUTED_VALUE"""),45759.99861111111)</f>
        <v>45759.99861</v>
      </c>
      <c r="B3116" s="1">
        <f>IFERROR(__xludf.DUMMYFUNCTION("""COMPUTED_VALUE"""),82944.43)</f>
        <v>82944.43</v>
      </c>
      <c r="C3116" s="58">
        <f t="shared" si="1"/>
        <v>5943.998611</v>
      </c>
      <c r="D3116" s="1">
        <f t="shared" si="2"/>
        <v>40247.23746</v>
      </c>
      <c r="E3116" s="1">
        <f t="shared" si="3"/>
        <v>72445.02742</v>
      </c>
      <c r="F3116" s="1">
        <f t="shared" si="4"/>
        <v>136840.6074</v>
      </c>
      <c r="G3116" s="1">
        <f t="shared" si="5"/>
        <v>241483.4247</v>
      </c>
      <c r="H3116" s="1">
        <f t="shared" si="6"/>
        <v>442719.612</v>
      </c>
      <c r="I3116" s="1">
        <f t="shared" si="7"/>
        <v>724450.2742</v>
      </c>
    </row>
    <row r="3117" hidden="1">
      <c r="A3117" s="266">
        <f>IFERROR(__xludf.DUMMYFUNCTION("""COMPUTED_VALUE"""),45760.99861111111)</f>
        <v>45760.99861</v>
      </c>
      <c r="B3117" s="1">
        <f>IFERROR(__xludf.DUMMYFUNCTION("""COMPUTED_VALUE"""),85434.14)</f>
        <v>85434.14</v>
      </c>
      <c r="C3117" s="58">
        <f t="shared" si="1"/>
        <v>5944.998611</v>
      </c>
      <c r="D3117" s="1">
        <f t="shared" si="2"/>
        <v>40286.52553</v>
      </c>
      <c r="E3117" s="1">
        <f t="shared" si="3"/>
        <v>72515.74595</v>
      </c>
      <c r="F3117" s="1">
        <f t="shared" si="4"/>
        <v>136974.1868</v>
      </c>
      <c r="G3117" s="1">
        <f t="shared" si="5"/>
        <v>241719.1532</v>
      </c>
      <c r="H3117" s="1">
        <f t="shared" si="6"/>
        <v>443151.7808</v>
      </c>
      <c r="I3117" s="1">
        <f t="shared" si="7"/>
        <v>725157.4595</v>
      </c>
    </row>
    <row r="3118" hidden="1">
      <c r="A3118" s="266">
        <f>IFERROR(__xludf.DUMMYFUNCTION("""COMPUTED_VALUE"""),45761.99861111111)</f>
        <v>45761.99861</v>
      </c>
      <c r="B3118" s="1">
        <f>IFERROR(__xludf.DUMMYFUNCTION("""COMPUTED_VALUE"""),84549.55)</f>
        <v>84549.55</v>
      </c>
      <c r="C3118" s="58">
        <f t="shared" si="1"/>
        <v>5945.998611</v>
      </c>
      <c r="D3118" s="1">
        <f t="shared" si="2"/>
        <v>40325.84534</v>
      </c>
      <c r="E3118" s="1">
        <f t="shared" si="3"/>
        <v>72586.5216</v>
      </c>
      <c r="F3118" s="1">
        <f t="shared" si="4"/>
        <v>137107.8741</v>
      </c>
      <c r="G3118" s="1">
        <f t="shared" si="5"/>
        <v>241955.072</v>
      </c>
      <c r="H3118" s="1">
        <f t="shared" si="6"/>
        <v>443584.2987</v>
      </c>
      <c r="I3118" s="1">
        <f t="shared" si="7"/>
        <v>725865.216</v>
      </c>
    </row>
    <row r="3119" hidden="1">
      <c r="A3119" s="266">
        <f>IFERROR(__xludf.DUMMYFUNCTION("""COMPUTED_VALUE"""),45762.99861111111)</f>
        <v>45762.99861</v>
      </c>
      <c r="B3119" s="1">
        <f>IFERROR(__xludf.DUMMYFUNCTION("""COMPUTED_VALUE"""),85358.06)</f>
        <v>85358.06</v>
      </c>
      <c r="C3119" s="58">
        <f t="shared" si="1"/>
        <v>5946.998611</v>
      </c>
      <c r="D3119" s="1">
        <f t="shared" si="2"/>
        <v>40365.1969</v>
      </c>
      <c r="E3119" s="1">
        <f t="shared" si="3"/>
        <v>72657.35442</v>
      </c>
      <c r="F3119" s="1">
        <f t="shared" si="4"/>
        <v>137241.6695</v>
      </c>
      <c r="G3119" s="1">
        <f t="shared" si="5"/>
        <v>242191.1814</v>
      </c>
      <c r="H3119" s="1">
        <f t="shared" si="6"/>
        <v>444017.1659</v>
      </c>
      <c r="I3119" s="1">
        <f t="shared" si="7"/>
        <v>726573.5442</v>
      </c>
    </row>
    <row r="3120" hidden="1">
      <c r="A3120" s="266">
        <f>IFERROR(__xludf.DUMMYFUNCTION("""COMPUTED_VALUE"""),45763.99861111111)</f>
        <v>45763.99861</v>
      </c>
      <c r="B3120" s="1">
        <f>IFERROR(__xludf.DUMMYFUNCTION("""COMPUTED_VALUE"""),83726.81)</f>
        <v>83726.81</v>
      </c>
      <c r="C3120" s="58">
        <f t="shared" si="1"/>
        <v>5947.998611</v>
      </c>
      <c r="D3120" s="1">
        <f t="shared" si="2"/>
        <v>40404.58023</v>
      </c>
      <c r="E3120" s="1">
        <f t="shared" si="3"/>
        <v>72728.24442</v>
      </c>
      <c r="F3120" s="1">
        <f t="shared" si="4"/>
        <v>137375.5728</v>
      </c>
      <c r="G3120" s="1">
        <f t="shared" si="5"/>
        <v>242427.4814</v>
      </c>
      <c r="H3120" s="1">
        <f t="shared" si="6"/>
        <v>444450.3826</v>
      </c>
      <c r="I3120" s="1">
        <f t="shared" si="7"/>
        <v>727282.4442</v>
      </c>
    </row>
    <row r="3121" hidden="1">
      <c r="A3121" s="266">
        <f>IFERROR(__xludf.DUMMYFUNCTION("""COMPUTED_VALUE"""),45764.99861111111)</f>
        <v>45764.99861</v>
      </c>
      <c r="B3121" s="1">
        <f>IFERROR(__xludf.DUMMYFUNCTION("""COMPUTED_VALUE"""),84030.1)</f>
        <v>84030.1</v>
      </c>
      <c r="C3121" s="58">
        <f t="shared" si="1"/>
        <v>5948.998611</v>
      </c>
      <c r="D3121" s="1">
        <f t="shared" si="2"/>
        <v>40443.99536</v>
      </c>
      <c r="E3121" s="1">
        <f t="shared" si="3"/>
        <v>72799.19166</v>
      </c>
      <c r="F3121" s="1">
        <f t="shared" si="4"/>
        <v>137509.5842</v>
      </c>
      <c r="G3121" s="1">
        <f t="shared" si="5"/>
        <v>242663.9722</v>
      </c>
      <c r="H3121" s="1">
        <f t="shared" si="6"/>
        <v>444883.949</v>
      </c>
      <c r="I3121" s="1">
        <f t="shared" si="7"/>
        <v>727991.9166</v>
      </c>
    </row>
    <row r="3122" hidden="1">
      <c r="A3122" s="266">
        <f>IFERROR(__xludf.DUMMYFUNCTION("""COMPUTED_VALUE"""),45765.99861111111)</f>
        <v>45765.99861</v>
      </c>
      <c r="B3122" s="1">
        <f>IFERROR(__xludf.DUMMYFUNCTION("""COMPUTED_VALUE"""),84815.62)</f>
        <v>84815.62</v>
      </c>
      <c r="C3122" s="58">
        <f t="shared" si="1"/>
        <v>5949.998611</v>
      </c>
      <c r="D3122" s="1">
        <f t="shared" si="2"/>
        <v>40483.44231</v>
      </c>
      <c r="E3122" s="1">
        <f t="shared" si="3"/>
        <v>72870.19616</v>
      </c>
      <c r="F3122" s="1">
        <f t="shared" si="4"/>
        <v>137643.7039</v>
      </c>
      <c r="G3122" s="1">
        <f t="shared" si="5"/>
        <v>242900.6539</v>
      </c>
      <c r="H3122" s="1">
        <f t="shared" si="6"/>
        <v>445317.8654</v>
      </c>
      <c r="I3122" s="1">
        <f t="shared" si="7"/>
        <v>728701.9616</v>
      </c>
    </row>
    <row r="3123" hidden="1">
      <c r="A3123" s="266">
        <f>IFERROR(__xludf.DUMMYFUNCTION("""COMPUTED_VALUE"""),45766.99861111111)</f>
        <v>45766.99861</v>
      </c>
      <c r="B3123" s="1">
        <f>IFERROR(__xludf.DUMMYFUNCTION("""COMPUTED_VALUE"""),84841.2)</f>
        <v>84841.2</v>
      </c>
      <c r="C3123" s="58">
        <f t="shared" si="1"/>
        <v>5950.998611</v>
      </c>
      <c r="D3123" s="1">
        <f t="shared" si="2"/>
        <v>40522.92109</v>
      </c>
      <c r="E3123" s="1">
        <f t="shared" si="3"/>
        <v>72941.25797</v>
      </c>
      <c r="F3123" s="1">
        <f t="shared" si="4"/>
        <v>137777.9317</v>
      </c>
      <c r="G3123" s="1">
        <f t="shared" si="5"/>
        <v>243137.5266</v>
      </c>
      <c r="H3123" s="1">
        <f t="shared" si="6"/>
        <v>445752.132</v>
      </c>
      <c r="I3123" s="1">
        <f t="shared" si="7"/>
        <v>729412.5797</v>
      </c>
    </row>
    <row r="3124" hidden="1">
      <c r="A3124" s="266">
        <f>IFERROR(__xludf.DUMMYFUNCTION("""COMPUTED_VALUE"""),45767.99861111111)</f>
        <v>45767.99861</v>
      </c>
      <c r="B3124" s="1">
        <f>IFERROR(__xludf.DUMMYFUNCTION("""COMPUTED_VALUE"""),85115.07)</f>
        <v>85115.07</v>
      </c>
      <c r="C3124" s="58">
        <f t="shared" si="1"/>
        <v>5951.998611</v>
      </c>
      <c r="D3124" s="1">
        <f t="shared" si="2"/>
        <v>40562.43173</v>
      </c>
      <c r="E3124" s="1">
        <f t="shared" si="3"/>
        <v>73012.37711</v>
      </c>
      <c r="F3124" s="1">
        <f t="shared" si="4"/>
        <v>137912.2679</v>
      </c>
      <c r="G3124" s="1">
        <f t="shared" si="5"/>
        <v>243374.5904</v>
      </c>
      <c r="H3124" s="1">
        <f t="shared" si="6"/>
        <v>446186.749</v>
      </c>
      <c r="I3124" s="1">
        <f t="shared" si="7"/>
        <v>730123.7711</v>
      </c>
    </row>
    <row r="3125" hidden="1">
      <c r="A3125" s="266">
        <f>IFERROR(__xludf.DUMMYFUNCTION("""COMPUTED_VALUE"""),45768.99861111111)</f>
        <v>45768.99861</v>
      </c>
      <c r="B3125" s="1">
        <f>IFERROR(__xludf.DUMMYFUNCTION("""COMPUTED_VALUE"""),87152.38)</f>
        <v>87152.38</v>
      </c>
      <c r="C3125" s="58">
        <f t="shared" si="1"/>
        <v>5952.998611</v>
      </c>
      <c r="D3125" s="1">
        <f t="shared" si="2"/>
        <v>40601.97424</v>
      </c>
      <c r="E3125" s="1">
        <f t="shared" si="3"/>
        <v>73083.55364</v>
      </c>
      <c r="F3125" s="1">
        <f t="shared" si="4"/>
        <v>138046.7124</v>
      </c>
      <c r="G3125" s="1">
        <f t="shared" si="5"/>
        <v>243611.8455</v>
      </c>
      <c r="H3125" s="1">
        <f t="shared" si="6"/>
        <v>446621.7167</v>
      </c>
      <c r="I3125" s="1">
        <f t="shared" si="7"/>
        <v>730835.5364</v>
      </c>
    </row>
    <row r="3126" hidden="1">
      <c r="A3126" s="266">
        <f>IFERROR(__xludf.DUMMYFUNCTION("""COMPUTED_VALUE"""),45769.99861111111)</f>
        <v>45769.99861</v>
      </c>
      <c r="B3126" s="1">
        <f>IFERROR(__xludf.DUMMYFUNCTION("""COMPUTED_VALUE"""),88107.6)</f>
        <v>88107.6</v>
      </c>
      <c r="C3126" s="58">
        <f t="shared" si="1"/>
        <v>5953.998611</v>
      </c>
      <c r="D3126" s="1">
        <f t="shared" si="2"/>
        <v>40641.54865</v>
      </c>
      <c r="E3126" s="1">
        <f t="shared" si="3"/>
        <v>73154.78758</v>
      </c>
      <c r="F3126" s="1">
        <f t="shared" si="4"/>
        <v>138181.2654</v>
      </c>
      <c r="G3126" s="1">
        <f t="shared" si="5"/>
        <v>243849.2919</v>
      </c>
      <c r="H3126" s="1">
        <f t="shared" si="6"/>
        <v>447057.0352</v>
      </c>
      <c r="I3126" s="1">
        <f t="shared" si="7"/>
        <v>731547.8758</v>
      </c>
    </row>
    <row r="3127" hidden="1">
      <c r="A3127" s="266">
        <f>IFERROR(__xludf.DUMMYFUNCTION("""COMPUTED_VALUE"""),45770.99861111111)</f>
        <v>45770.99861</v>
      </c>
      <c r="B3127" s="1">
        <f>IFERROR(__xludf.DUMMYFUNCTION("""COMPUTED_VALUE"""),93210.55)</f>
        <v>93210.55</v>
      </c>
      <c r="C3127" s="58">
        <f t="shared" si="1"/>
        <v>5954.998611</v>
      </c>
      <c r="D3127" s="1">
        <f t="shared" si="2"/>
        <v>40681.15498</v>
      </c>
      <c r="E3127" s="1">
        <f t="shared" si="3"/>
        <v>73226.07897</v>
      </c>
      <c r="F3127" s="1">
        <f t="shared" si="4"/>
        <v>138315.9269</v>
      </c>
      <c r="G3127" s="1">
        <f t="shared" si="5"/>
        <v>244086.9299</v>
      </c>
      <c r="H3127" s="1">
        <f t="shared" si="6"/>
        <v>447492.7048</v>
      </c>
      <c r="I3127" s="1">
        <f t="shared" si="7"/>
        <v>732260.7897</v>
      </c>
    </row>
    <row r="3128" hidden="1">
      <c r="A3128" s="266">
        <f>IFERROR(__xludf.DUMMYFUNCTION("""COMPUTED_VALUE"""),45771.99861111111)</f>
        <v>45771.99861</v>
      </c>
      <c r="B3128" s="1">
        <f>IFERROR(__xludf.DUMMYFUNCTION("""COMPUTED_VALUE"""),92733.36)</f>
        <v>92733.36</v>
      </c>
      <c r="C3128" s="58">
        <f t="shared" si="1"/>
        <v>5955.998611</v>
      </c>
      <c r="D3128" s="1">
        <f t="shared" si="2"/>
        <v>40720.79325</v>
      </c>
      <c r="E3128" s="1">
        <f t="shared" si="3"/>
        <v>73297.42784</v>
      </c>
      <c r="F3128" s="1">
        <f t="shared" si="4"/>
        <v>138450.697</v>
      </c>
      <c r="G3128" s="1">
        <f t="shared" si="5"/>
        <v>244324.7595</v>
      </c>
      <c r="H3128" s="1">
        <f t="shared" si="6"/>
        <v>447928.7257</v>
      </c>
      <c r="I3128" s="1">
        <f t="shared" si="7"/>
        <v>732974.2784</v>
      </c>
    </row>
    <row r="3129" hidden="1">
      <c r="A3129" s="266">
        <f>IFERROR(__xludf.DUMMYFUNCTION("""COMPUTED_VALUE"""),45772.99861111111)</f>
        <v>45772.99861</v>
      </c>
      <c r="B3129" s="1">
        <f>IFERROR(__xludf.DUMMYFUNCTION("""COMPUTED_VALUE"""),93348.03)</f>
        <v>93348.03</v>
      </c>
      <c r="C3129" s="58">
        <f t="shared" si="1"/>
        <v>5956.998611</v>
      </c>
      <c r="D3129" s="1">
        <f t="shared" si="2"/>
        <v>40760.46347</v>
      </c>
      <c r="E3129" s="1">
        <f t="shared" si="3"/>
        <v>73368.83424</v>
      </c>
      <c r="F3129" s="1">
        <f t="shared" si="4"/>
        <v>138585.5758</v>
      </c>
      <c r="G3129" s="1">
        <f t="shared" si="5"/>
        <v>244562.7808</v>
      </c>
      <c r="H3129" s="1">
        <f t="shared" si="6"/>
        <v>448365.0982</v>
      </c>
      <c r="I3129" s="1">
        <f t="shared" si="7"/>
        <v>733688.3424</v>
      </c>
    </row>
    <row r="3130" hidden="1">
      <c r="A3130" s="266">
        <f>IFERROR(__xludf.DUMMYFUNCTION("""COMPUTED_VALUE"""),45773.99861111111)</f>
        <v>45773.99861</v>
      </c>
      <c r="B3130" s="1">
        <f>IFERROR(__xludf.DUMMYFUNCTION("""COMPUTED_VALUE"""),94847.29)</f>
        <v>94847.29</v>
      </c>
      <c r="C3130" s="58">
        <f t="shared" si="1"/>
        <v>5957.998611</v>
      </c>
      <c r="D3130" s="1">
        <f t="shared" si="2"/>
        <v>40800.16567</v>
      </c>
      <c r="E3130" s="1">
        <f t="shared" si="3"/>
        <v>73440.29821</v>
      </c>
      <c r="F3130" s="1">
        <f t="shared" si="4"/>
        <v>138720.5633</v>
      </c>
      <c r="G3130" s="1">
        <f t="shared" si="5"/>
        <v>244800.994</v>
      </c>
      <c r="H3130" s="1">
        <f t="shared" si="6"/>
        <v>448801.8224</v>
      </c>
      <c r="I3130" s="1">
        <f t="shared" si="7"/>
        <v>734402.9821</v>
      </c>
    </row>
    <row r="3131" hidden="1">
      <c r="A3131" s="266">
        <f>IFERROR(__xludf.DUMMYFUNCTION("""COMPUTED_VALUE"""),45774.99861111111)</f>
        <v>45774.99861</v>
      </c>
      <c r="B3131" s="1">
        <f>IFERROR(__xludf.DUMMYFUNCTION("""COMPUTED_VALUE"""),94225.3)</f>
        <v>94225.3</v>
      </c>
      <c r="C3131" s="58">
        <f t="shared" si="1"/>
        <v>5958.998611</v>
      </c>
      <c r="D3131" s="1">
        <f t="shared" si="2"/>
        <v>40839.89987</v>
      </c>
      <c r="E3131" s="1">
        <f t="shared" si="3"/>
        <v>73511.81977</v>
      </c>
      <c r="F3131" s="1">
        <f t="shared" si="4"/>
        <v>138855.6596</v>
      </c>
      <c r="G3131" s="1">
        <f t="shared" si="5"/>
        <v>245039.3992</v>
      </c>
      <c r="H3131" s="1">
        <f t="shared" si="6"/>
        <v>449238.8986</v>
      </c>
      <c r="I3131" s="1">
        <f t="shared" si="7"/>
        <v>735118.1977</v>
      </c>
    </row>
    <row r="3132" hidden="1">
      <c r="A3132" s="266">
        <f>IFERROR(__xludf.DUMMYFUNCTION("""COMPUTED_VALUE"""),45775.99861111111)</f>
        <v>45775.99861</v>
      </c>
      <c r="B3132" s="1">
        <f>IFERROR(__xludf.DUMMYFUNCTION("""COMPUTED_VALUE"""),93911.89)</f>
        <v>93911.89</v>
      </c>
      <c r="C3132" s="58">
        <f t="shared" si="1"/>
        <v>5959.998611</v>
      </c>
      <c r="D3132" s="1">
        <f t="shared" si="2"/>
        <v>40879.66609</v>
      </c>
      <c r="E3132" s="1">
        <f t="shared" si="3"/>
        <v>73583.39896</v>
      </c>
      <c r="F3132" s="1">
        <f t="shared" si="4"/>
        <v>138990.8647</v>
      </c>
      <c r="G3132" s="1">
        <f t="shared" si="5"/>
        <v>245277.9965</v>
      </c>
      <c r="H3132" s="1">
        <f t="shared" si="6"/>
        <v>449676.327</v>
      </c>
      <c r="I3132" s="1">
        <f t="shared" si="7"/>
        <v>735833.9896</v>
      </c>
    </row>
    <row r="3133" hidden="1">
      <c r="A3133" s="266">
        <f>IFERROR(__xludf.DUMMYFUNCTION("""COMPUTED_VALUE"""),45776.99861111111)</f>
        <v>45776.99861</v>
      </c>
      <c r="B3133" s="1">
        <f>IFERROR(__xludf.DUMMYFUNCTION("""COMPUTED_VALUE"""),94717.11)</f>
        <v>94717.11</v>
      </c>
      <c r="C3133" s="58">
        <f t="shared" si="1"/>
        <v>5960.998611</v>
      </c>
      <c r="D3133" s="1">
        <f t="shared" si="2"/>
        <v>40919.46435</v>
      </c>
      <c r="E3133" s="1">
        <f t="shared" si="3"/>
        <v>73655.03582</v>
      </c>
      <c r="F3133" s="1">
        <f t="shared" si="4"/>
        <v>139126.1788</v>
      </c>
      <c r="G3133" s="1">
        <f t="shared" si="5"/>
        <v>245516.7861</v>
      </c>
      <c r="H3133" s="1">
        <f t="shared" si="6"/>
        <v>450114.1078</v>
      </c>
      <c r="I3133" s="1">
        <f t="shared" si="7"/>
        <v>736550.3582</v>
      </c>
    </row>
    <row r="3134" hidden="1">
      <c r="A3134" s="266">
        <f>IFERROR(__xludf.DUMMYFUNCTION("""COMPUTED_VALUE"""),45777.99861111111)</f>
        <v>45777.99861</v>
      </c>
      <c r="B3134" s="1">
        <f>IFERROR(__xludf.DUMMYFUNCTION("""COMPUTED_VALUE"""),95041.93)</f>
        <v>95041.93</v>
      </c>
      <c r="C3134" s="58">
        <f t="shared" si="1"/>
        <v>5961.998611</v>
      </c>
      <c r="D3134" s="1">
        <f t="shared" si="2"/>
        <v>40959.29466</v>
      </c>
      <c r="E3134" s="1">
        <f t="shared" si="3"/>
        <v>73726.73039</v>
      </c>
      <c r="F3134" s="1">
        <f t="shared" si="4"/>
        <v>139261.6019</v>
      </c>
      <c r="G3134" s="1">
        <f t="shared" si="5"/>
        <v>245755.768</v>
      </c>
      <c r="H3134" s="1">
        <f t="shared" si="6"/>
        <v>450552.2413</v>
      </c>
      <c r="I3134" s="1">
        <f t="shared" si="7"/>
        <v>737267.3039</v>
      </c>
    </row>
    <row r="3135" hidden="1">
      <c r="A3135" s="266">
        <f>IFERROR(__xludf.DUMMYFUNCTION("""COMPUTED_VALUE"""),45778.99861111111)</f>
        <v>45778.99861</v>
      </c>
      <c r="B3135" s="1">
        <f>IFERROR(__xludf.DUMMYFUNCTION("""COMPUTED_VALUE"""),94808.49)</f>
        <v>94808.49</v>
      </c>
      <c r="C3135" s="58">
        <f t="shared" si="1"/>
        <v>5962.998611</v>
      </c>
      <c r="D3135" s="1">
        <f t="shared" si="2"/>
        <v>40999.15706</v>
      </c>
      <c r="E3135" s="1">
        <f t="shared" si="3"/>
        <v>73798.48271</v>
      </c>
      <c r="F3135" s="1">
        <f t="shared" si="4"/>
        <v>139397.134</v>
      </c>
      <c r="G3135" s="1">
        <f t="shared" si="5"/>
        <v>245994.9424</v>
      </c>
      <c r="H3135" s="1">
        <f t="shared" si="6"/>
        <v>450990.7277</v>
      </c>
      <c r="I3135" s="1">
        <f t="shared" si="7"/>
        <v>737984.8271</v>
      </c>
    </row>
    <row r="3136" hidden="1">
      <c r="A3136" s="266">
        <f>IFERROR(__xludf.DUMMYFUNCTION("""COMPUTED_VALUE"""),45779.99861111111)</f>
        <v>45779.99861</v>
      </c>
      <c r="B3136" s="1">
        <f>IFERROR(__xludf.DUMMYFUNCTION("""COMPUTED_VALUE"""),97111.77)</f>
        <v>97111.77</v>
      </c>
      <c r="C3136" s="58">
        <f t="shared" si="1"/>
        <v>5963.998611</v>
      </c>
      <c r="D3136" s="1">
        <f t="shared" si="2"/>
        <v>41039.05156</v>
      </c>
      <c r="E3136" s="1">
        <f t="shared" si="3"/>
        <v>73870.29281</v>
      </c>
      <c r="F3136" s="1">
        <f t="shared" si="4"/>
        <v>139532.7753</v>
      </c>
      <c r="G3136" s="1">
        <f t="shared" si="5"/>
        <v>246234.3094</v>
      </c>
      <c r="H3136" s="1">
        <f t="shared" si="6"/>
        <v>451429.5672</v>
      </c>
      <c r="I3136" s="1">
        <f t="shared" si="7"/>
        <v>738702.9281</v>
      </c>
    </row>
    <row r="3137" hidden="1">
      <c r="A3137" s="266">
        <f>IFERROR(__xludf.DUMMYFUNCTION("""COMPUTED_VALUE"""),45780.99861111111)</f>
        <v>45780.99861</v>
      </c>
      <c r="B3137" s="1">
        <f>IFERROR(__xludf.DUMMYFUNCTION("""COMPUTED_VALUE"""),96432.45)</f>
        <v>96432.45</v>
      </c>
      <c r="C3137" s="58">
        <f t="shared" si="1"/>
        <v>5964.998611</v>
      </c>
      <c r="D3137" s="1">
        <f t="shared" si="2"/>
        <v>41078.97818</v>
      </c>
      <c r="E3137" s="1">
        <f t="shared" si="3"/>
        <v>73942.16072</v>
      </c>
      <c r="F3137" s="1">
        <f t="shared" si="4"/>
        <v>139668.5258</v>
      </c>
      <c r="G3137" s="1">
        <f t="shared" si="5"/>
        <v>246473.8691</v>
      </c>
      <c r="H3137" s="1">
        <f t="shared" si="6"/>
        <v>451868.76</v>
      </c>
      <c r="I3137" s="1">
        <f t="shared" si="7"/>
        <v>739421.6072</v>
      </c>
    </row>
    <row r="3138" hidden="1">
      <c r="A3138" s="266">
        <f>IFERROR(__xludf.DUMMYFUNCTION("""COMPUTED_VALUE"""),45781.99861111111)</f>
        <v>45781.99861</v>
      </c>
      <c r="B3138" s="1">
        <f>IFERROR(__xludf.DUMMYFUNCTION("""COMPUTED_VALUE"""),95856.14)</f>
        <v>95856.14</v>
      </c>
      <c r="C3138" s="58">
        <f t="shared" si="1"/>
        <v>5965.998611</v>
      </c>
      <c r="D3138" s="1">
        <f t="shared" si="2"/>
        <v>41118.93694</v>
      </c>
      <c r="E3138" s="1">
        <f t="shared" si="3"/>
        <v>74014.08649</v>
      </c>
      <c r="F3138" s="1">
        <f t="shared" si="4"/>
        <v>139804.3856</v>
      </c>
      <c r="G3138" s="1">
        <f t="shared" si="5"/>
        <v>246713.6216</v>
      </c>
      <c r="H3138" s="1">
        <f t="shared" si="6"/>
        <v>452308.3063</v>
      </c>
      <c r="I3138" s="1">
        <f t="shared" si="7"/>
        <v>740140.8649</v>
      </c>
    </row>
    <row r="3139" hidden="1">
      <c r="A3139" s="266">
        <f>IFERROR(__xludf.DUMMYFUNCTION("""COMPUTED_VALUE"""),45782.99861111111)</f>
        <v>45782.99861</v>
      </c>
      <c r="B3139" s="1">
        <f>IFERROR(__xludf.DUMMYFUNCTION("""COMPUTED_VALUE"""),94255.16)</f>
        <v>94255.16</v>
      </c>
      <c r="C3139" s="58">
        <f t="shared" si="1"/>
        <v>5966.998611</v>
      </c>
      <c r="D3139" s="1">
        <f t="shared" si="2"/>
        <v>41158.92786</v>
      </c>
      <c r="E3139" s="1">
        <f t="shared" si="3"/>
        <v>74086.07016</v>
      </c>
      <c r="F3139" s="1">
        <f t="shared" si="4"/>
        <v>139940.3547</v>
      </c>
      <c r="G3139" s="1">
        <f t="shared" si="5"/>
        <v>246953.5672</v>
      </c>
      <c r="H3139" s="1">
        <f t="shared" si="6"/>
        <v>452748.2065</v>
      </c>
      <c r="I3139" s="1">
        <f t="shared" si="7"/>
        <v>740860.7016</v>
      </c>
    </row>
    <row r="3140" hidden="1">
      <c r="A3140" s="266">
        <f>IFERROR(__xludf.DUMMYFUNCTION("""COMPUTED_VALUE"""),45783.99861111111)</f>
        <v>45783.99861</v>
      </c>
      <c r="B3140" s="1">
        <f>IFERROR(__xludf.DUMMYFUNCTION("""COMPUTED_VALUE"""),94489.1)</f>
        <v>94489.1</v>
      </c>
      <c r="C3140" s="58">
        <f t="shared" si="1"/>
        <v>5967.998611</v>
      </c>
      <c r="D3140" s="1">
        <f t="shared" si="2"/>
        <v>41198.95097</v>
      </c>
      <c r="E3140" s="1">
        <f t="shared" si="3"/>
        <v>74158.11175</v>
      </c>
      <c r="F3140" s="1">
        <f t="shared" si="4"/>
        <v>140076.4333</v>
      </c>
      <c r="G3140" s="1">
        <f t="shared" si="5"/>
        <v>247193.7058</v>
      </c>
      <c r="H3140" s="1">
        <f t="shared" si="6"/>
        <v>453188.4607</v>
      </c>
      <c r="I3140" s="1">
        <f t="shared" si="7"/>
        <v>741581.1175</v>
      </c>
    </row>
    <row r="3141" hidden="1">
      <c r="A3141" s="266">
        <f>IFERROR(__xludf.DUMMYFUNCTION("""COMPUTED_VALUE"""),45784.99861111111)</f>
        <v>45784.99861</v>
      </c>
      <c r="B3141" s="1">
        <f>IFERROR(__xludf.DUMMYFUNCTION("""COMPUTED_VALUE"""),96515.11)</f>
        <v>96515.11</v>
      </c>
      <c r="C3141" s="58">
        <f t="shared" si="1"/>
        <v>5968.998611</v>
      </c>
      <c r="D3141" s="1">
        <f t="shared" si="2"/>
        <v>41239.00628</v>
      </c>
      <c r="E3141" s="1">
        <f t="shared" si="3"/>
        <v>74230.2113</v>
      </c>
      <c r="F3141" s="1">
        <f t="shared" si="4"/>
        <v>140212.6214</v>
      </c>
      <c r="G3141" s="1">
        <f t="shared" si="5"/>
        <v>247434.0377</v>
      </c>
      <c r="H3141" s="1">
        <f t="shared" si="6"/>
        <v>453629.0691</v>
      </c>
      <c r="I3141" s="1">
        <f t="shared" si="7"/>
        <v>742302.113</v>
      </c>
    </row>
    <row r="3142" hidden="1">
      <c r="A3142" s="266">
        <f>IFERROR(__xludf.DUMMYFUNCTION("""COMPUTED_VALUE"""),45785.99861111111)</f>
        <v>45785.99861</v>
      </c>
      <c r="B3142" s="1">
        <f>IFERROR(__xludf.DUMMYFUNCTION("""COMPUTED_VALUE"""),99109.44)</f>
        <v>99109.44</v>
      </c>
      <c r="C3142" s="58">
        <f t="shared" si="1"/>
        <v>5969.998611</v>
      </c>
      <c r="D3142" s="1">
        <f t="shared" si="2"/>
        <v>41279.09381</v>
      </c>
      <c r="E3142" s="1">
        <f t="shared" si="3"/>
        <v>74302.36886</v>
      </c>
      <c r="F3142" s="1">
        <f t="shared" si="4"/>
        <v>140348.919</v>
      </c>
      <c r="G3142" s="1">
        <f t="shared" si="5"/>
        <v>247674.5629</v>
      </c>
      <c r="H3142" s="1">
        <f t="shared" si="6"/>
        <v>454070.0319</v>
      </c>
      <c r="I3142" s="1">
        <f t="shared" si="7"/>
        <v>743023.6886</v>
      </c>
    </row>
    <row r="3143" hidden="1">
      <c r="A3143" s="266">
        <f>IFERROR(__xludf.DUMMYFUNCTION("""COMPUTED_VALUE"""),45786.99861111111)</f>
        <v>45786.99861</v>
      </c>
      <c r="B3143" s="1">
        <f>IFERROR(__xludf.DUMMYFUNCTION("""COMPUTED_VALUE"""),102384.2)</f>
        <v>102384.2</v>
      </c>
      <c r="C3143" s="58">
        <f t="shared" si="1"/>
        <v>5970.998611</v>
      </c>
      <c r="D3143" s="1">
        <f t="shared" si="2"/>
        <v>41319.21359</v>
      </c>
      <c r="E3143" s="1">
        <f t="shared" si="3"/>
        <v>74374.58446</v>
      </c>
      <c r="F3143" s="1">
        <f t="shared" si="4"/>
        <v>140485.3262</v>
      </c>
      <c r="G3143" s="1">
        <f t="shared" si="5"/>
        <v>247915.2815</v>
      </c>
      <c r="H3143" s="1">
        <f t="shared" si="6"/>
        <v>454511.3495</v>
      </c>
      <c r="I3143" s="1">
        <f t="shared" si="7"/>
        <v>743745.8446</v>
      </c>
    </row>
    <row r="3144" hidden="1">
      <c r="A3144" s="266">
        <f>IFERROR(__xludf.DUMMYFUNCTION("""COMPUTED_VALUE"""),45787.99861111111)</f>
        <v>45787.99861</v>
      </c>
      <c r="B3144" s="1">
        <f>IFERROR(__xludf.DUMMYFUNCTION("""COMPUTED_VALUE"""),103161.7)</f>
        <v>103161.7</v>
      </c>
      <c r="C3144" s="58">
        <f t="shared" si="1"/>
        <v>5971.998611</v>
      </c>
      <c r="D3144" s="1">
        <f t="shared" si="2"/>
        <v>41359.36563</v>
      </c>
      <c r="E3144" s="1">
        <f t="shared" si="3"/>
        <v>74446.85814</v>
      </c>
      <c r="F3144" s="1">
        <f t="shared" si="4"/>
        <v>140621.8431</v>
      </c>
      <c r="G3144" s="1">
        <f t="shared" si="5"/>
        <v>248156.1938</v>
      </c>
      <c r="H3144" s="1">
        <f t="shared" si="6"/>
        <v>454953.0219</v>
      </c>
      <c r="I3144" s="1">
        <f t="shared" si="7"/>
        <v>744468.5814</v>
      </c>
    </row>
    <row r="3145" hidden="1">
      <c r="A3145" s="266">
        <f>IFERROR(__xludf.DUMMYFUNCTION("""COMPUTED_VALUE"""),45788.99861111111)</f>
        <v>45788.99861</v>
      </c>
      <c r="B3145" s="1">
        <f>IFERROR(__xludf.DUMMYFUNCTION("""COMPUTED_VALUE"""),103995.7)</f>
        <v>103995.7</v>
      </c>
      <c r="C3145" s="58">
        <f t="shared" si="1"/>
        <v>5972.998611</v>
      </c>
      <c r="D3145" s="1">
        <f t="shared" si="2"/>
        <v>41399.54996</v>
      </c>
      <c r="E3145" s="1">
        <f t="shared" si="3"/>
        <v>74519.18993</v>
      </c>
      <c r="F3145" s="1">
        <f t="shared" si="4"/>
        <v>140758.4699</v>
      </c>
      <c r="G3145" s="1">
        <f t="shared" si="5"/>
        <v>248397.2998</v>
      </c>
      <c r="H3145" s="1">
        <f t="shared" si="6"/>
        <v>455395.0495</v>
      </c>
      <c r="I3145" s="1">
        <f t="shared" si="7"/>
        <v>745191.8993</v>
      </c>
    </row>
    <row r="3146" hidden="1">
      <c r="A3146" s="266">
        <f>IFERROR(__xludf.DUMMYFUNCTION("""COMPUTED_VALUE"""),45789.99861111111)</f>
        <v>45789.99861</v>
      </c>
      <c r="B3146" s="1">
        <f>IFERROR(__xludf.DUMMYFUNCTION("""COMPUTED_VALUE"""),104013.1)</f>
        <v>104013.1</v>
      </c>
      <c r="C3146" s="58">
        <f t="shared" si="1"/>
        <v>5973.998611</v>
      </c>
      <c r="D3146" s="1">
        <f t="shared" si="2"/>
        <v>41439.76659</v>
      </c>
      <c r="E3146" s="1">
        <f t="shared" si="3"/>
        <v>74591.57986</v>
      </c>
      <c r="F3146" s="1">
        <f t="shared" si="4"/>
        <v>140895.2064</v>
      </c>
      <c r="G3146" s="1">
        <f t="shared" si="5"/>
        <v>248638.5995</v>
      </c>
      <c r="H3146" s="1">
        <f t="shared" si="6"/>
        <v>455837.4325</v>
      </c>
      <c r="I3146" s="1">
        <f t="shared" si="7"/>
        <v>745915.7986</v>
      </c>
    </row>
    <row r="3147" hidden="1">
      <c r="A3147" s="266">
        <f>IFERROR(__xludf.DUMMYFUNCTION("""COMPUTED_VALUE"""),45790.99861111111)</f>
        <v>45790.99861</v>
      </c>
      <c r="B3147" s="1">
        <f>IFERROR(__xludf.DUMMYFUNCTION("""COMPUTED_VALUE"""),101727.0)</f>
        <v>101727</v>
      </c>
      <c r="C3147" s="58">
        <f t="shared" si="1"/>
        <v>5974.998611</v>
      </c>
      <c r="D3147" s="1">
        <f t="shared" si="2"/>
        <v>41480.01555</v>
      </c>
      <c r="E3147" s="1">
        <f t="shared" si="3"/>
        <v>74664.02799</v>
      </c>
      <c r="F3147" s="1">
        <f t="shared" si="4"/>
        <v>141032.0529</v>
      </c>
      <c r="G3147" s="1">
        <f t="shared" si="5"/>
        <v>248880.0933</v>
      </c>
      <c r="H3147" s="1">
        <f t="shared" si="6"/>
        <v>456280.1711</v>
      </c>
      <c r="I3147" s="1">
        <f t="shared" si="7"/>
        <v>746640.2799</v>
      </c>
    </row>
    <row r="3148" hidden="1">
      <c r="A3148" s="266">
        <f>IFERROR(__xludf.DUMMYFUNCTION("""COMPUTED_VALUE"""),45791.99861111111)</f>
        <v>45791.99861</v>
      </c>
      <c r="B3148" s="1">
        <f>IFERROR(__xludf.DUMMYFUNCTION("""COMPUTED_VALUE"""),103560.3)</f>
        <v>103560.3</v>
      </c>
      <c r="C3148" s="58">
        <f t="shared" si="1"/>
        <v>5975.998611</v>
      </c>
      <c r="D3148" s="1">
        <f t="shared" si="2"/>
        <v>41520.29686</v>
      </c>
      <c r="E3148" s="1">
        <f t="shared" si="3"/>
        <v>74736.53434</v>
      </c>
      <c r="F3148" s="1">
        <f t="shared" si="4"/>
        <v>141169.0093</v>
      </c>
      <c r="G3148" s="1">
        <f t="shared" si="5"/>
        <v>249121.7811</v>
      </c>
      <c r="H3148" s="1">
        <f t="shared" si="6"/>
        <v>456723.2654</v>
      </c>
      <c r="I3148" s="1">
        <f t="shared" si="7"/>
        <v>747365.3434</v>
      </c>
    </row>
    <row r="3149" hidden="1">
      <c r="A3149" s="266">
        <f>IFERROR(__xludf.DUMMYFUNCTION("""COMPUTED_VALUE"""),45792.99861111111)</f>
        <v>45792.99861</v>
      </c>
      <c r="B3149" s="1">
        <f>IFERROR(__xludf.DUMMYFUNCTION("""COMPUTED_VALUE"""),102821.2)</f>
        <v>102821.2</v>
      </c>
      <c r="C3149" s="58">
        <f t="shared" si="1"/>
        <v>5976.998611</v>
      </c>
      <c r="D3149" s="1">
        <f t="shared" si="2"/>
        <v>41560.61053</v>
      </c>
      <c r="E3149" s="1">
        <f t="shared" si="3"/>
        <v>74809.09895</v>
      </c>
      <c r="F3149" s="1">
        <f t="shared" si="4"/>
        <v>141306.0758</v>
      </c>
      <c r="G3149" s="1">
        <f t="shared" si="5"/>
        <v>249363.6632</v>
      </c>
      <c r="H3149" s="1">
        <f t="shared" si="6"/>
        <v>457166.7158</v>
      </c>
      <c r="I3149" s="1">
        <f t="shared" si="7"/>
        <v>748090.9895</v>
      </c>
    </row>
    <row r="3150" hidden="1">
      <c r="A3150" s="266">
        <f>IFERROR(__xludf.DUMMYFUNCTION("""COMPUTED_VALUE"""),45793.99861111111)</f>
        <v>45793.99861</v>
      </c>
      <c r="B3150" s="1">
        <f>IFERROR(__xludf.DUMMYFUNCTION("""COMPUTED_VALUE"""),104050.1)</f>
        <v>104050.1</v>
      </c>
      <c r="C3150" s="58">
        <f t="shared" si="1"/>
        <v>5977.998611</v>
      </c>
      <c r="D3150" s="1">
        <f t="shared" si="2"/>
        <v>41600.95659</v>
      </c>
      <c r="E3150" s="1">
        <f t="shared" si="3"/>
        <v>74881.72186</v>
      </c>
      <c r="F3150" s="1">
        <f t="shared" si="4"/>
        <v>141443.2524</v>
      </c>
      <c r="G3150" s="1">
        <f t="shared" si="5"/>
        <v>249605.7395</v>
      </c>
      <c r="H3150" s="1">
        <f t="shared" si="6"/>
        <v>457610.5225</v>
      </c>
      <c r="I3150" s="1">
        <f t="shared" si="7"/>
        <v>748817.2186</v>
      </c>
    </row>
    <row r="3151" hidden="1">
      <c r="A3151" s="266">
        <f>IFERROR(__xludf.DUMMYFUNCTION("""COMPUTED_VALUE"""),45794.99861111111)</f>
        <v>45794.99861</v>
      </c>
      <c r="B3151" s="1">
        <f>IFERROR(__xludf.DUMMYFUNCTION("""COMPUTED_VALUE"""),103536.5)</f>
        <v>103536.5</v>
      </c>
      <c r="C3151" s="58">
        <f t="shared" si="1"/>
        <v>5978.998611</v>
      </c>
      <c r="D3151" s="1">
        <f t="shared" si="2"/>
        <v>41641.33506</v>
      </c>
      <c r="E3151" s="1">
        <f t="shared" si="3"/>
        <v>74954.40311</v>
      </c>
      <c r="F3151" s="1">
        <f t="shared" si="4"/>
        <v>141580.5392</v>
      </c>
      <c r="G3151" s="1">
        <f t="shared" si="5"/>
        <v>249848.0104</v>
      </c>
      <c r="H3151" s="1">
        <f t="shared" si="6"/>
        <v>458054.6857</v>
      </c>
      <c r="I3151" s="1">
        <f t="shared" si="7"/>
        <v>749544.0311</v>
      </c>
    </row>
    <row r="3152" hidden="1">
      <c r="A3152" s="266">
        <f>IFERROR(__xludf.DUMMYFUNCTION("""COMPUTED_VALUE"""),45795.99861111111)</f>
        <v>45795.99861</v>
      </c>
      <c r="B3152" s="1">
        <f>IFERROR(__xludf.DUMMYFUNCTION("""COMPUTED_VALUE"""),103298.0)</f>
        <v>103298</v>
      </c>
      <c r="C3152" s="58">
        <f t="shared" si="1"/>
        <v>5979.998611</v>
      </c>
      <c r="D3152" s="1">
        <f t="shared" si="2"/>
        <v>41681.74596</v>
      </c>
      <c r="E3152" s="1">
        <f t="shared" si="3"/>
        <v>75027.14273</v>
      </c>
      <c r="F3152" s="1">
        <f t="shared" si="4"/>
        <v>141717.9363</v>
      </c>
      <c r="G3152" s="1">
        <f t="shared" si="5"/>
        <v>250090.4758</v>
      </c>
      <c r="H3152" s="1">
        <f t="shared" si="6"/>
        <v>458499.2056</v>
      </c>
      <c r="I3152" s="1">
        <f t="shared" si="7"/>
        <v>750271.4273</v>
      </c>
    </row>
    <row r="3153" hidden="1">
      <c r="A3153" s="266">
        <f>IFERROR(__xludf.DUMMYFUNCTION("""COMPUTED_VALUE"""),45796.99861111111)</f>
        <v>45796.99861</v>
      </c>
      <c r="B3153" s="1">
        <f>IFERROR(__xludf.DUMMYFUNCTION("""COMPUTED_VALUE"""),103640.2)</f>
        <v>103640.2</v>
      </c>
      <c r="C3153" s="58">
        <f t="shared" si="1"/>
        <v>5980.998611</v>
      </c>
      <c r="D3153" s="1">
        <f t="shared" si="2"/>
        <v>41722.18931</v>
      </c>
      <c r="E3153" s="1">
        <f t="shared" si="3"/>
        <v>75099.94076</v>
      </c>
      <c r="F3153" s="1">
        <f t="shared" si="4"/>
        <v>141855.4437</v>
      </c>
      <c r="G3153" s="1">
        <f t="shared" si="5"/>
        <v>250333.1359</v>
      </c>
      <c r="H3153" s="1">
        <f t="shared" si="6"/>
        <v>458944.0824</v>
      </c>
      <c r="I3153" s="1">
        <f t="shared" si="7"/>
        <v>750999.4076</v>
      </c>
    </row>
    <row r="3154" hidden="1">
      <c r="A3154" s="266">
        <f>IFERROR(__xludf.DUMMYFUNCTION("""COMPUTED_VALUE"""),45797.99861111111)</f>
        <v>45797.99861</v>
      </c>
      <c r="B3154" s="1">
        <f>IFERROR(__xludf.DUMMYFUNCTION("""COMPUTED_VALUE"""),105707.1)</f>
        <v>105707.1</v>
      </c>
      <c r="C3154" s="58">
        <f t="shared" si="1"/>
        <v>5981.998611</v>
      </c>
      <c r="D3154" s="1">
        <f t="shared" si="2"/>
        <v>41762.66513</v>
      </c>
      <c r="E3154" s="1">
        <f t="shared" si="3"/>
        <v>75172.79723</v>
      </c>
      <c r="F3154" s="1">
        <f t="shared" si="4"/>
        <v>141993.0614</v>
      </c>
      <c r="G3154" s="1">
        <f t="shared" si="5"/>
        <v>250575.9908</v>
      </c>
      <c r="H3154" s="1">
        <f t="shared" si="6"/>
        <v>459389.3164</v>
      </c>
      <c r="I3154" s="1">
        <f t="shared" si="7"/>
        <v>751727.9723</v>
      </c>
    </row>
    <row r="3155" hidden="1">
      <c r="A3155" s="266">
        <f>IFERROR(__xludf.DUMMYFUNCTION("""COMPUTED_VALUE"""),45798.99861111111)</f>
        <v>45798.99861</v>
      </c>
      <c r="B3155" s="1">
        <f>IFERROR(__xludf.DUMMYFUNCTION("""COMPUTED_VALUE"""),106859.6)</f>
        <v>106859.6</v>
      </c>
      <c r="C3155" s="58">
        <f t="shared" si="1"/>
        <v>5982.998611</v>
      </c>
      <c r="D3155" s="1">
        <f t="shared" si="2"/>
        <v>41803.17344</v>
      </c>
      <c r="E3155" s="1">
        <f t="shared" si="3"/>
        <v>75245.71219</v>
      </c>
      <c r="F3155" s="1">
        <f t="shared" si="4"/>
        <v>142130.7897</v>
      </c>
      <c r="G3155" s="1">
        <f t="shared" si="5"/>
        <v>250819.0406</v>
      </c>
      <c r="H3155" s="1">
        <f t="shared" si="6"/>
        <v>459834.9078</v>
      </c>
      <c r="I3155" s="1">
        <f t="shared" si="7"/>
        <v>752457.1219</v>
      </c>
    </row>
    <row r="3156" hidden="1">
      <c r="A3156" s="266">
        <f>IFERROR(__xludf.DUMMYFUNCTION("""COMPUTED_VALUE"""),45799.99861111111)</f>
        <v>45799.99861</v>
      </c>
      <c r="B3156" s="1">
        <f>IFERROR(__xludf.DUMMYFUNCTION("""COMPUTED_VALUE"""),111681.7)</f>
        <v>111681.7</v>
      </c>
      <c r="C3156" s="58">
        <f t="shared" si="1"/>
        <v>5983.998611</v>
      </c>
      <c r="D3156" s="1">
        <f t="shared" si="2"/>
        <v>41843.71426</v>
      </c>
      <c r="E3156" s="1">
        <f t="shared" si="3"/>
        <v>75318.68567</v>
      </c>
      <c r="F3156" s="1">
        <f t="shared" si="4"/>
        <v>142268.6285</v>
      </c>
      <c r="G3156" s="1">
        <f t="shared" si="5"/>
        <v>251062.2856</v>
      </c>
      <c r="H3156" s="1">
        <f t="shared" si="6"/>
        <v>460280.8569</v>
      </c>
      <c r="I3156" s="1">
        <f t="shared" si="7"/>
        <v>753186.8567</v>
      </c>
    </row>
    <row r="3157" hidden="1">
      <c r="A3157" s="266">
        <f>IFERROR(__xludf.DUMMYFUNCTION("""COMPUTED_VALUE"""),45800.99861111111)</f>
        <v>45800.99861</v>
      </c>
      <c r="B3157" s="1">
        <f>IFERROR(__xludf.DUMMYFUNCTION("""COMPUTED_VALUE"""),111088.5)</f>
        <v>111088.5</v>
      </c>
      <c r="C3157" s="58">
        <f t="shared" si="1"/>
        <v>5984.998611</v>
      </c>
      <c r="D3157" s="1">
        <f t="shared" si="2"/>
        <v>41884.28762</v>
      </c>
      <c r="E3157" s="1">
        <f t="shared" si="3"/>
        <v>75391.71771</v>
      </c>
      <c r="F3157" s="1">
        <f t="shared" si="4"/>
        <v>142406.5779</v>
      </c>
      <c r="G3157" s="1">
        <f t="shared" si="5"/>
        <v>251305.7257</v>
      </c>
      <c r="H3157" s="1">
        <f t="shared" si="6"/>
        <v>460727.1638</v>
      </c>
      <c r="I3157" s="1">
        <f t="shared" si="7"/>
        <v>753917.1771</v>
      </c>
    </row>
    <row r="3158" hidden="1">
      <c r="A3158" s="266">
        <f>IFERROR(__xludf.DUMMYFUNCTION("""COMPUTED_VALUE"""),45801.99861111111)</f>
        <v>45801.99861</v>
      </c>
      <c r="B3158" s="1">
        <f>IFERROR(__xludf.DUMMYFUNCTION("""COMPUTED_VALUE"""),108333.4)</f>
        <v>108333.4</v>
      </c>
      <c r="C3158" s="58">
        <f t="shared" si="1"/>
        <v>5985.998611</v>
      </c>
      <c r="D3158" s="1">
        <f t="shared" si="2"/>
        <v>41924.89353</v>
      </c>
      <c r="E3158" s="1">
        <f t="shared" si="3"/>
        <v>75464.80835</v>
      </c>
      <c r="F3158" s="1">
        <f t="shared" si="4"/>
        <v>142544.638</v>
      </c>
      <c r="G3158" s="1">
        <f t="shared" si="5"/>
        <v>251549.3612</v>
      </c>
      <c r="H3158" s="1">
        <f t="shared" si="6"/>
        <v>461173.8288</v>
      </c>
      <c r="I3158" s="1">
        <f t="shared" si="7"/>
        <v>754648.0835</v>
      </c>
    </row>
    <row r="3159" hidden="1">
      <c r="A3159" s="266">
        <f>IFERROR(__xludf.DUMMYFUNCTION("""COMPUTED_VALUE"""),45802.99861111111)</f>
        <v>45802.99861</v>
      </c>
      <c r="B3159" s="1">
        <f>IFERROR(__xludf.DUMMYFUNCTION("""COMPUTED_VALUE"""),108096.5)</f>
        <v>108096.5</v>
      </c>
      <c r="C3159" s="58">
        <f t="shared" si="1"/>
        <v>5986.998611</v>
      </c>
      <c r="D3159" s="1">
        <f t="shared" si="2"/>
        <v>41965.53201</v>
      </c>
      <c r="E3159" s="1">
        <f t="shared" si="3"/>
        <v>75537.95761</v>
      </c>
      <c r="F3159" s="1">
        <f t="shared" si="4"/>
        <v>142682.8088</v>
      </c>
      <c r="G3159" s="1">
        <f t="shared" si="5"/>
        <v>251793.192</v>
      </c>
      <c r="H3159" s="1">
        <f t="shared" si="6"/>
        <v>461620.8521</v>
      </c>
      <c r="I3159" s="1">
        <f t="shared" si="7"/>
        <v>755379.5761</v>
      </c>
    </row>
    <row r="3160" hidden="1">
      <c r="A3160" s="266">
        <f>IFERROR(__xludf.DUMMYFUNCTION("""COMPUTED_VALUE"""),45803.99861111111)</f>
        <v>45803.99861</v>
      </c>
      <c r="B3160" s="1">
        <f>IFERROR(__xludf.DUMMYFUNCTION("""COMPUTED_VALUE"""),109641.5)</f>
        <v>109641.5</v>
      </c>
      <c r="C3160" s="58">
        <f t="shared" si="1"/>
        <v>5987.998611</v>
      </c>
      <c r="D3160" s="1">
        <f t="shared" si="2"/>
        <v>42006.20308</v>
      </c>
      <c r="E3160" s="1">
        <f t="shared" si="3"/>
        <v>75611.16555</v>
      </c>
      <c r="F3160" s="1">
        <f t="shared" si="4"/>
        <v>142821.0905</v>
      </c>
      <c r="G3160" s="1">
        <f t="shared" si="5"/>
        <v>252037.2185</v>
      </c>
      <c r="H3160" s="1">
        <f t="shared" si="6"/>
        <v>462068.2339</v>
      </c>
      <c r="I3160" s="1">
        <f t="shared" si="7"/>
        <v>756111.6555</v>
      </c>
    </row>
    <row r="3161" hidden="1">
      <c r="A3161" s="266">
        <f>IFERROR(__xludf.DUMMYFUNCTION("""COMPUTED_VALUE"""),45804.99861111111)</f>
        <v>45804.99861</v>
      </c>
      <c r="B3161" s="1">
        <f>IFERROR(__xludf.DUMMYFUNCTION("""COMPUTED_VALUE"""),108927.6)</f>
        <v>108927.6</v>
      </c>
      <c r="C3161" s="58">
        <f t="shared" si="1"/>
        <v>5988.998611</v>
      </c>
      <c r="D3161" s="1">
        <f t="shared" si="2"/>
        <v>42046.90678</v>
      </c>
      <c r="E3161" s="1">
        <f t="shared" si="3"/>
        <v>75684.4322</v>
      </c>
      <c r="F3161" s="1">
        <f t="shared" si="4"/>
        <v>142959.483</v>
      </c>
      <c r="G3161" s="1">
        <f t="shared" si="5"/>
        <v>252281.4407</v>
      </c>
      <c r="H3161" s="1">
        <f t="shared" si="6"/>
        <v>462515.9745</v>
      </c>
      <c r="I3161" s="1">
        <f t="shared" si="7"/>
        <v>756844.322</v>
      </c>
    </row>
    <row r="3162" hidden="1">
      <c r="A3162" s="266">
        <f>IFERROR(__xludf.DUMMYFUNCTION("""COMPUTED_VALUE"""),45805.99861111111)</f>
        <v>45805.99861</v>
      </c>
      <c r="B3162" s="1">
        <f>IFERROR(__xludf.DUMMYFUNCTION("""COMPUTED_VALUE"""),108877.1)</f>
        <v>108877.1</v>
      </c>
      <c r="C3162" s="58">
        <f t="shared" si="1"/>
        <v>5989.998611</v>
      </c>
      <c r="D3162" s="1">
        <f t="shared" si="2"/>
        <v>42087.6431</v>
      </c>
      <c r="E3162" s="1">
        <f t="shared" si="3"/>
        <v>75757.75759</v>
      </c>
      <c r="F3162" s="1">
        <f t="shared" si="4"/>
        <v>143097.9866</v>
      </c>
      <c r="G3162" s="1">
        <f t="shared" si="5"/>
        <v>252525.8586</v>
      </c>
      <c r="H3162" s="1">
        <f t="shared" si="6"/>
        <v>462964.0741</v>
      </c>
      <c r="I3162" s="1">
        <f t="shared" si="7"/>
        <v>757577.5759</v>
      </c>
    </row>
    <row r="3163" hidden="1">
      <c r="A3163" s="266">
        <f>IFERROR(__xludf.DUMMYFUNCTION("""COMPUTED_VALUE"""),45806.99861111111)</f>
        <v>45806.99861</v>
      </c>
      <c r="B3163" s="1">
        <f>IFERROR(__xludf.DUMMYFUNCTION("""COMPUTED_VALUE"""),108043.4)</f>
        <v>108043.4</v>
      </c>
      <c r="C3163" s="58">
        <f t="shared" si="1"/>
        <v>5990.998611</v>
      </c>
      <c r="D3163" s="1">
        <f t="shared" si="2"/>
        <v>42128.41209</v>
      </c>
      <c r="E3163" s="1">
        <f t="shared" si="3"/>
        <v>75831.14176</v>
      </c>
      <c r="F3163" s="1">
        <f t="shared" si="4"/>
        <v>143236.6011</v>
      </c>
      <c r="G3163" s="1">
        <f t="shared" si="5"/>
        <v>252770.4725</v>
      </c>
      <c r="H3163" s="1">
        <f t="shared" si="6"/>
        <v>463412.533</v>
      </c>
      <c r="I3163" s="1">
        <f t="shared" si="7"/>
        <v>758311.4176</v>
      </c>
    </row>
    <row r="3164" hidden="1">
      <c r="A3164" s="266">
        <f>IFERROR(__xludf.DUMMYFUNCTION("""COMPUTED_VALUE"""),45807.99861111111)</f>
        <v>45807.99861</v>
      </c>
      <c r="B3164" s="1">
        <f>IFERROR(__xludf.DUMMYFUNCTION("""COMPUTED_VALUE"""),106021.6)</f>
        <v>106021.6</v>
      </c>
      <c r="C3164" s="58">
        <f t="shared" si="1"/>
        <v>5991.998611</v>
      </c>
      <c r="D3164" s="1">
        <f t="shared" si="2"/>
        <v>42169.21375</v>
      </c>
      <c r="E3164" s="1">
        <f t="shared" si="3"/>
        <v>75904.58475</v>
      </c>
      <c r="F3164" s="1">
        <f t="shared" si="4"/>
        <v>143375.3267</v>
      </c>
      <c r="G3164" s="1">
        <f t="shared" si="5"/>
        <v>253015.2825</v>
      </c>
      <c r="H3164" s="1">
        <f t="shared" si="6"/>
        <v>463861.3512</v>
      </c>
      <c r="I3164" s="1">
        <f t="shared" si="7"/>
        <v>759045.8475</v>
      </c>
    </row>
    <row r="3165" hidden="1">
      <c r="A3165" s="266">
        <f>IFERROR(__xludf.DUMMYFUNCTION("""COMPUTED_VALUE"""),45808.99861111111)</f>
        <v>45808.99861</v>
      </c>
      <c r="B3165" s="1">
        <f>IFERROR(__xludf.DUMMYFUNCTION("""COMPUTED_VALUE"""),103735.2)</f>
        <v>103735.2</v>
      </c>
      <c r="C3165" s="58">
        <f t="shared" si="1"/>
        <v>5992.998611</v>
      </c>
      <c r="D3165" s="1">
        <f t="shared" si="2"/>
        <v>42210.04811</v>
      </c>
      <c r="E3165" s="1">
        <f t="shared" si="3"/>
        <v>75978.08659</v>
      </c>
      <c r="F3165" s="1">
        <f t="shared" si="4"/>
        <v>143514.1636</v>
      </c>
      <c r="G3165" s="1">
        <f t="shared" si="5"/>
        <v>253260.2886</v>
      </c>
      <c r="H3165" s="1">
        <f t="shared" si="6"/>
        <v>464310.5292</v>
      </c>
      <c r="I3165" s="1">
        <f t="shared" si="7"/>
        <v>759780.8659</v>
      </c>
    </row>
    <row r="3166" hidden="1">
      <c r="A3166" s="266">
        <f>IFERROR(__xludf.DUMMYFUNCTION("""COMPUTED_VALUE"""),45809.99861111111)</f>
        <v>45809.99861</v>
      </c>
      <c r="B3166" s="1">
        <f>IFERROR(__xludf.DUMMYFUNCTION("""COMPUTED_VALUE"""),104494.5)</f>
        <v>104494.5</v>
      </c>
      <c r="C3166" s="58">
        <f t="shared" si="1"/>
        <v>5993.998611</v>
      </c>
      <c r="D3166" s="1">
        <f t="shared" si="2"/>
        <v>42250.91519</v>
      </c>
      <c r="E3166" s="1">
        <f t="shared" si="3"/>
        <v>76051.64733</v>
      </c>
      <c r="F3166" s="1">
        <f t="shared" si="4"/>
        <v>143653.1116</v>
      </c>
      <c r="G3166" s="1">
        <f t="shared" si="5"/>
        <v>253505.4911</v>
      </c>
      <c r="H3166" s="1">
        <f t="shared" si="6"/>
        <v>464760.067</v>
      </c>
      <c r="I3166" s="1">
        <f t="shared" si="7"/>
        <v>760516.4733</v>
      </c>
    </row>
    <row r="3167" hidden="1">
      <c r="A3167" s="266">
        <f>IFERROR(__xludf.DUMMYFUNCTION("""COMPUTED_VALUE"""),45810.99861111111)</f>
        <v>45810.99861</v>
      </c>
      <c r="B3167" s="1">
        <f>IFERROR(__xludf.DUMMYFUNCTION("""COMPUTED_VALUE"""),104914.5)</f>
        <v>104914.5</v>
      </c>
      <c r="C3167" s="58">
        <f t="shared" si="1"/>
        <v>5994.998611</v>
      </c>
      <c r="D3167" s="1">
        <f t="shared" si="2"/>
        <v>42291.815</v>
      </c>
      <c r="E3167" s="1">
        <f t="shared" si="3"/>
        <v>76125.26701</v>
      </c>
      <c r="F3167" s="1">
        <f t="shared" si="4"/>
        <v>143792.171</v>
      </c>
      <c r="G3167" s="1">
        <f t="shared" si="5"/>
        <v>253750.89</v>
      </c>
      <c r="H3167" s="1">
        <f t="shared" si="6"/>
        <v>465209.965</v>
      </c>
      <c r="I3167" s="1">
        <f t="shared" si="7"/>
        <v>761252.6701</v>
      </c>
    </row>
    <row r="3168" hidden="1">
      <c r="A3168" s="266">
        <f>IFERROR(__xludf.DUMMYFUNCTION("""COMPUTED_VALUE"""),45811.99861111111)</f>
        <v>45811.99861</v>
      </c>
      <c r="B3168" s="1">
        <f>IFERROR(__xludf.DUMMYFUNCTION("""COMPUTED_VALUE"""),105551.6)</f>
        <v>105551.6</v>
      </c>
      <c r="C3168" s="58">
        <f t="shared" si="1"/>
        <v>5995.998611</v>
      </c>
      <c r="D3168" s="1">
        <f t="shared" si="2"/>
        <v>42332.74758</v>
      </c>
      <c r="E3168" s="1">
        <f t="shared" si="3"/>
        <v>76198.94565</v>
      </c>
      <c r="F3168" s="1">
        <f t="shared" si="4"/>
        <v>143931.3418</v>
      </c>
      <c r="G3168" s="1">
        <f t="shared" si="5"/>
        <v>253996.4855</v>
      </c>
      <c r="H3168" s="1">
        <f t="shared" si="6"/>
        <v>465660.2234</v>
      </c>
      <c r="I3168" s="1">
        <f t="shared" si="7"/>
        <v>761989.4565</v>
      </c>
    </row>
    <row r="3169" hidden="1">
      <c r="A3169" s="266">
        <f>IFERROR(__xludf.DUMMYFUNCTION("""COMPUTED_VALUE"""),45812.99861111111)</f>
        <v>45812.99861</v>
      </c>
      <c r="B3169" s="1">
        <f>IFERROR(__xludf.DUMMYFUNCTION("""COMPUTED_VALUE"""),105625.9)</f>
        <v>105625.9</v>
      </c>
      <c r="C3169" s="58">
        <f t="shared" si="1"/>
        <v>5996.998611</v>
      </c>
      <c r="D3169" s="1">
        <f t="shared" si="2"/>
        <v>42373.71294</v>
      </c>
      <c r="E3169" s="1">
        <f t="shared" si="3"/>
        <v>76272.68329</v>
      </c>
      <c r="F3169" s="1">
        <f t="shared" si="4"/>
        <v>144070.624</v>
      </c>
      <c r="G3169" s="1">
        <f t="shared" si="5"/>
        <v>254242.2776</v>
      </c>
      <c r="H3169" s="1">
        <f t="shared" si="6"/>
        <v>466110.8423</v>
      </c>
      <c r="I3169" s="1">
        <f t="shared" si="7"/>
        <v>762726.8329</v>
      </c>
    </row>
    <row r="3170" hidden="1">
      <c r="A3170" s="266">
        <f>IFERROR(__xludf.DUMMYFUNCTION("""COMPUTED_VALUE"""),45813.99861111111)</f>
        <v>45813.99861</v>
      </c>
      <c r="B3170" s="1">
        <f>IFERROR(__xludf.DUMMYFUNCTION("""COMPUTED_VALUE"""),105084.4)</f>
        <v>105084.4</v>
      </c>
      <c r="C3170" s="58">
        <f t="shared" si="1"/>
        <v>5997.998611</v>
      </c>
      <c r="D3170" s="1">
        <f t="shared" si="2"/>
        <v>42414.7111</v>
      </c>
      <c r="E3170" s="1">
        <f t="shared" si="3"/>
        <v>76346.47998</v>
      </c>
      <c r="F3170" s="1">
        <f t="shared" si="4"/>
        <v>144210.0177</v>
      </c>
      <c r="G3170" s="1">
        <f t="shared" si="5"/>
        <v>254488.2666</v>
      </c>
      <c r="H3170" s="1">
        <f t="shared" si="6"/>
        <v>466561.8221</v>
      </c>
      <c r="I3170" s="1">
        <f t="shared" si="7"/>
        <v>763464.7998</v>
      </c>
    </row>
    <row r="3171" hidden="1">
      <c r="A3171" s="266">
        <f>IFERROR(__xludf.DUMMYFUNCTION("""COMPUTED_VALUE"""),45814.99861111111)</f>
        <v>45814.99861</v>
      </c>
      <c r="B3171" s="1">
        <f>IFERROR(__xludf.DUMMYFUNCTION("""COMPUTED_VALUE"""),102549.2)</f>
        <v>102549.2</v>
      </c>
      <c r="C3171" s="58">
        <f t="shared" si="1"/>
        <v>5998.998611</v>
      </c>
      <c r="D3171" s="1">
        <f t="shared" si="2"/>
        <v>42455.74208</v>
      </c>
      <c r="E3171" s="1">
        <f t="shared" si="3"/>
        <v>76420.33575</v>
      </c>
      <c r="F3171" s="1">
        <f t="shared" si="4"/>
        <v>144349.5231</v>
      </c>
      <c r="G3171" s="1">
        <f t="shared" si="5"/>
        <v>254734.4525</v>
      </c>
      <c r="H3171" s="1">
        <f t="shared" si="6"/>
        <v>467013.1629</v>
      </c>
      <c r="I3171" s="1">
        <f t="shared" si="7"/>
        <v>764203.3575</v>
      </c>
    </row>
    <row r="3172" hidden="1">
      <c r="A3172" s="266">
        <f>IFERROR(__xludf.DUMMYFUNCTION("""COMPUTED_VALUE"""),45815.99861111111)</f>
        <v>45815.99861</v>
      </c>
      <c r="B3172" s="1">
        <f>IFERROR(__xludf.DUMMYFUNCTION("""COMPUTED_VALUE"""),104951.3)</f>
        <v>104951.3</v>
      </c>
      <c r="C3172" s="58">
        <f t="shared" si="1"/>
        <v>5999.998611</v>
      </c>
      <c r="D3172" s="1">
        <f t="shared" si="2"/>
        <v>42496.80591</v>
      </c>
      <c r="E3172" s="1">
        <f t="shared" si="3"/>
        <v>76494.25064</v>
      </c>
      <c r="F3172" s="1">
        <f t="shared" si="4"/>
        <v>144489.1401</v>
      </c>
      <c r="G3172" s="1">
        <f t="shared" si="5"/>
        <v>254980.8355</v>
      </c>
      <c r="H3172" s="1">
        <f t="shared" si="6"/>
        <v>467464.865</v>
      </c>
      <c r="I3172" s="1">
        <f t="shared" si="7"/>
        <v>764942.5064</v>
      </c>
    </row>
    <row r="3173" hidden="1">
      <c r="A3173" s="266">
        <f>IFERROR(__xludf.DUMMYFUNCTION("""COMPUTED_VALUE"""),45816.99861111111)</f>
        <v>45816.99861</v>
      </c>
      <c r="B3173" s="1">
        <f>IFERROR(__xludf.DUMMYFUNCTION("""COMPUTED_VALUE"""),105525.3)</f>
        <v>105525.3</v>
      </c>
      <c r="C3173" s="58">
        <f t="shared" si="1"/>
        <v>6000.998611</v>
      </c>
      <c r="D3173" s="1">
        <f t="shared" si="2"/>
        <v>42537.9026</v>
      </c>
      <c r="E3173" s="1">
        <f t="shared" si="3"/>
        <v>76568.22468</v>
      </c>
      <c r="F3173" s="1">
        <f t="shared" si="4"/>
        <v>144628.8688</v>
      </c>
      <c r="G3173" s="1">
        <f t="shared" si="5"/>
        <v>255227.4156</v>
      </c>
      <c r="H3173" s="1">
        <f t="shared" si="6"/>
        <v>467916.9286</v>
      </c>
      <c r="I3173" s="1">
        <f t="shared" si="7"/>
        <v>765682.2468</v>
      </c>
    </row>
    <row r="3174" hidden="1">
      <c r="A3174" s="266">
        <f>IFERROR(__xludf.DUMMYFUNCTION("""COMPUTED_VALUE"""),45817.99861111111)</f>
        <v>45817.99861</v>
      </c>
      <c r="B3174" s="1">
        <f>IFERROR(__xludf.DUMMYFUNCTION("""COMPUTED_VALUE"""),105687.6)</f>
        <v>105687.6</v>
      </c>
      <c r="C3174" s="58">
        <f t="shared" si="1"/>
        <v>6001.998611</v>
      </c>
      <c r="D3174" s="1">
        <f t="shared" si="2"/>
        <v>42579.03218</v>
      </c>
      <c r="E3174" s="1">
        <f t="shared" si="3"/>
        <v>76642.25792</v>
      </c>
      <c r="F3174" s="1">
        <f t="shared" si="4"/>
        <v>144768.7094</v>
      </c>
      <c r="G3174" s="1">
        <f t="shared" si="5"/>
        <v>255474.1931</v>
      </c>
      <c r="H3174" s="1">
        <f t="shared" si="6"/>
        <v>468369.3539</v>
      </c>
      <c r="I3174" s="1">
        <f t="shared" si="7"/>
        <v>766422.5792</v>
      </c>
    </row>
    <row r="3175" hidden="1">
      <c r="A3175" s="266">
        <f>IFERROR(__xludf.DUMMYFUNCTION("""COMPUTED_VALUE"""),45818.99861111111)</f>
        <v>45818.99861</v>
      </c>
      <c r="B3175" s="1">
        <f>IFERROR(__xludf.DUMMYFUNCTION("""COMPUTED_VALUE"""),109549.0)</f>
        <v>109549</v>
      </c>
      <c r="C3175" s="58">
        <f t="shared" si="1"/>
        <v>6002.998611</v>
      </c>
      <c r="D3175" s="1">
        <f t="shared" si="2"/>
        <v>42620.19466</v>
      </c>
      <c r="E3175" s="1">
        <f t="shared" si="3"/>
        <v>76716.35038</v>
      </c>
      <c r="F3175" s="1">
        <f t="shared" si="4"/>
        <v>144908.6618</v>
      </c>
      <c r="G3175" s="1">
        <f t="shared" si="5"/>
        <v>255721.1679</v>
      </c>
      <c r="H3175" s="1">
        <f t="shared" si="6"/>
        <v>468822.1412</v>
      </c>
      <c r="I3175" s="1">
        <f t="shared" si="7"/>
        <v>767163.5038</v>
      </c>
    </row>
    <row r="3176" hidden="1">
      <c r="A3176" s="266">
        <f>IFERROR(__xludf.DUMMYFUNCTION("""COMPUTED_VALUE"""),45819.99861111111)</f>
        <v>45819.99861</v>
      </c>
      <c r="B3176" s="1">
        <f>IFERROR(__xludf.DUMMYFUNCTION("""COMPUTED_VALUE"""),109722.3)</f>
        <v>109722.3</v>
      </c>
      <c r="C3176" s="58">
        <f t="shared" si="1"/>
        <v>6003.998611</v>
      </c>
      <c r="D3176" s="1">
        <f t="shared" si="2"/>
        <v>42661.39007</v>
      </c>
      <c r="E3176" s="1">
        <f t="shared" si="3"/>
        <v>76790.50212</v>
      </c>
      <c r="F3176" s="1">
        <f t="shared" si="4"/>
        <v>145048.7262</v>
      </c>
      <c r="G3176" s="1">
        <f t="shared" si="5"/>
        <v>255968.3404</v>
      </c>
      <c r="H3176" s="1">
        <f t="shared" si="6"/>
        <v>469275.2907</v>
      </c>
      <c r="I3176" s="1">
        <f t="shared" si="7"/>
        <v>767905.0212</v>
      </c>
    </row>
    <row r="3177" hidden="1">
      <c r="A3177" s="266">
        <f>IFERROR(__xludf.DUMMYFUNCTION("""COMPUTED_VALUE"""),45820.99861111111)</f>
        <v>45820.99861</v>
      </c>
      <c r="B3177" s="1">
        <f>IFERROR(__xludf.DUMMYFUNCTION("""COMPUTED_VALUE"""),107845.6)</f>
        <v>107845.6</v>
      </c>
      <c r="C3177" s="58">
        <f t="shared" si="1"/>
        <v>6004.998611</v>
      </c>
      <c r="D3177" s="1">
        <f t="shared" si="2"/>
        <v>42702.61842</v>
      </c>
      <c r="E3177" s="1">
        <f t="shared" si="3"/>
        <v>76864.71316</v>
      </c>
      <c r="F3177" s="1">
        <f t="shared" si="4"/>
        <v>145188.9026</v>
      </c>
      <c r="G3177" s="1">
        <f t="shared" si="5"/>
        <v>256215.7105</v>
      </c>
      <c r="H3177" s="1">
        <f t="shared" si="6"/>
        <v>469728.8026</v>
      </c>
      <c r="I3177" s="1">
        <f t="shared" si="7"/>
        <v>768647.1316</v>
      </c>
    </row>
    <row r="3178" hidden="1">
      <c r="A3178" s="266">
        <f>IFERROR(__xludf.DUMMYFUNCTION("""COMPUTED_VALUE"""),45821.99861111111)</f>
        <v>45821.99861</v>
      </c>
      <c r="B3178" s="1">
        <f>IFERROR(__xludf.DUMMYFUNCTION("""COMPUTED_VALUE"""),104498.1)</f>
        <v>104498.1</v>
      </c>
      <c r="C3178" s="58">
        <f t="shared" si="1"/>
        <v>6005.998611</v>
      </c>
      <c r="D3178" s="1">
        <f t="shared" si="2"/>
        <v>42743.87975</v>
      </c>
      <c r="E3178" s="1">
        <f t="shared" si="3"/>
        <v>76938.98354</v>
      </c>
      <c r="F3178" s="1">
        <f t="shared" si="4"/>
        <v>145329.1911</v>
      </c>
      <c r="G3178" s="1">
        <f t="shared" si="5"/>
        <v>256463.2785</v>
      </c>
      <c r="H3178" s="1">
        <f t="shared" si="6"/>
        <v>470182.6772</v>
      </c>
      <c r="I3178" s="1">
        <f t="shared" si="7"/>
        <v>769389.8354</v>
      </c>
    </row>
    <row r="3179" hidden="1">
      <c r="A3179" s="266">
        <f>IFERROR(__xludf.DUMMYFUNCTION("""COMPUTED_VALUE"""),45822.99861111111)</f>
        <v>45822.99861</v>
      </c>
      <c r="B3179" s="1">
        <f>IFERROR(__xludf.DUMMYFUNCTION("""COMPUTED_VALUE"""),105312.9)</f>
        <v>105312.9</v>
      </c>
      <c r="C3179" s="58">
        <f t="shared" si="1"/>
        <v>6006.998611</v>
      </c>
      <c r="D3179" s="1">
        <f t="shared" si="2"/>
        <v>42785.17406</v>
      </c>
      <c r="E3179" s="1">
        <f t="shared" si="3"/>
        <v>77013.31331</v>
      </c>
      <c r="F3179" s="1">
        <f t="shared" si="4"/>
        <v>145469.5918</v>
      </c>
      <c r="G3179" s="1">
        <f t="shared" si="5"/>
        <v>256711.0444</v>
      </c>
      <c r="H3179" s="1">
        <f t="shared" si="6"/>
        <v>470636.9147</v>
      </c>
      <c r="I3179" s="1">
        <f t="shared" si="7"/>
        <v>770133.1331</v>
      </c>
    </row>
    <row r="3180" hidden="1">
      <c r="A3180" s="266">
        <f>IFERROR(__xludf.DUMMYFUNCTION("""COMPUTED_VALUE"""),45823.99861111111)</f>
        <v>45823.99861</v>
      </c>
      <c r="B3180" s="1">
        <f>IFERROR(__xludf.DUMMYFUNCTION("""COMPUTED_VALUE"""),105562.5)</f>
        <v>105562.5</v>
      </c>
      <c r="C3180" s="58">
        <f t="shared" si="1"/>
        <v>6007.998611</v>
      </c>
      <c r="D3180" s="1">
        <f t="shared" si="2"/>
        <v>42826.50138</v>
      </c>
      <c r="E3180" s="1">
        <f t="shared" si="3"/>
        <v>77087.70249</v>
      </c>
      <c r="F3180" s="1">
        <f t="shared" si="4"/>
        <v>145610.1047</v>
      </c>
      <c r="G3180" s="1">
        <f t="shared" si="5"/>
        <v>256959.0083</v>
      </c>
      <c r="H3180" s="1">
        <f t="shared" si="6"/>
        <v>471091.5152</v>
      </c>
      <c r="I3180" s="1">
        <f t="shared" si="7"/>
        <v>770877.0249</v>
      </c>
    </row>
    <row r="3181" hidden="1">
      <c r="A3181" s="266">
        <f>IFERROR(__xludf.DUMMYFUNCTION("""COMPUTED_VALUE"""),45824.99861111111)</f>
        <v>45824.99861</v>
      </c>
      <c r="B3181" s="1">
        <f>IFERROR(__xludf.DUMMYFUNCTION("""COMPUTED_VALUE"""),105950.6)</f>
        <v>105950.6</v>
      </c>
      <c r="C3181" s="58">
        <f t="shared" si="1"/>
        <v>6008.998611</v>
      </c>
      <c r="D3181" s="1">
        <f t="shared" si="2"/>
        <v>42867.86174</v>
      </c>
      <c r="E3181" s="1">
        <f t="shared" si="3"/>
        <v>77162.15113</v>
      </c>
      <c r="F3181" s="1">
        <f t="shared" si="4"/>
        <v>145750.7299</v>
      </c>
      <c r="G3181" s="1">
        <f t="shared" si="5"/>
        <v>257207.1704</v>
      </c>
      <c r="H3181" s="1">
        <f t="shared" si="6"/>
        <v>471546.4791</v>
      </c>
      <c r="I3181" s="1">
        <f t="shared" si="7"/>
        <v>771621.5113</v>
      </c>
    </row>
    <row r="3182" hidden="1">
      <c r="A3182" s="266">
        <f>IFERROR(__xludf.DUMMYFUNCTION("""COMPUTED_VALUE"""),45825.99861111111)</f>
        <v>45825.99861</v>
      </c>
      <c r="B3182" s="1">
        <f>IFERROR(__xludf.DUMMYFUNCTION("""COMPUTED_VALUE"""),107598.5)</f>
        <v>107598.5</v>
      </c>
      <c r="C3182" s="58">
        <f t="shared" si="1"/>
        <v>6009.998611</v>
      </c>
      <c r="D3182" s="1">
        <f t="shared" si="2"/>
        <v>42909.25515</v>
      </c>
      <c r="E3182" s="1">
        <f t="shared" si="3"/>
        <v>77236.65926</v>
      </c>
      <c r="F3182" s="1">
        <f t="shared" si="4"/>
        <v>145891.4675</v>
      </c>
      <c r="G3182" s="1">
        <f t="shared" si="5"/>
        <v>257455.5309</v>
      </c>
      <c r="H3182" s="1">
        <f t="shared" si="6"/>
        <v>472001.8066</v>
      </c>
      <c r="I3182" s="1">
        <f t="shared" si="7"/>
        <v>772366.5926</v>
      </c>
    </row>
    <row r="3183" hidden="1">
      <c r="A3183" s="266">
        <f>IFERROR(__xludf.DUMMYFUNCTION("""COMPUTED_VALUE"""),45826.99861111111)</f>
        <v>45826.99861</v>
      </c>
      <c r="B3183" s="1">
        <f>IFERROR(__xludf.DUMMYFUNCTION("""COMPUTED_VALUE"""),105191.3)</f>
        <v>105191.3</v>
      </c>
      <c r="C3183" s="58">
        <f t="shared" si="1"/>
        <v>6010.998611</v>
      </c>
      <c r="D3183" s="1">
        <f t="shared" si="2"/>
        <v>42950.68163</v>
      </c>
      <c r="E3183" s="1">
        <f t="shared" si="3"/>
        <v>77311.22693</v>
      </c>
      <c r="F3183" s="1">
        <f t="shared" si="4"/>
        <v>146032.3175</v>
      </c>
      <c r="G3183" s="1">
        <f t="shared" si="5"/>
        <v>257704.0898</v>
      </c>
      <c r="H3183" s="1">
        <f t="shared" si="6"/>
        <v>472457.4979</v>
      </c>
      <c r="I3183" s="1">
        <f t="shared" si="7"/>
        <v>773112.2693</v>
      </c>
    </row>
    <row r="3184" hidden="1">
      <c r="A3184" s="266">
        <f>IFERROR(__xludf.DUMMYFUNCTION("""COMPUTED_VALUE"""),45827.99861111111)</f>
        <v>45827.99861</v>
      </c>
      <c r="B3184" s="1">
        <f>IFERROR(__xludf.DUMMYFUNCTION("""COMPUTED_VALUE"""),105075.2)</f>
        <v>105075.2</v>
      </c>
      <c r="C3184" s="58">
        <f t="shared" si="1"/>
        <v>6011.998611</v>
      </c>
      <c r="D3184" s="1">
        <f t="shared" si="2"/>
        <v>42992.1412</v>
      </c>
      <c r="E3184" s="1">
        <f t="shared" si="3"/>
        <v>77385.85416</v>
      </c>
      <c r="F3184" s="1">
        <f t="shared" si="4"/>
        <v>146173.2801</v>
      </c>
      <c r="G3184" s="1">
        <f t="shared" si="5"/>
        <v>257952.8472</v>
      </c>
      <c r="H3184" s="1">
        <f t="shared" si="6"/>
        <v>472913.5532</v>
      </c>
      <c r="I3184" s="1">
        <f t="shared" si="7"/>
        <v>773858.5416</v>
      </c>
    </row>
    <row r="3185" hidden="1">
      <c r="A3185" s="266">
        <f>IFERROR(__xludf.DUMMYFUNCTION("""COMPUTED_VALUE"""),45828.99861111111)</f>
        <v>45828.99861</v>
      </c>
      <c r="B3185" s="1">
        <f>IFERROR(__xludf.DUMMYFUNCTION("""COMPUTED_VALUE"""),104637.0)</f>
        <v>104637</v>
      </c>
      <c r="C3185" s="58">
        <f t="shared" si="1"/>
        <v>6012.998611</v>
      </c>
      <c r="D3185" s="1">
        <f t="shared" si="2"/>
        <v>43033.63389</v>
      </c>
      <c r="E3185" s="1">
        <f t="shared" si="3"/>
        <v>77460.541</v>
      </c>
      <c r="F3185" s="1">
        <f t="shared" si="4"/>
        <v>146314.3552</v>
      </c>
      <c r="G3185" s="1">
        <f t="shared" si="5"/>
        <v>258201.8033</v>
      </c>
      <c r="H3185" s="1">
        <f t="shared" si="6"/>
        <v>473369.9728</v>
      </c>
      <c r="I3185" s="1">
        <f t="shared" si="7"/>
        <v>774605.41</v>
      </c>
    </row>
    <row r="3186" hidden="1">
      <c r="A3186" s="266">
        <f>IFERROR(__xludf.DUMMYFUNCTION("""COMPUTED_VALUE"""),45829.99861111111)</f>
        <v>45829.99861</v>
      </c>
      <c r="B3186" s="1">
        <f>IFERROR(__xludf.DUMMYFUNCTION("""COMPUTED_VALUE"""),103589.5)</f>
        <v>103589.5</v>
      </c>
      <c r="C3186" s="58">
        <f t="shared" si="1"/>
        <v>6013.998611</v>
      </c>
      <c r="D3186" s="1">
        <f t="shared" si="2"/>
        <v>43075.15971</v>
      </c>
      <c r="E3186" s="1">
        <f t="shared" si="3"/>
        <v>77535.28748</v>
      </c>
      <c r="F3186" s="1">
        <f t="shared" si="4"/>
        <v>146455.543</v>
      </c>
      <c r="G3186" s="1">
        <f t="shared" si="5"/>
        <v>258450.9583</v>
      </c>
      <c r="H3186" s="1">
        <f t="shared" si="6"/>
        <v>473826.7568</v>
      </c>
      <c r="I3186" s="1">
        <f t="shared" si="7"/>
        <v>775352.8748</v>
      </c>
    </row>
    <row r="3187" hidden="1">
      <c r="A3187" s="266">
        <f>IFERROR(__xludf.DUMMYFUNCTION("""COMPUTED_VALUE"""),45830.99861111111)</f>
        <v>45830.99861</v>
      </c>
      <c r="B3187" s="1">
        <f>IFERROR(__xludf.DUMMYFUNCTION("""COMPUTED_VALUE"""),102394.4)</f>
        <v>102394.4</v>
      </c>
      <c r="C3187" s="58">
        <f t="shared" si="1"/>
        <v>6014.998611</v>
      </c>
      <c r="D3187" s="1">
        <f t="shared" si="2"/>
        <v>43116.71869</v>
      </c>
      <c r="E3187" s="1">
        <f t="shared" si="3"/>
        <v>77610.09364</v>
      </c>
      <c r="F3187" s="1">
        <f t="shared" si="4"/>
        <v>146596.8435</v>
      </c>
      <c r="G3187" s="1">
        <f t="shared" si="5"/>
        <v>258700.3121</v>
      </c>
      <c r="H3187" s="1">
        <f t="shared" si="6"/>
        <v>474283.9056</v>
      </c>
      <c r="I3187" s="1">
        <f t="shared" si="7"/>
        <v>776100.9364</v>
      </c>
    </row>
    <row r="3188" hidden="1">
      <c r="A3188" s="266">
        <f>IFERROR(__xludf.DUMMYFUNCTION("""COMPUTED_VALUE"""),45831.99861111111)</f>
        <v>45831.99861</v>
      </c>
      <c r="B3188" s="1">
        <f>IFERROR(__xludf.DUMMYFUNCTION("""COMPUTED_VALUE"""),101220.0)</f>
        <v>101220</v>
      </c>
      <c r="C3188" s="58">
        <f t="shared" si="1"/>
        <v>6015.998611</v>
      </c>
      <c r="D3188" s="1">
        <f t="shared" si="2"/>
        <v>43158.31085</v>
      </c>
      <c r="E3188" s="1">
        <f t="shared" si="3"/>
        <v>77684.95953</v>
      </c>
      <c r="F3188" s="1">
        <f t="shared" si="4"/>
        <v>146738.2569</v>
      </c>
      <c r="G3188" s="1">
        <f t="shared" si="5"/>
        <v>258949.8651</v>
      </c>
      <c r="H3188" s="1">
        <f t="shared" si="6"/>
        <v>474741.4193</v>
      </c>
      <c r="I3188" s="1">
        <f t="shared" si="7"/>
        <v>776849.5953</v>
      </c>
    </row>
    <row r="3189" hidden="1">
      <c r="A3189" s="266">
        <f>IFERROR(__xludf.DUMMYFUNCTION("""COMPUTED_VALUE"""),45832.99861111111)</f>
        <v>45832.99861</v>
      </c>
      <c r="B3189" s="1">
        <f>IFERROR(__xludf.DUMMYFUNCTION("""COMPUTED_VALUE"""),105019.0)</f>
        <v>105019</v>
      </c>
      <c r="C3189" s="58">
        <f t="shared" si="1"/>
        <v>6016.998611</v>
      </c>
      <c r="D3189" s="1">
        <f t="shared" si="2"/>
        <v>43199.9362</v>
      </c>
      <c r="E3189" s="1">
        <f t="shared" si="3"/>
        <v>77759.88517</v>
      </c>
      <c r="F3189" s="1">
        <f t="shared" si="4"/>
        <v>146879.7831</v>
      </c>
      <c r="G3189" s="1">
        <f t="shared" si="5"/>
        <v>259199.6172</v>
      </c>
      <c r="H3189" s="1">
        <f t="shared" si="6"/>
        <v>475199.2982</v>
      </c>
      <c r="I3189" s="1">
        <f t="shared" si="7"/>
        <v>777598.8517</v>
      </c>
    </row>
    <row r="3190" hidden="1">
      <c r="A3190" s="266">
        <f>IFERROR(__xludf.DUMMYFUNCTION("""COMPUTED_VALUE"""),45833.99861111111)</f>
        <v>45833.99861</v>
      </c>
      <c r="B3190" s="1">
        <f>IFERROR(__xludf.DUMMYFUNCTION("""COMPUTED_VALUE"""),106311.5)</f>
        <v>106311.5</v>
      </c>
      <c r="C3190" s="58">
        <f t="shared" si="1"/>
        <v>6017.998611</v>
      </c>
      <c r="D3190" s="1">
        <f t="shared" si="2"/>
        <v>43241.59478</v>
      </c>
      <c r="E3190" s="1">
        <f t="shared" si="3"/>
        <v>77834.8706</v>
      </c>
      <c r="F3190" s="1">
        <f t="shared" si="4"/>
        <v>147021.4223</v>
      </c>
      <c r="G3190" s="1">
        <f t="shared" si="5"/>
        <v>259449.5687</v>
      </c>
      <c r="H3190" s="1">
        <f t="shared" si="6"/>
        <v>475657.5426</v>
      </c>
      <c r="I3190" s="1">
        <f t="shared" si="7"/>
        <v>778348.706</v>
      </c>
    </row>
    <row r="3191" hidden="1">
      <c r="A3191" s="266">
        <f>IFERROR(__xludf.DUMMYFUNCTION("""COMPUTED_VALUE"""),45834.99861111111)</f>
        <v>45834.99861</v>
      </c>
      <c r="B3191" s="1">
        <f>IFERROR(__xludf.DUMMYFUNCTION("""COMPUTED_VALUE"""),107899.3)</f>
        <v>107899.3</v>
      </c>
      <c r="C3191" s="58">
        <f t="shared" si="1"/>
        <v>6018.998611</v>
      </c>
      <c r="D3191" s="1">
        <f t="shared" si="2"/>
        <v>43283.2866</v>
      </c>
      <c r="E3191" s="1">
        <f t="shared" si="3"/>
        <v>77909.91587</v>
      </c>
      <c r="F3191" s="1">
        <f t="shared" si="4"/>
        <v>147163.1744</v>
      </c>
      <c r="G3191" s="1">
        <f t="shared" si="5"/>
        <v>259699.7196</v>
      </c>
      <c r="H3191" s="1">
        <f t="shared" si="6"/>
        <v>476116.1526</v>
      </c>
      <c r="I3191" s="1">
        <f t="shared" si="7"/>
        <v>779099.1587</v>
      </c>
    </row>
    <row r="3192" hidden="1">
      <c r="A3192" s="266">
        <f>IFERROR(__xludf.DUMMYFUNCTION("""COMPUTED_VALUE"""),45835.99861111111)</f>
        <v>45835.99861</v>
      </c>
      <c r="B3192" s="1">
        <f>IFERROR(__xludf.DUMMYFUNCTION("""COMPUTED_VALUE"""),107523.7)</f>
        <v>107523.7</v>
      </c>
      <c r="C3192" s="58">
        <f t="shared" si="1"/>
        <v>6019.998611</v>
      </c>
      <c r="D3192" s="1">
        <f t="shared" si="2"/>
        <v>43325.01167</v>
      </c>
      <c r="E3192" s="1">
        <f t="shared" si="3"/>
        <v>77985.02101</v>
      </c>
      <c r="F3192" s="1">
        <f t="shared" si="4"/>
        <v>147305.0397</v>
      </c>
      <c r="G3192" s="1">
        <f t="shared" si="5"/>
        <v>259950.07</v>
      </c>
      <c r="H3192" s="1">
        <f t="shared" si="6"/>
        <v>476575.1284</v>
      </c>
      <c r="I3192" s="1">
        <f t="shared" si="7"/>
        <v>779850.2101</v>
      </c>
    </row>
    <row r="3193" hidden="1">
      <c r="A3193" s="266">
        <f>IFERROR(__xludf.DUMMYFUNCTION("""COMPUTED_VALUE"""),45836.99861111111)</f>
        <v>45836.99861</v>
      </c>
      <c r="B3193" s="1">
        <f>IFERROR(__xludf.DUMMYFUNCTION("""COMPUTED_VALUE"""),107342.2)</f>
        <v>107342.2</v>
      </c>
      <c r="C3193" s="58">
        <f t="shared" si="1"/>
        <v>6020.998611</v>
      </c>
      <c r="D3193" s="1">
        <f t="shared" si="2"/>
        <v>43366.77003</v>
      </c>
      <c r="E3193" s="1">
        <f t="shared" si="3"/>
        <v>78060.18606</v>
      </c>
      <c r="F3193" s="1">
        <f t="shared" si="4"/>
        <v>147447.0181</v>
      </c>
      <c r="G3193" s="1">
        <f t="shared" si="5"/>
        <v>260200.6202</v>
      </c>
      <c r="H3193" s="1">
        <f t="shared" si="6"/>
        <v>477034.4704</v>
      </c>
      <c r="I3193" s="1">
        <f t="shared" si="7"/>
        <v>780601.8606</v>
      </c>
    </row>
    <row r="3194" hidden="1">
      <c r="A3194" s="266">
        <f>IFERROR(__xludf.DUMMYFUNCTION("""COMPUTED_VALUE"""),45837.99861111111)</f>
        <v>45837.99861</v>
      </c>
      <c r="B3194" s="1">
        <f>IFERROR(__xludf.DUMMYFUNCTION("""COMPUTED_VALUE"""),107249.3)</f>
        <v>107249.3</v>
      </c>
      <c r="C3194" s="58">
        <f t="shared" si="1"/>
        <v>6021.998611</v>
      </c>
      <c r="D3194" s="1">
        <f t="shared" si="2"/>
        <v>43408.5617</v>
      </c>
      <c r="E3194" s="1">
        <f t="shared" si="3"/>
        <v>78135.41105</v>
      </c>
      <c r="F3194" s="1">
        <f t="shared" si="4"/>
        <v>147589.1098</v>
      </c>
      <c r="G3194" s="1">
        <f t="shared" si="5"/>
        <v>260451.3702</v>
      </c>
      <c r="H3194" s="1">
        <f t="shared" si="6"/>
        <v>477494.1787</v>
      </c>
      <c r="I3194" s="1">
        <f t="shared" si="7"/>
        <v>781354.1105</v>
      </c>
    </row>
    <row r="3195" hidden="1">
      <c r="A3195" s="266">
        <f>IFERROR(__xludf.DUMMYFUNCTION("""COMPUTED_VALUE"""),45838.99861111111)</f>
        <v>45838.99861</v>
      </c>
      <c r="B3195" s="1">
        <f>IFERROR(__xludf.DUMMYFUNCTION("""COMPUTED_VALUE"""),108527.5)</f>
        <v>108527.5</v>
      </c>
      <c r="C3195" s="58">
        <f t="shared" si="1"/>
        <v>6022.998611</v>
      </c>
      <c r="D3195" s="1">
        <f t="shared" si="2"/>
        <v>43450.38668</v>
      </c>
      <c r="E3195" s="1">
        <f t="shared" si="3"/>
        <v>78210.69603</v>
      </c>
      <c r="F3195" s="1">
        <f t="shared" si="4"/>
        <v>147731.3147</v>
      </c>
      <c r="G3195" s="1">
        <f t="shared" si="5"/>
        <v>260702.3201</v>
      </c>
      <c r="H3195" s="1">
        <f t="shared" si="6"/>
        <v>477954.2535</v>
      </c>
      <c r="I3195" s="1">
        <f t="shared" si="7"/>
        <v>782106.9603</v>
      </c>
    </row>
    <row r="3196" hidden="1">
      <c r="A3196" s="266">
        <f>IFERROR(__xludf.DUMMYFUNCTION("""COMPUTED_VALUE"""),45839.99861111111)</f>
        <v>45839.99861</v>
      </c>
      <c r="B3196" s="1">
        <f>IFERROR(__xludf.DUMMYFUNCTION("""COMPUTED_VALUE"""),107217.4)</f>
        <v>107217.4</v>
      </c>
      <c r="C3196" s="58">
        <f t="shared" si="1"/>
        <v>6023.998611</v>
      </c>
      <c r="D3196" s="1">
        <f t="shared" si="2"/>
        <v>43492.24502</v>
      </c>
      <c r="E3196" s="1">
        <f t="shared" si="3"/>
        <v>78286.04103</v>
      </c>
      <c r="F3196" s="1">
        <f t="shared" si="4"/>
        <v>147873.6331</v>
      </c>
      <c r="G3196" s="1">
        <f t="shared" si="5"/>
        <v>260953.4701</v>
      </c>
      <c r="H3196" s="1">
        <f t="shared" si="6"/>
        <v>478414.6952</v>
      </c>
      <c r="I3196" s="1">
        <f t="shared" si="7"/>
        <v>782860.4103</v>
      </c>
    </row>
    <row r="3197" hidden="1">
      <c r="A3197" s="266">
        <f>IFERROR(__xludf.DUMMYFUNCTION("""COMPUTED_VALUE"""),45840.99861111111)</f>
        <v>45840.99861</v>
      </c>
      <c r="B3197" s="1">
        <f>IFERROR(__xludf.DUMMYFUNCTION("""COMPUTED_VALUE"""),106255.1)</f>
        <v>106255.1</v>
      </c>
      <c r="C3197" s="58">
        <f t="shared" si="1"/>
        <v>6024.998611</v>
      </c>
      <c r="D3197" s="1">
        <f t="shared" si="2"/>
        <v>43534.13672</v>
      </c>
      <c r="E3197" s="1">
        <f t="shared" si="3"/>
        <v>78361.44609</v>
      </c>
      <c r="F3197" s="1">
        <f t="shared" si="4"/>
        <v>148016.0648</v>
      </c>
      <c r="G3197" s="1">
        <f t="shared" si="5"/>
        <v>261204.8203</v>
      </c>
      <c r="H3197" s="1">
        <f t="shared" si="6"/>
        <v>478875.5039</v>
      </c>
      <c r="I3197" s="1">
        <f t="shared" si="7"/>
        <v>783614.4609</v>
      </c>
    </row>
    <row r="3198" hidden="1">
      <c r="A3198" s="266">
        <f>IFERROR(__xludf.DUMMYFUNCTION("""COMPUTED_VALUE"""),45841.99861111111)</f>
        <v>45841.99861</v>
      </c>
      <c r="B3198" s="1">
        <f>IFERROR(__xludf.DUMMYFUNCTION("""COMPUTED_VALUE"""),108696.5)</f>
        <v>108696.5</v>
      </c>
      <c r="C3198" s="58">
        <f t="shared" si="1"/>
        <v>6025.998611</v>
      </c>
      <c r="D3198" s="1">
        <f t="shared" si="2"/>
        <v>43576.06181</v>
      </c>
      <c r="E3198" s="1">
        <f t="shared" si="3"/>
        <v>78436.91125</v>
      </c>
      <c r="F3198" s="1">
        <f t="shared" si="4"/>
        <v>148158.6101</v>
      </c>
      <c r="G3198" s="1">
        <f t="shared" si="5"/>
        <v>261456.3708</v>
      </c>
      <c r="H3198" s="1">
        <f t="shared" si="6"/>
        <v>479336.6799</v>
      </c>
      <c r="I3198" s="1">
        <f t="shared" si="7"/>
        <v>784369.1125</v>
      </c>
    </row>
    <row r="3199" hidden="1">
      <c r="A3199" s="266">
        <f>IFERROR(__xludf.DUMMYFUNCTION("""COMPUTED_VALUE"""),45842.99861111111)</f>
        <v>45842.99861</v>
      </c>
      <c r="B3199" s="1">
        <f>IFERROR(__xludf.DUMMYFUNCTION("""COMPUTED_VALUE"""),109273.1)</f>
        <v>109273.1</v>
      </c>
      <c r="C3199" s="58">
        <f t="shared" si="1"/>
        <v>6026.998611</v>
      </c>
      <c r="D3199" s="1">
        <f t="shared" si="2"/>
        <v>43618.0203</v>
      </c>
      <c r="E3199" s="1">
        <f t="shared" si="3"/>
        <v>78512.43654</v>
      </c>
      <c r="F3199" s="1">
        <f t="shared" si="4"/>
        <v>148301.269</v>
      </c>
      <c r="G3199" s="1">
        <f t="shared" si="5"/>
        <v>261708.1218</v>
      </c>
      <c r="H3199" s="1">
        <f t="shared" si="6"/>
        <v>479798.2233</v>
      </c>
      <c r="I3199" s="1">
        <f t="shared" si="7"/>
        <v>785124.3654</v>
      </c>
    </row>
    <row r="3200" hidden="1">
      <c r="A3200" s="266">
        <f>IFERROR(__xludf.DUMMYFUNCTION("""COMPUTED_VALUE"""),45843.99861111111)</f>
        <v>45843.99861</v>
      </c>
      <c r="B3200" s="1">
        <f>IFERROR(__xludf.DUMMYFUNCTION("""COMPUTED_VALUE"""),108230.0)</f>
        <v>108230</v>
      </c>
      <c r="C3200" s="58">
        <f t="shared" si="1"/>
        <v>6027.998611</v>
      </c>
      <c r="D3200" s="1">
        <f t="shared" si="2"/>
        <v>43660.01223</v>
      </c>
      <c r="E3200" s="1">
        <f t="shared" si="3"/>
        <v>78588.02201</v>
      </c>
      <c r="F3200" s="1">
        <f t="shared" si="4"/>
        <v>148444.0416</v>
      </c>
      <c r="G3200" s="1">
        <f t="shared" si="5"/>
        <v>261960.0734</v>
      </c>
      <c r="H3200" s="1">
        <f t="shared" si="6"/>
        <v>480260.1345</v>
      </c>
      <c r="I3200" s="1">
        <f t="shared" si="7"/>
        <v>785880.2201</v>
      </c>
    </row>
    <row r="3201" hidden="1">
      <c r="A3201" s="266">
        <f>IFERROR(__xludf.DUMMYFUNCTION("""COMPUTED_VALUE"""),45844.99861111111)</f>
        <v>45844.99861</v>
      </c>
      <c r="B3201" s="1">
        <f>IFERROR(__xludf.DUMMYFUNCTION("""COMPUTED_VALUE"""),108114.0)</f>
        <v>108114</v>
      </c>
      <c r="C3201" s="58">
        <f t="shared" si="1"/>
        <v>6028.998611</v>
      </c>
      <c r="D3201" s="1">
        <f t="shared" si="2"/>
        <v>43702.0376</v>
      </c>
      <c r="E3201" s="1">
        <f t="shared" si="3"/>
        <v>78663.66769</v>
      </c>
      <c r="F3201" s="1">
        <f t="shared" si="4"/>
        <v>148586.9279</v>
      </c>
      <c r="G3201" s="1">
        <f t="shared" si="5"/>
        <v>262212.2256</v>
      </c>
      <c r="H3201" s="1">
        <f t="shared" si="6"/>
        <v>480722.4137</v>
      </c>
      <c r="I3201" s="1">
        <f t="shared" si="7"/>
        <v>786636.6769</v>
      </c>
    </row>
    <row r="3202" hidden="1">
      <c r="A3202" s="266">
        <f>IFERROR(__xludf.DUMMYFUNCTION("""COMPUTED_VALUE"""),45845.99861111111)</f>
        <v>45845.99861</v>
      </c>
      <c r="B3202" s="1">
        <f>IFERROR(__xludf.DUMMYFUNCTION("""COMPUTED_VALUE"""),109395.1)</f>
        <v>109395.1</v>
      </c>
      <c r="C3202" s="58">
        <f t="shared" si="1"/>
        <v>6029.998611</v>
      </c>
      <c r="D3202" s="1">
        <f t="shared" si="2"/>
        <v>43744.09645</v>
      </c>
      <c r="E3202" s="1">
        <f t="shared" si="3"/>
        <v>78739.37362</v>
      </c>
      <c r="F3202" s="1">
        <f t="shared" si="4"/>
        <v>148729.9279</v>
      </c>
      <c r="G3202" s="1">
        <f t="shared" si="5"/>
        <v>262464.5787</v>
      </c>
      <c r="H3202" s="1">
        <f t="shared" si="6"/>
        <v>481185.061</v>
      </c>
      <c r="I3202" s="1">
        <f t="shared" si="7"/>
        <v>787393.7362</v>
      </c>
    </row>
    <row r="3203" hidden="1">
      <c r="A3203" s="266">
        <f>IFERROR(__xludf.DUMMYFUNCTION("""COMPUTED_VALUE"""),45846.99861111111)</f>
        <v>45846.99861</v>
      </c>
      <c r="B3203" s="1">
        <f>IFERROR(__xludf.DUMMYFUNCTION("""COMPUTED_VALUE"""),107904.3)</f>
        <v>107904.3</v>
      </c>
      <c r="C3203" s="58">
        <f t="shared" si="1"/>
        <v>6030.998611</v>
      </c>
      <c r="D3203" s="1">
        <f t="shared" si="2"/>
        <v>43786.18879</v>
      </c>
      <c r="E3203" s="1">
        <f t="shared" si="3"/>
        <v>78815.13983</v>
      </c>
      <c r="F3203" s="1">
        <f t="shared" si="4"/>
        <v>148873.0419</v>
      </c>
      <c r="G3203" s="1">
        <f t="shared" si="5"/>
        <v>262717.1328</v>
      </c>
      <c r="H3203" s="1">
        <f t="shared" si="6"/>
        <v>481648.0767</v>
      </c>
      <c r="I3203" s="1">
        <f t="shared" si="7"/>
        <v>788151.3983</v>
      </c>
    </row>
    <row r="3204" hidden="1">
      <c r="A3204" s="266">
        <f>IFERROR(__xludf.DUMMYFUNCTION("""COMPUTED_VALUE"""),45847.99861111111)</f>
        <v>45847.99861</v>
      </c>
      <c r="B3204" s="1">
        <f>IFERROR(__xludf.DUMMYFUNCTION("""COMPUTED_VALUE"""),108395.8)</f>
        <v>108395.8</v>
      </c>
      <c r="C3204" s="58">
        <f t="shared" si="1"/>
        <v>6031.998611</v>
      </c>
      <c r="D3204" s="1">
        <f t="shared" si="2"/>
        <v>43828.31465</v>
      </c>
      <c r="E3204" s="1">
        <f t="shared" si="3"/>
        <v>78890.96637</v>
      </c>
      <c r="F3204" s="1">
        <f t="shared" si="4"/>
        <v>149016.2698</v>
      </c>
      <c r="G3204" s="1">
        <f t="shared" si="5"/>
        <v>262969.8879</v>
      </c>
      <c r="H3204" s="1">
        <f t="shared" si="6"/>
        <v>482111.4612</v>
      </c>
      <c r="I3204" s="1">
        <f t="shared" si="7"/>
        <v>788909.6637</v>
      </c>
    </row>
    <row r="3205" hidden="1">
      <c r="A3205" s="266">
        <f>IFERROR(__xludf.DUMMYFUNCTION("""COMPUTED_VALUE"""),45848.99861111111)</f>
        <v>45848.99861</v>
      </c>
      <c r="B3205" s="1">
        <f>IFERROR(__xludf.DUMMYFUNCTION("""COMPUTED_VALUE"""),111090.1)</f>
        <v>111090.1</v>
      </c>
      <c r="C3205" s="58">
        <f t="shared" si="1"/>
        <v>6032.998611</v>
      </c>
      <c r="D3205" s="1">
        <f t="shared" si="2"/>
        <v>43870.47404</v>
      </c>
      <c r="E3205" s="1">
        <f t="shared" si="3"/>
        <v>78966.85328</v>
      </c>
      <c r="F3205" s="1">
        <f t="shared" si="4"/>
        <v>149159.6117</v>
      </c>
      <c r="G3205" s="1">
        <f t="shared" si="5"/>
        <v>263222.8443</v>
      </c>
      <c r="H3205" s="1">
        <f t="shared" si="6"/>
        <v>482575.2145</v>
      </c>
      <c r="I3205" s="1">
        <f t="shared" si="7"/>
        <v>789668.5328</v>
      </c>
    </row>
    <row r="3206" hidden="1">
      <c r="A3206" s="266">
        <f>IFERROR(__xludf.DUMMYFUNCTION("""COMPUTED_VALUE"""),45849.99861111111)</f>
        <v>45849.99861</v>
      </c>
      <c r="B3206" s="1">
        <f>IFERROR(__xludf.DUMMYFUNCTION("""COMPUTED_VALUE"""),116768.2)</f>
        <v>116768.2</v>
      </c>
      <c r="C3206" s="58">
        <f t="shared" si="1"/>
        <v>6033.998611</v>
      </c>
      <c r="D3206" s="1">
        <f t="shared" si="2"/>
        <v>43912.66699</v>
      </c>
      <c r="E3206" s="1">
        <f t="shared" si="3"/>
        <v>79042.80058</v>
      </c>
      <c r="F3206" s="1">
        <f t="shared" si="4"/>
        <v>149303.0678</v>
      </c>
      <c r="G3206" s="1">
        <f t="shared" si="5"/>
        <v>263476.0019</v>
      </c>
      <c r="H3206" s="1">
        <f t="shared" si="6"/>
        <v>483039.3369</v>
      </c>
      <c r="I3206" s="1">
        <f t="shared" si="7"/>
        <v>790428.0058</v>
      </c>
    </row>
    <row r="3207" hidden="1">
      <c r="A3207" s="266">
        <f>IFERROR(__xludf.DUMMYFUNCTION("""COMPUTED_VALUE"""),45850.99861111111)</f>
        <v>45850.99861</v>
      </c>
      <c r="B3207" s="1">
        <f>IFERROR(__xludf.DUMMYFUNCTION("""COMPUTED_VALUE"""),117568.8)</f>
        <v>117568.8</v>
      </c>
      <c r="C3207" s="58">
        <f t="shared" si="1"/>
        <v>6034.998611</v>
      </c>
      <c r="D3207" s="1">
        <f t="shared" si="2"/>
        <v>43954.89351</v>
      </c>
      <c r="E3207" s="1">
        <f t="shared" si="3"/>
        <v>79118.80833</v>
      </c>
      <c r="F3207" s="1">
        <f t="shared" si="4"/>
        <v>149446.6379</v>
      </c>
      <c r="G3207" s="1">
        <f t="shared" si="5"/>
        <v>263729.3611</v>
      </c>
      <c r="H3207" s="1">
        <f t="shared" si="6"/>
        <v>483503.8287</v>
      </c>
      <c r="I3207" s="1">
        <f t="shared" si="7"/>
        <v>791188.0833</v>
      </c>
    </row>
    <row r="3208" hidden="1">
      <c r="A3208" s="266">
        <f>IFERROR(__xludf.DUMMYFUNCTION("""COMPUTED_VALUE"""),45851.99861111111)</f>
        <v>45851.99861</v>
      </c>
      <c r="B3208" s="1">
        <f>IFERROR(__xludf.DUMMYFUNCTION("""COMPUTED_VALUE"""),117603.5)</f>
        <v>117603.5</v>
      </c>
      <c r="C3208" s="58">
        <f t="shared" si="1"/>
        <v>6035.998611</v>
      </c>
      <c r="D3208" s="1">
        <f t="shared" si="2"/>
        <v>43997.15364</v>
      </c>
      <c r="E3208" s="1">
        <f t="shared" si="3"/>
        <v>79194.87655</v>
      </c>
      <c r="F3208" s="1">
        <f t="shared" si="4"/>
        <v>149590.3224</v>
      </c>
      <c r="G3208" s="1">
        <f t="shared" si="5"/>
        <v>263982.9218</v>
      </c>
      <c r="H3208" s="1">
        <f t="shared" si="6"/>
        <v>483968.69</v>
      </c>
      <c r="I3208" s="1">
        <f t="shared" si="7"/>
        <v>791948.7655</v>
      </c>
    </row>
    <row r="3209" hidden="1">
      <c r="A3209" s="266">
        <f>IFERROR(__xludf.DUMMYFUNCTION("""COMPUTED_VALUE"""),45852.99861111111)</f>
        <v>45852.99861</v>
      </c>
      <c r="B3209" s="1">
        <f>IFERROR(__xludf.DUMMYFUNCTION("""COMPUTED_VALUE"""),120551.9)</f>
        <v>120551.9</v>
      </c>
      <c r="C3209" s="58">
        <f t="shared" si="1"/>
        <v>6036.998611</v>
      </c>
      <c r="D3209" s="1">
        <f t="shared" si="2"/>
        <v>44039.44738</v>
      </c>
      <c r="E3209" s="1">
        <f t="shared" si="3"/>
        <v>79271.00529</v>
      </c>
      <c r="F3209" s="1">
        <f t="shared" si="4"/>
        <v>149734.1211</v>
      </c>
      <c r="G3209" s="1">
        <f t="shared" si="5"/>
        <v>264236.6843</v>
      </c>
      <c r="H3209" s="1">
        <f t="shared" si="6"/>
        <v>484433.9212</v>
      </c>
      <c r="I3209" s="1">
        <f t="shared" si="7"/>
        <v>792710.0529</v>
      </c>
    </row>
    <row r="3210" hidden="1">
      <c r="A3210" s="266">
        <f>IFERROR(__xludf.DUMMYFUNCTION("""COMPUTED_VALUE"""),45853.99861111111)</f>
        <v>45853.99861</v>
      </c>
      <c r="B3210" s="1">
        <f>IFERROR(__xludf.DUMMYFUNCTION("""COMPUTED_VALUE"""),117226.1)</f>
        <v>117226.1</v>
      </c>
      <c r="C3210" s="58">
        <f t="shared" si="1"/>
        <v>6037.998611</v>
      </c>
      <c r="D3210" s="1">
        <f t="shared" si="2"/>
        <v>44081.77477</v>
      </c>
      <c r="E3210" s="1">
        <f t="shared" si="3"/>
        <v>79347.19458</v>
      </c>
      <c r="F3210" s="1">
        <f t="shared" si="4"/>
        <v>149878.0342</v>
      </c>
      <c r="G3210" s="1">
        <f t="shared" si="5"/>
        <v>264490.6486</v>
      </c>
      <c r="H3210" s="1">
        <f t="shared" si="6"/>
        <v>484899.5224</v>
      </c>
      <c r="I3210" s="1">
        <f t="shared" si="7"/>
        <v>793471.9458</v>
      </c>
    </row>
    <row r="3211" hidden="1">
      <c r="A3211" s="266">
        <f>IFERROR(__xludf.DUMMYFUNCTION("""COMPUTED_VALUE"""),45854.99861111111)</f>
        <v>45854.99861</v>
      </c>
      <c r="B3211" s="1">
        <f>IFERROR(__xludf.DUMMYFUNCTION("""COMPUTED_VALUE"""),117489.6)</f>
        <v>117489.6</v>
      </c>
      <c r="C3211" s="58">
        <f t="shared" si="1"/>
        <v>6038.998611</v>
      </c>
      <c r="D3211" s="1">
        <f t="shared" si="2"/>
        <v>44124.13581</v>
      </c>
      <c r="E3211" s="1">
        <f t="shared" si="3"/>
        <v>79423.44446</v>
      </c>
      <c r="F3211" s="1">
        <f t="shared" si="4"/>
        <v>150022.0618</v>
      </c>
      <c r="G3211" s="1">
        <f t="shared" si="5"/>
        <v>264744.8149</v>
      </c>
      <c r="H3211" s="1">
        <f t="shared" si="6"/>
        <v>485365.4939</v>
      </c>
      <c r="I3211" s="1">
        <f t="shared" si="7"/>
        <v>794234.4446</v>
      </c>
    </row>
    <row r="3212" hidden="1">
      <c r="A3212" s="266">
        <f>IFERROR(__xludf.DUMMYFUNCTION("""COMPUTED_VALUE"""),45855.99861111111)</f>
        <v>45855.99861</v>
      </c>
      <c r="B3212" s="1">
        <f>IFERROR(__xludf.DUMMYFUNCTION("""COMPUTED_VALUE"""),118070.4)</f>
        <v>118070.4</v>
      </c>
      <c r="C3212" s="58">
        <f t="shared" si="1"/>
        <v>6039.998611</v>
      </c>
      <c r="D3212" s="1">
        <f t="shared" si="2"/>
        <v>44166.53054</v>
      </c>
      <c r="E3212" s="1">
        <f t="shared" si="3"/>
        <v>79499.75498</v>
      </c>
      <c r="F3212" s="1">
        <f t="shared" si="4"/>
        <v>150166.2038</v>
      </c>
      <c r="G3212" s="1">
        <f t="shared" si="5"/>
        <v>264999.1833</v>
      </c>
      <c r="H3212" s="1">
        <f t="shared" si="6"/>
        <v>485831.836</v>
      </c>
      <c r="I3212" s="1">
        <f t="shared" si="7"/>
        <v>794997.5498</v>
      </c>
    </row>
    <row r="3213" hidden="1">
      <c r="A3213" s="266">
        <f>IFERROR(__xludf.DUMMYFUNCTION("""COMPUTED_VALUE"""),45856.99861111111)</f>
        <v>45856.99861</v>
      </c>
      <c r="B3213" s="1">
        <f>IFERROR(__xludf.DUMMYFUNCTION("""COMPUTED_VALUE"""),120280.7)</f>
        <v>120280.7</v>
      </c>
      <c r="C3213" s="58">
        <f t="shared" si="1"/>
        <v>6040.998611</v>
      </c>
      <c r="D3213" s="1">
        <f t="shared" si="2"/>
        <v>44208.95898</v>
      </c>
      <c r="E3213" s="1">
        <f t="shared" si="3"/>
        <v>79576.12616</v>
      </c>
      <c r="F3213" s="1">
        <f t="shared" si="4"/>
        <v>150310.4605</v>
      </c>
      <c r="G3213" s="1">
        <f t="shared" si="5"/>
        <v>265253.7539</v>
      </c>
      <c r="H3213" s="1">
        <f t="shared" si="6"/>
        <v>486298.5488</v>
      </c>
      <c r="I3213" s="1">
        <f t="shared" si="7"/>
        <v>795761.2616</v>
      </c>
    </row>
    <row r="3214" hidden="1">
      <c r="A3214" s="266">
        <f>IFERROR(__xludf.DUMMYFUNCTION("""COMPUTED_VALUE"""),45857.99861111111)</f>
        <v>45857.99861</v>
      </c>
      <c r="B3214" s="1">
        <f>IFERROR(__xludf.DUMMYFUNCTION("""COMPUTED_VALUE"""),118353.3)</f>
        <v>118353.3</v>
      </c>
      <c r="C3214" s="58">
        <f t="shared" si="1"/>
        <v>6041.998611</v>
      </c>
      <c r="D3214" s="1">
        <f t="shared" si="2"/>
        <v>44251.42114</v>
      </c>
      <c r="E3214" s="1">
        <f t="shared" si="3"/>
        <v>79652.55805</v>
      </c>
      <c r="F3214" s="1">
        <f t="shared" si="4"/>
        <v>150454.8319</v>
      </c>
      <c r="G3214" s="1">
        <f t="shared" si="5"/>
        <v>265508.5268</v>
      </c>
      <c r="H3214" s="1">
        <f t="shared" si="6"/>
        <v>486765.6325</v>
      </c>
      <c r="I3214" s="1">
        <f t="shared" si="7"/>
        <v>796525.5805</v>
      </c>
    </row>
    <row r="3215" hidden="1">
      <c r="A3215" s="266">
        <f>IFERROR(__xludf.DUMMYFUNCTION("""COMPUTED_VALUE"""),45858.99861111111)</f>
        <v>45858.99861</v>
      </c>
      <c r="B3215" s="1">
        <f>IFERROR(__xludf.DUMMYFUNCTION("""COMPUTED_VALUE"""),117985.7)</f>
        <v>117985.7</v>
      </c>
      <c r="C3215" s="58">
        <f t="shared" si="1"/>
        <v>6042.998611</v>
      </c>
      <c r="D3215" s="1">
        <f t="shared" si="2"/>
        <v>44293.91705</v>
      </c>
      <c r="E3215" s="1">
        <f t="shared" si="3"/>
        <v>79729.05068</v>
      </c>
      <c r="F3215" s="1">
        <f t="shared" si="4"/>
        <v>150599.318</v>
      </c>
      <c r="G3215" s="1">
        <f t="shared" si="5"/>
        <v>265763.5023</v>
      </c>
      <c r="H3215" s="1">
        <f t="shared" si="6"/>
        <v>487233.0875</v>
      </c>
      <c r="I3215" s="1">
        <f t="shared" si="7"/>
        <v>797290.5068</v>
      </c>
    </row>
    <row r="3216" hidden="1">
      <c r="A3216" s="266">
        <f>IFERROR(__xludf.DUMMYFUNCTION("""COMPUTED_VALUE"""),45859.99861111111)</f>
        <v>45859.99861</v>
      </c>
      <c r="B3216" s="1">
        <f>IFERROR(__xludf.DUMMYFUNCTION("""COMPUTED_VALUE"""),118429.2)</f>
        <v>118429.2</v>
      </c>
      <c r="C3216" s="58">
        <f t="shared" si="1"/>
        <v>6043.998611</v>
      </c>
      <c r="D3216" s="1">
        <f t="shared" si="2"/>
        <v>44336.44672</v>
      </c>
      <c r="E3216" s="1">
        <f t="shared" si="3"/>
        <v>79805.6041</v>
      </c>
      <c r="F3216" s="1">
        <f t="shared" si="4"/>
        <v>150743.9189</v>
      </c>
      <c r="G3216" s="1">
        <f t="shared" si="5"/>
        <v>266018.6803</v>
      </c>
      <c r="H3216" s="1">
        <f t="shared" si="6"/>
        <v>487700.9139</v>
      </c>
      <c r="I3216" s="1">
        <f t="shared" si="7"/>
        <v>798056.041</v>
      </c>
    </row>
    <row r="3217" hidden="1">
      <c r="A3217" s="266">
        <f>IFERROR(__xludf.DUMMYFUNCTION("""COMPUTED_VALUE"""),45860.99861111111)</f>
        <v>45860.99861</v>
      </c>
      <c r="B3217" s="1">
        <f>IFERROR(__xludf.DUMMYFUNCTION("""COMPUTED_VALUE"""),117213.8)</f>
        <v>117213.8</v>
      </c>
      <c r="C3217" s="58">
        <f t="shared" si="1"/>
        <v>6044.998611</v>
      </c>
      <c r="D3217" s="1">
        <f t="shared" si="2"/>
        <v>44379.01019</v>
      </c>
      <c r="E3217" s="1">
        <f t="shared" si="3"/>
        <v>79882.21833</v>
      </c>
      <c r="F3217" s="1">
        <f t="shared" si="4"/>
        <v>150888.6346</v>
      </c>
      <c r="G3217" s="1">
        <f t="shared" si="5"/>
        <v>266274.0611</v>
      </c>
      <c r="H3217" s="1">
        <f t="shared" si="6"/>
        <v>488169.112</v>
      </c>
      <c r="I3217" s="1">
        <f t="shared" si="7"/>
        <v>798822.1833</v>
      </c>
    </row>
    <row r="3218" hidden="1">
      <c r="A3218" s="266">
        <f>IFERROR(__xludf.DUMMYFUNCTION("""COMPUTED_VALUE"""),45861.99861111111)</f>
        <v>45861.99861</v>
      </c>
      <c r="B3218" s="1">
        <f>IFERROR(__xludf.DUMMYFUNCTION("""COMPUTED_VALUE"""),118637.6)</f>
        <v>118637.6</v>
      </c>
      <c r="C3218" s="58">
        <f t="shared" si="1"/>
        <v>6045.998611</v>
      </c>
      <c r="D3218" s="1">
        <f t="shared" si="2"/>
        <v>44421.60746</v>
      </c>
      <c r="E3218" s="1">
        <f t="shared" si="3"/>
        <v>79958.89343</v>
      </c>
      <c r="F3218" s="1">
        <f t="shared" si="4"/>
        <v>151033.4654</v>
      </c>
      <c r="G3218" s="1">
        <f t="shared" si="5"/>
        <v>266529.6448</v>
      </c>
      <c r="H3218" s="1">
        <f t="shared" si="6"/>
        <v>488637.6821</v>
      </c>
      <c r="I3218" s="1">
        <f t="shared" si="7"/>
        <v>799588.9343</v>
      </c>
    </row>
    <row r="3219" hidden="1">
      <c r="A3219" s="266">
        <f>IFERROR(__xludf.DUMMYFUNCTION("""COMPUTED_VALUE"""),45862.99861111111)</f>
        <v>45862.99861</v>
      </c>
      <c r="B3219" s="1">
        <f>IFERROR(__xludf.DUMMYFUNCTION("""COMPUTED_VALUE"""),118580.6)</f>
        <v>118580.6</v>
      </c>
      <c r="C3219" s="58">
        <f t="shared" si="1"/>
        <v>6046.998611</v>
      </c>
      <c r="D3219" s="1">
        <f t="shared" si="2"/>
        <v>44464.23857</v>
      </c>
      <c r="E3219" s="1">
        <f t="shared" si="3"/>
        <v>80035.62943</v>
      </c>
      <c r="F3219" s="1">
        <f t="shared" si="4"/>
        <v>151178.4111</v>
      </c>
      <c r="G3219" s="1">
        <f t="shared" si="5"/>
        <v>266785.4314</v>
      </c>
      <c r="H3219" s="1">
        <f t="shared" si="6"/>
        <v>489106.6243</v>
      </c>
      <c r="I3219" s="1">
        <f t="shared" si="7"/>
        <v>800356.2943</v>
      </c>
    </row>
    <row r="3220" hidden="1">
      <c r="A3220" s="266">
        <f>IFERROR(__xludf.DUMMYFUNCTION("""COMPUTED_VALUE"""),45863.99861111111)</f>
        <v>45863.99861</v>
      </c>
      <c r="B3220" s="1">
        <f>IFERROR(__xludf.DUMMYFUNCTION("""COMPUTED_VALUE"""),115420.2)</f>
        <v>115420.2</v>
      </c>
      <c r="C3220" s="58">
        <f t="shared" si="1"/>
        <v>6047.998611</v>
      </c>
      <c r="D3220" s="1">
        <f t="shared" si="2"/>
        <v>44506.90353</v>
      </c>
      <c r="E3220" s="1">
        <f t="shared" si="3"/>
        <v>80112.42636</v>
      </c>
      <c r="F3220" s="1">
        <f t="shared" si="4"/>
        <v>151323.472</v>
      </c>
      <c r="G3220" s="1">
        <f t="shared" si="5"/>
        <v>267041.4212</v>
      </c>
      <c r="H3220" s="1">
        <f t="shared" si="6"/>
        <v>489575.9388</v>
      </c>
      <c r="I3220" s="1">
        <f t="shared" si="7"/>
        <v>801124.2636</v>
      </c>
    </row>
    <row r="3221" hidden="1">
      <c r="A3221" s="266">
        <f>IFERROR(__xludf.DUMMYFUNCTION("""COMPUTED_VALUE"""),45864.99861111111)</f>
        <v>45864.99861</v>
      </c>
      <c r="B3221" s="1">
        <f>IFERROR(__xludf.DUMMYFUNCTION("""COMPUTED_VALUE"""),117570.6)</f>
        <v>117570.6</v>
      </c>
      <c r="C3221" s="58">
        <f t="shared" si="1"/>
        <v>6048.998611</v>
      </c>
      <c r="D3221" s="1">
        <f t="shared" si="2"/>
        <v>44549.60237</v>
      </c>
      <c r="E3221" s="1">
        <f t="shared" si="3"/>
        <v>80189.28426</v>
      </c>
      <c r="F3221" s="1">
        <f t="shared" si="4"/>
        <v>151468.648</v>
      </c>
      <c r="G3221" s="1">
        <f t="shared" si="5"/>
        <v>267297.6142</v>
      </c>
      <c r="H3221" s="1">
        <f t="shared" si="6"/>
        <v>490045.626</v>
      </c>
      <c r="I3221" s="1">
        <f t="shared" si="7"/>
        <v>801892.8426</v>
      </c>
    </row>
    <row r="3222" hidden="1">
      <c r="A3222" s="266">
        <f>IFERROR(__xludf.DUMMYFUNCTION("""COMPUTED_VALUE"""),45865.99861111111)</f>
        <v>45865.99861</v>
      </c>
      <c r="B3222" s="1">
        <f>IFERROR(__xludf.DUMMYFUNCTION("""COMPUTED_VALUE"""),118208.3)</f>
        <v>118208.3</v>
      </c>
      <c r="C3222" s="58">
        <f t="shared" si="1"/>
        <v>6049.998611</v>
      </c>
      <c r="D3222" s="1">
        <f t="shared" si="2"/>
        <v>44592.3351</v>
      </c>
      <c r="E3222" s="1">
        <f t="shared" si="3"/>
        <v>80266.20318</v>
      </c>
      <c r="F3222" s="1">
        <f t="shared" si="4"/>
        <v>151613.9393</v>
      </c>
      <c r="G3222" s="1">
        <f t="shared" si="5"/>
        <v>267554.0106</v>
      </c>
      <c r="H3222" s="1">
        <f t="shared" si="6"/>
        <v>490515.6861</v>
      </c>
      <c r="I3222" s="1">
        <f t="shared" si="7"/>
        <v>802662.0318</v>
      </c>
    </row>
    <row r="3223" hidden="1">
      <c r="A3223" s="266">
        <f>IFERROR(__xludf.DUMMYFUNCTION("""COMPUTED_VALUE"""),45866.99861111111)</f>
        <v>45866.99861</v>
      </c>
      <c r="B3223" s="1">
        <f>IFERROR(__xludf.DUMMYFUNCTION("""COMPUTED_VALUE"""),119283.7)</f>
        <v>119283.7</v>
      </c>
      <c r="C3223" s="58">
        <f t="shared" si="1"/>
        <v>6050.998611</v>
      </c>
      <c r="D3223" s="1">
        <f t="shared" si="2"/>
        <v>44635.10175</v>
      </c>
      <c r="E3223" s="1">
        <f t="shared" si="3"/>
        <v>80343.18314</v>
      </c>
      <c r="F3223" s="1">
        <f t="shared" si="4"/>
        <v>151759.3459</v>
      </c>
      <c r="G3223" s="1">
        <f t="shared" si="5"/>
        <v>267810.6105</v>
      </c>
      <c r="H3223" s="1">
        <f t="shared" si="6"/>
        <v>490986.1192</v>
      </c>
      <c r="I3223" s="1">
        <f t="shared" si="7"/>
        <v>803431.8314</v>
      </c>
    </row>
    <row r="3224" hidden="1">
      <c r="A3224" s="266">
        <f>IFERROR(__xludf.DUMMYFUNCTION("""COMPUTED_VALUE"""),45867.99861111111)</f>
        <v>45867.99861</v>
      </c>
      <c r="B3224" s="1">
        <f>IFERROR(__xludf.DUMMYFUNCTION("""COMPUTED_VALUE"""),118757.1)</f>
        <v>118757.1</v>
      </c>
      <c r="C3224" s="58">
        <f t="shared" si="1"/>
        <v>6051.998611</v>
      </c>
      <c r="D3224" s="1">
        <f t="shared" si="2"/>
        <v>44677.90233</v>
      </c>
      <c r="E3224" s="1">
        <f t="shared" si="3"/>
        <v>80420.2242</v>
      </c>
      <c r="F3224" s="1">
        <f t="shared" si="4"/>
        <v>151904.8679</v>
      </c>
      <c r="G3224" s="1">
        <f t="shared" si="5"/>
        <v>268067.414</v>
      </c>
      <c r="H3224" s="1">
        <f t="shared" si="6"/>
        <v>491456.9257</v>
      </c>
      <c r="I3224" s="1">
        <f t="shared" si="7"/>
        <v>804202.242</v>
      </c>
    </row>
    <row r="3225" hidden="1">
      <c r="A3225" s="266">
        <f>IFERROR(__xludf.DUMMYFUNCTION("""COMPUTED_VALUE"""),45868.99861111111)</f>
        <v>45868.99861</v>
      </c>
      <c r="B3225" s="1">
        <f>IFERROR(__xludf.DUMMYFUNCTION("""COMPUTED_VALUE"""),118176.2)</f>
        <v>118176.2</v>
      </c>
      <c r="C3225" s="58">
        <f t="shared" si="1"/>
        <v>6052.998611</v>
      </c>
      <c r="D3225" s="1">
        <f t="shared" si="2"/>
        <v>44720.73688</v>
      </c>
      <c r="E3225" s="1">
        <f t="shared" si="3"/>
        <v>80497.32638</v>
      </c>
      <c r="F3225" s="1">
        <f t="shared" si="4"/>
        <v>152050.5054</v>
      </c>
      <c r="G3225" s="1">
        <f t="shared" si="5"/>
        <v>268324.4213</v>
      </c>
      <c r="H3225" s="1">
        <f t="shared" si="6"/>
        <v>491928.1057</v>
      </c>
      <c r="I3225" s="1">
        <f t="shared" si="7"/>
        <v>804973.2638</v>
      </c>
    </row>
    <row r="3226" hidden="1">
      <c r="A3226" s="266">
        <f>IFERROR(__xludf.DUMMYFUNCTION("""COMPUTED_VALUE"""),45869.99861111111)</f>
        <v>45869.99861</v>
      </c>
      <c r="B3226" s="1">
        <f>IFERROR(__xludf.DUMMYFUNCTION("""COMPUTED_VALUE"""),118454.4)</f>
        <v>118454.4</v>
      </c>
      <c r="C3226" s="58">
        <f t="shared" si="1"/>
        <v>6053.998611</v>
      </c>
      <c r="D3226" s="1">
        <f t="shared" si="2"/>
        <v>44763.60541</v>
      </c>
      <c r="E3226" s="1">
        <f t="shared" si="3"/>
        <v>80574.48973</v>
      </c>
      <c r="F3226" s="1">
        <f t="shared" si="4"/>
        <v>152196.2584</v>
      </c>
      <c r="G3226" s="1">
        <f t="shared" si="5"/>
        <v>268581.6324</v>
      </c>
      <c r="H3226" s="1">
        <f t="shared" si="6"/>
        <v>492399.6595</v>
      </c>
      <c r="I3226" s="1">
        <f t="shared" si="7"/>
        <v>805744.8973</v>
      </c>
    </row>
    <row r="3227" hidden="1">
      <c r="A3227" s="266">
        <f>IFERROR(__xludf.DUMMYFUNCTION("""COMPUTED_VALUE"""),45870.99861111111)</f>
        <v>45870.99861</v>
      </c>
      <c r="B3227" s="1">
        <f>IFERROR(__xludf.DUMMYFUNCTION("""COMPUTED_VALUE"""),115672.4)</f>
        <v>115672.4</v>
      </c>
      <c r="C3227" s="58">
        <f t="shared" si="1"/>
        <v>6054.998611</v>
      </c>
      <c r="D3227" s="1">
        <f t="shared" si="2"/>
        <v>44806.50794</v>
      </c>
      <c r="E3227" s="1">
        <f t="shared" si="3"/>
        <v>80651.71429</v>
      </c>
      <c r="F3227" s="1">
        <f t="shared" si="4"/>
        <v>152342.127</v>
      </c>
      <c r="G3227" s="1">
        <f t="shared" si="5"/>
        <v>268839.0476</v>
      </c>
      <c r="H3227" s="1">
        <f t="shared" si="6"/>
        <v>492871.5873</v>
      </c>
      <c r="I3227" s="1">
        <f t="shared" si="7"/>
        <v>806517.1429</v>
      </c>
    </row>
    <row r="3228" hidden="1">
      <c r="A3228" s="266">
        <f>IFERROR(__xludf.DUMMYFUNCTION("""COMPUTED_VALUE"""),45871.99861111111)</f>
        <v>45871.99861</v>
      </c>
      <c r="B3228" s="1">
        <f>IFERROR(__xludf.DUMMYFUNCTION("""COMPUTED_VALUE"""),113941.1)</f>
        <v>113941.1</v>
      </c>
      <c r="C3228" s="58">
        <f t="shared" si="1"/>
        <v>6055.998611</v>
      </c>
      <c r="D3228" s="1">
        <f t="shared" si="2"/>
        <v>44849.44449</v>
      </c>
      <c r="E3228" s="1">
        <f t="shared" si="3"/>
        <v>80729.00009</v>
      </c>
      <c r="F3228" s="1">
        <f t="shared" si="4"/>
        <v>152488.1113</v>
      </c>
      <c r="G3228" s="1">
        <f t="shared" si="5"/>
        <v>269096.667</v>
      </c>
      <c r="H3228" s="1">
        <f t="shared" si="6"/>
        <v>493343.8894</v>
      </c>
      <c r="I3228" s="1">
        <f t="shared" si="7"/>
        <v>807290.0009</v>
      </c>
    </row>
    <row r="3229" hidden="1">
      <c r="A3229" s="266">
        <f>IFERROR(__xludf.DUMMYFUNCTION("""COMPUTED_VALUE"""),45872.99861111111)</f>
        <v>45872.99861</v>
      </c>
      <c r="B3229" s="1">
        <f>IFERROR(__xludf.DUMMYFUNCTION("""COMPUTED_VALUE"""),113730.6)</f>
        <v>113730.6</v>
      </c>
      <c r="C3229" s="58">
        <f t="shared" si="1"/>
        <v>6056.998611</v>
      </c>
      <c r="D3229" s="1">
        <f t="shared" si="2"/>
        <v>44892.41509</v>
      </c>
      <c r="E3229" s="1">
        <f t="shared" si="3"/>
        <v>80806.34716</v>
      </c>
      <c r="F3229" s="1">
        <f t="shared" si="4"/>
        <v>152634.2113</v>
      </c>
      <c r="G3229" s="1">
        <f t="shared" si="5"/>
        <v>269354.4905</v>
      </c>
      <c r="H3229" s="1">
        <f t="shared" si="6"/>
        <v>493816.566</v>
      </c>
      <c r="I3229" s="1">
        <f t="shared" si="7"/>
        <v>808063.4716</v>
      </c>
    </row>
    <row r="3230" hidden="1">
      <c r="A3230" s="266">
        <f>IFERROR(__xludf.DUMMYFUNCTION("""COMPUTED_VALUE"""),45873.99861111111)</f>
        <v>45873.99861</v>
      </c>
      <c r="B3230" s="1">
        <f>IFERROR(__xludf.DUMMYFUNCTION("""COMPUTED_VALUE"""),114696.1)</f>
        <v>114696.1</v>
      </c>
      <c r="C3230" s="58">
        <f t="shared" si="1"/>
        <v>6057.998611</v>
      </c>
      <c r="D3230" s="1">
        <f t="shared" si="2"/>
        <v>44935.41976</v>
      </c>
      <c r="E3230" s="1">
        <f t="shared" si="3"/>
        <v>80883.75556</v>
      </c>
      <c r="F3230" s="1">
        <f t="shared" si="4"/>
        <v>152780.4272</v>
      </c>
      <c r="G3230" s="1">
        <f t="shared" si="5"/>
        <v>269612.5185</v>
      </c>
      <c r="H3230" s="1">
        <f t="shared" si="6"/>
        <v>494289.6173</v>
      </c>
      <c r="I3230" s="1">
        <f t="shared" si="7"/>
        <v>808837.5556</v>
      </c>
    </row>
    <row r="3231" hidden="1">
      <c r="A3231" s="266">
        <f>IFERROR(__xludf.DUMMYFUNCTION("""COMPUTED_VALUE"""),45874.99861111111)</f>
        <v>45874.99861</v>
      </c>
      <c r="B3231" s="1">
        <f>IFERROR(__xludf.DUMMYFUNCTION("""COMPUTED_VALUE"""),114348.2)</f>
        <v>114348.2</v>
      </c>
      <c r="C3231" s="58">
        <f t="shared" si="1"/>
        <v>6058.998611</v>
      </c>
      <c r="D3231" s="1">
        <f t="shared" si="2"/>
        <v>44978.45851</v>
      </c>
      <c r="E3231" s="1">
        <f t="shared" si="3"/>
        <v>80961.22532</v>
      </c>
      <c r="F3231" s="1">
        <f t="shared" si="4"/>
        <v>152926.7589</v>
      </c>
      <c r="G3231" s="1">
        <f t="shared" si="5"/>
        <v>269870.7511</v>
      </c>
      <c r="H3231" s="1">
        <f t="shared" si="6"/>
        <v>494763.0436</v>
      </c>
      <c r="I3231" s="1">
        <f t="shared" si="7"/>
        <v>809612.2532</v>
      </c>
    </row>
    <row r="3232" hidden="1">
      <c r="A3232" s="266">
        <f>IFERROR(__xludf.DUMMYFUNCTION("""COMPUTED_VALUE"""),45875.99861111111)</f>
        <v>45875.99861</v>
      </c>
      <c r="B3232" s="1">
        <f>IFERROR(__xludf.DUMMYFUNCTION("""COMPUTED_VALUE"""),113574.9)</f>
        <v>113574.9</v>
      </c>
      <c r="C3232" s="58">
        <f t="shared" si="1"/>
        <v>6059.998611</v>
      </c>
      <c r="D3232" s="1">
        <f t="shared" si="2"/>
        <v>45021.53137</v>
      </c>
      <c r="E3232" s="1">
        <f t="shared" si="3"/>
        <v>81038.75647</v>
      </c>
      <c r="F3232" s="1">
        <f t="shared" si="4"/>
        <v>153073.2067</v>
      </c>
      <c r="G3232" s="1">
        <f t="shared" si="5"/>
        <v>270129.1882</v>
      </c>
      <c r="H3232" s="1">
        <f t="shared" si="6"/>
        <v>495236.8451</v>
      </c>
      <c r="I3232" s="1">
        <f t="shared" si="7"/>
        <v>810387.5647</v>
      </c>
    </row>
    <row r="3233" hidden="1">
      <c r="A3233" s="266">
        <f>IFERROR(__xludf.DUMMYFUNCTION("""COMPUTED_VALUE"""),45876.99861111111)</f>
        <v>45876.99861</v>
      </c>
      <c r="B3233" s="1">
        <f>IFERROR(__xludf.DUMMYFUNCTION("""COMPUTED_VALUE"""),114485.2)</f>
        <v>114485.2</v>
      </c>
      <c r="C3233" s="58">
        <f t="shared" si="1"/>
        <v>6060.998611</v>
      </c>
      <c r="D3233" s="1">
        <f t="shared" si="2"/>
        <v>45064.63837</v>
      </c>
      <c r="E3233" s="1">
        <f t="shared" si="3"/>
        <v>81116.34906</v>
      </c>
      <c r="F3233" s="1">
        <f t="shared" si="4"/>
        <v>153219.7704</v>
      </c>
      <c r="G3233" s="1">
        <f t="shared" si="5"/>
        <v>270387.8302</v>
      </c>
      <c r="H3233" s="1">
        <f t="shared" si="6"/>
        <v>495711.022</v>
      </c>
      <c r="I3233" s="1">
        <f t="shared" si="7"/>
        <v>811163.4906</v>
      </c>
    </row>
    <row r="3234" hidden="1">
      <c r="A3234" s="266">
        <f>IFERROR(__xludf.DUMMYFUNCTION("""COMPUTED_VALUE"""),45877.99861111111)</f>
        <v>45877.99861</v>
      </c>
      <c r="B3234" s="1">
        <f>IFERROR(__xludf.DUMMYFUNCTION("""COMPUTED_VALUE"""),116770.3)</f>
        <v>116770.3</v>
      </c>
      <c r="C3234" s="58">
        <f t="shared" si="1"/>
        <v>6061.998611</v>
      </c>
      <c r="D3234" s="1">
        <f t="shared" si="2"/>
        <v>45107.77951</v>
      </c>
      <c r="E3234" s="1">
        <f t="shared" si="3"/>
        <v>81194.00312</v>
      </c>
      <c r="F3234" s="1">
        <f t="shared" si="4"/>
        <v>153366.4503</v>
      </c>
      <c r="G3234" s="1">
        <f t="shared" si="5"/>
        <v>270646.6771</v>
      </c>
      <c r="H3234" s="1">
        <f t="shared" si="6"/>
        <v>496185.5746</v>
      </c>
      <c r="I3234" s="1">
        <f t="shared" si="7"/>
        <v>811940.0312</v>
      </c>
    </row>
    <row r="3235" hidden="1">
      <c r="A3235" s="266">
        <f>IFERROR(__xludf.DUMMYFUNCTION("""COMPUTED_VALUE"""),45878.99861111111)</f>
        <v>45878.99861</v>
      </c>
      <c r="B3235" s="1">
        <f>IFERROR(__xludf.DUMMYFUNCTION("""COMPUTED_VALUE"""),116364.7)</f>
        <v>116364.7</v>
      </c>
      <c r="C3235" s="58">
        <f t="shared" si="1"/>
        <v>6062.998611</v>
      </c>
      <c r="D3235" s="1">
        <f t="shared" si="2"/>
        <v>45150.95483</v>
      </c>
      <c r="E3235" s="1">
        <f t="shared" si="3"/>
        <v>81271.71869</v>
      </c>
      <c r="F3235" s="1">
        <f t="shared" si="4"/>
        <v>153513.2464</v>
      </c>
      <c r="G3235" s="1">
        <f t="shared" si="5"/>
        <v>270905.729</v>
      </c>
      <c r="H3235" s="1">
        <f t="shared" si="6"/>
        <v>496660.5031</v>
      </c>
      <c r="I3235" s="1">
        <f t="shared" si="7"/>
        <v>812717.1869</v>
      </c>
    </row>
    <row r="3236" hidden="1">
      <c r="A3236" s="266">
        <f>IFERROR(__xludf.DUMMYFUNCTION("""COMPUTED_VALUE"""),45879.99861111111)</f>
        <v>45879.99861</v>
      </c>
      <c r="B3236" s="1">
        <f>IFERROR(__xludf.DUMMYFUNCTION("""COMPUTED_VALUE"""),118231.9)</f>
        <v>118231.9</v>
      </c>
      <c r="C3236" s="58">
        <f t="shared" si="1"/>
        <v>6063.998611</v>
      </c>
      <c r="D3236" s="1">
        <f t="shared" si="2"/>
        <v>45194.16434</v>
      </c>
      <c r="E3236" s="1">
        <f t="shared" si="3"/>
        <v>81349.49582</v>
      </c>
      <c r="F3236" s="1">
        <f t="shared" si="4"/>
        <v>153660.1588</v>
      </c>
      <c r="G3236" s="1">
        <f t="shared" si="5"/>
        <v>271164.9861</v>
      </c>
      <c r="H3236" s="1">
        <f t="shared" si="6"/>
        <v>497135.8078</v>
      </c>
      <c r="I3236" s="1">
        <f t="shared" si="7"/>
        <v>813494.9582</v>
      </c>
    </row>
    <row r="3237" hidden="1">
      <c r="A3237" s="266">
        <f>IFERROR(__xludf.DUMMYFUNCTION("""COMPUTED_VALUE"""),45880.99861111111)</f>
        <v>45880.99861</v>
      </c>
      <c r="B3237" s="1">
        <f>IFERROR(__xludf.DUMMYFUNCTION("""COMPUTED_VALUE"""),121660.9)</f>
        <v>121660.9</v>
      </c>
      <c r="C3237" s="58">
        <f t="shared" si="1"/>
        <v>6064.998611</v>
      </c>
      <c r="D3237" s="1">
        <f t="shared" si="2"/>
        <v>45237.40807</v>
      </c>
      <c r="E3237" s="1">
        <f t="shared" si="3"/>
        <v>81427.33453</v>
      </c>
      <c r="F3237" s="1">
        <f t="shared" si="4"/>
        <v>153807.1875</v>
      </c>
      <c r="G3237" s="1">
        <f t="shared" si="5"/>
        <v>271424.4484</v>
      </c>
      <c r="H3237" s="1">
        <f t="shared" si="6"/>
        <v>497611.4888</v>
      </c>
      <c r="I3237" s="1">
        <f t="shared" si="7"/>
        <v>814273.3453</v>
      </c>
    </row>
    <row r="3238" hidden="1">
      <c r="A3238" s="266">
        <f>IFERROR(__xludf.DUMMYFUNCTION("""COMPUTED_VALUE"""),45881.99861111111)</f>
        <v>45881.99861</v>
      </c>
      <c r="B3238" s="1">
        <f>IFERROR(__xludf.DUMMYFUNCTION("""COMPUTED_VALUE"""),118849.0)</f>
        <v>118849</v>
      </c>
      <c r="C3238" s="58">
        <f t="shared" si="1"/>
        <v>6065.998611</v>
      </c>
      <c r="D3238" s="1">
        <f t="shared" si="2"/>
        <v>45280.68604</v>
      </c>
      <c r="E3238" s="1">
        <f t="shared" si="3"/>
        <v>81505.23487</v>
      </c>
      <c r="F3238" s="1">
        <f t="shared" si="4"/>
        <v>153954.3325</v>
      </c>
      <c r="G3238" s="1">
        <f t="shared" si="5"/>
        <v>271684.1162</v>
      </c>
      <c r="H3238" s="1">
        <f t="shared" si="6"/>
        <v>498087.5465</v>
      </c>
      <c r="I3238" s="1">
        <f t="shared" si="7"/>
        <v>815052.3487</v>
      </c>
    </row>
    <row r="3239" hidden="1">
      <c r="A3239" s="266">
        <f>IFERROR(__xludf.DUMMYFUNCTION("""COMPUTED_VALUE"""),45882.99861111111)</f>
        <v>45882.99861</v>
      </c>
      <c r="B3239" s="1">
        <f>IFERROR(__xludf.DUMMYFUNCTION("""COMPUTED_VALUE"""),119442.5)</f>
        <v>119442.5</v>
      </c>
      <c r="C3239" s="58">
        <f t="shared" si="1"/>
        <v>6066.998611</v>
      </c>
      <c r="D3239" s="1">
        <f t="shared" si="2"/>
        <v>45323.99827</v>
      </c>
      <c r="E3239" s="1">
        <f t="shared" si="3"/>
        <v>81583.19688</v>
      </c>
      <c r="F3239" s="1">
        <f t="shared" si="4"/>
        <v>154101.5941</v>
      </c>
      <c r="G3239" s="1">
        <f t="shared" si="5"/>
        <v>271943.9896</v>
      </c>
      <c r="H3239" s="1">
        <f t="shared" si="6"/>
        <v>498563.981</v>
      </c>
      <c r="I3239" s="1">
        <f t="shared" si="7"/>
        <v>815831.9688</v>
      </c>
    </row>
    <row r="3240" hidden="1">
      <c r="A3240" s="266">
        <f>IFERROR(__xludf.DUMMYFUNCTION("""COMPUTED_VALUE"""),45883.99861111111)</f>
        <v>45883.99861</v>
      </c>
      <c r="B3240" s="1">
        <f>IFERROR(__xludf.DUMMYFUNCTION("""COMPUTED_VALUE"""),123332.0)</f>
        <v>123332</v>
      </c>
      <c r="C3240" s="58">
        <f t="shared" si="1"/>
        <v>6067.998611</v>
      </c>
      <c r="D3240" s="1">
        <f t="shared" si="2"/>
        <v>45367.34478</v>
      </c>
      <c r="E3240" s="1">
        <f t="shared" si="3"/>
        <v>81661.2206</v>
      </c>
      <c r="F3240" s="1">
        <f t="shared" si="4"/>
        <v>154248.9722</v>
      </c>
      <c r="G3240" s="1">
        <f t="shared" si="5"/>
        <v>272204.0687</v>
      </c>
      <c r="H3240" s="1">
        <f t="shared" si="6"/>
        <v>499040.7925</v>
      </c>
      <c r="I3240" s="1">
        <f t="shared" si="7"/>
        <v>816612.206</v>
      </c>
    </row>
    <row r="3241">
      <c r="A3241" s="266">
        <f>IFERROR(__xludf.DUMMYFUNCTION("""COMPUTED_VALUE"""),45884.99861111111)</f>
        <v>45884.99861</v>
      </c>
      <c r="B3241" s="1">
        <f>IFERROR(__xludf.DUMMYFUNCTION("""COMPUTED_VALUE"""),119074.5)</f>
        <v>119074.5</v>
      </c>
      <c r="C3241" s="58">
        <f t="shared" si="1"/>
        <v>6068.998611</v>
      </c>
      <c r="D3241" s="1">
        <f t="shared" si="2"/>
        <v>45410.72559</v>
      </c>
      <c r="E3241" s="1">
        <f t="shared" si="3"/>
        <v>81739.30606</v>
      </c>
      <c r="F3241" s="1">
        <f t="shared" si="4"/>
        <v>154396.467</v>
      </c>
      <c r="G3241" s="1">
        <f t="shared" si="5"/>
        <v>272464.3535</v>
      </c>
      <c r="H3241" s="1">
        <f t="shared" si="6"/>
        <v>499517.9814</v>
      </c>
      <c r="I3241" s="1">
        <f t="shared" si="7"/>
        <v>817393.0606</v>
      </c>
    </row>
    <row r="3242">
      <c r="A3242" s="267">
        <f>IFERROR(__xludf.DUMMYFUNCTION("""COMPUTED_VALUE"""),45885.99861111111)</f>
        <v>45885.99861</v>
      </c>
      <c r="B3242" s="1">
        <f>IFERROR(__xludf.DUMMYFUNCTION("""COMPUTED_VALUE"""),117555.5)</f>
        <v>117555.5</v>
      </c>
    </row>
    <row r="3243">
      <c r="A3243" s="267">
        <f>IFERROR(__xludf.DUMMYFUNCTION("""COMPUTED_VALUE"""),45886.99861111111)</f>
        <v>45886.99861</v>
      </c>
      <c r="B3243" s="1">
        <f>IFERROR(__xludf.DUMMYFUNCTION("""COMPUTED_VALUE"""),117792.9)</f>
        <v>117792.9</v>
      </c>
    </row>
    <row r="3244">
      <c r="A3244" s="267">
        <f>IFERROR(__xludf.DUMMYFUNCTION("""COMPUTED_VALUE"""),45887.99861111111)</f>
        <v>45887.99861</v>
      </c>
      <c r="B3244" s="1">
        <f>IFERROR(__xludf.DUMMYFUNCTION("""COMPUTED_VALUE"""),115416.2)</f>
        <v>115416.2</v>
      </c>
    </row>
    <row r="3245">
      <c r="A3245" s="267">
        <f>IFERROR(__xludf.DUMMYFUNCTION("""COMPUTED_VALUE"""),45888.99861111111)</f>
        <v>45888.99861</v>
      </c>
      <c r="B3245" s="1">
        <f>IFERROR(__xludf.DUMMYFUNCTION("""COMPUTED_VALUE"""),114931.1)</f>
        <v>114931.1</v>
      </c>
    </row>
    <row r="3246">
      <c r="A3246" s="267">
        <f>IFERROR(__xludf.DUMMYFUNCTION("""COMPUTED_VALUE"""),45889.99861111111)</f>
        <v>45889.99861</v>
      </c>
      <c r="B3246" s="1">
        <f>IFERROR(__xludf.DUMMYFUNCTION("""COMPUTED_VALUE"""),113569.7)</f>
        <v>113569.7</v>
      </c>
    </row>
    <row r="3247">
      <c r="A3247" s="267">
        <f>IFERROR(__xludf.DUMMYFUNCTION("""COMPUTED_VALUE"""),45890.99861111111)</f>
        <v>45890.99861</v>
      </c>
      <c r="B3247" s="1">
        <f>IFERROR(__xludf.DUMMYFUNCTION("""COMPUTED_VALUE"""),114004.5)</f>
        <v>114004.5</v>
      </c>
    </row>
    <row r="3248">
      <c r="A3248" s="267">
        <f>IFERROR(__xludf.DUMMYFUNCTION("""COMPUTED_VALUE"""),45891.99861111111)</f>
        <v>45891.99861</v>
      </c>
      <c r="B3248" s="1">
        <f>IFERROR(__xludf.DUMMYFUNCTION("""COMPUTED_VALUE"""),112946.4)</f>
        <v>112946.4</v>
      </c>
    </row>
    <row r="3249">
      <c r="A3249" s="267">
        <f>IFERROR(__xludf.DUMMYFUNCTION("""COMPUTED_VALUE"""),45892.99861111111)</f>
        <v>45892.99861</v>
      </c>
      <c r="B3249" s="1">
        <f>IFERROR(__xludf.DUMMYFUNCTION("""COMPUTED_VALUE"""),115468.4)</f>
        <v>115468.4</v>
      </c>
    </row>
    <row r="3250">
      <c r="A3250" s="267">
        <f>IFERROR(__xludf.DUMMYFUNCTION("""COMPUTED_VALUE"""),45893.99861111111)</f>
        <v>45893.99861</v>
      </c>
      <c r="B3250" s="1">
        <f>IFERROR(__xludf.DUMMYFUNCTION("""COMPUTED_VALUE"""),114920.5)</f>
        <v>114920.5</v>
      </c>
    </row>
    <row r="3251">
      <c r="A3251" s="267">
        <f>IFERROR(__xludf.DUMMYFUNCTION("""COMPUTED_VALUE"""),45894.99861111111)</f>
        <v>45894.99861</v>
      </c>
      <c r="B3251" s="1">
        <f>IFERROR(__xludf.DUMMYFUNCTION("""COMPUTED_VALUE"""),113044.1)</f>
        <v>113044.1</v>
      </c>
    </row>
    <row r="3252">
      <c r="A3252" s="267">
        <f>IFERROR(__xludf.DUMMYFUNCTION("""COMPUTED_VALUE"""),45895.99861111111)</f>
        <v>45895.99861</v>
      </c>
      <c r="B3252" s="1">
        <f>IFERROR(__xludf.DUMMYFUNCTION("""COMPUTED_VALUE"""),109923.5)</f>
        <v>109923.5</v>
      </c>
    </row>
    <row r="3253">
      <c r="A3253" s="267">
        <f>IFERROR(__xludf.DUMMYFUNCTION("""COMPUTED_VALUE"""),45896.99861111111)</f>
        <v>45896.99861</v>
      </c>
      <c r="B3253" s="1">
        <f>IFERROR(__xludf.DUMMYFUNCTION("""COMPUTED_VALUE"""),111478.5)</f>
        <v>111478.5</v>
      </c>
    </row>
    <row r="3254">
      <c r="A3254" s="267">
        <f>IFERROR(__xludf.DUMMYFUNCTION("""COMPUTED_VALUE"""),45897.99861111111)</f>
        <v>45897.99861</v>
      </c>
      <c r="B3254" s="1">
        <f>IFERROR(__xludf.DUMMYFUNCTION("""COMPUTED_VALUE"""),112032.0)</f>
        <v>112032</v>
      </c>
    </row>
    <row r="3255">
      <c r="A3255" s="267">
        <f>IFERROR(__xludf.DUMMYFUNCTION("""COMPUTED_VALUE"""),45898.99861111111)</f>
        <v>45898.99861</v>
      </c>
      <c r="B3255" s="1">
        <f>IFERROR(__xludf.DUMMYFUNCTION("""COMPUTED_VALUE"""),111769.5)</f>
        <v>111769.5</v>
      </c>
    </row>
    <row r="3256">
      <c r="A3256" s="267">
        <f>IFERROR(__xludf.DUMMYFUNCTION("""COMPUTED_VALUE"""),45899.99861111111)</f>
        <v>45899.99861</v>
      </c>
      <c r="B3256" s="1">
        <f>IFERROR(__xludf.DUMMYFUNCTION("""COMPUTED_VALUE"""),108454.4)</f>
        <v>108454.4</v>
      </c>
    </row>
    <row r="3257">
      <c r="A3257" s="267">
        <f>IFERROR(__xludf.DUMMYFUNCTION("""COMPUTED_VALUE"""),45900.99861111111)</f>
        <v>45900.99861</v>
      </c>
      <c r="B3257" s="1">
        <f>IFERROR(__xludf.DUMMYFUNCTION("""COMPUTED_VALUE"""),109251.6)</f>
        <v>109251.6</v>
      </c>
    </row>
    <row r="3258">
      <c r="A3258" s="267">
        <f>IFERROR(__xludf.DUMMYFUNCTION("""COMPUTED_VALUE"""),45901.99861111111)</f>
        <v>45901.99861</v>
      </c>
      <c r="B3258" s="1">
        <f>IFERROR(__xludf.DUMMYFUNCTION("""COMPUTED_VALUE"""),107694.3)</f>
        <v>107694.3</v>
      </c>
    </row>
    <row r="3259">
      <c r="A3259" s="267">
        <f>IFERROR(__xludf.DUMMYFUNCTION("""COMPUTED_VALUE"""),45902.99861111111)</f>
        <v>45902.99861</v>
      </c>
      <c r="B3259" s="1">
        <f>IFERROR(__xludf.DUMMYFUNCTION("""COMPUTED_VALUE"""),110374.9)</f>
        <v>110374.9</v>
      </c>
    </row>
    <row r="3260">
      <c r="A3260" s="267">
        <f>IFERROR(__xludf.DUMMYFUNCTION("""COMPUTED_VALUE"""),45903.99861111111)</f>
        <v>45903.99861</v>
      </c>
      <c r="B3260" s="1">
        <f>IFERROR(__xludf.DUMMYFUNCTION("""COMPUTED_VALUE"""),111092.6)</f>
        <v>111092.6</v>
      </c>
    </row>
    <row r="3261">
      <c r="A3261" s="267">
        <f>IFERROR(__xludf.DUMMYFUNCTION("""COMPUTED_VALUE"""),45904.99861111111)</f>
        <v>45904.99861</v>
      </c>
      <c r="B3261" s="1">
        <f>IFERROR(__xludf.DUMMYFUNCTION("""COMPUTED_VALUE"""),111195.7)</f>
        <v>111195.7</v>
      </c>
    </row>
    <row r="3262">
      <c r="A3262" s="267">
        <f>IFERROR(__xludf.DUMMYFUNCTION("""COMPUTED_VALUE"""),45905.99861111111)</f>
        <v>45905.99861</v>
      </c>
      <c r="B3262" s="1">
        <f>IFERROR(__xludf.DUMMYFUNCTION("""COMPUTED_VALUE"""),111318.7)</f>
        <v>111318.7</v>
      </c>
    </row>
    <row r="3263">
      <c r="A3263" s="267">
        <f>IFERROR(__xludf.DUMMYFUNCTION("""COMPUTED_VALUE"""),45906.99861111111)</f>
        <v>45906.99861</v>
      </c>
      <c r="B3263" s="1">
        <f>IFERROR(__xludf.DUMMYFUNCTION("""COMPUTED_VALUE"""),111097.1)</f>
        <v>111097.1</v>
      </c>
    </row>
    <row r="3264">
      <c r="A3264" s="267">
        <f>IFERROR(__xludf.DUMMYFUNCTION("""COMPUTED_VALUE"""),45907.99861111111)</f>
        <v>45907.99861</v>
      </c>
      <c r="B3264" s="1">
        <f>IFERROR(__xludf.DUMMYFUNCTION("""COMPUTED_VALUE"""),110679.5)</f>
        <v>110679.5</v>
      </c>
    </row>
    <row r="3265">
      <c r="A3265" s="267">
        <f>IFERROR(__xludf.DUMMYFUNCTION("""COMPUTED_VALUE"""),45908.99861111111)</f>
        <v>45908.99861</v>
      </c>
      <c r="B3265" s="1">
        <f>IFERROR(__xludf.DUMMYFUNCTION("""COMPUTED_VALUE"""),111083.6)</f>
        <v>111083.6</v>
      </c>
    </row>
    <row r="3266">
      <c r="A3266" s="267">
        <f>IFERROR(__xludf.DUMMYFUNCTION("""COMPUTED_VALUE"""),45909.99861111111)</f>
        <v>45909.99861</v>
      </c>
      <c r="B3266" s="1">
        <f>IFERROR(__xludf.DUMMYFUNCTION("""COMPUTED_VALUE"""),111718.2)</f>
        <v>111718.2</v>
      </c>
    </row>
    <row r="3267">
      <c r="A3267" s="267">
        <f>IFERROR(__xludf.DUMMYFUNCTION("""COMPUTED_VALUE"""),45910.99861111111)</f>
        <v>45910.99861</v>
      </c>
      <c r="B3267" s="1">
        <f>IFERROR(__xludf.DUMMYFUNCTION("""COMPUTED_VALUE"""),111504.8)</f>
        <v>111504.8</v>
      </c>
    </row>
    <row r="3268">
      <c r="A3268" s="267">
        <f>IFERROR(__xludf.DUMMYFUNCTION("""COMPUTED_VALUE"""),45911.99861111111)</f>
        <v>45911.99861</v>
      </c>
      <c r="B3268" s="1">
        <f>IFERROR(__xludf.DUMMYFUNCTION("""COMPUTED_VALUE"""),114409.8)</f>
        <v>114409.8</v>
      </c>
    </row>
    <row r="3269">
      <c r="A3269" s="267">
        <f>IFERROR(__xludf.DUMMYFUNCTION("""COMPUTED_VALUE"""),45912.99861111111)</f>
        <v>45912.99861</v>
      </c>
      <c r="B3269" s="1">
        <f>IFERROR(__xludf.DUMMYFUNCTION("""COMPUTED_VALUE"""),115269.0)</f>
        <v>115269</v>
      </c>
    </row>
    <row r="3270">
      <c r="A3270" s="267">
        <f>IFERROR(__xludf.DUMMYFUNCTION("""COMPUTED_VALUE"""),45913.99861111111)</f>
        <v>45913.99861</v>
      </c>
      <c r="B3270" s="1">
        <f>IFERROR(__xludf.DUMMYFUNCTION("""COMPUTED_VALUE"""),115966.3)</f>
        <v>115966.3</v>
      </c>
    </row>
    <row r="3271">
      <c r="A3271" s="267">
        <f>IFERROR(__xludf.DUMMYFUNCTION("""COMPUTED_VALUE"""),45914.99861111111)</f>
        <v>45914.99861</v>
      </c>
      <c r="B3271" s="1">
        <f>IFERROR(__xludf.DUMMYFUNCTION("""COMPUTED_VALUE"""),115717.9)</f>
        <v>115717.9</v>
      </c>
    </row>
    <row r="3272">
      <c r="A3272" s="267">
        <f>IFERROR(__xludf.DUMMYFUNCTION("""COMPUTED_VALUE"""),45915.99861111111)</f>
        <v>45915.99861</v>
      </c>
      <c r="B3272" s="1">
        <f>IFERROR(__xludf.DUMMYFUNCTION("""COMPUTED_VALUE"""),115537.4)</f>
        <v>115537.4</v>
      </c>
    </row>
    <row r="3273">
      <c r="A3273" s="267">
        <f>IFERROR(__xludf.DUMMYFUNCTION("""COMPUTED_VALUE"""),45916.99861111111)</f>
        <v>45916.99861</v>
      </c>
      <c r="B3273" s="1">
        <f>IFERROR(__xludf.DUMMYFUNCTION("""COMPUTED_VALUE"""),115383.4)</f>
        <v>115383.4</v>
      </c>
    </row>
    <row r="3274">
      <c r="A3274" s="267">
        <f>IFERROR(__xludf.DUMMYFUNCTION("""COMPUTED_VALUE"""),45917.99861111111)</f>
        <v>45917.99861</v>
      </c>
      <c r="B3274" s="1">
        <f>IFERROR(__xludf.DUMMYFUNCTION("""COMPUTED_VALUE"""),116474.5)</f>
        <v>116474.5</v>
      </c>
    </row>
    <row r="3275">
      <c r="A3275" s="267">
        <f>IFERROR(__xludf.DUMMYFUNCTION("""COMPUTED_VALUE"""),45918.99861111111)</f>
        <v>45918.99861</v>
      </c>
      <c r="B3275" s="1">
        <f>IFERROR(__xludf.DUMMYFUNCTION("""COMPUTED_VALUE"""),117656.3)</f>
        <v>117656.3</v>
      </c>
    </row>
    <row r="3276">
      <c r="A3276" s="267">
        <f>IFERROR(__xludf.DUMMYFUNCTION("""COMPUTED_VALUE"""),45919.99861111111)</f>
        <v>45919.99861</v>
      </c>
      <c r="B3276" s="1">
        <f>IFERROR(__xludf.DUMMYFUNCTION("""COMPUTED_VALUE"""),117005.3)</f>
        <v>117005.3</v>
      </c>
    </row>
    <row r="3277">
      <c r="A3277" s="267">
        <f>IFERROR(__xludf.DUMMYFUNCTION("""COMPUTED_VALUE"""),45920.99861111111)</f>
        <v>45920.99861</v>
      </c>
      <c r="B3277" s="1">
        <f>IFERROR(__xludf.DUMMYFUNCTION("""COMPUTED_VALUE"""),115543.5)</f>
        <v>115543.5</v>
      </c>
    </row>
    <row r="3278">
      <c r="A3278" s="267">
        <f>IFERROR(__xludf.DUMMYFUNCTION("""COMPUTED_VALUE"""),45921.99861111111)</f>
        <v>45921.99861</v>
      </c>
      <c r="B3278" s="1">
        <f>IFERROR(__xludf.DUMMYFUNCTION("""COMPUTED_VALUE"""),115706.1)</f>
        <v>115706.1</v>
      </c>
    </row>
    <row r="3279">
      <c r="A3279" s="267">
        <f>IFERROR(__xludf.DUMMYFUNCTION("""COMPUTED_VALUE"""),45922.99861111111)</f>
        <v>45922.99861</v>
      </c>
      <c r="B3279" s="1">
        <f>IFERROR(__xludf.DUMMYFUNCTION("""COMPUTED_VALUE"""),114688.9)</f>
        <v>114688.9</v>
      </c>
    </row>
    <row r="3280">
      <c r="A3280" s="267">
        <f>IFERROR(__xludf.DUMMYFUNCTION("""COMPUTED_VALUE"""),45923.99861111111)</f>
        <v>45923.99861</v>
      </c>
      <c r="B3280" s="1">
        <f>IFERROR(__xludf.DUMMYFUNCTION("""COMPUTED_VALUE"""),112387.7)</f>
        <v>112387.7</v>
      </c>
    </row>
    <row r="3281">
      <c r="A3281" s="267">
        <f>IFERROR(__xludf.DUMMYFUNCTION("""COMPUTED_VALUE"""),45924.99861111111)</f>
        <v>45924.99861</v>
      </c>
      <c r="B3281" s="1">
        <f>IFERROR(__xludf.DUMMYFUNCTION("""COMPUTED_VALUE"""),111792.0)</f>
        <v>111792</v>
      </c>
    </row>
    <row r="3282">
      <c r="A3282" s="267">
        <f>IFERROR(__xludf.DUMMYFUNCTION("""COMPUTED_VALUE"""),45926.99861111111)</f>
        <v>45926.99861</v>
      </c>
      <c r="B3282" s="1">
        <f>IFERROR(__xludf.DUMMYFUNCTION("""COMPUTED_VALUE"""),109653.5)</f>
        <v>109653.5</v>
      </c>
    </row>
    <row r="3283">
      <c r="A3283" s="267">
        <f>IFERROR(__xludf.DUMMYFUNCTION("""COMPUTED_VALUE"""),45927.99861111111)</f>
        <v>45927.99861</v>
      </c>
      <c r="B3283" s="1">
        <f>IFERROR(__xludf.DUMMYFUNCTION("""COMPUTED_VALUE"""),109648.7)</f>
        <v>109648.7</v>
      </c>
    </row>
    <row r="3284">
      <c r="A3284" s="267">
        <f>IFERROR(__xludf.DUMMYFUNCTION("""COMPUTED_VALUE"""),45928.99861111111)</f>
        <v>45928.99861</v>
      </c>
      <c r="B3284" s="1">
        <f>IFERROR(__xludf.DUMMYFUNCTION("""COMPUTED_VALUE"""),109587.9)</f>
        <v>109587.9</v>
      </c>
    </row>
    <row r="3285">
      <c r="A3285" s="267">
        <f>IFERROR(__xludf.DUMMYFUNCTION("""COMPUTED_VALUE"""),45929.99861111111)</f>
        <v>45929.99861</v>
      </c>
      <c r="B3285" s="1">
        <f>IFERROR(__xludf.DUMMYFUNCTION("""COMPUTED_VALUE"""),111908.8)</f>
        <v>111908.8</v>
      </c>
    </row>
    <row r="3286">
      <c r="A3286" s="267">
        <f>IFERROR(__xludf.DUMMYFUNCTION("""COMPUTED_VALUE"""),45930.99861111111)</f>
        <v>45930.99861</v>
      </c>
      <c r="B3286" s="1">
        <f>IFERROR(__xludf.DUMMYFUNCTION("""COMPUTED_VALUE"""),114433.1)</f>
        <v>114433.1</v>
      </c>
    </row>
    <row r="3287">
      <c r="A3287" s="267">
        <f>IFERROR(__xludf.DUMMYFUNCTION("""COMPUTED_VALUE"""),45931.99861111111)</f>
        <v>45931.99861</v>
      </c>
      <c r="B3287" s="1">
        <f>IFERROR(__xludf.DUMMYFUNCTION("""COMPUTED_VALUE"""),114193.7)</f>
        <v>114193.7</v>
      </c>
    </row>
    <row r="3288">
      <c r="A3288" s="267">
        <f>IFERROR(__xludf.DUMMYFUNCTION("""COMPUTED_VALUE"""),45932.99861111111)</f>
        <v>45932.99861</v>
      </c>
      <c r="B3288" s="1">
        <f>IFERROR(__xludf.DUMMYFUNCTION("""COMPUTED_VALUE"""),118786.4)</f>
        <v>118786.4</v>
      </c>
    </row>
    <row r="3289">
      <c r="A3289" s="267">
        <f>IFERROR(__xludf.DUMMYFUNCTION("""COMPUTED_VALUE"""),45933.99861111111)</f>
        <v>45933.99861</v>
      </c>
      <c r="B3289" s="1">
        <f>IFERROR(__xludf.DUMMYFUNCTION("""COMPUTED_VALUE"""),120281.6)</f>
        <v>120281.6</v>
      </c>
    </row>
    <row r="3290">
      <c r="A3290" s="267">
        <f>IFERROR(__xludf.DUMMYFUNCTION("""COMPUTED_VALUE"""),45934.99861111111)</f>
        <v>45934.99861</v>
      </c>
      <c r="B3290" s="1">
        <f>IFERROR(__xludf.DUMMYFUNCTION("""COMPUTED_VALUE"""),122260.8)</f>
        <v>122260.8</v>
      </c>
    </row>
    <row r="3291">
      <c r="A3291" s="267">
        <f>IFERROR(__xludf.DUMMYFUNCTION("""COMPUTED_VALUE"""),45935.99861111111)</f>
        <v>45935.99861</v>
      </c>
      <c r="B3291" s="1">
        <f>IFERROR(__xludf.DUMMYFUNCTION("""COMPUTED_VALUE"""),123742.9)</f>
        <v>123742.9</v>
      </c>
    </row>
    <row r="3292">
      <c r="A3292" s="267">
        <f>IFERROR(__xludf.DUMMYFUNCTION("""COMPUTED_VALUE"""),45936.99861111111)</f>
        <v>45936.99861</v>
      </c>
      <c r="B3292" s="1">
        <f>IFERROR(__xludf.DUMMYFUNCTION("""COMPUTED_VALUE"""),123857.1)</f>
        <v>123857.1</v>
      </c>
    </row>
    <row r="3293">
      <c r="A3293" s="267">
        <f>IFERROR(__xludf.DUMMYFUNCTION("""COMPUTED_VALUE"""),45937.99861111111)</f>
        <v>45937.99861</v>
      </c>
      <c r="B3293" s="1">
        <f>IFERROR(__xludf.DUMMYFUNCTION("""COMPUTED_VALUE"""),124310.6)</f>
        <v>124310.6</v>
      </c>
    </row>
    <row r="3294">
      <c r="A3294" s="267">
        <f>IFERROR(__xludf.DUMMYFUNCTION("""COMPUTED_VALUE"""),45938.99861111111)</f>
        <v>45938.99861</v>
      </c>
      <c r="B3294" s="1">
        <f>IFERROR(__xludf.DUMMYFUNCTION("""COMPUTED_VALUE"""),121424.4)</f>
        <v>121424.4</v>
      </c>
    </row>
    <row r="3295">
      <c r="A3295" s="267">
        <f>IFERROR(__xludf.DUMMYFUNCTION("""COMPUTED_VALUE"""),45939.99861111111)</f>
        <v>45939.99861</v>
      </c>
      <c r="B3295" s="1">
        <f>IFERROR(__xludf.DUMMYFUNCTION("""COMPUTED_VALUE"""),122059.6)</f>
        <v>122059.6</v>
      </c>
    </row>
    <row r="3296">
      <c r="A3296" s="267">
        <f>IFERROR(__xludf.DUMMYFUNCTION("""COMPUTED_VALUE"""),45940.99861111111)</f>
        <v>45940.99861</v>
      </c>
      <c r="B3296" s="1">
        <f>IFERROR(__xludf.DUMMYFUNCTION("""COMPUTED_VALUE"""),121146.0)</f>
        <v>121146</v>
      </c>
    </row>
    <row r="3297">
      <c r="A3297" s="267">
        <f>IFERROR(__xludf.DUMMYFUNCTION("""COMPUTED_VALUE"""),45941.99861111111)</f>
        <v>45941.99861</v>
      </c>
      <c r="B3297" s="1">
        <f>IFERROR(__xludf.DUMMYFUNCTION("""COMPUTED_VALUE"""),112580.3)</f>
        <v>112580.3</v>
      </c>
    </row>
    <row r="3298">
      <c r="A3298" s="267">
        <f>IFERROR(__xludf.DUMMYFUNCTION("""COMPUTED_VALUE"""),45942.99861111111)</f>
        <v>45942.99861</v>
      </c>
      <c r="B3298" s="1">
        <f>IFERROR(__xludf.DUMMYFUNCTION("""COMPUTED_VALUE"""),111039.5)</f>
        <v>111039.5</v>
      </c>
    </row>
    <row r="3299">
      <c r="A3299" s="267">
        <f>IFERROR(__xludf.DUMMYFUNCTION("""COMPUTED_VALUE"""),45943.99861111111)</f>
        <v>45943.99861</v>
      </c>
      <c r="B3299" s="1">
        <f>IFERROR(__xludf.DUMMYFUNCTION("""COMPUTED_VALUE"""),114934.2)</f>
        <v>114934.2</v>
      </c>
    </row>
    <row r="3300">
      <c r="A3300" s="267">
        <f>IFERROR(__xludf.DUMMYFUNCTION("""COMPUTED_VALUE"""),45944.99861111111)</f>
        <v>45944.99861</v>
      </c>
      <c r="B3300" s="1">
        <f>IFERROR(__xludf.DUMMYFUNCTION("""COMPUTED_VALUE"""),113612.7)</f>
        <v>113612.7</v>
      </c>
    </row>
    <row r="3301">
      <c r="A3301" s="267">
        <f>IFERROR(__xludf.DUMMYFUNCTION("""COMPUTED_VALUE"""),45945.99861111111)</f>
        <v>45945.99861</v>
      </c>
      <c r="B3301" s="1">
        <f>IFERROR(__xludf.DUMMYFUNCTION("""COMPUTED_VALUE"""),112138.6)</f>
        <v>112138.6</v>
      </c>
    </row>
    <row r="3302">
      <c r="A3302" s="267">
        <f>IFERROR(__xludf.DUMMYFUNCTION("""COMPUTED_VALUE"""),45946.99861111111)</f>
        <v>45946.99861</v>
      </c>
      <c r="B3302" s="1">
        <f>IFERROR(__xludf.DUMMYFUNCTION("""COMPUTED_VALUE"""),111449.5)</f>
        <v>111449.5</v>
      </c>
    </row>
    <row r="3303">
      <c r="A3303" s="267">
        <f>IFERROR(__xludf.DUMMYFUNCTION("""COMPUTED_VALUE"""),45947.99861111111)</f>
        <v>45947.99861</v>
      </c>
      <c r="B3303" s="1">
        <f>IFERROR(__xludf.DUMMYFUNCTION("""COMPUTED_VALUE"""),109176.5)</f>
        <v>109176.5</v>
      </c>
    </row>
    <row r="3304">
      <c r="A3304" s="267">
        <f>IFERROR(__xludf.DUMMYFUNCTION("""COMPUTED_VALUE"""),45948.99861111111)</f>
        <v>45948.99861</v>
      </c>
      <c r="B3304" s="1">
        <f>IFERROR(__xludf.DUMMYFUNCTION("""COMPUTED_VALUE"""),107158.5)</f>
        <v>107158.5</v>
      </c>
    </row>
    <row r="3305">
      <c r="A3305" s="267">
        <f>IFERROR(__xludf.DUMMYFUNCTION("""COMPUTED_VALUE"""),45949.99861111111)</f>
        <v>45949.99861</v>
      </c>
      <c r="B3305" s="1">
        <f>IFERROR(__xludf.DUMMYFUNCTION("""COMPUTED_VALUE"""),107365.6)</f>
        <v>107365.6</v>
      </c>
    </row>
    <row r="3306">
      <c r="A3306" s="267">
        <f>IFERROR(__xludf.DUMMYFUNCTION("""COMPUTED_VALUE"""),45950.99861111111)</f>
        <v>45950.99861</v>
      </c>
      <c r="B3306" s="1">
        <f>IFERROR(__xludf.DUMMYFUNCTION("""COMPUTED_VALUE"""),110245.1)</f>
        <v>110245.1</v>
      </c>
    </row>
    <row r="3307">
      <c r="A3307" s="267">
        <f>IFERROR(__xludf.DUMMYFUNCTION("""COMPUTED_VALUE"""),45951.99861111111)</f>
        <v>45951.99861</v>
      </c>
      <c r="B3307" s="1">
        <f>IFERROR(__xludf.DUMMYFUNCTION("""COMPUTED_VALUE"""),109157.9)</f>
        <v>109157.9</v>
      </c>
    </row>
    <row r="3308">
      <c r="A3308" s="267">
        <f>IFERROR(__xludf.DUMMYFUNCTION("""COMPUTED_VALUE"""),45952.99861111111)</f>
        <v>45952.99861</v>
      </c>
      <c r="B3308" s="1">
        <f>IFERROR(__xludf.DUMMYFUNCTION("""COMPUTED_VALUE"""),108213.7)</f>
        <v>108213.7</v>
      </c>
    </row>
    <row r="3309">
      <c r="A3309" s="267">
        <f>IFERROR(__xludf.DUMMYFUNCTION("""COMPUTED_VALUE"""),45953.99861111111)</f>
        <v>45953.99861</v>
      </c>
      <c r="B3309" s="1">
        <f>IFERROR(__xludf.DUMMYFUNCTION("""COMPUTED_VALUE"""),108418.6)</f>
        <v>108418.6</v>
      </c>
    </row>
    <row r="3310">
      <c r="A3310" s="267">
        <f>IFERROR(__xludf.DUMMYFUNCTION("""COMPUTED_VALUE"""),45954.99861111111)</f>
        <v>45954.99861</v>
      </c>
      <c r="B3310" s="1">
        <f>IFERROR(__xludf.DUMMYFUNCTION("""COMPUTED_VALUE"""),110466.5)</f>
        <v>110466.5</v>
      </c>
    </row>
    <row r="3311">
      <c r="A3311" s="267">
        <f>IFERROR(__xludf.DUMMYFUNCTION("""COMPUTED_VALUE"""),45955.99861111111)</f>
        <v>45955.99861</v>
      </c>
      <c r="B3311" s="1">
        <f>IFERROR(__xludf.DUMMYFUNCTION("""COMPUTED_VALUE"""),111077.3)</f>
        <v>111077.3</v>
      </c>
    </row>
    <row r="3312">
      <c r="A3312" s="267">
        <f>IFERROR(__xludf.DUMMYFUNCTION("""COMPUTED_VALUE"""),45956.99861111111)</f>
        <v>45956.99861</v>
      </c>
      <c r="B3312" s="1">
        <f>IFERROR(__xludf.DUMMYFUNCTION("""COMPUTED_VALUE"""),111284.2)</f>
        <v>111284.2</v>
      </c>
    </row>
    <row r="3313">
      <c r="A3313" s="267">
        <f>IFERROR(__xludf.DUMMYFUNCTION("""COMPUTED_VALUE"""),45957.99861111111)</f>
        <v>45957.99861</v>
      </c>
      <c r="B3313" s="1">
        <f>IFERROR(__xludf.DUMMYFUNCTION("""COMPUTED_VALUE"""),114960.8)</f>
        <v>114960.8</v>
      </c>
    </row>
    <row r="3314">
      <c r="A3314" s="267">
        <f>IFERROR(__xludf.DUMMYFUNCTION("""COMPUTED_VALUE"""),45958.99861111111)</f>
        <v>45958.99861</v>
      </c>
      <c r="B3314" s="1">
        <f>IFERROR(__xludf.DUMMYFUNCTION("""COMPUTED_VALUE"""),113911.0)</f>
        <v>113911</v>
      </c>
    </row>
    <row r="3315">
      <c r="A3315" s="267">
        <f>IFERROR(__xludf.DUMMYFUNCTION("""COMPUTED_VALUE"""),45959.99861111111)</f>
        <v>45959.99861</v>
      </c>
      <c r="B3315" s="1">
        <f>IFERROR(__xludf.DUMMYFUNCTION("""COMPUTED_VALUE"""),112562.7)</f>
        <v>112562.7</v>
      </c>
    </row>
    <row r="3316">
      <c r="A3316" s="267">
        <f>IFERROR(__xludf.DUMMYFUNCTION("""COMPUTED_VALUE"""),45960.99861111111)</f>
        <v>45960.99861</v>
      </c>
      <c r="B3316" s="1">
        <f>IFERROR(__xludf.DUMMYFUNCTION("""COMPUTED_VALUE"""),110670.7)</f>
        <v>110670.7</v>
      </c>
    </row>
    <row r="3317">
      <c r="A3317" s="267">
        <f>IFERROR(__xludf.DUMMYFUNCTION("""COMPUTED_VALUE"""),45961.99861111111)</f>
        <v>45961.99861</v>
      </c>
      <c r="B3317" s="1">
        <f>IFERROR(__xludf.DUMMYFUNCTION("""COMPUTED_VALUE"""),109243.2)</f>
        <v>109243.2</v>
      </c>
    </row>
    <row r="3318">
      <c r="A3318" s="267">
        <f>IFERROR(__xludf.DUMMYFUNCTION("""COMPUTED_VALUE"""),45962.99861111111)</f>
        <v>45962.99861</v>
      </c>
      <c r="B3318" s="1">
        <f>IFERROR(__xludf.DUMMYFUNCTION("""COMPUTED_VALUE"""),110267.2)</f>
        <v>110267.2</v>
      </c>
    </row>
    <row r="3319">
      <c r="A3319" s="267">
        <f>IFERROR(__xludf.DUMMYFUNCTION("""COMPUTED_VALUE"""),45963.99861111111)</f>
        <v>45963.99861</v>
      </c>
      <c r="B3319" s="1">
        <f>IFERROR(__xludf.DUMMYFUNCTION("""COMPUTED_VALUE"""),110087.4)</f>
        <v>110087.4</v>
      </c>
    </row>
    <row r="3320">
      <c r="A3320" s="267">
        <f>IFERROR(__xludf.DUMMYFUNCTION("""COMPUTED_VALUE"""),45964.99861111111)</f>
        <v>45964.99861</v>
      </c>
      <c r="B3320" s="1">
        <f>IFERROR(__xludf.DUMMYFUNCTION("""COMPUTED_VALUE"""),107870.7)</f>
        <v>107870.7</v>
      </c>
    </row>
    <row r="3321">
      <c r="A3321" s="267">
        <f>IFERROR(__xludf.DUMMYFUNCTION("""COMPUTED_VALUE"""),45965.99861111111)</f>
        <v>45965.99861</v>
      </c>
      <c r="B3321" s="1">
        <f>IFERROR(__xludf.DUMMYFUNCTION("""COMPUTED_VALUE"""),106774.8)</f>
        <v>106774.8</v>
      </c>
    </row>
    <row r="3322">
      <c r="A3322" s="267">
        <f>IFERROR(__xludf.DUMMYFUNCTION("""COMPUTED_VALUE"""),45966.99861111111)</f>
        <v>45966.99861</v>
      </c>
      <c r="B3322" s="1">
        <f>IFERROR(__xludf.DUMMYFUNCTION("""COMPUTED_VALUE"""),101937.4)</f>
        <v>101937.4</v>
      </c>
    </row>
    <row r="3323">
      <c r="A3323" s="267">
        <f>IFERROR(__xludf.DUMMYFUNCTION("""COMPUTED_VALUE"""),45967.99861111111)</f>
        <v>45967.99861</v>
      </c>
      <c r="B3323" s="1">
        <f>IFERROR(__xludf.DUMMYFUNCTION("""COMPUTED_VALUE"""),103976.1)</f>
        <v>103976.1</v>
      </c>
    </row>
    <row r="3324">
      <c r="A3324" s="267">
        <f>IFERROR(__xludf.DUMMYFUNCTION("""COMPUTED_VALUE"""),45968.99861111111)</f>
        <v>45968.99861</v>
      </c>
      <c r="B3324" s="1">
        <f>IFERROR(__xludf.DUMMYFUNCTION("""COMPUTED_VALUE"""),101913.8)</f>
        <v>101913.8</v>
      </c>
    </row>
    <row r="3325">
      <c r="A3325" s="267">
        <f>IFERROR(__xludf.DUMMYFUNCTION("""COMPUTED_VALUE"""),45969.99861111111)</f>
        <v>45969.99861</v>
      </c>
      <c r="B3325" s="1">
        <f>IFERROR(__xludf.DUMMYFUNCTION("""COMPUTED_VALUE"""),102535.7)</f>
        <v>102535.7</v>
      </c>
    </row>
    <row r="3326">
      <c r="A3326" s="267">
        <f>IFERROR(__xludf.DUMMYFUNCTION("""COMPUTED_VALUE"""),45970.99861111111)</f>
        <v>45970.99861</v>
      </c>
      <c r="B3326" s="1">
        <f>IFERROR(__xludf.DUMMYFUNCTION("""COMPUTED_VALUE"""),101740.2)</f>
        <v>101740.2</v>
      </c>
    </row>
    <row r="3327">
      <c r="A3327" s="267">
        <f>IFERROR(__xludf.DUMMYFUNCTION("""COMPUTED_VALUE"""),45971.99861111111)</f>
        <v>45971.99861</v>
      </c>
      <c r="B3327" s="1">
        <f>IFERROR(__xludf.DUMMYFUNCTION("""COMPUTED_VALUE"""),106164.8)</f>
        <v>106164.8</v>
      </c>
    </row>
    <row r="3328">
      <c r="A3328" s="267">
        <f>IFERROR(__xludf.DUMMYFUNCTION("""COMPUTED_VALUE"""),45972.99861111111)</f>
        <v>45972.99861</v>
      </c>
      <c r="B3328" s="1">
        <f>IFERROR(__xludf.DUMMYFUNCTION("""COMPUTED_VALUE"""),105733.0)</f>
        <v>105733</v>
      </c>
    </row>
    <row r="3329">
      <c r="A3329" s="267">
        <f>IFERROR(__xludf.DUMMYFUNCTION("""COMPUTED_VALUE"""),45973.99861111111)</f>
        <v>45973.99861</v>
      </c>
      <c r="B3329" s="1">
        <f>IFERROR(__xludf.DUMMYFUNCTION("""COMPUTED_VALUE"""),103227.0)</f>
        <v>103227</v>
      </c>
    </row>
    <row r="3330">
      <c r="A3330" s="267">
        <f>IFERROR(__xludf.DUMMYFUNCTION("""COMPUTED_VALUE"""),45974.99861111111)</f>
        <v>45974.99861</v>
      </c>
      <c r="B3330" s="1">
        <f>IFERROR(__xludf.DUMMYFUNCTION("""COMPUTED_VALUE"""),102177.3)</f>
        <v>102177.3</v>
      </c>
    </row>
    <row r="3331">
      <c r="A3331" s="267">
        <f>IFERROR(__xludf.DUMMYFUNCTION("""COMPUTED_VALUE"""),45975.99861111111)</f>
        <v>45975.99861</v>
      </c>
      <c r="B3331" s="1">
        <f>IFERROR(__xludf.DUMMYFUNCTION("""COMPUTED_VALUE"""),97826.84)</f>
        <v>97826.84</v>
      </c>
    </row>
    <row r="3332">
      <c r="A3332" s="267">
        <f>IFERROR(__xludf.DUMMYFUNCTION("""COMPUTED_VALUE"""),45976.99861111111)</f>
        <v>45976.99861</v>
      </c>
      <c r="B3332" s="1">
        <f>IFERROR(__xludf.DUMMYFUNCTION("""COMPUTED_VALUE"""),96129.48)</f>
        <v>96129.48</v>
      </c>
    </row>
    <row r="3333">
      <c r="A3333" s="267">
        <f>IFERROR(__xludf.DUMMYFUNCTION("""COMPUTED_VALUE"""),45977.99861111111)</f>
        <v>45977.99861</v>
      </c>
      <c r="B3333" s="1">
        <f>IFERROR(__xludf.DUMMYFUNCTION("""COMPUTED_VALUE"""),95801.09)</f>
        <v>95801.09</v>
      </c>
    </row>
    <row r="3334">
      <c r="A3334" s="267">
        <f>IFERROR(__xludf.DUMMYFUNCTION("""COMPUTED_VALUE"""),45978.99861111111)</f>
        <v>45978.99861</v>
      </c>
      <c r="B3334" s="1">
        <f>IFERROR(__xludf.DUMMYFUNCTION("""COMPUTED_VALUE"""),95168.88)</f>
        <v>95168.88</v>
      </c>
    </row>
    <row r="3335">
      <c r="A3335" s="267">
        <f>IFERROR(__xludf.DUMMYFUNCTION("""COMPUTED_VALUE"""),45979.99861111111)</f>
        <v>45979.99861</v>
      </c>
      <c r="B3335" s="1">
        <f>IFERROR(__xludf.DUMMYFUNCTION("""COMPUTED_VALUE"""),90089.49)</f>
        <v>90089.49</v>
      </c>
    </row>
    <row r="3336">
      <c r="A3336" s="267">
        <f>IFERROR(__xludf.DUMMYFUNCTION("""COMPUTED_VALUE"""),45980.99861111111)</f>
        <v>45980.99861</v>
      </c>
      <c r="B3336" s="1">
        <f>IFERROR(__xludf.DUMMYFUNCTION("""COMPUTED_VALUE"""),91386.52)</f>
        <v>91386.52</v>
      </c>
    </row>
    <row r="3337">
      <c r="A3337" s="267">
        <f>IFERROR(__xludf.DUMMYFUNCTION("""COMPUTED_VALUE"""),45981.99861111111)</f>
        <v>45981.99861</v>
      </c>
      <c r="B3337" s="1">
        <f>IFERROR(__xludf.DUMMYFUNCTION("""COMPUTED_VALUE"""),92760.46)</f>
        <v>92760.46</v>
      </c>
    </row>
    <row r="3338">
      <c r="A3338" s="267">
        <f>IFERROR(__xludf.DUMMYFUNCTION("""COMPUTED_VALUE"""),45982.99861111111)</f>
        <v>45982.99861</v>
      </c>
      <c r="B3338" s="1">
        <f>IFERROR(__xludf.DUMMYFUNCTION("""COMPUTED_VALUE"""),85973.09)</f>
        <v>85973.09</v>
      </c>
    </row>
    <row r="3339">
      <c r="A3339" s="267">
        <f>IFERROR(__xludf.DUMMYFUNCTION("""COMPUTED_VALUE"""),45983.99861111111)</f>
        <v>45983.99861</v>
      </c>
      <c r="B3339" s="1">
        <f>IFERROR(__xludf.DUMMYFUNCTION("""COMPUTED_VALUE"""),84209.42)</f>
        <v>84209.42</v>
      </c>
    </row>
    <row r="3340">
      <c r="A3340" s="267">
        <f>IFERROR(__xludf.DUMMYFUNCTION("""COMPUTED_VALUE"""),45984.99861111111)</f>
        <v>45984.99861</v>
      </c>
      <c r="B3340" s="1">
        <f>IFERROR(__xludf.DUMMYFUNCTION("""COMPUTED_VALUE"""),86540.84)</f>
        <v>86540.84</v>
      </c>
    </row>
    <row r="3341">
      <c r="A3341" s="267">
        <f>IFERROR(__xludf.DUMMYFUNCTION("""COMPUTED_VALUE"""),45985.99861111111)</f>
        <v>45985.99861</v>
      </c>
      <c r="B3341" s="1">
        <f>IFERROR(__xludf.DUMMYFUNCTION("""COMPUTED_VALUE"""),86719.09)</f>
        <v>86719.09</v>
      </c>
    </row>
    <row r="3342">
      <c r="A3342" s="267">
        <f>IFERROR(__xludf.DUMMYFUNCTION("""COMPUTED_VALUE"""),45986.99861111111)</f>
        <v>45986.99861</v>
      </c>
      <c r="B3342" s="1">
        <f>IFERROR(__xludf.DUMMYFUNCTION("""COMPUTED_VALUE"""),88321.3)</f>
        <v>88321.3</v>
      </c>
    </row>
    <row r="3343">
      <c r="A3343" s="267">
        <f>IFERROR(__xludf.DUMMYFUNCTION("""COMPUTED_VALUE"""),45987.99861111111)</f>
        <v>45987.99861</v>
      </c>
      <c r="B3343" s="1">
        <f>IFERROR(__xludf.DUMMYFUNCTION("""COMPUTED_VALUE"""),87244.85)</f>
        <v>87244.85</v>
      </c>
    </row>
    <row r="3344">
      <c r="A3344" s="267">
        <f>IFERROR(__xludf.DUMMYFUNCTION("""COMPUTED_VALUE"""),45988.99861111111)</f>
        <v>45988.99861</v>
      </c>
      <c r="B3344" s="1">
        <f>IFERROR(__xludf.DUMMYFUNCTION("""COMPUTED_VALUE"""),91284.55)</f>
        <v>91284.55</v>
      </c>
    </row>
    <row r="3345">
      <c r="A3345" s="267">
        <f>IFERROR(__xludf.DUMMYFUNCTION("""COMPUTED_VALUE"""),45989.99861111111)</f>
        <v>45989.99861</v>
      </c>
      <c r="B3345" s="1">
        <f>IFERROR(__xludf.DUMMYFUNCTION("""COMPUTED_VALUE"""),91452.75)</f>
        <v>91452.75</v>
      </c>
    </row>
    <row r="3346">
      <c r="A3346" s="267">
        <f>IFERROR(__xludf.DUMMYFUNCTION("""COMPUTED_VALUE"""),45990.99861111111)</f>
        <v>45990.99861</v>
      </c>
      <c r="B3346" s="1">
        <f>IFERROR(__xludf.DUMMYFUNCTION("""COMPUTED_VALUE"""),90869.59)</f>
        <v>90869.59</v>
      </c>
    </row>
    <row r="3347">
      <c r="A3347" s="267">
        <f>IFERROR(__xludf.DUMMYFUNCTION("""COMPUTED_VALUE"""),45991.99861111111)</f>
        <v>45991.99861</v>
      </c>
      <c r="B3347" s="1">
        <f>IFERROR(__xludf.DUMMYFUNCTION("""COMPUTED_VALUE"""),90899.38)</f>
        <v>90899.38</v>
      </c>
    </row>
    <row r="3348">
      <c r="A3348" s="267">
        <f>IFERROR(__xludf.DUMMYFUNCTION("""COMPUTED_VALUE"""),45992.99861111111)</f>
        <v>45992.99861</v>
      </c>
      <c r="B3348" s="1">
        <f>IFERROR(__xludf.DUMMYFUNCTION("""COMPUTED_VALUE"""),85807.97)</f>
        <v>85807.97</v>
      </c>
    </row>
    <row r="3349">
      <c r="A3349" s="267">
        <f>IFERROR(__xludf.DUMMYFUNCTION("""COMPUTED_VALUE"""),45993.99861111111)</f>
        <v>45993.99861</v>
      </c>
      <c r="B3349" s="1">
        <f>IFERROR(__xludf.DUMMYFUNCTION("""COMPUTED_VALUE"""),86966.17)</f>
        <v>86966.17</v>
      </c>
    </row>
    <row r="3350">
      <c r="A3350" s="267">
        <f>IFERROR(__xludf.DUMMYFUNCTION("""COMPUTED_VALUE"""),45994.99861111111)</f>
        <v>45994.99861</v>
      </c>
      <c r="B3350" s="1">
        <f>IFERROR(__xludf.DUMMYFUNCTION("""COMPUTED_VALUE"""),93258.06)</f>
        <v>93258.06</v>
      </c>
    </row>
    <row r="3351">
      <c r="A3351" s="267">
        <f>IFERROR(__xludf.DUMMYFUNCTION("""COMPUTED_VALUE"""),45995.99861111111)</f>
        <v>45995.99861</v>
      </c>
      <c r="B3351" s="1">
        <f>IFERROR(__xludf.DUMMYFUNCTION("""COMPUTED_VALUE"""),93346.89)</f>
        <v>93346.89</v>
      </c>
    </row>
    <row r="3352">
      <c r="A3352" s="267">
        <f>IFERROR(__xludf.DUMMYFUNCTION("""COMPUTED_VALUE"""),45996.99861111111)</f>
        <v>45996.99861</v>
      </c>
      <c r="B3352" s="1">
        <f>IFERROR(__xludf.DUMMYFUNCTION("""COMPUTED_VALUE"""),92027.11)</f>
        <v>92027.11</v>
      </c>
    </row>
    <row r="3353">
      <c r="A3353" s="267">
        <f>IFERROR(__xludf.DUMMYFUNCTION("""COMPUTED_VALUE"""),45997.99861111111)</f>
        <v>45997.99861</v>
      </c>
      <c r="B3353" s="1">
        <f>IFERROR(__xludf.DUMMYFUNCTION("""COMPUTED_VALUE"""),89708.7)</f>
        <v>89708.7</v>
      </c>
    </row>
    <row r="3354">
      <c r="A3354" s="267">
        <f>IFERROR(__xludf.DUMMYFUNCTION("""COMPUTED_VALUE"""),45998.99861111111)</f>
        <v>45998.99861</v>
      </c>
      <c r="B3354" s="1">
        <f>IFERROR(__xludf.DUMMYFUNCTION("""COMPUTED_VALUE"""),89579.54)</f>
        <v>89579.54</v>
      </c>
    </row>
    <row r="3355">
      <c r="A3355" s="267">
        <f>IFERROR(__xludf.DUMMYFUNCTION("""COMPUTED_VALUE"""),45999.99861111111)</f>
        <v>45999.99861</v>
      </c>
      <c r="B3355" s="1">
        <f>IFERROR(__xludf.DUMMYFUNCTION("""COMPUTED_VALUE"""),91282.38)</f>
        <v>91282.38</v>
      </c>
    </row>
    <row r="3356">
      <c r="A3356" s="267">
        <f>IFERROR(__xludf.DUMMYFUNCTION("""COMPUTED_VALUE"""),46000.99861111111)</f>
        <v>46000.99861</v>
      </c>
      <c r="B3356" s="1">
        <f>IFERROR(__xludf.DUMMYFUNCTION("""COMPUTED_VALUE"""),89955.87)</f>
        <v>89955.87</v>
      </c>
    </row>
    <row r="3357">
      <c r="A3357" s="267">
        <f>IFERROR(__xludf.DUMMYFUNCTION("""COMPUTED_VALUE"""),46001.99861111111)</f>
        <v>46001.99861</v>
      </c>
      <c r="B3357" s="1">
        <f>IFERROR(__xludf.DUMMYFUNCTION("""COMPUTED_VALUE"""),92571.52)</f>
        <v>92571.52</v>
      </c>
    </row>
    <row r="3358">
      <c r="A3358" s="267">
        <f>IFERROR(__xludf.DUMMYFUNCTION("""COMPUTED_VALUE"""),46002.99861111111)</f>
        <v>46002.99861</v>
      </c>
      <c r="B3358" s="1">
        <f>IFERROR(__xludf.DUMMYFUNCTION("""COMPUTED_VALUE"""),90467.98)</f>
        <v>90467.98</v>
      </c>
    </row>
    <row r="3359">
      <c r="A3359" s="267">
        <f>IFERROR(__xludf.DUMMYFUNCTION("""COMPUTED_VALUE"""),46003.99861111111)</f>
        <v>46003.99861</v>
      </c>
      <c r="B3359" s="1">
        <f>IFERROR(__xludf.DUMMYFUNCTION("""COMPUTED_VALUE"""),92399.02)</f>
        <v>92399.02</v>
      </c>
    </row>
    <row r="3360">
      <c r="A3360" s="267">
        <f>IFERROR(__xludf.DUMMYFUNCTION("""COMPUTED_VALUE"""),46004.99861111111)</f>
        <v>46004.99861</v>
      </c>
      <c r="B3360" s="1">
        <f>IFERROR(__xludf.DUMMYFUNCTION("""COMPUTED_VALUE"""),90401.97)</f>
        <v>90401.97</v>
      </c>
    </row>
    <row r="3361">
      <c r="A3361" s="267">
        <f>IFERROR(__xludf.DUMMYFUNCTION("""COMPUTED_VALUE"""),46005.99861111111)</f>
        <v>46005.99861</v>
      </c>
      <c r="B3361" s="1">
        <f>IFERROR(__xludf.DUMMYFUNCTION("""COMPUTED_VALUE"""),90207.59)</f>
        <v>90207.59</v>
      </c>
    </row>
    <row r="3362">
      <c r="A3362" s="267">
        <f>IFERROR(__xludf.DUMMYFUNCTION("""COMPUTED_VALUE"""),46006.99861111111)</f>
        <v>46006.99861</v>
      </c>
      <c r="B3362" s="1">
        <f>IFERROR(__xludf.DUMMYFUNCTION("""COMPUTED_VALUE"""),89679.57)</f>
        <v>89679.57</v>
      </c>
    </row>
    <row r="3363">
      <c r="A3363" s="267">
        <f>IFERROR(__xludf.DUMMYFUNCTION("""COMPUTED_VALUE"""),46007.99861111111)</f>
        <v>46007.99861</v>
      </c>
      <c r="B3363" s="1">
        <f>IFERROR(__xludf.DUMMYFUNCTION("""COMPUTED_VALUE"""),85827.9)</f>
        <v>85827.9</v>
      </c>
    </row>
    <row r="3364">
      <c r="A3364" s="267">
        <f>IFERROR(__xludf.DUMMYFUNCTION("""COMPUTED_VALUE"""),46008.99861111111)</f>
        <v>46008.99861</v>
      </c>
      <c r="B3364" s="1">
        <f>IFERROR(__xludf.DUMMYFUNCTION("""COMPUTED_VALUE"""),86794.84)</f>
        <v>86794.84</v>
      </c>
    </row>
    <row r="3365">
      <c r="A3365" s="267">
        <f>IFERROR(__xludf.DUMMYFUNCTION("""COMPUTED_VALUE"""),46009.99861111111)</f>
        <v>46009.99861</v>
      </c>
      <c r="B3365" s="1">
        <f>IFERROR(__xludf.DUMMYFUNCTION("""COMPUTED_VALUE"""),86757.41)</f>
        <v>86757.41</v>
      </c>
    </row>
    <row r="3366">
      <c r="A3366" s="267">
        <f>IFERROR(__xludf.DUMMYFUNCTION("""COMPUTED_VALUE"""),46010.99861111111)</f>
        <v>46010.99861</v>
      </c>
      <c r="B3366" s="1">
        <f>IFERROR(__xludf.DUMMYFUNCTION("""COMPUTED_VALUE"""),87073.13)</f>
        <v>87073.13</v>
      </c>
    </row>
    <row r="3367">
      <c r="A3367" s="267">
        <f>IFERROR(__xludf.DUMMYFUNCTION("""COMPUTED_VALUE"""),46011.99861111111)</f>
        <v>46011.99861</v>
      </c>
      <c r="B3367" s="1">
        <f>IFERROR(__xludf.DUMMYFUNCTION("""COMPUTED_VALUE"""),88252.01)</f>
        <v>88252.01</v>
      </c>
    </row>
    <row r="3368">
      <c r="A3368" s="267">
        <f>IFERROR(__xludf.DUMMYFUNCTION("""COMPUTED_VALUE"""),46012.99861111111)</f>
        <v>46012.99861</v>
      </c>
      <c r="B3368" s="1">
        <f>IFERROR(__xludf.DUMMYFUNCTION("""COMPUTED_VALUE"""),88081.58)</f>
        <v>88081.58</v>
      </c>
    </row>
    <row r="3369">
      <c r="A3369" s="267">
        <f>IFERROR(__xludf.DUMMYFUNCTION("""COMPUTED_VALUE"""),46013.99861111111)</f>
        <v>46013.99861</v>
      </c>
      <c r="B3369" s="1">
        <f>IFERROR(__xludf.DUMMYFUNCTION("""COMPUTED_VALUE"""),88877.88)</f>
        <v>88877.88</v>
      </c>
    </row>
    <row r="3370">
      <c r="A3370" s="267">
        <f>IFERROR(__xludf.DUMMYFUNCTION("""COMPUTED_VALUE"""),46014.99861111111)</f>
        <v>46014.99861</v>
      </c>
      <c r="B3370" s="1">
        <f>IFERROR(__xludf.DUMMYFUNCTION("""COMPUTED_VALUE"""),87973.69)</f>
        <v>87973.69</v>
      </c>
    </row>
    <row r="3371">
      <c r="A3371" s="267">
        <f>IFERROR(__xludf.DUMMYFUNCTION("""COMPUTED_VALUE"""),46015.99861111111)</f>
        <v>46015.99861</v>
      </c>
      <c r="B3371" s="1">
        <f>IFERROR(__xludf.DUMMYFUNCTION("""COMPUTED_VALUE"""),87095.54)</f>
        <v>87095.54</v>
      </c>
    </row>
    <row r="3372">
      <c r="A3372" s="267">
        <f>IFERROR(__xludf.DUMMYFUNCTION("""COMPUTED_VALUE"""),46016.99861111111)</f>
        <v>46016.99861</v>
      </c>
      <c r="B3372" s="1">
        <f>IFERROR(__xludf.DUMMYFUNCTION("""COMPUTED_VALUE"""),87768.72)</f>
        <v>87768.72</v>
      </c>
    </row>
    <row r="3373">
      <c r="A3373" s="267">
        <f>IFERROR(__xludf.DUMMYFUNCTION("""COMPUTED_VALUE"""),46017.99861111111)</f>
        <v>46017.99861</v>
      </c>
      <c r="B3373" s="1">
        <f>IFERROR(__xludf.DUMMYFUNCTION("""COMPUTED_VALUE"""),88915.34)</f>
        <v>88915.34</v>
      </c>
    </row>
    <row r="3374">
      <c r="A3374" s="267">
        <f>IFERROR(__xludf.DUMMYFUNCTION("""COMPUTED_VALUE"""),46018.99861111111)</f>
        <v>46018.99861</v>
      </c>
      <c r="B3374" s="1">
        <f>IFERROR(__xludf.DUMMYFUNCTION("""COMPUTED_VALUE"""),87459.36)</f>
        <v>87459.36</v>
      </c>
    </row>
    <row r="3375">
      <c r="A3375" s="267">
        <f>IFERROR(__xludf.DUMMYFUNCTION("""COMPUTED_VALUE"""),46019.99861111111)</f>
        <v>46019.99861</v>
      </c>
      <c r="B3375" s="1">
        <f>IFERROR(__xludf.DUMMYFUNCTION("""COMPUTED_VALUE"""),87687.36)</f>
        <v>87687.36</v>
      </c>
    </row>
    <row r="3376">
      <c r="A3376" s="267">
        <f>IFERROR(__xludf.DUMMYFUNCTION("""COMPUTED_VALUE"""),46020.99861111111)</f>
        <v>46020.99861</v>
      </c>
      <c r="B3376" s="1">
        <f>IFERROR(__xludf.DUMMYFUNCTION("""COMPUTED_VALUE"""),90085.48)</f>
        <v>90085.48</v>
      </c>
    </row>
    <row r="3377">
      <c r="A3377" s="267">
        <f>IFERROR(__xludf.DUMMYFUNCTION("""COMPUTED_VALUE"""),46021.99861111111)</f>
        <v>46021.99861</v>
      </c>
      <c r="B3377" s="1">
        <f>IFERROR(__xludf.DUMMYFUNCTION("""COMPUTED_VALUE"""),87222.09)</f>
        <v>87222.09</v>
      </c>
    </row>
    <row r="3378">
      <c r="A3378" s="267">
        <f>IFERROR(__xludf.DUMMYFUNCTION("""COMPUTED_VALUE"""),46022.99861111111)</f>
        <v>46022.99861</v>
      </c>
      <c r="B3378" s="1">
        <f>IFERROR(__xludf.DUMMYFUNCTION("""COMPUTED_VALUE"""),88262.84)</f>
        <v>88262.84</v>
      </c>
    </row>
    <row r="3379">
      <c r="A3379" s="267">
        <f>IFERROR(__xludf.DUMMYFUNCTION("""COMPUTED_VALUE"""),46023.99861111111)</f>
        <v>46023.99861</v>
      </c>
      <c r="B3379" s="1">
        <f>IFERROR(__xludf.DUMMYFUNCTION("""COMPUTED_VALUE"""),87412.91)</f>
        <v>87412.91</v>
      </c>
    </row>
    <row r="3380">
      <c r="A3380" s="267">
        <f>IFERROR(__xludf.DUMMYFUNCTION("""COMPUTED_VALUE"""),46024.99861111111)</f>
        <v>46024.99861</v>
      </c>
      <c r="B3380" s="1">
        <f>IFERROR(__xludf.DUMMYFUNCTION("""COMPUTED_VALUE"""),88546.95)</f>
        <v>88546.95</v>
      </c>
    </row>
    <row r="3381">
      <c r="A3381" s="267">
        <f>IFERROR(__xludf.DUMMYFUNCTION("""COMPUTED_VALUE"""),46025.99861111111)</f>
        <v>46025.99861</v>
      </c>
      <c r="B3381" s="1">
        <f>IFERROR(__xludf.DUMMYFUNCTION("""COMPUTED_VALUE"""),90135.61)</f>
        <v>90135.61</v>
      </c>
    </row>
    <row r="3382">
      <c r="A3382" s="267">
        <f>IFERROR(__xludf.DUMMYFUNCTION("""COMPUTED_VALUE"""),46026.99861111111)</f>
        <v>46026.99861</v>
      </c>
      <c r="B3382" s="1">
        <f>IFERROR(__xludf.DUMMYFUNCTION("""COMPUTED_VALUE"""),91374.73)</f>
        <v>91374.73</v>
      </c>
    </row>
    <row r="3383">
      <c r="A3383" s="267">
        <f>IFERROR(__xludf.DUMMYFUNCTION("""COMPUTED_VALUE"""),46027.99861111111)</f>
        <v>46027.99861</v>
      </c>
      <c r="B3383" s="1">
        <f>IFERROR(__xludf.DUMMYFUNCTION("""COMPUTED_VALUE"""),92558.38)</f>
        <v>92558.38</v>
      </c>
    </row>
    <row r="3384">
      <c r="A3384" s="267">
        <f>IFERROR(__xludf.DUMMYFUNCTION("""COMPUTED_VALUE"""),46028.99861111111)</f>
        <v>46028.99861</v>
      </c>
      <c r="B3384" s="1">
        <f>IFERROR(__xludf.DUMMYFUNCTION("""COMPUTED_VALUE"""),93811.61)</f>
        <v>93811.61</v>
      </c>
    </row>
    <row r="3385">
      <c r="A3385" s="267">
        <f>IFERROR(__xludf.DUMMYFUNCTION("""COMPUTED_VALUE"""),46029.99861111111)</f>
        <v>46029.99861</v>
      </c>
      <c r="B3385" s="1">
        <f>IFERROR(__xludf.DUMMYFUNCTION("""COMPUTED_VALUE"""),92624.93)</f>
        <v>92624.93</v>
      </c>
    </row>
    <row r="3386">
      <c r="A3386" s="267">
        <f>IFERROR(__xludf.DUMMYFUNCTION("""COMPUTED_VALUE"""),46030.99861111111)</f>
        <v>46030.99861</v>
      </c>
      <c r="B3386" s="1">
        <f>IFERROR(__xludf.DUMMYFUNCTION("""COMPUTED_VALUE"""),90943.31)</f>
        <v>90943.31</v>
      </c>
    </row>
    <row r="3387">
      <c r="A3387" s="267">
        <f>IFERROR(__xludf.DUMMYFUNCTION("""COMPUTED_VALUE"""),46031.99861111111)</f>
        <v>46031.99861</v>
      </c>
      <c r="B3387" s="1">
        <f>IFERROR(__xludf.DUMMYFUNCTION("""COMPUTED_VALUE"""),90943.1)</f>
        <v>90943.1</v>
      </c>
    </row>
    <row r="3388">
      <c r="A3388" s="267">
        <f>IFERROR(__xludf.DUMMYFUNCTION("""COMPUTED_VALUE"""),46032.99861111111)</f>
        <v>46032.99861</v>
      </c>
      <c r="B3388" s="1">
        <f>IFERROR(__xludf.DUMMYFUNCTION("""COMPUTED_VALUE"""),90363.65)</f>
        <v>90363.65</v>
      </c>
    </row>
    <row r="3389">
      <c r="A3389" s="267">
        <f>IFERROR(__xludf.DUMMYFUNCTION("""COMPUTED_VALUE"""),46033.99861111111)</f>
        <v>46033.99861</v>
      </c>
      <c r="B3389" s="1">
        <f>IFERROR(__xludf.DUMMYFUNCTION("""COMPUTED_VALUE"""),90709.49)</f>
        <v>90709.49</v>
      </c>
    </row>
    <row r="3390">
      <c r="A3390" s="267">
        <f>IFERROR(__xludf.DUMMYFUNCTION("""COMPUTED_VALUE"""),46034.99861111111)</f>
        <v>46034.99861</v>
      </c>
      <c r="B3390" s="1">
        <f>IFERROR(__xludf.DUMMYFUNCTION("""COMPUTED_VALUE"""),92059.3)</f>
        <v>92059.3</v>
      </c>
    </row>
    <row r="3391">
      <c r="A3391" s="267">
        <f>IFERROR(__xludf.DUMMYFUNCTION("""COMPUTED_VALUE"""),46035.99861111111)</f>
        <v>46035.99861</v>
      </c>
      <c r="B3391" s="1">
        <f>IFERROR(__xludf.DUMMYFUNCTION("""COMPUTED_VALUE"""),91418.2)</f>
        <v>91418.2</v>
      </c>
    </row>
    <row r="3392">
      <c r="A3392" s="267">
        <f>IFERROR(__xludf.DUMMYFUNCTION("""COMPUTED_VALUE"""),46036.99861111111)</f>
        <v>46036.99861</v>
      </c>
      <c r="B3392" s="1">
        <f>IFERROR(__xludf.DUMMYFUNCTION("""COMPUTED_VALUE"""),95200.37)</f>
        <v>95200.37</v>
      </c>
    </row>
    <row r="3393">
      <c r="A3393" s="267">
        <f>IFERROR(__xludf.DUMMYFUNCTION("""COMPUTED_VALUE"""),46037.99861111111)</f>
        <v>46037.99861</v>
      </c>
      <c r="B3393" s="1">
        <f>IFERROR(__xludf.DUMMYFUNCTION("""COMPUTED_VALUE"""),96151.22)</f>
        <v>96151.22</v>
      </c>
    </row>
    <row r="3394">
      <c r="A3394" s="267">
        <f>IFERROR(__xludf.DUMMYFUNCTION("""COMPUTED_VALUE"""),46038.99861111111)</f>
        <v>46038.99861</v>
      </c>
      <c r="B3394" s="1">
        <f>IFERROR(__xludf.DUMMYFUNCTION("""COMPUTED_VALUE"""),95175.93)</f>
        <v>95175.93</v>
      </c>
    </row>
    <row r="3395">
      <c r="A3395" s="267">
        <f>IFERROR(__xludf.DUMMYFUNCTION("""COMPUTED_VALUE"""),46039.99861111111)</f>
        <v>46039.99861</v>
      </c>
      <c r="B3395" s="1">
        <f>IFERROR(__xludf.DUMMYFUNCTION("""COMPUTED_VALUE"""),95310.19)</f>
        <v>95310.19</v>
      </c>
    </row>
    <row r="3396">
      <c r="A3396" s="267">
        <f>IFERROR(__xludf.DUMMYFUNCTION("""COMPUTED_VALUE"""),46040.99861111111)</f>
        <v>46040.99861</v>
      </c>
      <c r="B3396" s="1">
        <f>IFERROR(__xludf.DUMMYFUNCTION("""COMPUTED_VALUE"""),95063.91)</f>
        <v>95063.91</v>
      </c>
    </row>
    <row r="3397">
      <c r="A3397" s="267">
        <f>IFERROR(__xludf.DUMMYFUNCTION("""COMPUTED_VALUE"""),46041.99861111111)</f>
        <v>46041.99861</v>
      </c>
      <c r="B3397" s="1">
        <f>IFERROR(__xludf.DUMMYFUNCTION("""COMPUTED_VALUE"""),92683.0)</f>
        <v>92683</v>
      </c>
    </row>
    <row r="3398">
      <c r="A3398" s="267">
        <f>IFERROR(__xludf.DUMMYFUNCTION("""COMPUTED_VALUE"""),46042.99861111111)</f>
        <v>46042.99861</v>
      </c>
      <c r="B3398" s="1">
        <f>IFERROR(__xludf.DUMMYFUNCTION("""COMPUTED_VALUE"""),92019.8)</f>
        <v>92019.8</v>
      </c>
    </row>
    <row r="3399">
      <c r="A3399" s="267">
        <f>IFERROR(__xludf.DUMMYFUNCTION("""COMPUTED_VALUE"""),46043.99861111111)</f>
        <v>46043.99861</v>
      </c>
      <c r="B3399" s="1">
        <f>IFERROR(__xludf.DUMMYFUNCTION("""COMPUTED_VALUE"""),89371.68)</f>
        <v>89371.68</v>
      </c>
    </row>
    <row r="3400">
      <c r="A3400" s="267">
        <f>IFERROR(__xludf.DUMMYFUNCTION("""COMPUTED_VALUE"""),46044.99861111111)</f>
        <v>46044.99861</v>
      </c>
      <c r="B3400" s="1">
        <f>IFERROR(__xludf.DUMMYFUNCTION("""COMPUTED_VALUE"""),89965.64)</f>
        <v>89965.64</v>
      </c>
    </row>
    <row r="3401">
      <c r="A3401" s="267">
        <f>IFERROR(__xludf.DUMMYFUNCTION("""COMPUTED_VALUE"""),46045.99861111111)</f>
        <v>46045.99861</v>
      </c>
      <c r="B3401" s="1">
        <f>IFERROR(__xludf.DUMMYFUNCTION("""COMPUTED_VALUE"""),89911.09)</f>
        <v>89911.09</v>
      </c>
    </row>
    <row r="3402">
      <c r="A3402" s="267">
        <f>IFERROR(__xludf.DUMMYFUNCTION("""COMPUTED_VALUE"""),46046.99861111111)</f>
        <v>46046.99861</v>
      </c>
      <c r="B3402" s="1">
        <f>IFERROR(__xludf.DUMMYFUNCTION("""COMPUTED_VALUE"""),89764.01)</f>
        <v>89764.01</v>
      </c>
    </row>
    <row r="3403">
      <c r="A3403" s="267">
        <f>IFERROR(__xludf.DUMMYFUNCTION("""COMPUTED_VALUE"""),46047.99861111111)</f>
        <v>46047.99861</v>
      </c>
      <c r="B3403" s="1">
        <f>IFERROR(__xludf.DUMMYFUNCTION("""COMPUTED_VALUE"""),88937.02)</f>
        <v>88937.02</v>
      </c>
    </row>
    <row r="3404">
      <c r="A3404" s="267">
        <f>IFERROR(__xludf.DUMMYFUNCTION("""COMPUTED_VALUE"""),46048.99861111111)</f>
        <v>46048.99861</v>
      </c>
      <c r="B3404" s="1">
        <f>IFERROR(__xludf.DUMMYFUNCTION("""COMPUTED_VALUE"""),87654.15)</f>
        <v>87654.15</v>
      </c>
    </row>
    <row r="3405">
      <c r="A3405" s="267">
        <f>IFERROR(__xludf.DUMMYFUNCTION("""COMPUTED_VALUE"""),46049.99861111111)</f>
        <v>46049.99861</v>
      </c>
      <c r="B3405" s="1">
        <f>IFERROR(__xludf.DUMMYFUNCTION("""COMPUTED_VALUE"""),88536.09)</f>
        <v>88536.09</v>
      </c>
    </row>
    <row r="3406">
      <c r="A3406" s="267">
        <f>IFERROR(__xludf.DUMMYFUNCTION("""COMPUTED_VALUE"""),46050.99861111111)</f>
        <v>46050.99861</v>
      </c>
      <c r="B3406" s="1">
        <f>IFERROR(__xludf.DUMMYFUNCTION("""COMPUTED_VALUE"""),88897.0)</f>
        <v>88897</v>
      </c>
    </row>
    <row r="3407">
      <c r="A3407" s="267">
        <f>IFERROR(__xludf.DUMMYFUNCTION("""COMPUTED_VALUE"""),46051.99861111111)</f>
        <v>46051.99861</v>
      </c>
      <c r="B3407" s="1">
        <f>IFERROR(__xludf.DUMMYFUNCTION("""COMPUTED_VALUE"""),88228.84)</f>
        <v>88228.84</v>
      </c>
    </row>
    <row r="3408">
      <c r="A3408" s="267">
        <f>IFERROR(__xludf.DUMMYFUNCTION("""COMPUTED_VALUE"""),46052.99861111111)</f>
        <v>46052.99861</v>
      </c>
      <c r="B3408" s="1">
        <f>IFERROR(__xludf.DUMMYFUNCTION("""COMPUTED_VALUE"""),82837.99)</f>
        <v>82837.99</v>
      </c>
    </row>
    <row r="3409">
      <c r="A3409" s="267">
        <f>IFERROR(__xludf.DUMMYFUNCTION("""COMPUTED_VALUE"""),46053.99861111111)</f>
        <v>46053.99861</v>
      </c>
      <c r="B3409" s="1">
        <f>IFERROR(__xludf.DUMMYFUNCTION("""COMPUTED_VALUE"""),83894.56)</f>
        <v>83894.56</v>
      </c>
    </row>
    <row r="3410">
      <c r="A3410" s="267">
        <f>IFERROR(__xludf.DUMMYFUNCTION("""COMPUTED_VALUE"""),46054.99861111111)</f>
        <v>46054.99861</v>
      </c>
      <c r="B3410" s="1">
        <f>IFERROR(__xludf.DUMMYFUNCTION("""COMPUTED_VALUE"""),79017.39)</f>
        <v>79017.39</v>
      </c>
    </row>
    <row r="3411">
      <c r="A3411" s="267">
        <f>IFERROR(__xludf.DUMMYFUNCTION("""COMPUTED_VALUE"""),46055.99861111111)</f>
        <v>46055.99861</v>
      </c>
      <c r="B3411" s="1">
        <f>IFERROR(__xludf.DUMMYFUNCTION("""COMPUTED_VALUE"""),75874.71)</f>
        <v>75874.71</v>
      </c>
    </row>
    <row r="3412">
      <c r="A3412" s="267">
        <f>IFERROR(__xludf.DUMMYFUNCTION("""COMPUTED_VALUE"""),46056.99861111111)</f>
        <v>46056.99861</v>
      </c>
      <c r="B3412" s="1">
        <f>IFERROR(__xludf.DUMMYFUNCTION("""COMPUTED_VALUE"""),78766.83)</f>
        <v>78766.83</v>
      </c>
    </row>
    <row r="3413">
      <c r="A3413" s="267">
        <f>IFERROR(__xludf.DUMMYFUNCTION("""COMPUTED_VALUE"""),46057.99861111111)</f>
        <v>46057.99861</v>
      </c>
      <c r="B3413" s="1">
        <f>IFERROR(__xludf.DUMMYFUNCTION("""COMPUTED_VALUE"""),76405.83)</f>
        <v>76405.83</v>
      </c>
    </row>
    <row r="3414">
      <c r="A3414" s="267">
        <f>IFERROR(__xludf.DUMMYFUNCTION("""COMPUTED_VALUE"""),46058.99861111111)</f>
        <v>46058.99861</v>
      </c>
      <c r="B3414" s="1">
        <f>IFERROR(__xludf.DUMMYFUNCTION("""COMPUTED_VALUE"""),70770.99)</f>
        <v>70770.99</v>
      </c>
    </row>
    <row r="3415">
      <c r="A3415" s="267">
        <f>IFERROR(__xludf.DUMMYFUNCTION("""COMPUTED_VALUE"""),46059.99861111111)</f>
        <v>46059.99861</v>
      </c>
      <c r="B3415" s="1">
        <f>IFERROR(__xludf.DUMMYFUNCTION("""COMPUTED_VALUE"""),64856.11)</f>
        <v>64856.11</v>
      </c>
    </row>
    <row r="3416">
      <c r="A3416" s="267">
        <f>IFERROR(__xludf.DUMMYFUNCTION("""COMPUTED_VALUE"""),46060.99861111111)</f>
        <v>46060.99861</v>
      </c>
      <c r="B3416" s="1">
        <f>IFERROR(__xludf.DUMMYFUNCTION("""COMPUTED_VALUE"""),70748.48)</f>
        <v>70748.48</v>
      </c>
    </row>
    <row r="3417">
      <c r="A3417" s="267">
        <f>IFERROR(__xludf.DUMMYFUNCTION("""COMPUTED_VALUE"""),46061.99861111111)</f>
        <v>46061.99861</v>
      </c>
      <c r="B3417" s="1">
        <f>IFERROR(__xludf.DUMMYFUNCTION("""COMPUTED_VALUE"""),69290.04)</f>
        <v>69290.04</v>
      </c>
    </row>
    <row r="3418">
      <c r="A3418" s="267">
        <f>IFERROR(__xludf.DUMMYFUNCTION("""COMPUTED_VALUE"""),46062.99861111111)</f>
        <v>46062.99861</v>
      </c>
      <c r="B3418" s="1">
        <f>IFERROR(__xludf.DUMMYFUNCTION("""COMPUTED_VALUE"""),71006.41)</f>
        <v>71006.41</v>
      </c>
    </row>
    <row r="3419">
      <c r="A3419" s="267">
        <f>IFERROR(__xludf.DUMMYFUNCTION("""COMPUTED_VALUE"""),46063.99861111111)</f>
        <v>46063.99861</v>
      </c>
      <c r="B3419" s="1">
        <f>IFERROR(__xludf.DUMMYFUNCTION("""COMPUTED_VALUE"""),69832.38)</f>
        <v>69832.38</v>
      </c>
    </row>
    <row r="3420">
      <c r="A3420" s="267">
        <f>IFERROR(__xludf.DUMMYFUNCTION("""COMPUTED_VALUE"""),46064.99861111111)</f>
        <v>46064.99861</v>
      </c>
      <c r="B3420" s="1">
        <f>IFERROR(__xludf.DUMMYFUNCTION("""COMPUTED_VALUE"""),67542.55)</f>
        <v>67542.55</v>
      </c>
    </row>
    <row r="3421">
      <c r="A3421" s="267">
        <f>IFERROR(__xludf.DUMMYFUNCTION("""COMPUTED_VALUE"""),46065.99861111111)</f>
        <v>46065.99861</v>
      </c>
      <c r="B3421" s="1">
        <f>IFERROR(__xludf.DUMMYFUNCTION("""COMPUTED_VALUE"""),67033.27)</f>
        <v>67033.27</v>
      </c>
    </row>
    <row r="3422">
      <c r="A3422" s="267">
        <f>IFERROR(__xludf.DUMMYFUNCTION("""COMPUTED_VALUE"""),46066.99861111111)</f>
        <v>46066.99861</v>
      </c>
      <c r="B3422" s="1">
        <f>IFERROR(__xludf.DUMMYFUNCTION("""COMPUTED_VALUE"""),66371.5)</f>
        <v>66371.5</v>
      </c>
    </row>
    <row r="3423">
      <c r="A3423" s="267">
        <f>IFERROR(__xludf.DUMMYFUNCTION("""COMPUTED_VALUE"""),46067.99861111111)</f>
        <v>46067.99861</v>
      </c>
      <c r="B3423" s="1">
        <f>IFERROR(__xludf.DUMMYFUNCTION("""COMPUTED_VALUE"""),68814.16)</f>
        <v>68814.16</v>
      </c>
    </row>
    <row r="3424">
      <c r="A3424" s="267">
        <f>IFERROR(__xludf.DUMMYFUNCTION("""COMPUTED_VALUE"""),46068.99861111111)</f>
        <v>46068.99861</v>
      </c>
      <c r="B3424" s="1">
        <f>IFERROR(__xludf.DUMMYFUNCTION("""COMPUTED_VALUE"""),70184.87)</f>
        <v>70184.87</v>
      </c>
    </row>
    <row r="3425">
      <c r="A3425" s="267">
        <f>IFERROR(__xludf.DUMMYFUNCTION("""COMPUTED_VALUE"""),46069.99861111111)</f>
        <v>46069.99861</v>
      </c>
      <c r="B3425" s="1">
        <f>IFERROR(__xludf.DUMMYFUNCTION("""COMPUTED_VALUE"""),68865.44)</f>
        <v>68865.44</v>
      </c>
    </row>
    <row r="3426">
      <c r="A3426" s="267">
        <f>IFERROR(__xludf.DUMMYFUNCTION("""COMPUTED_VALUE"""),46070.99861111111)</f>
        <v>46070.99861</v>
      </c>
      <c r="B3426" s="1">
        <f>IFERROR(__xludf.DUMMYFUNCTION("""COMPUTED_VALUE"""),68441.63)</f>
        <v>68441.63</v>
      </c>
    </row>
    <row r="3427">
      <c r="A3427" s="267">
        <f>IFERROR(__xludf.DUMMYFUNCTION("""COMPUTED_VALUE"""),46071.99861111111)</f>
        <v>46071.99861</v>
      </c>
      <c r="B3427" s="1">
        <f>IFERROR(__xludf.DUMMYFUNCTION("""COMPUTED_VALUE"""),67804.04)</f>
        <v>67804.04</v>
      </c>
    </row>
    <row r="3428">
      <c r="A3428" s="267">
        <f>IFERROR(__xludf.DUMMYFUNCTION("""COMPUTED_VALUE"""),46072.99861111111)</f>
        <v>46072.99861</v>
      </c>
      <c r="B3428" s="1">
        <f>IFERROR(__xludf.DUMMYFUNCTION("""COMPUTED_VALUE"""),66838.42)</f>
        <v>66838.42</v>
      </c>
    </row>
    <row r="3429">
      <c r="A3429" s="267">
        <f>IFERROR(__xludf.DUMMYFUNCTION("""COMPUTED_VALUE"""),46073.99861111111)</f>
        <v>46073.99861</v>
      </c>
      <c r="B3429" s="1">
        <f>IFERROR(__xludf.DUMMYFUNCTION("""COMPUTED_VALUE"""),67278.25)</f>
        <v>67278.25</v>
      </c>
    </row>
    <row r="3430">
      <c r="A3430" s="267">
        <f>IFERROR(__xludf.DUMMYFUNCTION("""COMPUTED_VALUE"""),46074.99861111111)</f>
        <v>46074.99861</v>
      </c>
      <c r="B3430" s="1">
        <f>IFERROR(__xludf.DUMMYFUNCTION("""COMPUTED_VALUE"""),67823.55)</f>
        <v>67823.55</v>
      </c>
    </row>
    <row r="3431">
      <c r="A3431" s="267">
        <f>IFERROR(__xludf.DUMMYFUNCTION("""COMPUTED_VALUE"""),46075.99861111111)</f>
        <v>46075.99861</v>
      </c>
      <c r="B3431" s="1">
        <f>IFERROR(__xludf.DUMMYFUNCTION("""COMPUTED_VALUE"""),67988.04)</f>
        <v>67988.04</v>
      </c>
    </row>
    <row r="3432">
      <c r="A3432" s="267">
        <f>IFERROR(__xludf.DUMMYFUNCTION("""COMPUTED_VALUE"""),46076.99861111111)</f>
        <v>46076.99861</v>
      </c>
      <c r="B3432" s="1">
        <f>IFERROR(__xludf.DUMMYFUNCTION("""COMPUTED_VALUE"""),64845.25)</f>
        <v>64845.25</v>
      </c>
    </row>
    <row r="3433">
      <c r="A3433" s="267">
        <f>IFERROR(__xludf.DUMMYFUNCTION("""COMPUTED_VALUE"""),46077.99861111111)</f>
        <v>46077.99861</v>
      </c>
      <c r="B3433" s="1">
        <f>IFERROR(__xludf.DUMMYFUNCTION("""COMPUTED_VALUE"""),63326.75)</f>
        <v>63326.75</v>
      </c>
    </row>
    <row r="3434">
      <c r="A3434" s="267">
        <f>IFERROR(__xludf.DUMMYFUNCTION("""COMPUTED_VALUE"""),46078.99861111111)</f>
        <v>46078.99861</v>
      </c>
      <c r="B3434" s="1">
        <f>IFERROR(__xludf.DUMMYFUNCTION("""COMPUTED_VALUE"""),65449.49)</f>
        <v>65449.49</v>
      </c>
    </row>
    <row r="3435">
      <c r="A3435" s="267">
        <f>IFERROR(__xludf.DUMMYFUNCTION("""COMPUTED_VALUE"""),46079.99861111111)</f>
        <v>46079.99861</v>
      </c>
      <c r="B3435" s="1">
        <f>IFERROR(__xludf.DUMMYFUNCTION("""COMPUTED_VALUE"""),68623.96)</f>
        <v>68623.96</v>
      </c>
    </row>
    <row r="3436">
      <c r="A3436" s="267">
        <f>IFERROR(__xludf.DUMMYFUNCTION("""COMPUTED_VALUE"""),46080.99861111111)</f>
        <v>46080.99861</v>
      </c>
      <c r="B3436" s="1">
        <f>IFERROR(__xludf.DUMMYFUNCTION("""COMPUTED_VALUE"""),67762.96)</f>
        <v>67762.96</v>
      </c>
    </row>
    <row r="3437">
      <c r="A3437" s="267">
        <f>IFERROR(__xludf.DUMMYFUNCTION("""COMPUTED_VALUE"""),46081.99861111111)</f>
        <v>46081.99861</v>
      </c>
      <c r="B3437" s="1">
        <f>IFERROR(__xludf.DUMMYFUNCTION("""COMPUTED_VALUE"""),65696.42)</f>
        <v>65696.42</v>
      </c>
    </row>
    <row r="3438">
      <c r="A3438" s="267">
        <f>IFERROR(__xludf.DUMMYFUNCTION("""COMPUTED_VALUE"""),46082.99861111111)</f>
        <v>46082.99861</v>
      </c>
      <c r="B3438" s="1">
        <f>IFERROR(__xludf.DUMMYFUNCTION("""COMPUTED_VALUE"""),67356.82)</f>
        <v>67356.82</v>
      </c>
    </row>
    <row r="3439">
      <c r="A3439" s="267">
        <f>IFERROR(__xludf.DUMMYFUNCTION("""COMPUTED_VALUE"""),46083.99861111111)</f>
        <v>46083.99861</v>
      </c>
      <c r="B3439" s="1">
        <f>IFERROR(__xludf.DUMMYFUNCTION("""COMPUTED_VALUE"""),66798.54)</f>
        <v>66798.54</v>
      </c>
    </row>
    <row r="3440">
      <c r="A3440" s="267">
        <f>IFERROR(__xludf.DUMMYFUNCTION("""COMPUTED_VALUE"""),46084.99861111111)</f>
        <v>46084.99861</v>
      </c>
      <c r="B3440" s="1">
        <f>IFERROR(__xludf.DUMMYFUNCTION("""COMPUTED_VALUE"""),68141.81)</f>
        <v>68141.81</v>
      </c>
    </row>
    <row r="3441">
      <c r="A3441" s="267">
        <f>IFERROR(__xludf.DUMMYFUNCTION("""COMPUTED_VALUE"""),46085.99861111111)</f>
        <v>46085.99861</v>
      </c>
      <c r="B3441" s="1">
        <f>IFERROR(__xludf.DUMMYFUNCTION("""COMPUTED_VALUE"""),67842.73)</f>
        <v>67842.73</v>
      </c>
    </row>
    <row r="3442">
      <c r="A3442" s="267">
        <f>IFERROR(__xludf.DUMMYFUNCTION("""COMPUTED_VALUE"""),46086.99861111111)</f>
        <v>46086.99861</v>
      </c>
      <c r="B3442" s="1">
        <f>IFERROR(__xludf.DUMMYFUNCTION("""COMPUTED_VALUE"""),72847.58)</f>
        <v>72847.58</v>
      </c>
    </row>
    <row r="3443">
      <c r="A3443" s="267">
        <f>IFERROR(__xludf.DUMMYFUNCTION("""COMPUTED_VALUE"""),46087.99861111111)</f>
        <v>46087.99861</v>
      </c>
      <c r="B3443" s="1">
        <f>IFERROR(__xludf.DUMMYFUNCTION("""COMPUTED_VALUE"""),70602.13)</f>
        <v>70602.13</v>
      </c>
    </row>
    <row r="3444">
      <c r="A3444" s="267">
        <f>IFERROR(__xludf.DUMMYFUNCTION("""COMPUTED_VALUE"""),46088.99861111111)</f>
        <v>46088.99861</v>
      </c>
      <c r="B3444" s="1">
        <f>IFERROR(__xludf.DUMMYFUNCTION("""COMPUTED_VALUE"""),68099.83)</f>
        <v>68099.83</v>
      </c>
    </row>
    <row r="3445">
      <c r="A3445" s="267">
        <f>IFERROR(__xludf.DUMMYFUNCTION("""COMPUTED_VALUE"""),46089.99861111111)</f>
        <v>46089.99861</v>
      </c>
      <c r="B3445" s="1">
        <f>IFERROR(__xludf.DUMMYFUNCTION("""COMPUTED_VALUE"""),66641.69)</f>
        <v>66641.69</v>
      </c>
    </row>
    <row r="3446">
      <c r="A3446" s="267">
        <f>IFERROR(__xludf.DUMMYFUNCTION("""COMPUTED_VALUE"""),46090.99861111111)</f>
        <v>46090.99861</v>
      </c>
      <c r="B3446" s="1">
        <f>IFERROR(__xludf.DUMMYFUNCTION("""COMPUTED_VALUE"""),67219.71)</f>
        <v>67219.71</v>
      </c>
    </row>
    <row r="3447">
      <c r="A3447" s="267">
        <f>IFERROR(__xludf.DUMMYFUNCTION("""COMPUTED_VALUE"""),46091.99861111111)</f>
        <v>46091.99861</v>
      </c>
      <c r="B3447" s="1">
        <f>IFERROR(__xludf.DUMMYFUNCTION("""COMPUTED_VALUE"""),69446.6)</f>
        <v>69446.6</v>
      </c>
    </row>
    <row r="3448">
      <c r="A3448" s="267">
        <f>IFERROR(__xludf.DUMMYFUNCTION("""COMPUTED_VALUE"""),46092.99861111111)</f>
        <v>46092.99861</v>
      </c>
      <c r="B3448" s="1">
        <f>IFERROR(__xludf.DUMMYFUNCTION("""COMPUTED_VALUE"""),69571.17)</f>
        <v>69571.17</v>
      </c>
    </row>
    <row r="3449">
      <c r="A3449" s="267">
        <f>IFERROR(__xludf.DUMMYFUNCTION("""COMPUTED_VALUE"""),46093.99861111111)</f>
        <v>46093.99861</v>
      </c>
      <c r="B3449" s="1">
        <f>IFERROR(__xludf.DUMMYFUNCTION("""COMPUTED_VALUE"""),69448.47)</f>
        <v>69448.47</v>
      </c>
    </row>
    <row r="3450">
      <c r="A3450" s="267">
        <f>IFERROR(__xludf.DUMMYFUNCTION("""COMPUTED_VALUE"""),46094.99861111111)</f>
        <v>46094.99861</v>
      </c>
      <c r="B3450" s="1">
        <f>IFERROR(__xludf.DUMMYFUNCTION("""COMPUTED_VALUE"""),71371.01)</f>
        <v>71371.01</v>
      </c>
    </row>
    <row r="3451">
      <c r="A3451" s="267">
        <f>IFERROR(__xludf.DUMMYFUNCTION("""COMPUTED_VALUE"""),46095.99861111111)</f>
        <v>46095.99861</v>
      </c>
      <c r="B3451" s="1">
        <f>IFERROR(__xludf.DUMMYFUNCTION("""COMPUTED_VALUE"""),71115.02)</f>
        <v>71115.02</v>
      </c>
    </row>
    <row r="3452">
      <c r="A3452" s="267">
        <f>IFERROR(__xludf.DUMMYFUNCTION("""COMPUTED_VALUE"""),46096.99861111111)</f>
        <v>46096.99861</v>
      </c>
      <c r="B3452" s="1">
        <f>IFERROR(__xludf.DUMMYFUNCTION("""COMPUTED_VALUE"""),71352.13)</f>
        <v>71352.13</v>
      </c>
    </row>
    <row r="3453">
      <c r="A3453" s="267">
        <f>IFERROR(__xludf.DUMMYFUNCTION("""COMPUTED_VALUE"""),46097.99861111111)</f>
        <v>46097.99861</v>
      </c>
      <c r="B3453" s="1">
        <f>IFERROR(__xludf.DUMMYFUNCTION("""COMPUTED_VALUE"""),73607.4)</f>
        <v>73607.4</v>
      </c>
    </row>
    <row r="3454">
      <c r="A3454" s="267">
        <f>IFERROR(__xludf.DUMMYFUNCTION("""COMPUTED_VALUE"""),46098.99861111111)</f>
        <v>46098.99861</v>
      </c>
      <c r="B3454" s="1">
        <f>IFERROR(__xludf.DUMMYFUNCTION("""COMPUTED_VALUE"""),74486.24)</f>
        <v>74486.24</v>
      </c>
    </row>
    <row r="3455">
      <c r="A3455" s="267">
        <f>IFERROR(__xludf.DUMMYFUNCTION("""COMPUTED_VALUE"""),46099.99861111111)</f>
        <v>46099.99861</v>
      </c>
      <c r="B3455" s="1">
        <f>IFERROR(__xludf.DUMMYFUNCTION("""COMPUTED_VALUE"""),74474.25)</f>
        <v>74474.25</v>
      </c>
    </row>
    <row r="3456">
      <c r="A3456" s="267">
        <f>IFERROR(__xludf.DUMMYFUNCTION("""COMPUTED_VALUE"""),46100.99861111111)</f>
        <v>46100.99861</v>
      </c>
      <c r="B3456" s="1">
        <f>IFERROR(__xludf.DUMMYFUNCTION("""COMPUTED_VALUE"""),71240.85)</f>
        <v>71240.85</v>
      </c>
    </row>
    <row r="3457">
      <c r="A3457" s="267">
        <f>IFERROR(__xludf.DUMMYFUNCTION("""COMPUTED_VALUE"""),46101.99861111111)</f>
        <v>46101.99861</v>
      </c>
      <c r="B3457" s="1">
        <f>IFERROR(__xludf.DUMMYFUNCTION("""COMPUTED_VALUE"""),70743.14)</f>
        <v>70743.14</v>
      </c>
    </row>
    <row r="3458">
      <c r="A3458" s="267">
        <f>IFERROR(__xludf.DUMMYFUNCTION("""COMPUTED_VALUE"""),46102.99861111111)</f>
        <v>46102.99861</v>
      </c>
      <c r="B3458" s="1">
        <f>IFERROR(__xludf.DUMMYFUNCTION("""COMPUTED_VALUE"""),70687.77)</f>
        <v>70687.77</v>
      </c>
    </row>
    <row r="3459">
      <c r="A3459" s="267">
        <f>IFERROR(__xludf.DUMMYFUNCTION("""COMPUTED_VALUE"""),46103.99861111111)</f>
        <v>46103.99861</v>
      </c>
      <c r="B3459" s="1">
        <f>IFERROR(__xludf.DUMMYFUNCTION("""COMPUTED_VALUE"""),69365.43)</f>
        <v>69365.43</v>
      </c>
    </row>
    <row r="3460">
      <c r="A3460" s="267">
        <f>IFERROR(__xludf.DUMMYFUNCTION("""COMPUTED_VALUE"""),46104.99861111111)</f>
        <v>46104.99861</v>
      </c>
      <c r="B3460" s="1">
        <f>IFERROR(__xludf.DUMMYFUNCTION("""COMPUTED_VALUE"""),68076.59)</f>
        <v>68076.59</v>
      </c>
    </row>
    <row r="3461">
      <c r="A3461" s="267">
        <f>IFERROR(__xludf.DUMMYFUNCTION("""COMPUTED_VALUE"""),46105.99861111111)</f>
        <v>46105.99861</v>
      </c>
      <c r="B3461" s="1">
        <f>IFERROR(__xludf.DUMMYFUNCTION("""COMPUTED_VALUE"""),70523.14)</f>
        <v>70523.14</v>
      </c>
    </row>
    <row r="3462">
      <c r="A3462" s="267">
        <f>IFERROR(__xludf.DUMMYFUNCTION("""COMPUTED_VALUE"""),46106.99861111111)</f>
        <v>46106.99861</v>
      </c>
      <c r="B3462" s="1">
        <f>IFERROR(__xludf.DUMMYFUNCTION("""COMPUTED_VALUE"""),70705.11)</f>
        <v>70705.11</v>
      </c>
    </row>
    <row r="3463">
      <c r="A3463" s="267">
        <f>IFERROR(__xludf.DUMMYFUNCTION("""COMPUTED_VALUE"""),46107.99861111111)</f>
        <v>46107.99861</v>
      </c>
      <c r="B3463" s="1">
        <f>IFERROR(__xludf.DUMMYFUNCTION("""COMPUTED_VALUE"""),70851.4)</f>
        <v>70851.4</v>
      </c>
    </row>
    <row r="3464">
      <c r="A3464" s="267">
        <f>IFERROR(__xludf.DUMMYFUNCTION("""COMPUTED_VALUE"""),46108.99861111111)</f>
        <v>46108.99861</v>
      </c>
      <c r="B3464" s="1">
        <f>IFERROR(__xludf.DUMMYFUNCTION("""COMPUTED_VALUE"""),68749.36)</f>
        <v>68749.36</v>
      </c>
    </row>
    <row r="3465">
      <c r="A3465" s="267">
        <f>IFERROR(__xludf.DUMMYFUNCTION("""COMPUTED_VALUE"""),46109.99861111111)</f>
        <v>46109.99861</v>
      </c>
      <c r="B3465" s="1">
        <f>IFERROR(__xludf.DUMMYFUNCTION("""COMPUTED_VALUE"""),66214.26)</f>
        <v>66214.26</v>
      </c>
    </row>
    <row r="3466">
      <c r="A3466" s="267">
        <f>IFERROR(__xludf.DUMMYFUNCTION("""COMPUTED_VALUE"""),46110.99861111111)</f>
        <v>46110.99861</v>
      </c>
      <c r="B3466" s="1">
        <f>IFERROR(__xludf.DUMMYFUNCTION("""COMPUTED_VALUE"""),66920.02)</f>
        <v>66920.02</v>
      </c>
    </row>
    <row r="3467">
      <c r="A3467" s="267">
        <f>IFERROR(__xludf.DUMMYFUNCTION("""COMPUTED_VALUE"""),46111.99861111111)</f>
        <v>46111.99861</v>
      </c>
      <c r="B3467" s="1">
        <f>IFERROR(__xludf.DUMMYFUNCTION("""COMPUTED_VALUE"""),67120.27)</f>
        <v>67120.27</v>
      </c>
    </row>
    <row r="3468">
      <c r="A3468" s="267">
        <f>IFERROR(__xludf.DUMMYFUNCTION("""COMPUTED_VALUE"""),46112.99861111111)</f>
        <v>46112.99861</v>
      </c>
      <c r="B3468" s="1">
        <f>IFERROR(__xludf.DUMMYFUNCTION("""COMPUTED_VALUE"""),67647.5)</f>
        <v>67647.5</v>
      </c>
    </row>
    <row r="3469">
      <c r="A3469" s="267">
        <f>IFERROR(__xludf.DUMMYFUNCTION("""COMPUTED_VALUE"""),46113.99861111111)</f>
        <v>46113.99861</v>
      </c>
      <c r="B3469" s="1">
        <f>IFERROR(__xludf.DUMMYFUNCTION("""COMPUTED_VALUE"""),68084.47)</f>
        <v>68084.47</v>
      </c>
    </row>
    <row r="3470">
      <c r="A3470" s="267">
        <f>IFERROR(__xludf.DUMMYFUNCTION("""COMPUTED_VALUE"""),46114.99861111111)</f>
        <v>46114.99861</v>
      </c>
      <c r="B3470" s="1">
        <f>IFERROR(__xludf.DUMMYFUNCTION("""COMPUTED_VALUE"""),66597.65)</f>
        <v>66597.65</v>
      </c>
    </row>
    <row r="3471">
      <c r="A3471" s="267">
        <f>IFERROR(__xludf.DUMMYFUNCTION("""COMPUTED_VALUE"""),46115.99861111111)</f>
        <v>46115.99861</v>
      </c>
      <c r="B3471" s="1">
        <f>IFERROR(__xludf.DUMMYFUNCTION("""COMPUTED_VALUE"""),66597.64)</f>
        <v>66597.64</v>
      </c>
    </row>
    <row r="3472">
      <c r="A3472" s="267">
        <f>IFERROR(__xludf.DUMMYFUNCTION("""COMPUTED_VALUE"""),46116.99861111111)</f>
        <v>46116.99861</v>
      </c>
      <c r="B3472" s="1">
        <f>IFERROR(__xludf.DUMMYFUNCTION("""COMPUTED_VALUE"""),66828.99)</f>
        <v>66828.99</v>
      </c>
    </row>
    <row r="3473">
      <c r="A3473" s="267">
        <f>IFERROR(__xludf.DUMMYFUNCTION("""COMPUTED_VALUE"""),46117.99861111111)</f>
        <v>46117.99861</v>
      </c>
      <c r="B3473" s="1">
        <f>IFERROR(__xludf.DUMMYFUNCTION("""COMPUTED_VALUE"""),67130.08)</f>
        <v>67130.08</v>
      </c>
    </row>
    <row r="3474">
      <c r="A3474" s="267">
        <f>IFERROR(__xludf.DUMMYFUNCTION("""COMPUTED_VALUE"""),46118.99861111111)</f>
        <v>46118.99861</v>
      </c>
      <c r="B3474" s="1">
        <f>IFERROR(__xludf.DUMMYFUNCTION("""COMPUTED_VALUE"""),69066.4)</f>
        <v>69066.4</v>
      </c>
    </row>
    <row r="3475">
      <c r="A3475" s="267">
        <f>IFERROR(__xludf.DUMMYFUNCTION("""COMPUTED_VALUE"""),46119.99861111111)</f>
        <v>46119.99861</v>
      </c>
      <c r="B3475" s="1">
        <f>IFERROR(__xludf.DUMMYFUNCTION("""COMPUTED_VALUE"""),68748.08)</f>
        <v>68748.08</v>
      </c>
    </row>
    <row r="3476">
      <c r="A3476" s="267">
        <f>IFERROR(__xludf.DUMMYFUNCTION("""COMPUTED_VALUE"""),46120.99861111111)</f>
        <v>46120.99861</v>
      </c>
      <c r="B3476" s="1">
        <f>IFERROR(__xludf.DUMMYFUNCTION("""COMPUTED_VALUE"""),71290.38)</f>
        <v>71290.38</v>
      </c>
    </row>
    <row r="3477">
      <c r="A3477" s="267">
        <f>IFERROR(__xludf.DUMMYFUNCTION("""COMPUTED_VALUE"""),46121.99861111111)</f>
        <v>46121.99861</v>
      </c>
      <c r="B3477" s="1">
        <f>IFERROR(__xludf.DUMMYFUNCTION("""COMPUTED_VALUE"""),70981.11)</f>
        <v>70981.11</v>
      </c>
    </row>
    <row r="3478">
      <c r="A3478" s="267">
        <f>IFERROR(__xludf.DUMMYFUNCTION("""COMPUTED_VALUE"""),46122.99861111111)</f>
        <v>46122.99861</v>
      </c>
      <c r="B3478" s="1">
        <f>IFERROR(__xludf.DUMMYFUNCTION("""COMPUTED_VALUE"""),71878.66)</f>
        <v>71878.66</v>
      </c>
    </row>
    <row r="3479">
      <c r="A3479" s="267">
        <f>IFERROR(__xludf.DUMMYFUNCTION("""COMPUTED_VALUE"""),46123.99861111111)</f>
        <v>46123.99861</v>
      </c>
      <c r="B3479" s="1">
        <f>IFERROR(__xludf.DUMMYFUNCTION("""COMPUTED_VALUE"""),72892.87)</f>
        <v>72892.87</v>
      </c>
    </row>
    <row r="3480">
      <c r="A3480" s="267">
        <f>IFERROR(__xludf.DUMMYFUNCTION("""COMPUTED_VALUE"""),46124.99861111111)</f>
        <v>46124.99861</v>
      </c>
      <c r="B3480" s="1">
        <f>IFERROR(__xludf.DUMMYFUNCTION("""COMPUTED_VALUE"""),71673.75)</f>
        <v>71673.75</v>
      </c>
    </row>
    <row r="3481">
      <c r="A3481" s="267">
        <f>IFERROR(__xludf.DUMMYFUNCTION("""COMPUTED_VALUE"""),46125.99861111111)</f>
        <v>46125.99861</v>
      </c>
      <c r="B3481" s="1">
        <f>IFERROR(__xludf.DUMMYFUNCTION("""COMPUTED_VALUE"""),71006.52)</f>
        <v>71006.52</v>
      </c>
    </row>
    <row r="3482">
      <c r="A3482" s="267">
        <f>IFERROR(__xludf.DUMMYFUNCTION("""COMPUTED_VALUE"""),46126.99861111111)</f>
        <v>46126.99861</v>
      </c>
      <c r="B3482" s="1">
        <f>IFERROR(__xludf.DUMMYFUNCTION("""COMPUTED_VALUE"""),74461.09)</f>
        <v>74461.09</v>
      </c>
    </row>
    <row r="3483">
      <c r="A3483" s="267">
        <f>IFERROR(__xludf.DUMMYFUNCTION("""COMPUTED_VALUE"""),46127.99861111111)</f>
        <v>46127.99861</v>
      </c>
      <c r="B3483" s="1">
        <f>IFERROR(__xludf.DUMMYFUNCTION("""COMPUTED_VALUE"""),74374.27)</f>
        <v>74374.27</v>
      </c>
    </row>
    <row r="3484">
      <c r="A3484" s="267">
        <f>IFERROR(__xludf.DUMMYFUNCTION("""COMPUTED_VALUE"""),46128.99861111111)</f>
        <v>46128.99861</v>
      </c>
      <c r="B3484" s="1">
        <f>IFERROR(__xludf.DUMMYFUNCTION("""COMPUTED_VALUE"""),74032.73)</f>
        <v>74032.73</v>
      </c>
    </row>
    <row r="3485">
      <c r="A3485" s="267">
        <f>IFERROR(__xludf.DUMMYFUNCTION("""COMPUTED_VALUE"""),46141.99861111111)</f>
        <v>46141.99861</v>
      </c>
      <c r="B3485" s="1">
        <f>IFERROR(__xludf.DUMMYFUNCTION("""COMPUTED_VALUE"""),76990.81)</f>
        <v>76990.81</v>
      </c>
    </row>
    <row r="3486">
      <c r="A3486" s="267">
        <f>IFERROR(__xludf.DUMMYFUNCTION("""COMPUTED_VALUE"""),46142.99861111111)</f>
        <v>46142.99861</v>
      </c>
      <c r="B3486" s="1">
        <f>IFERROR(__xludf.DUMMYFUNCTION("""COMPUTED_VALUE"""),75939.33)</f>
        <v>75939.33</v>
      </c>
    </row>
    <row r="3487">
      <c r="A3487" s="267">
        <f>IFERROR(__xludf.DUMMYFUNCTION("""COMPUTED_VALUE"""),46143.99861111111)</f>
        <v>46143.99861</v>
      </c>
      <c r="B3487" s="1">
        <f>IFERROR(__xludf.DUMMYFUNCTION("""COMPUTED_VALUE"""),77091.84)</f>
        <v>77091.84</v>
      </c>
    </row>
    <row r="3488">
      <c r="A3488" s="267">
        <f>IFERROR(__xludf.DUMMYFUNCTION("""COMPUTED_VALUE"""),46144.99861111111)</f>
        <v>46144.99861</v>
      </c>
      <c r="B3488" s="1">
        <f>IFERROR(__xludf.DUMMYFUNCTION("""COMPUTED_VALUE"""),78409.63)</f>
        <v>78409.63</v>
      </c>
    </row>
    <row r="3489">
      <c r="A3489" s="267">
        <f>IFERROR(__xludf.DUMMYFUNCTION("""COMPUTED_VALUE"""),46145.99861111111)</f>
        <v>46145.99861</v>
      </c>
      <c r="B3489" s="1">
        <f>IFERROR(__xludf.DUMMYFUNCTION("""COMPUTED_VALUE"""),78196.01)</f>
        <v>78196.01</v>
      </c>
    </row>
    <row r="3490">
      <c r="A3490" s="267">
        <f>IFERROR(__xludf.DUMMYFUNCTION("""COMPUTED_VALUE"""),46146.99861111111)</f>
        <v>46146.99861</v>
      </c>
      <c r="B3490" s="1">
        <f>IFERROR(__xludf.DUMMYFUNCTION("""COMPUTED_VALUE"""),80305.37)</f>
        <v>80305.37</v>
      </c>
    </row>
    <row r="3491">
      <c r="A3491" s="267">
        <f>IFERROR(__xludf.DUMMYFUNCTION("""COMPUTED_VALUE"""),46147.99861111111)</f>
        <v>46147.99861</v>
      </c>
      <c r="B3491" s="1">
        <f>IFERROR(__xludf.DUMMYFUNCTION("""COMPUTED_VALUE"""),80870.03)</f>
        <v>80870.03</v>
      </c>
    </row>
    <row r="3492">
      <c r="A3492" s="267">
        <f>IFERROR(__xludf.DUMMYFUNCTION("""COMPUTED_VALUE"""),46148.99861111111)</f>
        <v>46148.99861</v>
      </c>
      <c r="B3492" s="1">
        <f>IFERROR(__xludf.DUMMYFUNCTION("""COMPUTED_VALUE"""),81579.16)</f>
        <v>81579.16</v>
      </c>
    </row>
    <row r="3493">
      <c r="A3493" s="267">
        <f>IFERROR(__xludf.DUMMYFUNCTION("""COMPUTED_VALUE"""),46149.99861111111)</f>
        <v>46149.99861</v>
      </c>
      <c r="B3493" s="1">
        <f>IFERROR(__xludf.DUMMYFUNCTION("""COMPUTED_VALUE"""),80841.99)</f>
        <v>80841.99</v>
      </c>
    </row>
    <row r="3494">
      <c r="A3494" s="267">
        <f>IFERROR(__xludf.DUMMYFUNCTION("""COMPUTED_VALUE"""),46150.99861111111)</f>
        <v>46150.99861</v>
      </c>
      <c r="B3494" s="1">
        <f>IFERROR(__xludf.DUMMYFUNCTION("""COMPUTED_VALUE"""),79553.25)</f>
        <v>79553.25</v>
      </c>
    </row>
    <row r="3495">
      <c r="A3495" s="267">
        <f>IFERROR(__xludf.DUMMYFUNCTION("""COMPUTED_VALUE"""),46151.99861111111)</f>
        <v>46151.99861</v>
      </c>
      <c r="B3495" s="1">
        <f>IFERROR(__xludf.DUMMYFUNCTION("""COMPUTED_VALUE"""),80380.3)</f>
        <v>80380.3</v>
      </c>
    </row>
    <row r="3496">
      <c r="A3496" s="267">
        <f>IFERROR(__xludf.DUMMYFUNCTION("""COMPUTED_VALUE"""),46152.99861111111)</f>
        <v>46152.99861</v>
      </c>
      <c r="B3496" s="1">
        <f>IFERROR(__xludf.DUMMYFUNCTION("""COMPUTED_VALUE"""),80752.23)</f>
        <v>80752.23</v>
      </c>
    </row>
    <row r="3497">
      <c r="A3497" s="267">
        <f>IFERROR(__xludf.DUMMYFUNCTION("""COMPUTED_VALUE"""),46153.99861111111)</f>
        <v>46153.99861</v>
      </c>
      <c r="B3497" s="1">
        <f>IFERROR(__xludf.DUMMYFUNCTION("""COMPUTED_VALUE"""),80719.92)</f>
        <v>80719.92</v>
      </c>
    </row>
    <row r="3498">
      <c r="A3498" s="267">
        <f>IFERROR(__xludf.DUMMYFUNCTION("""COMPUTED_VALUE"""),46154.99861111111)</f>
        <v>46154.99861</v>
      </c>
      <c r="B3498" s="1">
        <f>IFERROR(__xludf.DUMMYFUNCTION("""COMPUTED_VALUE"""),81037.06)</f>
        <v>81037.06</v>
      </c>
    </row>
    <row r="3499">
      <c r="A3499" s="267">
        <f>IFERROR(__xludf.DUMMYFUNCTION("""COMPUTED_VALUE"""),46155.99861111111)</f>
        <v>46155.99861</v>
      </c>
      <c r="B3499" s="1">
        <f>IFERROR(__xludf.DUMMYFUNCTION("""COMPUTED_VALUE"""),81240.78)</f>
        <v>81240.78</v>
      </c>
    </row>
    <row r="3500">
      <c r="A3500" s="267">
        <f>IFERROR(__xludf.DUMMYFUNCTION("""COMPUTED_VALUE"""),46156.99861111111)</f>
        <v>46156.99861</v>
      </c>
      <c r="B3500" s="1">
        <f>IFERROR(__xludf.DUMMYFUNCTION("""COMPUTED_VALUE"""),79014.78)</f>
        <v>79014.78</v>
      </c>
    </row>
    <row r="3501">
      <c r="A3501" s="267">
        <f>IFERROR(__xludf.DUMMYFUNCTION("""COMPUTED_VALUE"""),46157.99861111111)</f>
        <v>46157.99861</v>
      </c>
      <c r="B3501" s="1">
        <f>IFERROR(__xludf.DUMMYFUNCTION("""COMPUTED_VALUE"""),81064.25)</f>
        <v>81064.25</v>
      </c>
    </row>
    <row r="3502">
      <c r="A3502" s="267">
        <f>IFERROR(__xludf.DUMMYFUNCTION("""COMPUTED_VALUE"""),46158.99861111111)</f>
        <v>46158.99861</v>
      </c>
      <c r="B3502" s="1">
        <f>IFERROR(__xludf.DUMMYFUNCTION("""COMPUTED_VALUE"""),79016.69)</f>
        <v>79016.69</v>
      </c>
    </row>
    <row r="3503">
      <c r="A3503" s="267">
        <f>IFERROR(__xludf.DUMMYFUNCTION("""COMPUTED_VALUE"""),46159.99861111111)</f>
        <v>46159.99861</v>
      </c>
      <c r="B3503" s="1">
        <f>IFERROR(__xludf.DUMMYFUNCTION("""COMPUTED_VALUE"""),77993.23)</f>
        <v>77993.23</v>
      </c>
    </row>
    <row r="3504">
      <c r="A3504" s="267">
        <f>IFERROR(__xludf.DUMMYFUNCTION("""COMPUTED_VALUE"""),46160.99861111111)</f>
        <v>46160.99861</v>
      </c>
      <c r="B3504" s="1">
        <f>IFERROR(__xludf.DUMMYFUNCTION("""COMPUTED_VALUE"""),76869.57)</f>
        <v>76869.57</v>
      </c>
    </row>
    <row r="3505">
      <c r="A3505" s="267">
        <f>IFERROR(__xludf.DUMMYFUNCTION("""COMPUTED_VALUE"""),46161.99861111111)</f>
        <v>46161.99861</v>
      </c>
      <c r="B3505" s="1">
        <f>IFERROR(__xludf.DUMMYFUNCTION("""COMPUTED_VALUE"""),76721.99)</f>
        <v>76721.99</v>
      </c>
    </row>
    <row r="3506">
      <c r="A3506" s="267">
        <f>IFERROR(__xludf.DUMMYFUNCTION("""COMPUTED_VALUE"""),46162.99861111111)</f>
        <v>46162.99861</v>
      </c>
      <c r="B3506" s="1">
        <f>IFERROR(__xludf.DUMMYFUNCTION("""COMPUTED_VALUE"""),76637.61)</f>
        <v>76637.61</v>
      </c>
    </row>
    <row r="3507">
      <c r="A3507" s="267">
        <f>IFERROR(__xludf.DUMMYFUNCTION("""COMPUTED_VALUE"""),46163.99861111111)</f>
        <v>46163.99861</v>
      </c>
      <c r="B3507" s="1">
        <f>IFERROR(__xludf.DUMMYFUNCTION("""COMPUTED_VALUE"""),78001.65)</f>
        <v>78001.65</v>
      </c>
    </row>
    <row r="3508">
      <c r="A3508" s="267">
        <f>IFERROR(__xludf.DUMMYFUNCTION("""COMPUTED_VALUE"""),46164.99861111111)</f>
        <v>46164.99861</v>
      </c>
      <c r="B3508" s="1">
        <f>IFERROR(__xludf.DUMMYFUNCTION("""COMPUTED_VALUE"""),77705.25)</f>
        <v>77705.25</v>
      </c>
    </row>
    <row r="3509">
      <c r="A3509" s="267">
        <f>IFERROR(__xludf.DUMMYFUNCTION("""COMPUTED_VALUE"""),46165.99861111111)</f>
        <v>46165.99861</v>
      </c>
      <c r="B3509" s="1">
        <f>IFERROR(__xludf.DUMMYFUNCTION("""COMPUTED_VALUE"""),75545.7)</f>
        <v>75545.7</v>
      </c>
    </row>
    <row r="3510">
      <c r="A3510" s="267">
        <f>IFERROR(__xludf.DUMMYFUNCTION("""COMPUTED_VALUE"""),46166.99861111111)</f>
        <v>46166.99861</v>
      </c>
      <c r="B3510" s="1">
        <f>IFERROR(__xludf.DUMMYFUNCTION("""COMPUTED_VALUE"""),76665.13)</f>
        <v>76665.13</v>
      </c>
    </row>
    <row r="3511">
      <c r="A3511" s="267">
        <f>IFERROR(__xludf.DUMMYFUNCTION("""COMPUTED_VALUE"""),46167.99861111111)</f>
        <v>46167.99861</v>
      </c>
      <c r="B3511" s="1">
        <f>IFERROR(__xludf.DUMMYFUNCTION("""COMPUTED_VALUE"""),76933.1)</f>
        <v>76933.1</v>
      </c>
    </row>
    <row r="3512">
      <c r="A3512" s="267">
        <f>IFERROR(__xludf.DUMMYFUNCTION("""COMPUTED_VALUE"""),46168.99861111111)</f>
        <v>46168.99861</v>
      </c>
      <c r="B3512" s="1">
        <f>IFERROR(__xludf.DUMMYFUNCTION("""COMPUTED_VALUE"""),76571.72)</f>
        <v>76571.72</v>
      </c>
    </row>
    <row r="3513">
      <c r="A3513" s="267">
        <f>IFERROR(__xludf.DUMMYFUNCTION("""COMPUTED_VALUE"""),46169.99861111111)</f>
        <v>46169.99861</v>
      </c>
      <c r="B3513" s="1">
        <f>IFERROR(__xludf.DUMMYFUNCTION("""COMPUTED_VALUE"""),75556.04)</f>
        <v>75556.04</v>
      </c>
    </row>
    <row r="3514">
      <c r="A3514" s="267">
        <f>IFERROR(__xludf.DUMMYFUNCTION("""COMPUTED_VALUE"""),46170.99861111111)</f>
        <v>46170.99861</v>
      </c>
      <c r="B3514" s="1">
        <f>IFERROR(__xludf.DUMMYFUNCTION("""COMPUTED_VALUE"""),73512.55)</f>
        <v>73512.55</v>
      </c>
    </row>
    <row r="3515">
      <c r="A3515" s="267">
        <f>IFERROR(__xludf.DUMMYFUNCTION("""COMPUTED_VALUE"""),46171.99861111111)</f>
        <v>46171.99861</v>
      </c>
      <c r="B3515" s="1">
        <f>IFERROR(__xludf.DUMMYFUNCTION("""COMPUTED_VALUE"""),73366.77)</f>
        <v>73366.77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314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IFERROR(__xludf.DUMMYFUNCTION("GOOGLEFINANCE(B16,""name"")"),"Ruentex Development Co Ltd")</f>
        <v>Ruentex Development Co Ltd</v>
      </c>
      <c r="H5" s="64"/>
      <c r="I5" s="64"/>
      <c r="J5" s="157"/>
      <c r="K5" s="64"/>
      <c r="L5" s="64"/>
      <c r="M5" s="64"/>
      <c r="N5" s="64"/>
      <c r="O5" s="64"/>
      <c r="P5" s="64"/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IFERROR(__xludf.DUMMYFUNCTION("GOOGLEFINANCE(B16,""price"")"),23.3)</f>
        <v>23.3</v>
      </c>
      <c r="D8" s="171">
        <f>IFERROR(__xludf.DUMMYFUNCTION("IFERROR(GOOGLEFINANCE(B16,""change""),""-"")"),0.05)</f>
        <v>0.05</v>
      </c>
      <c r="E8" s="172">
        <f>IFERROR(__xludf.DUMMYFUNCTION("IFERROR(GOOGLEFINANCE(B16,""changepct"")/100,""-"")"),0.0022)</f>
        <v>0.0022</v>
      </c>
      <c r="F8" s="64"/>
      <c r="G8" s="64"/>
      <c r="H8" s="64"/>
      <c r="I8" s="64"/>
      <c r="J8" s="202">
        <f>SUM(K26:K100)</f>
        <v>0</v>
      </c>
      <c r="K8" s="203">
        <f>SUM(N26:N100)</f>
        <v>-29719</v>
      </c>
      <c r="L8" s="175">
        <f>O30</f>
        <v>52.8825</v>
      </c>
      <c r="M8" s="64"/>
      <c r="N8" s="176" t="s">
        <v>158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>
        <f>IFERROR(__xludf.DUMMYFUNCTION("IFERROR(GOOGLEFINANCE(B16,""marketcap""),""-"")"),6.627041703E10)</f>
        <v>66270417030</v>
      </c>
      <c r="C12" s="181">
        <f>IFERROR(__xludf.DUMMYFUNCTION("IFERROR(GOOGLEFINANCE(B16,""pe""),""-"")"),6.33)</f>
        <v>6.33</v>
      </c>
      <c r="D12" s="181" t="str">
        <f>IFERROR(__xludf.DUMMYFUNCTION("IFERROR(GOOGLEFINANCE(B16,""beta""),""-"")"),"-")</f>
        <v>-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246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TPE:9945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IFERROR(__xludf.DUMMYFUNCTION("""COMPUTED_VALUE"""),45992.5625)</f>
        <v>45992.5625</v>
      </c>
      <c r="C26" s="190">
        <f>IFERROR(__xludf.DUMMYFUNCTION("""COMPUTED_VALUE"""),30.15)</f>
        <v>30.15</v>
      </c>
      <c r="D26" s="190">
        <f>IFERROR(__xludf.DUMMYFUNCTION("""COMPUTED_VALUE"""),30.25)</f>
        <v>30.25</v>
      </c>
      <c r="E26" s="190">
        <f>IFERROR(__xludf.DUMMYFUNCTION("""COMPUTED_VALUE"""),29.7)</f>
        <v>29.7</v>
      </c>
      <c r="F26" s="190">
        <f>IFERROR(__xludf.DUMMYFUNCTION("""COMPUTED_VALUE"""),29.8)</f>
        <v>29.8</v>
      </c>
      <c r="G26" s="191">
        <f>IFERROR(__xludf.DUMMYFUNCTION("""COMPUTED_VALUE"""),3181221.0)</f>
        <v>3181221</v>
      </c>
      <c r="H26" s="112"/>
      <c r="I26" s="112"/>
      <c r="J26" s="192">
        <v>44438.0</v>
      </c>
      <c r="K26" s="204">
        <v>1000.0</v>
      </c>
      <c r="L26" s="194">
        <v>67.5</v>
      </c>
      <c r="M26" s="94">
        <v>20.0</v>
      </c>
      <c r="N26" s="112">
        <f t="shared" ref="N26:N41" si="1">K26*L26+M26</f>
        <v>67520</v>
      </c>
      <c r="O26" s="112">
        <f>N26/K26</f>
        <v>67.52</v>
      </c>
      <c r="P26" s="112"/>
      <c r="Q26" s="112"/>
      <c r="R26" s="112"/>
    </row>
    <row r="27" ht="17.25" customHeight="1">
      <c r="A27" s="112"/>
      <c r="B27" s="189">
        <f>IFERROR(__xludf.DUMMYFUNCTION("""COMPUTED_VALUE"""),45993.5625)</f>
        <v>45993.5625</v>
      </c>
      <c r="C27" s="190">
        <f>IFERROR(__xludf.DUMMYFUNCTION("""COMPUTED_VALUE"""),29.85)</f>
        <v>29.85</v>
      </c>
      <c r="D27" s="190">
        <f>IFERROR(__xludf.DUMMYFUNCTION("""COMPUTED_VALUE"""),30.05)</f>
        <v>30.05</v>
      </c>
      <c r="E27" s="190">
        <f>IFERROR(__xludf.DUMMYFUNCTION("""COMPUTED_VALUE"""),29.8)</f>
        <v>29.8</v>
      </c>
      <c r="F27" s="190">
        <f>IFERROR(__xludf.DUMMYFUNCTION("""COMPUTED_VALUE"""),29.9)</f>
        <v>29.9</v>
      </c>
      <c r="G27" s="191">
        <f>IFERROR(__xludf.DUMMYFUNCTION("""COMPUTED_VALUE"""),2506905.0)</f>
        <v>2506905</v>
      </c>
      <c r="H27" s="112"/>
      <c r="I27" s="112"/>
      <c r="J27" s="192">
        <v>44462.0</v>
      </c>
      <c r="K27" s="204">
        <v>150.0</v>
      </c>
      <c r="L27" s="194">
        <v>61.5</v>
      </c>
      <c r="M27" s="94">
        <v>20.0</v>
      </c>
      <c r="N27" s="112">
        <f t="shared" si="1"/>
        <v>9245</v>
      </c>
      <c r="O27" s="196">
        <f t="shared" ref="O27:O30" si="2">SUM($N$26:N27)/SUM($K$26:K27)</f>
        <v>66.75217391</v>
      </c>
      <c r="P27" s="112"/>
      <c r="Q27" s="112"/>
      <c r="R27" s="112"/>
    </row>
    <row r="28" ht="17.25" customHeight="1">
      <c r="A28" s="112"/>
      <c r="B28" s="189">
        <f>IFERROR(__xludf.DUMMYFUNCTION("""COMPUTED_VALUE"""),45994.5625)</f>
        <v>45994.5625</v>
      </c>
      <c r="C28" s="190">
        <f>IFERROR(__xludf.DUMMYFUNCTION("""COMPUTED_VALUE"""),30.0)</f>
        <v>30</v>
      </c>
      <c r="D28" s="190">
        <f>IFERROR(__xludf.DUMMYFUNCTION("""COMPUTED_VALUE"""),30.1)</f>
        <v>30.1</v>
      </c>
      <c r="E28" s="190">
        <f>IFERROR(__xludf.DUMMYFUNCTION("""COMPUTED_VALUE"""),29.85)</f>
        <v>29.85</v>
      </c>
      <c r="F28" s="190">
        <f>IFERROR(__xludf.DUMMYFUNCTION("""COMPUTED_VALUE"""),29.95)</f>
        <v>29.95</v>
      </c>
      <c r="G28" s="191">
        <f>IFERROR(__xludf.DUMMYFUNCTION("""COMPUTED_VALUE"""),2751455.0)</f>
        <v>2751455</v>
      </c>
      <c r="H28" s="112"/>
      <c r="I28" s="112"/>
      <c r="J28" s="192">
        <v>44494.0</v>
      </c>
      <c r="K28" s="194">
        <v>250.0</v>
      </c>
      <c r="L28" s="194">
        <v>60.8</v>
      </c>
      <c r="M28" s="94">
        <v>20.0</v>
      </c>
      <c r="N28" s="112">
        <f t="shared" si="1"/>
        <v>15220</v>
      </c>
      <c r="O28" s="196">
        <f t="shared" si="2"/>
        <v>65.70357143</v>
      </c>
      <c r="P28" s="112"/>
      <c r="Q28" s="112"/>
      <c r="R28" s="112"/>
    </row>
    <row r="29" ht="17.25" customHeight="1">
      <c r="A29" s="112"/>
      <c r="B29" s="189">
        <f>IFERROR(__xludf.DUMMYFUNCTION("""COMPUTED_VALUE"""),45995.5625)</f>
        <v>45995.5625</v>
      </c>
      <c r="C29" s="190">
        <f>IFERROR(__xludf.DUMMYFUNCTION("""COMPUTED_VALUE"""),30.0)</f>
        <v>30</v>
      </c>
      <c r="D29" s="190">
        <f>IFERROR(__xludf.DUMMYFUNCTION("""COMPUTED_VALUE"""),30.1)</f>
        <v>30.1</v>
      </c>
      <c r="E29" s="190">
        <f>IFERROR(__xludf.DUMMYFUNCTION("""COMPUTED_VALUE"""),29.95)</f>
        <v>29.95</v>
      </c>
      <c r="F29" s="190">
        <f>IFERROR(__xludf.DUMMYFUNCTION("""COMPUTED_VALUE"""),30.05)</f>
        <v>30.05</v>
      </c>
      <c r="G29" s="191">
        <f>IFERROR(__xludf.DUMMYFUNCTION("""COMPUTED_VALUE"""),1792692.0)</f>
        <v>1792692</v>
      </c>
      <c r="H29" s="112"/>
      <c r="I29" s="112"/>
      <c r="J29" s="192">
        <v>44502.0</v>
      </c>
      <c r="K29" s="204">
        <v>200.0</v>
      </c>
      <c r="L29" s="194">
        <v>68.7</v>
      </c>
      <c r="M29" s="94">
        <v>20.0</v>
      </c>
      <c r="N29" s="112">
        <f t="shared" si="1"/>
        <v>13760</v>
      </c>
      <c r="O29" s="196">
        <f t="shared" si="2"/>
        <v>66.090625</v>
      </c>
      <c r="P29" s="112"/>
      <c r="Q29" s="112"/>
      <c r="R29" s="112"/>
    </row>
    <row r="30" ht="17.25" customHeight="1">
      <c r="A30" s="112"/>
      <c r="B30" s="189">
        <f>IFERROR(__xludf.DUMMYFUNCTION("""COMPUTED_VALUE"""),45996.5625)</f>
        <v>45996.5625</v>
      </c>
      <c r="C30" s="190">
        <f>IFERROR(__xludf.DUMMYFUNCTION("""COMPUTED_VALUE"""),30.0)</f>
        <v>30</v>
      </c>
      <c r="D30" s="190">
        <f>IFERROR(__xludf.DUMMYFUNCTION("""COMPUTED_VALUE"""),30.0)</f>
        <v>30</v>
      </c>
      <c r="E30" s="190">
        <f>IFERROR(__xludf.DUMMYFUNCTION("""COMPUTED_VALUE"""),29.55)</f>
        <v>29.55</v>
      </c>
      <c r="F30" s="190">
        <f>IFERROR(__xludf.DUMMYFUNCTION("""COMPUTED_VALUE"""),29.65)</f>
        <v>29.65</v>
      </c>
      <c r="G30" s="191">
        <f>IFERROR(__xludf.DUMMYFUNCTION("""COMPUTED_VALUE"""),3643692.0)</f>
        <v>3643692</v>
      </c>
      <c r="H30" s="112"/>
      <c r="I30" s="112"/>
      <c r="J30" s="192">
        <v>44509.0</v>
      </c>
      <c r="K30" s="194">
        <v>400.0</v>
      </c>
      <c r="L30" s="194">
        <v>0.0</v>
      </c>
      <c r="M30" s="94">
        <v>20.0</v>
      </c>
      <c r="N30" s="112">
        <f t="shared" si="1"/>
        <v>20</v>
      </c>
      <c r="O30" s="196">
        <f t="shared" si="2"/>
        <v>52.8825</v>
      </c>
      <c r="P30" s="94" t="s">
        <v>335</v>
      </c>
      <c r="Q30" s="112"/>
      <c r="R30" s="112"/>
    </row>
    <row r="31" ht="17.25" customHeight="1">
      <c r="A31" s="112"/>
      <c r="B31" s="189">
        <f>IFERROR(__xludf.DUMMYFUNCTION("""COMPUTED_VALUE"""),45999.5625)</f>
        <v>45999.5625</v>
      </c>
      <c r="C31" s="190">
        <f>IFERROR(__xludf.DUMMYFUNCTION("""COMPUTED_VALUE"""),29.7)</f>
        <v>29.7</v>
      </c>
      <c r="D31" s="190">
        <f>IFERROR(__xludf.DUMMYFUNCTION("""COMPUTED_VALUE"""),29.9)</f>
        <v>29.9</v>
      </c>
      <c r="E31" s="190">
        <f>IFERROR(__xludf.DUMMYFUNCTION("""COMPUTED_VALUE"""),29.35)</f>
        <v>29.35</v>
      </c>
      <c r="F31" s="190">
        <f>IFERROR(__xludf.DUMMYFUNCTION("""COMPUTED_VALUE"""),29.35)</f>
        <v>29.35</v>
      </c>
      <c r="G31" s="191">
        <f>IFERROR(__xludf.DUMMYFUNCTION("""COMPUTED_VALUE"""),3993682.0)</f>
        <v>3993682</v>
      </c>
      <c r="H31" s="112"/>
      <c r="I31" s="112"/>
      <c r="J31" s="192">
        <v>44762.0</v>
      </c>
      <c r="K31" s="204">
        <v>-2000.0</v>
      </c>
      <c r="L31" s="194">
        <v>68.0</v>
      </c>
      <c r="M31" s="94">
        <v>516.0</v>
      </c>
      <c r="N31" s="112">
        <f t="shared" si="1"/>
        <v>-135484</v>
      </c>
      <c r="O31" s="196"/>
      <c r="P31" s="268" t="s">
        <v>336</v>
      </c>
      <c r="Q31" s="112"/>
      <c r="R31" s="112"/>
    </row>
    <row r="32" ht="17.25" customHeight="1">
      <c r="A32" s="112"/>
      <c r="B32" s="189">
        <f>IFERROR(__xludf.DUMMYFUNCTION("""COMPUTED_VALUE"""),46000.5625)</f>
        <v>46000.5625</v>
      </c>
      <c r="C32" s="190">
        <f>IFERROR(__xludf.DUMMYFUNCTION("""COMPUTED_VALUE"""),29.35)</f>
        <v>29.35</v>
      </c>
      <c r="D32" s="190">
        <f>IFERROR(__xludf.DUMMYFUNCTION("""COMPUTED_VALUE"""),29.35)</f>
        <v>29.35</v>
      </c>
      <c r="E32" s="190">
        <f>IFERROR(__xludf.DUMMYFUNCTION("""COMPUTED_VALUE"""),29.05)</f>
        <v>29.05</v>
      </c>
      <c r="F32" s="190">
        <f>IFERROR(__xludf.DUMMYFUNCTION("""COMPUTED_VALUE"""),29.1)</f>
        <v>29.1</v>
      </c>
      <c r="G32" s="191">
        <f>IFERROR(__xludf.DUMMYFUNCTION("""COMPUTED_VALUE"""),4163798.0)</f>
        <v>4163798</v>
      </c>
      <c r="H32" s="112"/>
      <c r="I32" s="112"/>
      <c r="J32" s="192"/>
      <c r="K32" s="194"/>
      <c r="L32" s="194"/>
      <c r="M32" s="94"/>
      <c r="N32" s="112">
        <f t="shared" si="1"/>
        <v>0</v>
      </c>
      <c r="O32" s="196" t="str">
        <f t="shared" ref="O32:O41" si="3">SUM($N$26:N32)/SUM($K$26:K32)</f>
        <v>#DIV/0!</v>
      </c>
      <c r="P32" s="94"/>
      <c r="Q32" s="112"/>
      <c r="R32" s="112"/>
    </row>
    <row r="33" ht="17.25" customHeight="1">
      <c r="A33" s="112"/>
      <c r="B33" s="189">
        <f>IFERROR(__xludf.DUMMYFUNCTION("""COMPUTED_VALUE"""),46001.5625)</f>
        <v>46001.5625</v>
      </c>
      <c r="C33" s="190">
        <f>IFERROR(__xludf.DUMMYFUNCTION("""COMPUTED_VALUE"""),29.1)</f>
        <v>29.1</v>
      </c>
      <c r="D33" s="190">
        <f>IFERROR(__xludf.DUMMYFUNCTION("""COMPUTED_VALUE"""),29.3)</f>
        <v>29.3</v>
      </c>
      <c r="E33" s="190">
        <f>IFERROR(__xludf.DUMMYFUNCTION("""COMPUTED_VALUE"""),29.05)</f>
        <v>29.05</v>
      </c>
      <c r="F33" s="190">
        <f>IFERROR(__xludf.DUMMYFUNCTION("""COMPUTED_VALUE"""),29.1)</f>
        <v>29.1</v>
      </c>
      <c r="G33" s="191">
        <f>IFERROR(__xludf.DUMMYFUNCTION("""COMPUTED_VALUE"""),2211664.0)</f>
        <v>2211664</v>
      </c>
      <c r="H33" s="112"/>
      <c r="I33" s="112"/>
      <c r="J33" s="197"/>
      <c r="K33" s="194"/>
      <c r="L33" s="194"/>
      <c r="M33" s="94"/>
      <c r="N33" s="112">
        <f t="shared" si="1"/>
        <v>0</v>
      </c>
      <c r="O33" s="196" t="str">
        <f t="shared" si="3"/>
        <v>#DIV/0!</v>
      </c>
      <c r="P33" s="112"/>
      <c r="Q33" s="112"/>
      <c r="R33" s="112"/>
    </row>
    <row r="34" ht="17.25" customHeight="1">
      <c r="A34" s="112"/>
      <c r="B34" s="189">
        <f>IFERROR(__xludf.DUMMYFUNCTION("""COMPUTED_VALUE"""),46002.5625)</f>
        <v>46002.5625</v>
      </c>
      <c r="C34" s="190">
        <f>IFERROR(__xludf.DUMMYFUNCTION("""COMPUTED_VALUE"""),29.7)</f>
        <v>29.7</v>
      </c>
      <c r="D34" s="190">
        <f>IFERROR(__xludf.DUMMYFUNCTION("""COMPUTED_VALUE"""),29.95)</f>
        <v>29.95</v>
      </c>
      <c r="E34" s="190">
        <f>IFERROR(__xludf.DUMMYFUNCTION("""COMPUTED_VALUE"""),29.3)</f>
        <v>29.3</v>
      </c>
      <c r="F34" s="190">
        <f>IFERROR(__xludf.DUMMYFUNCTION("""COMPUTED_VALUE"""),29.55)</f>
        <v>29.55</v>
      </c>
      <c r="G34" s="191">
        <f>IFERROR(__xludf.DUMMYFUNCTION("""COMPUTED_VALUE"""),4768842.0)</f>
        <v>4768842</v>
      </c>
      <c r="H34" s="112"/>
      <c r="I34" s="112"/>
      <c r="J34" s="197"/>
      <c r="K34" s="204"/>
      <c r="L34" s="194"/>
      <c r="M34" s="94"/>
      <c r="N34" s="112">
        <f t="shared" si="1"/>
        <v>0</v>
      </c>
      <c r="O34" s="196" t="str">
        <f t="shared" si="3"/>
        <v>#DIV/0!</v>
      </c>
      <c r="P34" s="112"/>
      <c r="Q34" s="112"/>
      <c r="R34" s="112"/>
    </row>
    <row r="35" ht="17.25" customHeight="1">
      <c r="A35" s="112"/>
      <c r="B35" s="189">
        <f>IFERROR(__xludf.DUMMYFUNCTION("""COMPUTED_VALUE"""),46003.5625)</f>
        <v>46003.5625</v>
      </c>
      <c r="C35" s="190">
        <f>IFERROR(__xludf.DUMMYFUNCTION("""COMPUTED_VALUE"""),29.75)</f>
        <v>29.75</v>
      </c>
      <c r="D35" s="190">
        <f>IFERROR(__xludf.DUMMYFUNCTION("""COMPUTED_VALUE"""),30.1)</f>
        <v>30.1</v>
      </c>
      <c r="E35" s="190">
        <f>IFERROR(__xludf.DUMMYFUNCTION("""COMPUTED_VALUE"""),29.75)</f>
        <v>29.75</v>
      </c>
      <c r="F35" s="190">
        <f>IFERROR(__xludf.DUMMYFUNCTION("""COMPUTED_VALUE"""),29.9)</f>
        <v>29.9</v>
      </c>
      <c r="G35" s="191">
        <f>IFERROR(__xludf.DUMMYFUNCTION("""COMPUTED_VALUE"""),4437967.0)</f>
        <v>4437967</v>
      </c>
      <c r="H35" s="112"/>
      <c r="I35" s="112"/>
      <c r="J35" s="197"/>
      <c r="K35" s="204"/>
      <c r="L35" s="194"/>
      <c r="M35" s="94"/>
      <c r="N35" s="112">
        <f t="shared" si="1"/>
        <v>0</v>
      </c>
      <c r="O35" s="196" t="str">
        <f t="shared" si="3"/>
        <v>#DIV/0!</v>
      </c>
      <c r="P35" s="112"/>
      <c r="Q35" s="112"/>
      <c r="R35" s="112"/>
    </row>
    <row r="36" ht="17.25" customHeight="1">
      <c r="A36" s="112"/>
      <c r="B36" s="189">
        <f>IFERROR(__xludf.DUMMYFUNCTION("""COMPUTED_VALUE"""),46006.5625)</f>
        <v>46006.5625</v>
      </c>
      <c r="C36" s="190">
        <f>IFERROR(__xludf.DUMMYFUNCTION("""COMPUTED_VALUE"""),29.85)</f>
        <v>29.85</v>
      </c>
      <c r="D36" s="190">
        <f>IFERROR(__xludf.DUMMYFUNCTION("""COMPUTED_VALUE"""),30.65)</f>
        <v>30.65</v>
      </c>
      <c r="E36" s="190">
        <f>IFERROR(__xludf.DUMMYFUNCTION("""COMPUTED_VALUE"""),29.7)</f>
        <v>29.7</v>
      </c>
      <c r="F36" s="190">
        <f>IFERROR(__xludf.DUMMYFUNCTION("""COMPUTED_VALUE"""),30.0)</f>
        <v>30</v>
      </c>
      <c r="G36" s="191">
        <f>IFERROR(__xludf.DUMMYFUNCTION("""COMPUTED_VALUE"""),9247508.0)</f>
        <v>9247508</v>
      </c>
      <c r="H36" s="112"/>
      <c r="I36" s="112"/>
      <c r="J36" s="197"/>
      <c r="K36" s="194"/>
      <c r="L36" s="194"/>
      <c r="M36" s="94"/>
      <c r="N36" s="112">
        <f t="shared" si="1"/>
        <v>0</v>
      </c>
      <c r="O36" s="196" t="str">
        <f t="shared" si="3"/>
        <v>#DIV/0!</v>
      </c>
      <c r="P36" s="112"/>
      <c r="Q36" s="112"/>
      <c r="R36" s="112"/>
    </row>
    <row r="37" ht="17.25" customHeight="1">
      <c r="A37" s="112"/>
      <c r="B37" s="189">
        <f>IFERROR(__xludf.DUMMYFUNCTION("""COMPUTED_VALUE"""),46007.5625)</f>
        <v>46007.5625</v>
      </c>
      <c r="C37" s="190">
        <f>IFERROR(__xludf.DUMMYFUNCTION("""COMPUTED_VALUE"""),29.8)</f>
        <v>29.8</v>
      </c>
      <c r="D37" s="190">
        <f>IFERROR(__xludf.DUMMYFUNCTION("""COMPUTED_VALUE"""),30.0)</f>
        <v>30</v>
      </c>
      <c r="E37" s="190">
        <f>IFERROR(__xludf.DUMMYFUNCTION("""COMPUTED_VALUE"""),29.65)</f>
        <v>29.65</v>
      </c>
      <c r="F37" s="190">
        <f>IFERROR(__xludf.DUMMYFUNCTION("""COMPUTED_VALUE"""),29.95)</f>
        <v>29.95</v>
      </c>
      <c r="G37" s="191">
        <f>IFERROR(__xludf.DUMMYFUNCTION("""COMPUTED_VALUE"""),4157749.0)</f>
        <v>4157749</v>
      </c>
      <c r="H37" s="112"/>
      <c r="I37" s="112"/>
      <c r="J37" s="192"/>
      <c r="K37" s="194"/>
      <c r="L37" s="194"/>
      <c r="M37" s="94"/>
      <c r="N37" s="112">
        <f t="shared" si="1"/>
        <v>0</v>
      </c>
      <c r="O37" s="196" t="str">
        <f t="shared" si="3"/>
        <v>#DIV/0!</v>
      </c>
      <c r="P37" s="112"/>
      <c r="Q37" s="112"/>
      <c r="R37" s="112"/>
    </row>
    <row r="38" ht="17.25" customHeight="1">
      <c r="A38" s="112"/>
      <c r="B38" s="189">
        <f>IFERROR(__xludf.DUMMYFUNCTION("""COMPUTED_VALUE"""),46008.5625)</f>
        <v>46008.5625</v>
      </c>
      <c r="C38" s="190">
        <f>IFERROR(__xludf.DUMMYFUNCTION("""COMPUTED_VALUE"""),29.95)</f>
        <v>29.95</v>
      </c>
      <c r="D38" s="190">
        <f>IFERROR(__xludf.DUMMYFUNCTION("""COMPUTED_VALUE"""),30.4)</f>
        <v>30.4</v>
      </c>
      <c r="E38" s="190">
        <f>IFERROR(__xludf.DUMMYFUNCTION("""COMPUTED_VALUE"""),29.95)</f>
        <v>29.95</v>
      </c>
      <c r="F38" s="190">
        <f>IFERROR(__xludf.DUMMYFUNCTION("""COMPUTED_VALUE"""),30.1)</f>
        <v>30.1</v>
      </c>
      <c r="G38" s="191">
        <f>IFERROR(__xludf.DUMMYFUNCTION("""COMPUTED_VALUE"""),3671874.0)</f>
        <v>3671874</v>
      </c>
      <c r="H38" s="112"/>
      <c r="I38" s="112"/>
      <c r="J38" s="192"/>
      <c r="K38" s="204"/>
      <c r="L38" s="194"/>
      <c r="M38" s="94"/>
      <c r="N38" s="112">
        <f t="shared" si="1"/>
        <v>0</v>
      </c>
      <c r="O38" s="196" t="str">
        <f t="shared" si="3"/>
        <v>#DIV/0!</v>
      </c>
      <c r="P38" s="112"/>
      <c r="Q38" s="112"/>
      <c r="R38" s="112"/>
    </row>
    <row r="39" ht="17.25" customHeight="1">
      <c r="A39" s="112"/>
      <c r="B39" s="189">
        <f>IFERROR(__xludf.DUMMYFUNCTION("""COMPUTED_VALUE"""),46009.5625)</f>
        <v>46009.5625</v>
      </c>
      <c r="C39" s="190">
        <f>IFERROR(__xludf.DUMMYFUNCTION("""COMPUTED_VALUE"""),30.1)</f>
        <v>30.1</v>
      </c>
      <c r="D39" s="190">
        <f>IFERROR(__xludf.DUMMYFUNCTION("""COMPUTED_VALUE"""),30.3)</f>
        <v>30.3</v>
      </c>
      <c r="E39" s="190">
        <f>IFERROR(__xludf.DUMMYFUNCTION("""COMPUTED_VALUE"""),29.95)</f>
        <v>29.95</v>
      </c>
      <c r="F39" s="190">
        <f>IFERROR(__xludf.DUMMYFUNCTION("""COMPUTED_VALUE"""),30.15)</f>
        <v>30.15</v>
      </c>
      <c r="G39" s="191">
        <f>IFERROR(__xludf.DUMMYFUNCTION("""COMPUTED_VALUE"""),2731933.0)</f>
        <v>2731933</v>
      </c>
      <c r="H39" s="112"/>
      <c r="I39" s="112"/>
      <c r="J39" s="192"/>
      <c r="K39" s="204"/>
      <c r="L39" s="194"/>
      <c r="M39" s="94"/>
      <c r="N39" s="112">
        <f t="shared" si="1"/>
        <v>0</v>
      </c>
      <c r="O39" s="196" t="str">
        <f t="shared" si="3"/>
        <v>#DIV/0!</v>
      </c>
      <c r="P39" s="112"/>
      <c r="Q39" s="112"/>
      <c r="R39" s="112"/>
    </row>
    <row r="40" ht="17.25" customHeight="1">
      <c r="A40" s="112"/>
      <c r="B40" s="189">
        <f>IFERROR(__xludf.DUMMYFUNCTION("""COMPUTED_VALUE"""),46010.5625)</f>
        <v>46010.5625</v>
      </c>
      <c r="C40" s="190">
        <f>IFERROR(__xludf.DUMMYFUNCTION("""COMPUTED_VALUE"""),30.15)</f>
        <v>30.15</v>
      </c>
      <c r="D40" s="190">
        <f>IFERROR(__xludf.DUMMYFUNCTION("""COMPUTED_VALUE"""),30.55)</f>
        <v>30.55</v>
      </c>
      <c r="E40" s="190">
        <f>IFERROR(__xludf.DUMMYFUNCTION("""COMPUTED_VALUE"""),30.05)</f>
        <v>30.05</v>
      </c>
      <c r="F40" s="190">
        <f>IFERROR(__xludf.DUMMYFUNCTION("""COMPUTED_VALUE"""),30.35)</f>
        <v>30.35</v>
      </c>
      <c r="G40" s="191">
        <f>IFERROR(__xludf.DUMMYFUNCTION("""COMPUTED_VALUE"""),6598351.0)</f>
        <v>6598351</v>
      </c>
      <c r="H40" s="112"/>
      <c r="I40" s="112"/>
      <c r="J40" s="192"/>
      <c r="K40" s="204"/>
      <c r="L40" s="194"/>
      <c r="M40" s="94"/>
      <c r="N40" s="112">
        <f t="shared" si="1"/>
        <v>0</v>
      </c>
      <c r="O40" s="196" t="str">
        <f t="shared" si="3"/>
        <v>#DIV/0!</v>
      </c>
      <c r="P40" s="112"/>
      <c r="Q40" s="112"/>
      <c r="R40" s="112"/>
    </row>
    <row r="41" ht="17.25" customHeight="1">
      <c r="A41" s="112"/>
      <c r="B41" s="189">
        <f>IFERROR(__xludf.DUMMYFUNCTION("""COMPUTED_VALUE"""),46013.5625)</f>
        <v>46013.5625</v>
      </c>
      <c r="C41" s="190">
        <f>IFERROR(__xludf.DUMMYFUNCTION("""COMPUTED_VALUE"""),30.45)</f>
        <v>30.45</v>
      </c>
      <c r="D41" s="190">
        <f>IFERROR(__xludf.DUMMYFUNCTION("""COMPUTED_VALUE"""),30.6)</f>
        <v>30.6</v>
      </c>
      <c r="E41" s="190">
        <f>IFERROR(__xludf.DUMMYFUNCTION("""COMPUTED_VALUE"""),30.3)</f>
        <v>30.3</v>
      </c>
      <c r="F41" s="190">
        <f>IFERROR(__xludf.DUMMYFUNCTION("""COMPUTED_VALUE"""),30.6)</f>
        <v>30.6</v>
      </c>
      <c r="G41" s="191">
        <f>IFERROR(__xludf.DUMMYFUNCTION("""COMPUTED_VALUE"""),3661889.0)</f>
        <v>3661889</v>
      </c>
      <c r="H41" s="112"/>
      <c r="I41" s="112"/>
      <c r="J41" s="192"/>
      <c r="K41" s="194"/>
      <c r="L41" s="194"/>
      <c r="M41" s="94"/>
      <c r="N41" s="112">
        <f t="shared" si="1"/>
        <v>0</v>
      </c>
      <c r="O41" s="196" t="str">
        <f t="shared" si="3"/>
        <v>#DIV/0!</v>
      </c>
      <c r="P41" s="112"/>
      <c r="Q41" s="112"/>
      <c r="R41" s="112"/>
    </row>
    <row r="42" ht="17.25" customHeight="1">
      <c r="A42" s="112"/>
      <c r="B42" s="189">
        <f>IFERROR(__xludf.DUMMYFUNCTION("""COMPUTED_VALUE"""),46014.5625)</f>
        <v>46014.5625</v>
      </c>
      <c r="C42" s="190">
        <f>IFERROR(__xludf.DUMMYFUNCTION("""COMPUTED_VALUE"""),30.7)</f>
        <v>30.7</v>
      </c>
      <c r="D42" s="190">
        <f>IFERROR(__xludf.DUMMYFUNCTION("""COMPUTED_VALUE"""),30.75)</f>
        <v>30.75</v>
      </c>
      <c r="E42" s="190">
        <f>IFERROR(__xludf.DUMMYFUNCTION("""COMPUTED_VALUE"""),30.45)</f>
        <v>30.45</v>
      </c>
      <c r="F42" s="190">
        <f>IFERROR(__xludf.DUMMYFUNCTION("""COMPUTED_VALUE"""),30.5)</f>
        <v>30.5</v>
      </c>
      <c r="G42" s="191">
        <f>IFERROR(__xludf.DUMMYFUNCTION("""COMPUTED_VALUE"""),2475832.0)</f>
        <v>2475832</v>
      </c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</row>
    <row r="43" ht="17.25" customHeight="1">
      <c r="A43" s="112"/>
      <c r="B43" s="189">
        <f>IFERROR(__xludf.DUMMYFUNCTION("""COMPUTED_VALUE"""),46015.5625)</f>
        <v>46015.5625</v>
      </c>
      <c r="C43" s="190">
        <f>IFERROR(__xludf.DUMMYFUNCTION("""COMPUTED_VALUE"""),30.65)</f>
        <v>30.65</v>
      </c>
      <c r="D43" s="190">
        <f>IFERROR(__xludf.DUMMYFUNCTION("""COMPUTED_VALUE"""),31.0)</f>
        <v>31</v>
      </c>
      <c r="E43" s="190">
        <f>IFERROR(__xludf.DUMMYFUNCTION("""COMPUTED_VALUE"""),30.4)</f>
        <v>30.4</v>
      </c>
      <c r="F43" s="190">
        <f>IFERROR(__xludf.DUMMYFUNCTION("""COMPUTED_VALUE"""),30.55)</f>
        <v>30.55</v>
      </c>
      <c r="G43" s="191">
        <f>IFERROR(__xludf.DUMMYFUNCTION("""COMPUTED_VALUE"""),8418728.0)</f>
        <v>8418728</v>
      </c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</row>
    <row r="44" ht="17.25" customHeight="1">
      <c r="A44" s="112"/>
      <c r="B44" s="189">
        <f>IFERROR(__xludf.DUMMYFUNCTION("""COMPUTED_VALUE"""),46017.5625)</f>
        <v>46017.5625</v>
      </c>
      <c r="C44" s="190">
        <f>IFERROR(__xludf.DUMMYFUNCTION("""COMPUTED_VALUE"""),30.75)</f>
        <v>30.75</v>
      </c>
      <c r="D44" s="190">
        <f>IFERROR(__xludf.DUMMYFUNCTION("""COMPUTED_VALUE"""),30.9)</f>
        <v>30.9</v>
      </c>
      <c r="E44" s="190">
        <f>IFERROR(__xludf.DUMMYFUNCTION("""COMPUTED_VALUE"""),30.4)</f>
        <v>30.4</v>
      </c>
      <c r="F44" s="190">
        <f>IFERROR(__xludf.DUMMYFUNCTION("""COMPUTED_VALUE"""),30.6)</f>
        <v>30.6</v>
      </c>
      <c r="G44" s="191">
        <f>IFERROR(__xludf.DUMMYFUNCTION("""COMPUTED_VALUE"""),3317473.0)</f>
        <v>3317473</v>
      </c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</row>
    <row r="45" ht="17.25" customHeight="1">
      <c r="A45" s="112"/>
      <c r="B45" s="189">
        <f>IFERROR(__xludf.DUMMYFUNCTION("""COMPUTED_VALUE"""),46020.5625)</f>
        <v>46020.5625</v>
      </c>
      <c r="C45" s="190">
        <f>IFERROR(__xludf.DUMMYFUNCTION("""COMPUTED_VALUE"""),30.6)</f>
        <v>30.6</v>
      </c>
      <c r="D45" s="190">
        <f>IFERROR(__xludf.DUMMYFUNCTION("""COMPUTED_VALUE"""),30.7)</f>
        <v>30.7</v>
      </c>
      <c r="E45" s="190">
        <f>IFERROR(__xludf.DUMMYFUNCTION("""COMPUTED_VALUE"""),30.1)</f>
        <v>30.1</v>
      </c>
      <c r="F45" s="190">
        <f>IFERROR(__xludf.DUMMYFUNCTION("""COMPUTED_VALUE"""),30.15)</f>
        <v>30.15</v>
      </c>
      <c r="G45" s="191">
        <f>IFERROR(__xludf.DUMMYFUNCTION("""COMPUTED_VALUE"""),4209632.0)</f>
        <v>4209632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</row>
    <row r="46" ht="17.25" customHeight="1">
      <c r="A46" s="112"/>
      <c r="B46" s="189">
        <f>IFERROR(__xludf.DUMMYFUNCTION("""COMPUTED_VALUE"""),46021.5625)</f>
        <v>46021.5625</v>
      </c>
      <c r="C46" s="190">
        <f>IFERROR(__xludf.DUMMYFUNCTION("""COMPUTED_VALUE"""),30.15)</f>
        <v>30.15</v>
      </c>
      <c r="D46" s="190">
        <f>IFERROR(__xludf.DUMMYFUNCTION("""COMPUTED_VALUE"""),30.25)</f>
        <v>30.25</v>
      </c>
      <c r="E46" s="190">
        <f>IFERROR(__xludf.DUMMYFUNCTION("""COMPUTED_VALUE"""),29.95)</f>
        <v>29.95</v>
      </c>
      <c r="F46" s="190">
        <f>IFERROR(__xludf.DUMMYFUNCTION("""COMPUTED_VALUE"""),30.0)</f>
        <v>30</v>
      </c>
      <c r="G46" s="191">
        <f>IFERROR(__xludf.DUMMYFUNCTION("""COMPUTED_VALUE"""),5148318.0)</f>
        <v>5148318</v>
      </c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</row>
    <row r="47" ht="17.25" customHeight="1">
      <c r="A47" s="112"/>
      <c r="B47" s="189">
        <f>IFERROR(__xludf.DUMMYFUNCTION("""COMPUTED_VALUE"""),46022.5625)</f>
        <v>46022.5625</v>
      </c>
      <c r="C47" s="190">
        <f>IFERROR(__xludf.DUMMYFUNCTION("""COMPUTED_VALUE"""),30.05)</f>
        <v>30.05</v>
      </c>
      <c r="D47" s="190">
        <f>IFERROR(__xludf.DUMMYFUNCTION("""COMPUTED_VALUE"""),30.25)</f>
        <v>30.25</v>
      </c>
      <c r="E47" s="190">
        <f>IFERROR(__xludf.DUMMYFUNCTION("""COMPUTED_VALUE"""),29.75)</f>
        <v>29.75</v>
      </c>
      <c r="F47" s="190">
        <f>IFERROR(__xludf.DUMMYFUNCTION("""COMPUTED_VALUE"""),29.8)</f>
        <v>29.8</v>
      </c>
      <c r="G47" s="191">
        <f>IFERROR(__xludf.DUMMYFUNCTION("""COMPUTED_VALUE"""),1.2114081E7)</f>
        <v>12114081</v>
      </c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</row>
    <row r="48" ht="17.25" customHeight="1">
      <c r="A48" s="112"/>
      <c r="B48" s="189">
        <f>IFERROR(__xludf.DUMMYFUNCTION("""COMPUTED_VALUE"""),46024.5625)</f>
        <v>46024.5625</v>
      </c>
      <c r="C48" s="190">
        <f>IFERROR(__xludf.DUMMYFUNCTION("""COMPUTED_VALUE"""),29.9)</f>
        <v>29.9</v>
      </c>
      <c r="D48" s="190">
        <f>IFERROR(__xludf.DUMMYFUNCTION("""COMPUTED_VALUE"""),30.25)</f>
        <v>30.25</v>
      </c>
      <c r="E48" s="190">
        <f>IFERROR(__xludf.DUMMYFUNCTION("""COMPUTED_VALUE"""),29.7)</f>
        <v>29.7</v>
      </c>
      <c r="F48" s="190">
        <f>IFERROR(__xludf.DUMMYFUNCTION("""COMPUTED_VALUE"""),29.7)</f>
        <v>29.7</v>
      </c>
      <c r="G48" s="191">
        <f>IFERROR(__xludf.DUMMYFUNCTION("""COMPUTED_VALUE"""),1.3988857E7)</f>
        <v>13988857</v>
      </c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</row>
    <row r="49" ht="17.25" customHeight="1">
      <c r="A49" s="112"/>
      <c r="B49" s="189">
        <f>IFERROR(__xludf.DUMMYFUNCTION("""COMPUTED_VALUE"""),46027.5625)</f>
        <v>46027.5625</v>
      </c>
      <c r="C49" s="190">
        <f>IFERROR(__xludf.DUMMYFUNCTION("""COMPUTED_VALUE"""),29.75)</f>
        <v>29.75</v>
      </c>
      <c r="D49" s="190">
        <f>IFERROR(__xludf.DUMMYFUNCTION("""COMPUTED_VALUE"""),29.9)</f>
        <v>29.9</v>
      </c>
      <c r="E49" s="190">
        <f>IFERROR(__xludf.DUMMYFUNCTION("""COMPUTED_VALUE"""),29.5)</f>
        <v>29.5</v>
      </c>
      <c r="F49" s="190">
        <f>IFERROR(__xludf.DUMMYFUNCTION("""COMPUTED_VALUE"""),29.55)</f>
        <v>29.55</v>
      </c>
      <c r="G49" s="191">
        <f>IFERROR(__xludf.DUMMYFUNCTION("""COMPUTED_VALUE"""),1.4232534E7)</f>
        <v>14232534</v>
      </c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</row>
    <row r="50" ht="17.25" customHeight="1">
      <c r="A50" s="112"/>
      <c r="B50" s="189">
        <f>IFERROR(__xludf.DUMMYFUNCTION("""COMPUTED_VALUE"""),46028.5625)</f>
        <v>46028.5625</v>
      </c>
      <c r="C50" s="190">
        <f>IFERROR(__xludf.DUMMYFUNCTION("""COMPUTED_VALUE"""),29.6)</f>
        <v>29.6</v>
      </c>
      <c r="D50" s="190">
        <f>IFERROR(__xludf.DUMMYFUNCTION("""COMPUTED_VALUE"""),29.85)</f>
        <v>29.85</v>
      </c>
      <c r="E50" s="190">
        <f>IFERROR(__xludf.DUMMYFUNCTION("""COMPUTED_VALUE"""),29.55)</f>
        <v>29.55</v>
      </c>
      <c r="F50" s="190">
        <f>IFERROR(__xludf.DUMMYFUNCTION("""COMPUTED_VALUE"""),29.7)</f>
        <v>29.7</v>
      </c>
      <c r="G50" s="191">
        <f>IFERROR(__xludf.DUMMYFUNCTION("""COMPUTED_VALUE"""),5232139.0)</f>
        <v>5232139</v>
      </c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 ht="17.25" customHeight="1">
      <c r="A51" s="112"/>
      <c r="B51" s="189">
        <f>IFERROR(__xludf.DUMMYFUNCTION("""COMPUTED_VALUE"""),46029.5625)</f>
        <v>46029.5625</v>
      </c>
      <c r="C51" s="190">
        <f>IFERROR(__xludf.DUMMYFUNCTION("""COMPUTED_VALUE"""),29.7)</f>
        <v>29.7</v>
      </c>
      <c r="D51" s="190">
        <f>IFERROR(__xludf.DUMMYFUNCTION("""COMPUTED_VALUE"""),30.0)</f>
        <v>30</v>
      </c>
      <c r="E51" s="190">
        <f>IFERROR(__xludf.DUMMYFUNCTION("""COMPUTED_VALUE"""),29.55)</f>
        <v>29.55</v>
      </c>
      <c r="F51" s="190">
        <f>IFERROR(__xludf.DUMMYFUNCTION("""COMPUTED_VALUE"""),29.85)</f>
        <v>29.85</v>
      </c>
      <c r="G51" s="191">
        <f>IFERROR(__xludf.DUMMYFUNCTION("""COMPUTED_VALUE"""),5460192.0)</f>
        <v>5460192</v>
      </c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</row>
    <row r="52" ht="17.25" customHeight="1">
      <c r="A52" s="112"/>
      <c r="B52" s="189">
        <f>IFERROR(__xludf.DUMMYFUNCTION("""COMPUTED_VALUE"""),46030.5625)</f>
        <v>46030.5625</v>
      </c>
      <c r="C52" s="190">
        <f>IFERROR(__xludf.DUMMYFUNCTION("""COMPUTED_VALUE"""),29.7)</f>
        <v>29.7</v>
      </c>
      <c r="D52" s="190">
        <f>IFERROR(__xludf.DUMMYFUNCTION("""COMPUTED_VALUE"""),29.8)</f>
        <v>29.8</v>
      </c>
      <c r="E52" s="190">
        <f>IFERROR(__xludf.DUMMYFUNCTION("""COMPUTED_VALUE"""),29.1)</f>
        <v>29.1</v>
      </c>
      <c r="F52" s="190">
        <f>IFERROR(__xludf.DUMMYFUNCTION("""COMPUTED_VALUE"""),29.3)</f>
        <v>29.3</v>
      </c>
      <c r="G52" s="191">
        <f>IFERROR(__xludf.DUMMYFUNCTION("""COMPUTED_VALUE"""),9359964.0)</f>
        <v>9359964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 ht="17.25" customHeight="1">
      <c r="A53" s="112"/>
      <c r="B53" s="189">
        <f>IFERROR(__xludf.DUMMYFUNCTION("""COMPUTED_VALUE"""),46031.5625)</f>
        <v>46031.5625</v>
      </c>
      <c r="C53" s="190">
        <f>IFERROR(__xludf.DUMMYFUNCTION("""COMPUTED_VALUE"""),29.4)</f>
        <v>29.4</v>
      </c>
      <c r="D53" s="190">
        <f>IFERROR(__xludf.DUMMYFUNCTION("""COMPUTED_VALUE"""),29.6)</f>
        <v>29.6</v>
      </c>
      <c r="E53" s="190">
        <f>IFERROR(__xludf.DUMMYFUNCTION("""COMPUTED_VALUE"""),29.15)</f>
        <v>29.15</v>
      </c>
      <c r="F53" s="190">
        <f>IFERROR(__xludf.DUMMYFUNCTION("""COMPUTED_VALUE"""),29.35)</f>
        <v>29.35</v>
      </c>
      <c r="G53" s="191">
        <f>IFERROR(__xludf.DUMMYFUNCTION("""COMPUTED_VALUE"""),5305748.0)</f>
        <v>5305748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</row>
    <row r="54" ht="17.25" customHeight="1">
      <c r="A54" s="112"/>
      <c r="B54" s="189">
        <f>IFERROR(__xludf.DUMMYFUNCTION("""COMPUTED_VALUE"""),46034.5625)</f>
        <v>46034.5625</v>
      </c>
      <c r="C54" s="190">
        <f>IFERROR(__xludf.DUMMYFUNCTION("""COMPUTED_VALUE"""),29.5)</f>
        <v>29.5</v>
      </c>
      <c r="D54" s="190">
        <f>IFERROR(__xludf.DUMMYFUNCTION("""COMPUTED_VALUE"""),29.5)</f>
        <v>29.5</v>
      </c>
      <c r="E54" s="190">
        <f>IFERROR(__xludf.DUMMYFUNCTION("""COMPUTED_VALUE"""),29.05)</f>
        <v>29.05</v>
      </c>
      <c r="F54" s="190">
        <f>IFERROR(__xludf.DUMMYFUNCTION("""COMPUTED_VALUE"""),29.4)</f>
        <v>29.4</v>
      </c>
      <c r="G54" s="191">
        <f>IFERROR(__xludf.DUMMYFUNCTION("""COMPUTED_VALUE"""),4961433.0)</f>
        <v>4961433</v>
      </c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</row>
    <row r="55" ht="17.25" customHeight="1">
      <c r="A55" s="112"/>
      <c r="B55" s="189">
        <f>IFERROR(__xludf.DUMMYFUNCTION("""COMPUTED_VALUE"""),46035.5625)</f>
        <v>46035.5625</v>
      </c>
      <c r="C55" s="190">
        <f>IFERROR(__xludf.DUMMYFUNCTION("""COMPUTED_VALUE"""),29.85)</f>
        <v>29.85</v>
      </c>
      <c r="D55" s="190">
        <f>IFERROR(__xludf.DUMMYFUNCTION("""COMPUTED_VALUE"""),29.85)</f>
        <v>29.85</v>
      </c>
      <c r="E55" s="190">
        <f>IFERROR(__xludf.DUMMYFUNCTION("""COMPUTED_VALUE"""),29.3)</f>
        <v>29.3</v>
      </c>
      <c r="F55" s="190">
        <f>IFERROR(__xludf.DUMMYFUNCTION("""COMPUTED_VALUE"""),29.55)</f>
        <v>29.55</v>
      </c>
      <c r="G55" s="191">
        <f>IFERROR(__xludf.DUMMYFUNCTION("""COMPUTED_VALUE"""),5855314.0)</f>
        <v>5855314</v>
      </c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</row>
    <row r="56" ht="17.25" customHeight="1">
      <c r="A56" s="112"/>
      <c r="B56" s="189">
        <f>IFERROR(__xludf.DUMMYFUNCTION("""COMPUTED_VALUE"""),46036.5625)</f>
        <v>46036.5625</v>
      </c>
      <c r="C56" s="190">
        <f>IFERROR(__xludf.DUMMYFUNCTION("""COMPUTED_VALUE"""),29.7)</f>
        <v>29.7</v>
      </c>
      <c r="D56" s="190">
        <f>IFERROR(__xludf.DUMMYFUNCTION("""COMPUTED_VALUE"""),30.45)</f>
        <v>30.45</v>
      </c>
      <c r="E56" s="190">
        <f>IFERROR(__xludf.DUMMYFUNCTION("""COMPUTED_VALUE"""),29.6)</f>
        <v>29.6</v>
      </c>
      <c r="F56" s="190">
        <f>IFERROR(__xludf.DUMMYFUNCTION("""COMPUTED_VALUE"""),30.4)</f>
        <v>30.4</v>
      </c>
      <c r="G56" s="191">
        <f>IFERROR(__xludf.DUMMYFUNCTION("""COMPUTED_VALUE"""),8781925.0)</f>
        <v>8781925</v>
      </c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</row>
    <row r="57" ht="17.25" customHeight="1">
      <c r="A57" s="112"/>
      <c r="B57" s="189">
        <f>IFERROR(__xludf.DUMMYFUNCTION("""COMPUTED_VALUE"""),46037.5625)</f>
        <v>46037.5625</v>
      </c>
      <c r="C57" s="190">
        <f>IFERROR(__xludf.DUMMYFUNCTION("""COMPUTED_VALUE"""),30.4)</f>
        <v>30.4</v>
      </c>
      <c r="D57" s="190">
        <f>IFERROR(__xludf.DUMMYFUNCTION("""COMPUTED_VALUE"""),30.65)</f>
        <v>30.65</v>
      </c>
      <c r="E57" s="190">
        <f>IFERROR(__xludf.DUMMYFUNCTION("""COMPUTED_VALUE"""),30.15)</f>
        <v>30.15</v>
      </c>
      <c r="F57" s="190">
        <f>IFERROR(__xludf.DUMMYFUNCTION("""COMPUTED_VALUE"""),30.25)</f>
        <v>30.25</v>
      </c>
      <c r="G57" s="191">
        <f>IFERROR(__xludf.DUMMYFUNCTION("""COMPUTED_VALUE"""),4152020.0)</f>
        <v>4152020</v>
      </c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</row>
    <row r="58" ht="17.25" customHeight="1">
      <c r="A58" s="112"/>
      <c r="B58" s="189">
        <f>IFERROR(__xludf.DUMMYFUNCTION("""COMPUTED_VALUE"""),46038.5625)</f>
        <v>46038.5625</v>
      </c>
      <c r="C58" s="190">
        <f>IFERROR(__xludf.DUMMYFUNCTION("""COMPUTED_VALUE"""),30.45)</f>
        <v>30.45</v>
      </c>
      <c r="D58" s="190">
        <f>IFERROR(__xludf.DUMMYFUNCTION("""COMPUTED_VALUE"""),30.45)</f>
        <v>30.45</v>
      </c>
      <c r="E58" s="190">
        <f>IFERROR(__xludf.DUMMYFUNCTION("""COMPUTED_VALUE"""),29.7)</f>
        <v>29.7</v>
      </c>
      <c r="F58" s="190">
        <f>IFERROR(__xludf.DUMMYFUNCTION("""COMPUTED_VALUE"""),29.7)</f>
        <v>29.7</v>
      </c>
      <c r="G58" s="191">
        <f>IFERROR(__xludf.DUMMYFUNCTION("""COMPUTED_VALUE"""),6643473.0)</f>
        <v>6643473</v>
      </c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</row>
    <row r="59" ht="17.25" customHeight="1">
      <c r="A59" s="112"/>
      <c r="B59" s="189">
        <f>IFERROR(__xludf.DUMMYFUNCTION("""COMPUTED_VALUE"""),46041.5625)</f>
        <v>46041.5625</v>
      </c>
      <c r="C59" s="190">
        <f>IFERROR(__xludf.DUMMYFUNCTION("""COMPUTED_VALUE"""),29.7)</f>
        <v>29.7</v>
      </c>
      <c r="D59" s="190">
        <f>IFERROR(__xludf.DUMMYFUNCTION("""COMPUTED_VALUE"""),29.9)</f>
        <v>29.9</v>
      </c>
      <c r="E59" s="190">
        <f>IFERROR(__xludf.DUMMYFUNCTION("""COMPUTED_VALUE"""),29.5)</f>
        <v>29.5</v>
      </c>
      <c r="F59" s="190">
        <f>IFERROR(__xludf.DUMMYFUNCTION("""COMPUTED_VALUE"""),29.75)</f>
        <v>29.75</v>
      </c>
      <c r="G59" s="191">
        <f>IFERROR(__xludf.DUMMYFUNCTION("""COMPUTED_VALUE"""),3949313.0)</f>
        <v>3949313</v>
      </c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</row>
    <row r="60" ht="17.25" customHeight="1">
      <c r="A60" s="112"/>
      <c r="B60" s="189">
        <f>IFERROR(__xludf.DUMMYFUNCTION("""COMPUTED_VALUE"""),46042.5625)</f>
        <v>46042.5625</v>
      </c>
      <c r="C60" s="190">
        <f>IFERROR(__xludf.DUMMYFUNCTION("""COMPUTED_VALUE"""),29.75)</f>
        <v>29.75</v>
      </c>
      <c r="D60" s="190">
        <f>IFERROR(__xludf.DUMMYFUNCTION("""COMPUTED_VALUE"""),29.75)</f>
        <v>29.75</v>
      </c>
      <c r="E60" s="190">
        <f>IFERROR(__xludf.DUMMYFUNCTION("""COMPUTED_VALUE"""),29.5)</f>
        <v>29.5</v>
      </c>
      <c r="F60" s="190">
        <f>IFERROR(__xludf.DUMMYFUNCTION("""COMPUTED_VALUE"""),29.5)</f>
        <v>29.5</v>
      </c>
      <c r="G60" s="191">
        <f>IFERROR(__xludf.DUMMYFUNCTION("""COMPUTED_VALUE"""),4484159.0)</f>
        <v>4484159</v>
      </c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</row>
    <row r="61" ht="17.25" customHeight="1">
      <c r="A61" s="112"/>
      <c r="B61" s="189">
        <f>IFERROR(__xludf.DUMMYFUNCTION("""COMPUTED_VALUE"""),46043.5625)</f>
        <v>46043.5625</v>
      </c>
      <c r="C61" s="190">
        <f>IFERROR(__xludf.DUMMYFUNCTION("""COMPUTED_VALUE"""),29.5)</f>
        <v>29.5</v>
      </c>
      <c r="D61" s="190">
        <f>IFERROR(__xludf.DUMMYFUNCTION("""COMPUTED_VALUE"""),29.5)</f>
        <v>29.5</v>
      </c>
      <c r="E61" s="190">
        <f>IFERROR(__xludf.DUMMYFUNCTION("""COMPUTED_VALUE"""),29.1)</f>
        <v>29.1</v>
      </c>
      <c r="F61" s="190">
        <f>IFERROR(__xludf.DUMMYFUNCTION("""COMPUTED_VALUE"""),29.15)</f>
        <v>29.15</v>
      </c>
      <c r="G61" s="191">
        <f>IFERROR(__xludf.DUMMYFUNCTION("""COMPUTED_VALUE"""),7952671.0)</f>
        <v>7952671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</row>
    <row r="62" ht="17.25" customHeight="1">
      <c r="A62" s="112"/>
      <c r="B62" s="189">
        <f>IFERROR(__xludf.DUMMYFUNCTION("""COMPUTED_VALUE"""),46044.5625)</f>
        <v>46044.5625</v>
      </c>
      <c r="C62" s="190">
        <f>IFERROR(__xludf.DUMMYFUNCTION("""COMPUTED_VALUE"""),29.35)</f>
        <v>29.35</v>
      </c>
      <c r="D62" s="190">
        <f>IFERROR(__xludf.DUMMYFUNCTION("""COMPUTED_VALUE"""),29.45)</f>
        <v>29.45</v>
      </c>
      <c r="E62" s="190">
        <f>IFERROR(__xludf.DUMMYFUNCTION("""COMPUTED_VALUE"""),29.2)</f>
        <v>29.2</v>
      </c>
      <c r="F62" s="190">
        <f>IFERROR(__xludf.DUMMYFUNCTION("""COMPUTED_VALUE"""),29.3)</f>
        <v>29.3</v>
      </c>
      <c r="G62" s="191">
        <f>IFERROR(__xludf.DUMMYFUNCTION("""COMPUTED_VALUE"""),3061922.0)</f>
        <v>3061922</v>
      </c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</row>
    <row r="63" ht="17.25" customHeight="1">
      <c r="A63" s="112"/>
      <c r="B63" s="189">
        <f>IFERROR(__xludf.DUMMYFUNCTION("""COMPUTED_VALUE"""),46045.5625)</f>
        <v>46045.5625</v>
      </c>
      <c r="C63" s="190">
        <f>IFERROR(__xludf.DUMMYFUNCTION("""COMPUTED_VALUE"""),29.4)</f>
        <v>29.4</v>
      </c>
      <c r="D63" s="190">
        <f>IFERROR(__xludf.DUMMYFUNCTION("""COMPUTED_VALUE"""),29.5)</f>
        <v>29.5</v>
      </c>
      <c r="E63" s="190">
        <f>IFERROR(__xludf.DUMMYFUNCTION("""COMPUTED_VALUE"""),29.15)</f>
        <v>29.15</v>
      </c>
      <c r="F63" s="190">
        <f>IFERROR(__xludf.DUMMYFUNCTION("""COMPUTED_VALUE"""),29.2)</f>
        <v>29.2</v>
      </c>
      <c r="G63" s="191">
        <f>IFERROR(__xludf.DUMMYFUNCTION("""COMPUTED_VALUE"""),3875738.0)</f>
        <v>3875738</v>
      </c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</row>
    <row r="64" ht="17.25" customHeight="1">
      <c r="A64" s="112"/>
      <c r="B64" s="189">
        <f>IFERROR(__xludf.DUMMYFUNCTION("""COMPUTED_VALUE"""),46048.5625)</f>
        <v>46048.5625</v>
      </c>
      <c r="C64" s="190">
        <f>IFERROR(__xludf.DUMMYFUNCTION("""COMPUTED_VALUE"""),29.25)</f>
        <v>29.25</v>
      </c>
      <c r="D64" s="190">
        <f>IFERROR(__xludf.DUMMYFUNCTION("""COMPUTED_VALUE"""),29.45)</f>
        <v>29.45</v>
      </c>
      <c r="E64" s="190">
        <f>IFERROR(__xludf.DUMMYFUNCTION("""COMPUTED_VALUE"""),29.1)</f>
        <v>29.1</v>
      </c>
      <c r="F64" s="190">
        <f>IFERROR(__xludf.DUMMYFUNCTION("""COMPUTED_VALUE"""),29.45)</f>
        <v>29.45</v>
      </c>
      <c r="G64" s="191">
        <f>IFERROR(__xludf.DUMMYFUNCTION("""COMPUTED_VALUE"""),3412429.0)</f>
        <v>3412429</v>
      </c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</row>
    <row r="65" ht="17.25" customHeight="1">
      <c r="A65" s="112"/>
      <c r="B65" s="189">
        <f>IFERROR(__xludf.DUMMYFUNCTION("""COMPUTED_VALUE"""),46049.5625)</f>
        <v>46049.5625</v>
      </c>
      <c r="C65" s="190">
        <f>IFERROR(__xludf.DUMMYFUNCTION("""COMPUTED_VALUE"""),29.5)</f>
        <v>29.5</v>
      </c>
      <c r="D65" s="190">
        <f>IFERROR(__xludf.DUMMYFUNCTION("""COMPUTED_VALUE"""),29.6)</f>
        <v>29.6</v>
      </c>
      <c r="E65" s="190">
        <f>IFERROR(__xludf.DUMMYFUNCTION("""COMPUTED_VALUE"""),29.15)</f>
        <v>29.15</v>
      </c>
      <c r="F65" s="190">
        <f>IFERROR(__xludf.DUMMYFUNCTION("""COMPUTED_VALUE"""),29.25)</f>
        <v>29.25</v>
      </c>
      <c r="G65" s="191">
        <f>IFERROR(__xludf.DUMMYFUNCTION("""COMPUTED_VALUE"""),5775123.0)</f>
        <v>5775123</v>
      </c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</row>
    <row r="66" ht="17.25" customHeight="1">
      <c r="A66" s="112"/>
      <c r="B66" s="189">
        <f>IFERROR(__xludf.DUMMYFUNCTION("""COMPUTED_VALUE"""),46050.5625)</f>
        <v>46050.5625</v>
      </c>
      <c r="C66" s="190">
        <f>IFERROR(__xludf.DUMMYFUNCTION("""COMPUTED_VALUE"""),29.25)</f>
        <v>29.25</v>
      </c>
      <c r="D66" s="190">
        <f>IFERROR(__xludf.DUMMYFUNCTION("""COMPUTED_VALUE"""),29.3)</f>
        <v>29.3</v>
      </c>
      <c r="E66" s="190">
        <f>IFERROR(__xludf.DUMMYFUNCTION("""COMPUTED_VALUE"""),29.0)</f>
        <v>29</v>
      </c>
      <c r="F66" s="190">
        <f>IFERROR(__xludf.DUMMYFUNCTION("""COMPUTED_VALUE"""),29.05)</f>
        <v>29.05</v>
      </c>
      <c r="G66" s="191">
        <f>IFERROR(__xludf.DUMMYFUNCTION("""COMPUTED_VALUE"""),7921586.0)</f>
        <v>7921586</v>
      </c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</row>
    <row r="67" ht="17.25" customHeight="1">
      <c r="A67" s="112"/>
      <c r="B67" s="189">
        <f>IFERROR(__xludf.DUMMYFUNCTION("""COMPUTED_VALUE"""),46051.5625)</f>
        <v>46051.5625</v>
      </c>
      <c r="C67" s="190">
        <f>IFERROR(__xludf.DUMMYFUNCTION("""COMPUTED_VALUE"""),29.05)</f>
        <v>29.05</v>
      </c>
      <c r="D67" s="190">
        <f>IFERROR(__xludf.DUMMYFUNCTION("""COMPUTED_VALUE"""),29.35)</f>
        <v>29.35</v>
      </c>
      <c r="E67" s="190">
        <f>IFERROR(__xludf.DUMMYFUNCTION("""COMPUTED_VALUE"""),28.9)</f>
        <v>28.9</v>
      </c>
      <c r="F67" s="190">
        <f>IFERROR(__xludf.DUMMYFUNCTION("""COMPUTED_VALUE"""),29.35)</f>
        <v>29.35</v>
      </c>
      <c r="G67" s="191">
        <f>IFERROR(__xludf.DUMMYFUNCTION("""COMPUTED_VALUE"""),7323925.0)</f>
        <v>7323925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</row>
    <row r="68" ht="17.25" customHeight="1">
      <c r="A68" s="112"/>
      <c r="B68" s="189">
        <f>IFERROR(__xludf.DUMMYFUNCTION("""COMPUTED_VALUE"""),46052.5625)</f>
        <v>46052.5625</v>
      </c>
      <c r="C68" s="190">
        <f>IFERROR(__xludf.DUMMYFUNCTION("""COMPUTED_VALUE"""),29.4)</f>
        <v>29.4</v>
      </c>
      <c r="D68" s="190">
        <f>IFERROR(__xludf.DUMMYFUNCTION("""COMPUTED_VALUE"""),29.45)</f>
        <v>29.45</v>
      </c>
      <c r="E68" s="190">
        <f>IFERROR(__xludf.DUMMYFUNCTION("""COMPUTED_VALUE"""),28.8)</f>
        <v>28.8</v>
      </c>
      <c r="F68" s="190">
        <f>IFERROR(__xludf.DUMMYFUNCTION("""COMPUTED_VALUE"""),28.8)</f>
        <v>28.8</v>
      </c>
      <c r="G68" s="191">
        <f>IFERROR(__xludf.DUMMYFUNCTION("""COMPUTED_VALUE"""),1.0509648E7)</f>
        <v>10509648</v>
      </c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</row>
    <row r="69" ht="17.25" customHeight="1">
      <c r="A69" s="112"/>
      <c r="B69" s="189">
        <f>IFERROR(__xludf.DUMMYFUNCTION("""COMPUTED_VALUE"""),46055.5625)</f>
        <v>46055.5625</v>
      </c>
      <c r="C69" s="190">
        <f>IFERROR(__xludf.DUMMYFUNCTION("""COMPUTED_VALUE"""),28.85)</f>
        <v>28.85</v>
      </c>
      <c r="D69" s="190">
        <f>IFERROR(__xludf.DUMMYFUNCTION("""COMPUTED_VALUE"""),28.9)</f>
        <v>28.9</v>
      </c>
      <c r="E69" s="190">
        <f>IFERROR(__xludf.DUMMYFUNCTION("""COMPUTED_VALUE"""),28.5)</f>
        <v>28.5</v>
      </c>
      <c r="F69" s="190">
        <f>IFERROR(__xludf.DUMMYFUNCTION("""COMPUTED_VALUE"""),28.7)</f>
        <v>28.7</v>
      </c>
      <c r="G69" s="191">
        <f>IFERROR(__xludf.DUMMYFUNCTION("""COMPUTED_VALUE"""),7095440.0)</f>
        <v>7095440</v>
      </c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</row>
    <row r="70" ht="17.25" customHeight="1">
      <c r="A70" s="112"/>
      <c r="B70" s="189">
        <f>IFERROR(__xludf.DUMMYFUNCTION("""COMPUTED_VALUE"""),46056.5625)</f>
        <v>46056.5625</v>
      </c>
      <c r="C70" s="190">
        <f>IFERROR(__xludf.DUMMYFUNCTION("""COMPUTED_VALUE"""),28.85)</f>
        <v>28.85</v>
      </c>
      <c r="D70" s="190">
        <f>IFERROR(__xludf.DUMMYFUNCTION("""COMPUTED_VALUE"""),28.95)</f>
        <v>28.95</v>
      </c>
      <c r="E70" s="190">
        <f>IFERROR(__xludf.DUMMYFUNCTION("""COMPUTED_VALUE"""),28.15)</f>
        <v>28.15</v>
      </c>
      <c r="F70" s="190">
        <f>IFERROR(__xludf.DUMMYFUNCTION("""COMPUTED_VALUE"""),28.2)</f>
        <v>28.2</v>
      </c>
      <c r="G70" s="191">
        <f>IFERROR(__xludf.DUMMYFUNCTION("""COMPUTED_VALUE"""),1.1524247E7)</f>
        <v>11524247</v>
      </c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</row>
    <row r="71" ht="17.25" customHeight="1">
      <c r="A71" s="112"/>
      <c r="B71" s="189">
        <f>IFERROR(__xludf.DUMMYFUNCTION("""COMPUTED_VALUE"""),46057.5625)</f>
        <v>46057.5625</v>
      </c>
      <c r="C71" s="190">
        <f>IFERROR(__xludf.DUMMYFUNCTION("""COMPUTED_VALUE"""),28.2)</f>
        <v>28.2</v>
      </c>
      <c r="D71" s="190">
        <f>IFERROR(__xludf.DUMMYFUNCTION("""COMPUTED_VALUE"""),28.75)</f>
        <v>28.75</v>
      </c>
      <c r="E71" s="190">
        <f>IFERROR(__xludf.DUMMYFUNCTION("""COMPUTED_VALUE"""),28.05)</f>
        <v>28.05</v>
      </c>
      <c r="F71" s="190">
        <f>IFERROR(__xludf.DUMMYFUNCTION("""COMPUTED_VALUE"""),28.65)</f>
        <v>28.65</v>
      </c>
      <c r="G71" s="191">
        <f>IFERROR(__xludf.DUMMYFUNCTION("""COMPUTED_VALUE"""),3298919.0)</f>
        <v>3298919</v>
      </c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</row>
    <row r="72" ht="17.25" customHeight="1">
      <c r="A72" s="112"/>
      <c r="B72" s="189">
        <f>IFERROR(__xludf.DUMMYFUNCTION("""COMPUTED_VALUE"""),46058.5625)</f>
        <v>46058.5625</v>
      </c>
      <c r="C72" s="190">
        <f>IFERROR(__xludf.DUMMYFUNCTION("""COMPUTED_VALUE"""),28.75)</f>
        <v>28.75</v>
      </c>
      <c r="D72" s="190">
        <f>IFERROR(__xludf.DUMMYFUNCTION("""COMPUTED_VALUE"""),29.2)</f>
        <v>29.2</v>
      </c>
      <c r="E72" s="190">
        <f>IFERROR(__xludf.DUMMYFUNCTION("""COMPUTED_VALUE"""),28.75)</f>
        <v>28.75</v>
      </c>
      <c r="F72" s="190">
        <f>IFERROR(__xludf.DUMMYFUNCTION("""COMPUTED_VALUE"""),29.05)</f>
        <v>29.05</v>
      </c>
      <c r="G72" s="191">
        <f>IFERROR(__xludf.DUMMYFUNCTION("""COMPUTED_VALUE"""),5170608.0)</f>
        <v>5170608</v>
      </c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</row>
    <row r="73" ht="17.25" customHeight="1">
      <c r="A73" s="112"/>
      <c r="B73" s="189">
        <f>IFERROR(__xludf.DUMMYFUNCTION("""COMPUTED_VALUE"""),46059.5625)</f>
        <v>46059.5625</v>
      </c>
      <c r="C73" s="190">
        <f>IFERROR(__xludf.DUMMYFUNCTION("""COMPUTED_VALUE"""),29.0)</f>
        <v>29</v>
      </c>
      <c r="D73" s="190">
        <f>IFERROR(__xludf.DUMMYFUNCTION("""COMPUTED_VALUE"""),29.0)</f>
        <v>29</v>
      </c>
      <c r="E73" s="190">
        <f>IFERROR(__xludf.DUMMYFUNCTION("""COMPUTED_VALUE"""),28.5)</f>
        <v>28.5</v>
      </c>
      <c r="F73" s="190">
        <f>IFERROR(__xludf.DUMMYFUNCTION("""COMPUTED_VALUE"""),28.8)</f>
        <v>28.8</v>
      </c>
      <c r="G73" s="191">
        <f>IFERROR(__xludf.DUMMYFUNCTION("""COMPUTED_VALUE"""),3573413.0)</f>
        <v>3573413</v>
      </c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</row>
    <row r="74" ht="17.25" customHeight="1">
      <c r="A74" s="112"/>
      <c r="B74" s="189">
        <f>IFERROR(__xludf.DUMMYFUNCTION("""COMPUTED_VALUE"""),46062.5625)</f>
        <v>46062.5625</v>
      </c>
      <c r="C74" s="190">
        <f>IFERROR(__xludf.DUMMYFUNCTION("""COMPUTED_VALUE"""),29.0)</f>
        <v>29</v>
      </c>
      <c r="D74" s="190">
        <f>IFERROR(__xludf.DUMMYFUNCTION("""COMPUTED_VALUE"""),29.0)</f>
        <v>29</v>
      </c>
      <c r="E74" s="190">
        <f>IFERROR(__xludf.DUMMYFUNCTION("""COMPUTED_VALUE"""),28.65)</f>
        <v>28.65</v>
      </c>
      <c r="F74" s="190">
        <f>IFERROR(__xludf.DUMMYFUNCTION("""COMPUTED_VALUE"""),28.95)</f>
        <v>28.95</v>
      </c>
      <c r="G74" s="191">
        <f>IFERROR(__xludf.DUMMYFUNCTION("""COMPUTED_VALUE"""),3178035.0)</f>
        <v>3178035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</row>
    <row r="75" ht="17.25" customHeight="1">
      <c r="A75" s="112"/>
      <c r="B75" s="189">
        <f>IFERROR(__xludf.DUMMYFUNCTION("""COMPUTED_VALUE"""),46063.5625)</f>
        <v>46063.5625</v>
      </c>
      <c r="C75" s="190">
        <f>IFERROR(__xludf.DUMMYFUNCTION("""COMPUTED_VALUE"""),28.95)</f>
        <v>28.95</v>
      </c>
      <c r="D75" s="190">
        <f>IFERROR(__xludf.DUMMYFUNCTION("""COMPUTED_VALUE"""),29.1)</f>
        <v>29.1</v>
      </c>
      <c r="E75" s="190">
        <f>IFERROR(__xludf.DUMMYFUNCTION("""COMPUTED_VALUE"""),28.75)</f>
        <v>28.75</v>
      </c>
      <c r="F75" s="190">
        <f>IFERROR(__xludf.DUMMYFUNCTION("""COMPUTED_VALUE"""),29.1)</f>
        <v>29.1</v>
      </c>
      <c r="G75" s="191">
        <f>IFERROR(__xludf.DUMMYFUNCTION("""COMPUTED_VALUE"""),4516894.0)</f>
        <v>4516894</v>
      </c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</row>
    <row r="76" ht="17.25" customHeight="1">
      <c r="A76" s="112"/>
      <c r="B76" s="189">
        <f>IFERROR(__xludf.DUMMYFUNCTION("""COMPUTED_VALUE"""),46064.5625)</f>
        <v>46064.5625</v>
      </c>
      <c r="C76" s="190">
        <f>IFERROR(__xludf.DUMMYFUNCTION("""COMPUTED_VALUE"""),29.2)</f>
        <v>29.2</v>
      </c>
      <c r="D76" s="190">
        <f>IFERROR(__xludf.DUMMYFUNCTION("""COMPUTED_VALUE"""),29.3)</f>
        <v>29.3</v>
      </c>
      <c r="E76" s="190">
        <f>IFERROR(__xludf.DUMMYFUNCTION("""COMPUTED_VALUE"""),29.0)</f>
        <v>29</v>
      </c>
      <c r="F76" s="190">
        <f>IFERROR(__xludf.DUMMYFUNCTION("""COMPUTED_VALUE"""),29.15)</f>
        <v>29.15</v>
      </c>
      <c r="G76" s="191">
        <f>IFERROR(__xludf.DUMMYFUNCTION("""COMPUTED_VALUE"""),4357816.0)</f>
        <v>4357816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</row>
    <row r="77" ht="17.25" customHeight="1">
      <c r="A77" s="112"/>
      <c r="B77" s="189">
        <f>IFERROR(__xludf.DUMMYFUNCTION("""COMPUTED_VALUE"""),46076.5625)</f>
        <v>46076.5625</v>
      </c>
      <c r="C77" s="190">
        <f>IFERROR(__xludf.DUMMYFUNCTION("""COMPUTED_VALUE"""),29.45)</f>
        <v>29.45</v>
      </c>
      <c r="D77" s="190">
        <f>IFERROR(__xludf.DUMMYFUNCTION("""COMPUTED_VALUE"""),29.8)</f>
        <v>29.8</v>
      </c>
      <c r="E77" s="190">
        <f>IFERROR(__xludf.DUMMYFUNCTION("""COMPUTED_VALUE"""),29.25)</f>
        <v>29.25</v>
      </c>
      <c r="F77" s="190">
        <f>IFERROR(__xludf.DUMMYFUNCTION("""COMPUTED_VALUE"""),29.6)</f>
        <v>29.6</v>
      </c>
      <c r="G77" s="191">
        <f>IFERROR(__xludf.DUMMYFUNCTION("""COMPUTED_VALUE"""),1.0602959E7)</f>
        <v>10602959</v>
      </c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</row>
    <row r="78" ht="17.25" customHeight="1">
      <c r="A78" s="112"/>
      <c r="B78" s="189">
        <f>IFERROR(__xludf.DUMMYFUNCTION("""COMPUTED_VALUE"""),46077.5625)</f>
        <v>46077.5625</v>
      </c>
      <c r="C78" s="190">
        <f>IFERROR(__xludf.DUMMYFUNCTION("""COMPUTED_VALUE"""),29.6)</f>
        <v>29.6</v>
      </c>
      <c r="D78" s="190">
        <f>IFERROR(__xludf.DUMMYFUNCTION("""COMPUTED_VALUE"""),29.85)</f>
        <v>29.85</v>
      </c>
      <c r="E78" s="190">
        <f>IFERROR(__xludf.DUMMYFUNCTION("""COMPUTED_VALUE"""),29.4)</f>
        <v>29.4</v>
      </c>
      <c r="F78" s="190">
        <f>IFERROR(__xludf.DUMMYFUNCTION("""COMPUTED_VALUE"""),29.5)</f>
        <v>29.5</v>
      </c>
      <c r="G78" s="191">
        <f>IFERROR(__xludf.DUMMYFUNCTION("""COMPUTED_VALUE"""),4680554.0)</f>
        <v>4680554</v>
      </c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</row>
    <row r="79" ht="17.25" customHeight="1">
      <c r="A79" s="112"/>
      <c r="B79" s="189">
        <f>IFERROR(__xludf.DUMMYFUNCTION("""COMPUTED_VALUE"""),46078.5625)</f>
        <v>46078.5625</v>
      </c>
      <c r="C79" s="190">
        <f>IFERROR(__xludf.DUMMYFUNCTION("""COMPUTED_VALUE"""),29.55)</f>
        <v>29.55</v>
      </c>
      <c r="D79" s="190">
        <f>IFERROR(__xludf.DUMMYFUNCTION("""COMPUTED_VALUE"""),29.65)</f>
        <v>29.65</v>
      </c>
      <c r="E79" s="190">
        <f>IFERROR(__xludf.DUMMYFUNCTION("""COMPUTED_VALUE"""),29.3)</f>
        <v>29.3</v>
      </c>
      <c r="F79" s="190">
        <f>IFERROR(__xludf.DUMMYFUNCTION("""COMPUTED_VALUE"""),29.5)</f>
        <v>29.5</v>
      </c>
      <c r="G79" s="191">
        <f>IFERROR(__xludf.DUMMYFUNCTION("""COMPUTED_VALUE"""),7756845.0)</f>
        <v>7756845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</row>
    <row r="80" ht="17.25" customHeight="1">
      <c r="A80" s="112"/>
      <c r="B80" s="189">
        <f>IFERROR(__xludf.DUMMYFUNCTION("""COMPUTED_VALUE"""),46079.5625)</f>
        <v>46079.5625</v>
      </c>
      <c r="C80" s="190">
        <f>IFERROR(__xludf.DUMMYFUNCTION("""COMPUTED_VALUE"""),29.5)</f>
        <v>29.5</v>
      </c>
      <c r="D80" s="190">
        <f>IFERROR(__xludf.DUMMYFUNCTION("""COMPUTED_VALUE"""),29.8)</f>
        <v>29.8</v>
      </c>
      <c r="E80" s="190">
        <f>IFERROR(__xludf.DUMMYFUNCTION("""COMPUTED_VALUE"""),29.4)</f>
        <v>29.4</v>
      </c>
      <c r="F80" s="190">
        <f>IFERROR(__xludf.DUMMYFUNCTION("""COMPUTED_VALUE"""),29.5)</f>
        <v>29.5</v>
      </c>
      <c r="G80" s="191">
        <f>IFERROR(__xludf.DUMMYFUNCTION("""COMPUTED_VALUE"""),6003153.0)</f>
        <v>6003153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</row>
    <row r="81" ht="17.25" customHeight="1">
      <c r="A81" s="112"/>
      <c r="B81" s="189">
        <f>IFERROR(__xludf.DUMMYFUNCTION("""COMPUTED_VALUE"""),46083.5625)</f>
        <v>46083.5625</v>
      </c>
      <c r="C81" s="190">
        <f>IFERROR(__xludf.DUMMYFUNCTION("""COMPUTED_VALUE"""),29.4)</f>
        <v>29.4</v>
      </c>
      <c r="D81" s="190">
        <f>IFERROR(__xludf.DUMMYFUNCTION("""COMPUTED_VALUE"""),29.85)</f>
        <v>29.85</v>
      </c>
      <c r="E81" s="190">
        <f>IFERROR(__xludf.DUMMYFUNCTION("""COMPUTED_VALUE"""),29.1)</f>
        <v>29.1</v>
      </c>
      <c r="F81" s="190">
        <f>IFERROR(__xludf.DUMMYFUNCTION("""COMPUTED_VALUE"""),29.85)</f>
        <v>29.85</v>
      </c>
      <c r="G81" s="191">
        <f>IFERROR(__xludf.DUMMYFUNCTION("""COMPUTED_VALUE"""),6959820.0)</f>
        <v>6959820</v>
      </c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</row>
    <row r="82" ht="17.25" customHeight="1">
      <c r="A82" s="112"/>
      <c r="B82" s="189">
        <f>IFERROR(__xludf.DUMMYFUNCTION("""COMPUTED_VALUE"""),46084.5625)</f>
        <v>46084.5625</v>
      </c>
      <c r="C82" s="190">
        <f>IFERROR(__xludf.DUMMYFUNCTION("""COMPUTED_VALUE"""),29.6)</f>
        <v>29.6</v>
      </c>
      <c r="D82" s="190">
        <f>IFERROR(__xludf.DUMMYFUNCTION("""COMPUTED_VALUE"""),29.8)</f>
        <v>29.8</v>
      </c>
      <c r="E82" s="190">
        <f>IFERROR(__xludf.DUMMYFUNCTION("""COMPUTED_VALUE"""),29.15)</f>
        <v>29.15</v>
      </c>
      <c r="F82" s="190">
        <f>IFERROR(__xludf.DUMMYFUNCTION("""COMPUTED_VALUE"""),29.2)</f>
        <v>29.2</v>
      </c>
      <c r="G82" s="191">
        <f>IFERROR(__xludf.DUMMYFUNCTION("""COMPUTED_VALUE"""),5334604.0)</f>
        <v>5334604</v>
      </c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</row>
    <row r="83" ht="17.25" customHeight="1">
      <c r="A83" s="112"/>
      <c r="B83" s="189">
        <f>IFERROR(__xludf.DUMMYFUNCTION("""COMPUTED_VALUE"""),46085.5625)</f>
        <v>46085.5625</v>
      </c>
      <c r="C83" s="190">
        <f>IFERROR(__xludf.DUMMYFUNCTION("""COMPUTED_VALUE"""),28.95)</f>
        <v>28.95</v>
      </c>
      <c r="D83" s="190">
        <f>IFERROR(__xludf.DUMMYFUNCTION("""COMPUTED_VALUE"""),28.95)</f>
        <v>28.95</v>
      </c>
      <c r="E83" s="190">
        <f>IFERROR(__xludf.DUMMYFUNCTION("""COMPUTED_VALUE"""),28.05)</f>
        <v>28.05</v>
      </c>
      <c r="F83" s="190">
        <f>IFERROR(__xludf.DUMMYFUNCTION("""COMPUTED_VALUE"""),28.05)</f>
        <v>28.05</v>
      </c>
      <c r="G83" s="191">
        <f>IFERROR(__xludf.DUMMYFUNCTION("""COMPUTED_VALUE"""),1.1355024E7)</f>
        <v>11355024</v>
      </c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</row>
    <row r="84" ht="17.25" customHeight="1">
      <c r="A84" s="112"/>
      <c r="B84" s="189">
        <f>IFERROR(__xludf.DUMMYFUNCTION("""COMPUTED_VALUE"""),46086.5625)</f>
        <v>46086.5625</v>
      </c>
      <c r="C84" s="190">
        <f>IFERROR(__xludf.DUMMYFUNCTION("""COMPUTED_VALUE"""),28.4)</f>
        <v>28.4</v>
      </c>
      <c r="D84" s="190">
        <f>IFERROR(__xludf.DUMMYFUNCTION("""COMPUTED_VALUE"""),28.5)</f>
        <v>28.5</v>
      </c>
      <c r="E84" s="190">
        <f>IFERROR(__xludf.DUMMYFUNCTION("""COMPUTED_VALUE"""),28.15)</f>
        <v>28.15</v>
      </c>
      <c r="F84" s="190">
        <f>IFERROR(__xludf.DUMMYFUNCTION("""COMPUTED_VALUE"""),28.25)</f>
        <v>28.25</v>
      </c>
      <c r="G84" s="191">
        <f>IFERROR(__xludf.DUMMYFUNCTION("""COMPUTED_VALUE"""),5585505.0)</f>
        <v>5585505</v>
      </c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</row>
    <row r="85" ht="17.25" customHeight="1">
      <c r="A85" s="112"/>
      <c r="B85" s="189">
        <f>IFERROR(__xludf.DUMMYFUNCTION("""COMPUTED_VALUE"""),46087.5625)</f>
        <v>46087.5625</v>
      </c>
      <c r="C85" s="190">
        <f>IFERROR(__xludf.DUMMYFUNCTION("""COMPUTED_VALUE"""),28.15)</f>
        <v>28.15</v>
      </c>
      <c r="D85" s="190">
        <f>IFERROR(__xludf.DUMMYFUNCTION("""COMPUTED_VALUE"""),28.65)</f>
        <v>28.65</v>
      </c>
      <c r="E85" s="190">
        <f>IFERROR(__xludf.DUMMYFUNCTION("""COMPUTED_VALUE"""),28.0)</f>
        <v>28</v>
      </c>
      <c r="F85" s="190">
        <f>IFERROR(__xludf.DUMMYFUNCTION("""COMPUTED_VALUE"""),28.5)</f>
        <v>28.5</v>
      </c>
      <c r="G85" s="191">
        <f>IFERROR(__xludf.DUMMYFUNCTION("""COMPUTED_VALUE"""),3305360.0)</f>
        <v>3305360</v>
      </c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</row>
    <row r="86" ht="17.25" customHeight="1">
      <c r="A86" s="112"/>
      <c r="B86" s="189">
        <f>IFERROR(__xludf.DUMMYFUNCTION("""COMPUTED_VALUE"""),46090.5625)</f>
        <v>46090.5625</v>
      </c>
      <c r="C86" s="190">
        <f>IFERROR(__xludf.DUMMYFUNCTION("""COMPUTED_VALUE"""),27.1)</f>
        <v>27.1</v>
      </c>
      <c r="D86" s="190">
        <f>IFERROR(__xludf.DUMMYFUNCTION("""COMPUTED_VALUE"""),27.9)</f>
        <v>27.9</v>
      </c>
      <c r="E86" s="190">
        <f>IFERROR(__xludf.DUMMYFUNCTION("""COMPUTED_VALUE"""),27.1)</f>
        <v>27.1</v>
      </c>
      <c r="F86" s="190">
        <f>IFERROR(__xludf.DUMMYFUNCTION("""COMPUTED_VALUE"""),27.55)</f>
        <v>27.55</v>
      </c>
      <c r="G86" s="191">
        <f>IFERROR(__xludf.DUMMYFUNCTION("""COMPUTED_VALUE"""),8276094.0)</f>
        <v>8276094</v>
      </c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</row>
    <row r="87" ht="17.25" customHeight="1">
      <c r="A87" s="112"/>
      <c r="B87" s="189">
        <f>IFERROR(__xludf.DUMMYFUNCTION("""COMPUTED_VALUE"""),46091.5625)</f>
        <v>46091.5625</v>
      </c>
      <c r="C87" s="190">
        <f>IFERROR(__xludf.DUMMYFUNCTION("""COMPUTED_VALUE"""),27.9)</f>
        <v>27.9</v>
      </c>
      <c r="D87" s="190">
        <f>IFERROR(__xludf.DUMMYFUNCTION("""COMPUTED_VALUE"""),28.05)</f>
        <v>28.05</v>
      </c>
      <c r="E87" s="190">
        <f>IFERROR(__xludf.DUMMYFUNCTION("""COMPUTED_VALUE"""),27.7)</f>
        <v>27.7</v>
      </c>
      <c r="F87" s="190">
        <f>IFERROR(__xludf.DUMMYFUNCTION("""COMPUTED_VALUE"""),27.9)</f>
        <v>27.9</v>
      </c>
      <c r="G87" s="191">
        <f>IFERROR(__xludf.DUMMYFUNCTION("""COMPUTED_VALUE"""),5036318.0)</f>
        <v>5036318</v>
      </c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</row>
    <row r="88" ht="17.25" customHeight="1">
      <c r="A88" s="112"/>
      <c r="B88" s="189">
        <f>IFERROR(__xludf.DUMMYFUNCTION("""COMPUTED_VALUE"""),46092.5625)</f>
        <v>46092.5625</v>
      </c>
      <c r="C88" s="190">
        <f>IFERROR(__xludf.DUMMYFUNCTION("""COMPUTED_VALUE"""),28.0)</f>
        <v>28</v>
      </c>
      <c r="D88" s="190">
        <f>IFERROR(__xludf.DUMMYFUNCTION("""COMPUTED_VALUE"""),28.3)</f>
        <v>28.3</v>
      </c>
      <c r="E88" s="190">
        <f>IFERROR(__xludf.DUMMYFUNCTION("""COMPUTED_VALUE"""),27.85)</f>
        <v>27.85</v>
      </c>
      <c r="F88" s="190">
        <f>IFERROR(__xludf.DUMMYFUNCTION("""COMPUTED_VALUE"""),27.95)</f>
        <v>27.95</v>
      </c>
      <c r="G88" s="191">
        <f>IFERROR(__xludf.DUMMYFUNCTION("""COMPUTED_VALUE"""),6831348.0)</f>
        <v>6831348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</row>
    <row r="89" ht="17.25" customHeight="1">
      <c r="A89" s="112"/>
      <c r="B89" s="189">
        <f>IFERROR(__xludf.DUMMYFUNCTION("""COMPUTED_VALUE"""),46093.5625)</f>
        <v>46093.5625</v>
      </c>
      <c r="C89" s="190">
        <f>IFERROR(__xludf.DUMMYFUNCTION("""COMPUTED_VALUE"""),28.0)</f>
        <v>28</v>
      </c>
      <c r="D89" s="190">
        <f>IFERROR(__xludf.DUMMYFUNCTION("""COMPUTED_VALUE"""),28.1)</f>
        <v>28.1</v>
      </c>
      <c r="E89" s="190">
        <f>IFERROR(__xludf.DUMMYFUNCTION("""COMPUTED_VALUE"""),27.85)</f>
        <v>27.85</v>
      </c>
      <c r="F89" s="190">
        <f>IFERROR(__xludf.DUMMYFUNCTION("""COMPUTED_VALUE"""),28.05)</f>
        <v>28.05</v>
      </c>
      <c r="G89" s="191">
        <f>IFERROR(__xludf.DUMMYFUNCTION("""COMPUTED_VALUE"""),4190529.0)</f>
        <v>4190529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</row>
    <row r="90" ht="17.25" customHeight="1">
      <c r="A90" s="112"/>
      <c r="B90" s="189">
        <f>IFERROR(__xludf.DUMMYFUNCTION("""COMPUTED_VALUE"""),46094.5625)</f>
        <v>46094.5625</v>
      </c>
      <c r="C90" s="190">
        <f>IFERROR(__xludf.DUMMYFUNCTION("""COMPUTED_VALUE"""),27.8)</f>
        <v>27.8</v>
      </c>
      <c r="D90" s="190">
        <f>IFERROR(__xludf.DUMMYFUNCTION("""COMPUTED_VALUE"""),27.95)</f>
        <v>27.95</v>
      </c>
      <c r="E90" s="190">
        <f>IFERROR(__xludf.DUMMYFUNCTION("""COMPUTED_VALUE"""),27.7)</f>
        <v>27.7</v>
      </c>
      <c r="F90" s="190">
        <f>IFERROR(__xludf.DUMMYFUNCTION("""COMPUTED_VALUE"""),27.9)</f>
        <v>27.9</v>
      </c>
      <c r="G90" s="191">
        <f>IFERROR(__xludf.DUMMYFUNCTION("""COMPUTED_VALUE"""),4178817.0)</f>
        <v>4178817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</row>
    <row r="91" ht="17.25" customHeight="1">
      <c r="A91" s="112"/>
      <c r="B91" s="189">
        <f>IFERROR(__xludf.DUMMYFUNCTION("""COMPUTED_VALUE"""),46097.5625)</f>
        <v>46097.5625</v>
      </c>
      <c r="C91" s="190">
        <f>IFERROR(__xludf.DUMMYFUNCTION("""COMPUTED_VALUE"""),27.5)</f>
        <v>27.5</v>
      </c>
      <c r="D91" s="190">
        <f>IFERROR(__xludf.DUMMYFUNCTION("""COMPUTED_VALUE"""),27.5)</f>
        <v>27.5</v>
      </c>
      <c r="E91" s="190">
        <f>IFERROR(__xludf.DUMMYFUNCTION("""COMPUTED_VALUE"""),26.5)</f>
        <v>26.5</v>
      </c>
      <c r="F91" s="190">
        <f>IFERROR(__xludf.DUMMYFUNCTION("""COMPUTED_VALUE"""),26.7)</f>
        <v>26.7</v>
      </c>
      <c r="G91" s="191">
        <f>IFERROR(__xludf.DUMMYFUNCTION("""COMPUTED_VALUE"""),1.7600469E7)</f>
        <v>17600469</v>
      </c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</row>
    <row r="92" ht="17.25" customHeight="1">
      <c r="A92" s="112"/>
      <c r="B92" s="189">
        <f>IFERROR(__xludf.DUMMYFUNCTION("""COMPUTED_VALUE"""),46098.5625)</f>
        <v>46098.5625</v>
      </c>
      <c r="C92" s="190">
        <f>IFERROR(__xludf.DUMMYFUNCTION("""COMPUTED_VALUE"""),27.0)</f>
        <v>27</v>
      </c>
      <c r="D92" s="190">
        <f>IFERROR(__xludf.DUMMYFUNCTION("""COMPUTED_VALUE"""),27.1)</f>
        <v>27.1</v>
      </c>
      <c r="E92" s="190">
        <f>IFERROR(__xludf.DUMMYFUNCTION("""COMPUTED_VALUE"""),26.75)</f>
        <v>26.75</v>
      </c>
      <c r="F92" s="190">
        <f>IFERROR(__xludf.DUMMYFUNCTION("""COMPUTED_VALUE"""),26.9)</f>
        <v>26.9</v>
      </c>
      <c r="G92" s="191">
        <f>IFERROR(__xludf.DUMMYFUNCTION("""COMPUTED_VALUE"""),6267427.0)</f>
        <v>6267427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ht="17.25" customHeight="1">
      <c r="A93" s="112"/>
      <c r="B93" s="189">
        <f>IFERROR(__xludf.DUMMYFUNCTION("""COMPUTED_VALUE"""),46099.5625)</f>
        <v>46099.5625</v>
      </c>
      <c r="C93" s="190">
        <f>IFERROR(__xludf.DUMMYFUNCTION("""COMPUTED_VALUE"""),27.1)</f>
        <v>27.1</v>
      </c>
      <c r="D93" s="190">
        <f>IFERROR(__xludf.DUMMYFUNCTION("""COMPUTED_VALUE"""),27.1)</f>
        <v>27.1</v>
      </c>
      <c r="E93" s="190">
        <f>IFERROR(__xludf.DUMMYFUNCTION("""COMPUTED_VALUE"""),26.55)</f>
        <v>26.55</v>
      </c>
      <c r="F93" s="190">
        <f>IFERROR(__xludf.DUMMYFUNCTION("""COMPUTED_VALUE"""),26.7)</f>
        <v>26.7</v>
      </c>
      <c r="G93" s="191">
        <f>IFERROR(__xludf.DUMMYFUNCTION("""COMPUTED_VALUE"""),1.0209394E7)</f>
        <v>10209394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ht="17.25" customHeight="1">
      <c r="A94" s="112"/>
      <c r="B94" s="189">
        <f>IFERROR(__xludf.DUMMYFUNCTION("""COMPUTED_VALUE"""),46100.5625)</f>
        <v>46100.5625</v>
      </c>
      <c r="C94" s="190">
        <f>IFERROR(__xludf.DUMMYFUNCTION("""COMPUTED_VALUE"""),26.6)</f>
        <v>26.6</v>
      </c>
      <c r="D94" s="190">
        <f>IFERROR(__xludf.DUMMYFUNCTION("""COMPUTED_VALUE"""),26.6)</f>
        <v>26.6</v>
      </c>
      <c r="E94" s="190">
        <f>IFERROR(__xludf.DUMMYFUNCTION("""COMPUTED_VALUE"""),26.1)</f>
        <v>26.1</v>
      </c>
      <c r="F94" s="190">
        <f>IFERROR(__xludf.DUMMYFUNCTION("""COMPUTED_VALUE"""),26.3)</f>
        <v>26.3</v>
      </c>
      <c r="G94" s="191">
        <f>IFERROR(__xludf.DUMMYFUNCTION("""COMPUTED_VALUE"""),1.209844E7)</f>
        <v>12098440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</row>
    <row r="95" ht="17.25" customHeight="1">
      <c r="A95" s="112"/>
      <c r="B95" s="189">
        <f>IFERROR(__xludf.DUMMYFUNCTION("""COMPUTED_VALUE"""),46101.5625)</f>
        <v>46101.5625</v>
      </c>
      <c r="C95" s="190">
        <f>IFERROR(__xludf.DUMMYFUNCTION("""COMPUTED_VALUE"""),26.5)</f>
        <v>26.5</v>
      </c>
      <c r="D95" s="190">
        <f>IFERROR(__xludf.DUMMYFUNCTION("""COMPUTED_VALUE"""),26.7)</f>
        <v>26.7</v>
      </c>
      <c r="E95" s="190">
        <f>IFERROR(__xludf.DUMMYFUNCTION("""COMPUTED_VALUE"""),25.95)</f>
        <v>25.95</v>
      </c>
      <c r="F95" s="190">
        <f>IFERROR(__xludf.DUMMYFUNCTION("""COMPUTED_VALUE"""),25.95)</f>
        <v>25.95</v>
      </c>
      <c r="G95" s="191">
        <f>IFERROR(__xludf.DUMMYFUNCTION("""COMPUTED_VALUE"""),1.176511E7)</f>
        <v>11765110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</row>
    <row r="96" ht="17.25" customHeight="1">
      <c r="A96" s="112"/>
      <c r="B96" s="189">
        <f>IFERROR(__xludf.DUMMYFUNCTION("""COMPUTED_VALUE"""),46104.5625)</f>
        <v>46104.5625</v>
      </c>
      <c r="C96" s="190">
        <f>IFERROR(__xludf.DUMMYFUNCTION("""COMPUTED_VALUE"""),25.55)</f>
        <v>25.55</v>
      </c>
      <c r="D96" s="190">
        <f>IFERROR(__xludf.DUMMYFUNCTION("""COMPUTED_VALUE"""),25.6)</f>
        <v>25.6</v>
      </c>
      <c r="E96" s="190">
        <f>IFERROR(__xludf.DUMMYFUNCTION("""COMPUTED_VALUE"""),24.9)</f>
        <v>24.9</v>
      </c>
      <c r="F96" s="190">
        <f>IFERROR(__xludf.DUMMYFUNCTION("""COMPUTED_VALUE"""),24.95)</f>
        <v>24.95</v>
      </c>
      <c r="G96" s="191">
        <f>IFERROR(__xludf.DUMMYFUNCTION("""COMPUTED_VALUE"""),1.3373832E7)</f>
        <v>13373832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</row>
    <row r="97" ht="17.25" customHeight="1">
      <c r="A97" s="112"/>
      <c r="B97" s="189">
        <f>IFERROR(__xludf.DUMMYFUNCTION("""COMPUTED_VALUE"""),46105.5625)</f>
        <v>46105.5625</v>
      </c>
      <c r="C97" s="190">
        <f>IFERROR(__xludf.DUMMYFUNCTION("""COMPUTED_VALUE"""),25.15)</f>
        <v>25.15</v>
      </c>
      <c r="D97" s="190">
        <f>IFERROR(__xludf.DUMMYFUNCTION("""COMPUTED_VALUE"""),25.25)</f>
        <v>25.25</v>
      </c>
      <c r="E97" s="190">
        <f>IFERROR(__xludf.DUMMYFUNCTION("""COMPUTED_VALUE"""),24.5)</f>
        <v>24.5</v>
      </c>
      <c r="F97" s="190">
        <f>IFERROR(__xludf.DUMMYFUNCTION("""COMPUTED_VALUE"""),24.85)</f>
        <v>24.85</v>
      </c>
      <c r="G97" s="191">
        <f>IFERROR(__xludf.DUMMYFUNCTION("""COMPUTED_VALUE"""),8330477.0)</f>
        <v>8330477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ht="17.25" customHeight="1">
      <c r="A98" s="112"/>
      <c r="B98" s="189">
        <f>IFERROR(__xludf.DUMMYFUNCTION("""COMPUTED_VALUE"""),46106.5625)</f>
        <v>46106.5625</v>
      </c>
      <c r="C98" s="190">
        <f>IFERROR(__xludf.DUMMYFUNCTION("""COMPUTED_VALUE"""),25.45)</f>
        <v>25.45</v>
      </c>
      <c r="D98" s="190">
        <f>IFERROR(__xludf.DUMMYFUNCTION("""COMPUTED_VALUE"""),25.55)</f>
        <v>25.55</v>
      </c>
      <c r="E98" s="190">
        <f>IFERROR(__xludf.DUMMYFUNCTION("""COMPUTED_VALUE"""),25.05)</f>
        <v>25.05</v>
      </c>
      <c r="F98" s="190">
        <f>IFERROR(__xludf.DUMMYFUNCTION("""COMPUTED_VALUE"""),25.35)</f>
        <v>25.35</v>
      </c>
      <c r="G98" s="191">
        <f>IFERROR(__xludf.DUMMYFUNCTION("""COMPUTED_VALUE"""),5191986.0)</f>
        <v>5191986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</row>
    <row r="99" ht="17.25" customHeight="1">
      <c r="A99" s="112"/>
      <c r="B99" s="189">
        <f>IFERROR(__xludf.DUMMYFUNCTION("""COMPUTED_VALUE"""),46107.5625)</f>
        <v>46107.5625</v>
      </c>
      <c r="C99" s="190">
        <f>IFERROR(__xludf.DUMMYFUNCTION("""COMPUTED_VALUE"""),25.5)</f>
        <v>25.5</v>
      </c>
      <c r="D99" s="190">
        <f>IFERROR(__xludf.DUMMYFUNCTION("""COMPUTED_VALUE"""),25.6)</f>
        <v>25.6</v>
      </c>
      <c r="E99" s="190">
        <f>IFERROR(__xludf.DUMMYFUNCTION("""COMPUTED_VALUE"""),25.25)</f>
        <v>25.25</v>
      </c>
      <c r="F99" s="190">
        <f>IFERROR(__xludf.DUMMYFUNCTION("""COMPUTED_VALUE"""),25.45)</f>
        <v>25.45</v>
      </c>
      <c r="G99" s="191">
        <f>IFERROR(__xludf.DUMMYFUNCTION("""COMPUTED_VALUE"""),3827874.0)</f>
        <v>3827874</v>
      </c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</row>
    <row r="100" ht="17.25" customHeight="1">
      <c r="A100" s="112"/>
      <c r="B100" s="189">
        <f>IFERROR(__xludf.DUMMYFUNCTION("""COMPUTED_VALUE"""),46108.5625)</f>
        <v>46108.5625</v>
      </c>
      <c r="C100" s="190">
        <f>IFERROR(__xludf.DUMMYFUNCTION("""COMPUTED_VALUE"""),25.25)</f>
        <v>25.25</v>
      </c>
      <c r="D100" s="190">
        <f>IFERROR(__xludf.DUMMYFUNCTION("""COMPUTED_VALUE"""),25.4)</f>
        <v>25.4</v>
      </c>
      <c r="E100" s="190">
        <f>IFERROR(__xludf.DUMMYFUNCTION("""COMPUTED_VALUE"""),25.05)</f>
        <v>25.05</v>
      </c>
      <c r="F100" s="190">
        <f>IFERROR(__xludf.DUMMYFUNCTION("""COMPUTED_VALUE"""),25.3)</f>
        <v>25.3</v>
      </c>
      <c r="G100" s="191">
        <f>IFERROR(__xludf.DUMMYFUNCTION("""COMPUTED_VALUE"""),4393053.0)</f>
        <v>4393053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</row>
    <row r="101" ht="17.25" customHeight="1">
      <c r="A101" s="112"/>
      <c r="B101" s="189">
        <f>IFERROR(__xludf.DUMMYFUNCTION("""COMPUTED_VALUE"""),46111.5625)</f>
        <v>46111.5625</v>
      </c>
      <c r="C101" s="190">
        <f>IFERROR(__xludf.DUMMYFUNCTION("""COMPUTED_VALUE"""),24.8)</f>
        <v>24.8</v>
      </c>
      <c r="D101" s="190">
        <f>IFERROR(__xludf.DUMMYFUNCTION("""COMPUTED_VALUE"""),25.15)</f>
        <v>25.15</v>
      </c>
      <c r="E101" s="190">
        <f>IFERROR(__xludf.DUMMYFUNCTION("""COMPUTED_VALUE"""),24.65)</f>
        <v>24.65</v>
      </c>
      <c r="F101" s="190">
        <f>IFERROR(__xludf.DUMMYFUNCTION("""COMPUTED_VALUE"""),24.8)</f>
        <v>24.8</v>
      </c>
      <c r="G101" s="191">
        <f>IFERROR(__xludf.DUMMYFUNCTION("""COMPUTED_VALUE"""),5026551.0)</f>
        <v>5026551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</row>
    <row r="102" ht="17.25" customHeight="1">
      <c r="A102" s="112"/>
      <c r="B102" s="189">
        <f>IFERROR(__xludf.DUMMYFUNCTION("""COMPUTED_VALUE"""),46112.5625)</f>
        <v>46112.5625</v>
      </c>
      <c r="C102" s="190">
        <f>IFERROR(__xludf.DUMMYFUNCTION("""COMPUTED_VALUE"""),24.8)</f>
        <v>24.8</v>
      </c>
      <c r="D102" s="190">
        <f>IFERROR(__xludf.DUMMYFUNCTION("""COMPUTED_VALUE"""),25.3)</f>
        <v>25.3</v>
      </c>
      <c r="E102" s="190">
        <f>IFERROR(__xludf.DUMMYFUNCTION("""COMPUTED_VALUE"""),24.7)</f>
        <v>24.7</v>
      </c>
      <c r="F102" s="190">
        <f>IFERROR(__xludf.DUMMYFUNCTION("""COMPUTED_VALUE"""),24.85)</f>
        <v>24.85</v>
      </c>
      <c r="G102" s="191">
        <f>IFERROR(__xludf.DUMMYFUNCTION("""COMPUTED_VALUE"""),4095931.0)</f>
        <v>4095931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</row>
    <row r="103" ht="17.25" customHeight="1">
      <c r="A103" s="112"/>
      <c r="B103" s="189">
        <f>IFERROR(__xludf.DUMMYFUNCTION("""COMPUTED_VALUE"""),46113.5625)</f>
        <v>46113.5625</v>
      </c>
      <c r="C103" s="190">
        <f>IFERROR(__xludf.DUMMYFUNCTION("""COMPUTED_VALUE"""),25.4)</f>
        <v>25.4</v>
      </c>
      <c r="D103" s="190">
        <f>IFERROR(__xludf.DUMMYFUNCTION("""COMPUTED_VALUE"""),25.6)</f>
        <v>25.6</v>
      </c>
      <c r="E103" s="190">
        <f>IFERROR(__xludf.DUMMYFUNCTION("""COMPUTED_VALUE"""),25.2)</f>
        <v>25.2</v>
      </c>
      <c r="F103" s="190">
        <f>IFERROR(__xludf.DUMMYFUNCTION("""COMPUTED_VALUE"""),25.6)</f>
        <v>25.6</v>
      </c>
      <c r="G103" s="191">
        <f>IFERROR(__xludf.DUMMYFUNCTION("""COMPUTED_VALUE"""),3984196.0)</f>
        <v>3984196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</row>
    <row r="104" ht="17.25" customHeight="1">
      <c r="A104" s="112"/>
      <c r="B104" s="189">
        <f>IFERROR(__xludf.DUMMYFUNCTION("""COMPUTED_VALUE"""),46114.5625)</f>
        <v>46114.5625</v>
      </c>
      <c r="C104" s="190">
        <f>IFERROR(__xludf.DUMMYFUNCTION("""COMPUTED_VALUE"""),25.6)</f>
        <v>25.6</v>
      </c>
      <c r="D104" s="190">
        <f>IFERROR(__xludf.DUMMYFUNCTION("""COMPUTED_VALUE"""),25.65)</f>
        <v>25.65</v>
      </c>
      <c r="E104" s="190">
        <f>IFERROR(__xludf.DUMMYFUNCTION("""COMPUTED_VALUE"""),25.3)</f>
        <v>25.3</v>
      </c>
      <c r="F104" s="190">
        <f>IFERROR(__xludf.DUMMYFUNCTION("""COMPUTED_VALUE"""),25.4)</f>
        <v>25.4</v>
      </c>
      <c r="G104" s="191">
        <f>IFERROR(__xludf.DUMMYFUNCTION("""COMPUTED_VALUE"""),2886068.0)</f>
        <v>2886068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</row>
    <row r="105" ht="17.25" customHeight="1">
      <c r="A105" s="112"/>
      <c r="B105" s="189">
        <f>IFERROR(__xludf.DUMMYFUNCTION("""COMPUTED_VALUE"""),46119.5625)</f>
        <v>46119.5625</v>
      </c>
      <c r="C105" s="190">
        <f>IFERROR(__xludf.DUMMYFUNCTION("""COMPUTED_VALUE"""),25.35)</f>
        <v>25.35</v>
      </c>
      <c r="D105" s="190">
        <f>IFERROR(__xludf.DUMMYFUNCTION("""COMPUTED_VALUE"""),25.5)</f>
        <v>25.5</v>
      </c>
      <c r="E105" s="190">
        <f>IFERROR(__xludf.DUMMYFUNCTION("""COMPUTED_VALUE"""),25.1)</f>
        <v>25.1</v>
      </c>
      <c r="F105" s="190">
        <f>IFERROR(__xludf.DUMMYFUNCTION("""COMPUTED_VALUE"""),25.2)</f>
        <v>25.2</v>
      </c>
      <c r="G105" s="191">
        <f>IFERROR(__xludf.DUMMYFUNCTION("""COMPUTED_VALUE"""),3614220.0)</f>
        <v>3614220</v>
      </c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</row>
    <row r="106" ht="17.25" customHeight="1">
      <c r="A106" s="112"/>
      <c r="B106" s="189">
        <f>IFERROR(__xludf.DUMMYFUNCTION("""COMPUTED_VALUE"""),46120.5625)</f>
        <v>46120.5625</v>
      </c>
      <c r="C106" s="190">
        <f>IFERROR(__xludf.DUMMYFUNCTION("""COMPUTED_VALUE"""),25.7)</f>
        <v>25.7</v>
      </c>
      <c r="D106" s="190">
        <f>IFERROR(__xludf.DUMMYFUNCTION("""COMPUTED_VALUE"""),25.85)</f>
        <v>25.85</v>
      </c>
      <c r="E106" s="190">
        <f>IFERROR(__xludf.DUMMYFUNCTION("""COMPUTED_VALUE"""),25.45)</f>
        <v>25.45</v>
      </c>
      <c r="F106" s="190">
        <f>IFERROR(__xludf.DUMMYFUNCTION("""COMPUTED_VALUE"""),25.6)</f>
        <v>25.6</v>
      </c>
      <c r="G106" s="191">
        <f>IFERROR(__xludf.DUMMYFUNCTION("""COMPUTED_VALUE"""),3871249.0)</f>
        <v>3871249</v>
      </c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</row>
    <row r="107" ht="17.25" customHeight="1">
      <c r="A107" s="112"/>
      <c r="B107" s="189">
        <f>IFERROR(__xludf.DUMMYFUNCTION("""COMPUTED_VALUE"""),46121.5625)</f>
        <v>46121.5625</v>
      </c>
      <c r="C107" s="190">
        <f>IFERROR(__xludf.DUMMYFUNCTION("""COMPUTED_VALUE"""),25.7)</f>
        <v>25.7</v>
      </c>
      <c r="D107" s="190">
        <f>IFERROR(__xludf.DUMMYFUNCTION("""COMPUTED_VALUE"""),26.0)</f>
        <v>26</v>
      </c>
      <c r="E107" s="190">
        <f>IFERROR(__xludf.DUMMYFUNCTION("""COMPUTED_VALUE"""),25.4)</f>
        <v>25.4</v>
      </c>
      <c r="F107" s="190">
        <f>IFERROR(__xludf.DUMMYFUNCTION("""COMPUTED_VALUE"""),25.7)</f>
        <v>25.7</v>
      </c>
      <c r="G107" s="191">
        <f>IFERROR(__xludf.DUMMYFUNCTION("""COMPUTED_VALUE"""),3150171.0)</f>
        <v>3150171</v>
      </c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</row>
    <row r="108" ht="17.25" customHeight="1">
      <c r="A108" s="112"/>
      <c r="B108" s="189">
        <f>IFERROR(__xludf.DUMMYFUNCTION("""COMPUTED_VALUE"""),46122.5625)</f>
        <v>46122.5625</v>
      </c>
      <c r="C108" s="190">
        <f>IFERROR(__xludf.DUMMYFUNCTION("""COMPUTED_VALUE"""),25.7)</f>
        <v>25.7</v>
      </c>
      <c r="D108" s="190">
        <f>IFERROR(__xludf.DUMMYFUNCTION("""COMPUTED_VALUE"""),25.9)</f>
        <v>25.9</v>
      </c>
      <c r="E108" s="190">
        <f>IFERROR(__xludf.DUMMYFUNCTION("""COMPUTED_VALUE"""),25.55)</f>
        <v>25.55</v>
      </c>
      <c r="F108" s="190">
        <f>IFERROR(__xludf.DUMMYFUNCTION("""COMPUTED_VALUE"""),25.6)</f>
        <v>25.6</v>
      </c>
      <c r="G108" s="191">
        <f>IFERROR(__xludf.DUMMYFUNCTION("""COMPUTED_VALUE"""),2909810.0)</f>
        <v>2909810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</row>
    <row r="109" ht="17.25" customHeight="1">
      <c r="A109" s="112"/>
      <c r="B109" s="189">
        <f>IFERROR(__xludf.DUMMYFUNCTION("""COMPUTED_VALUE"""),46125.5625)</f>
        <v>46125.5625</v>
      </c>
      <c r="C109" s="190">
        <f>IFERROR(__xludf.DUMMYFUNCTION("""COMPUTED_VALUE"""),25.55)</f>
        <v>25.55</v>
      </c>
      <c r="D109" s="190">
        <f>IFERROR(__xludf.DUMMYFUNCTION("""COMPUTED_VALUE"""),25.55)</f>
        <v>25.55</v>
      </c>
      <c r="E109" s="190">
        <f>IFERROR(__xludf.DUMMYFUNCTION("""COMPUTED_VALUE"""),25.15)</f>
        <v>25.15</v>
      </c>
      <c r="F109" s="190">
        <f>IFERROR(__xludf.DUMMYFUNCTION("""COMPUTED_VALUE"""),25.3)</f>
        <v>25.3</v>
      </c>
      <c r="G109" s="191">
        <f>IFERROR(__xludf.DUMMYFUNCTION("""COMPUTED_VALUE"""),5800708.0)</f>
        <v>5800708</v>
      </c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</row>
    <row r="110" ht="17.25" customHeight="1">
      <c r="A110" s="112"/>
      <c r="B110" s="189">
        <f>IFERROR(__xludf.DUMMYFUNCTION("""COMPUTED_VALUE"""),46126.5625)</f>
        <v>46126.5625</v>
      </c>
      <c r="C110" s="190">
        <f>IFERROR(__xludf.DUMMYFUNCTION("""COMPUTED_VALUE"""),25.2)</f>
        <v>25.2</v>
      </c>
      <c r="D110" s="190">
        <f>IFERROR(__xludf.DUMMYFUNCTION("""COMPUTED_VALUE"""),25.5)</f>
        <v>25.5</v>
      </c>
      <c r="E110" s="190">
        <f>IFERROR(__xludf.DUMMYFUNCTION("""COMPUTED_VALUE"""),25.15)</f>
        <v>25.15</v>
      </c>
      <c r="F110" s="190">
        <f>IFERROR(__xludf.DUMMYFUNCTION("""COMPUTED_VALUE"""),25.15)</f>
        <v>25.15</v>
      </c>
      <c r="G110" s="191">
        <f>IFERROR(__xludf.DUMMYFUNCTION("""COMPUTED_VALUE"""),7060322.0)</f>
        <v>7060322</v>
      </c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</row>
    <row r="111" ht="17.25" customHeight="1">
      <c r="A111" s="112"/>
      <c r="B111" s="189">
        <f>IFERROR(__xludf.DUMMYFUNCTION("""COMPUTED_VALUE"""),46127.5625)</f>
        <v>46127.5625</v>
      </c>
      <c r="C111" s="190">
        <f>IFERROR(__xludf.DUMMYFUNCTION("""COMPUTED_VALUE"""),25.2)</f>
        <v>25.2</v>
      </c>
      <c r="D111" s="190">
        <f>IFERROR(__xludf.DUMMYFUNCTION("""COMPUTED_VALUE"""),25.4)</f>
        <v>25.4</v>
      </c>
      <c r="E111" s="190">
        <f>IFERROR(__xludf.DUMMYFUNCTION("""COMPUTED_VALUE"""),25.15)</f>
        <v>25.15</v>
      </c>
      <c r="F111" s="190">
        <f>IFERROR(__xludf.DUMMYFUNCTION("""COMPUTED_VALUE"""),25.25)</f>
        <v>25.25</v>
      </c>
      <c r="G111" s="191">
        <f>IFERROR(__xludf.DUMMYFUNCTION("""COMPUTED_VALUE"""),7086989.0)</f>
        <v>7086989</v>
      </c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</row>
    <row r="112" ht="17.25" customHeight="1">
      <c r="A112" s="112"/>
      <c r="B112" s="189">
        <f>IFERROR(__xludf.DUMMYFUNCTION("""COMPUTED_VALUE"""),46128.5625)</f>
        <v>46128.5625</v>
      </c>
      <c r="C112" s="190">
        <f>IFERROR(__xludf.DUMMYFUNCTION("""COMPUTED_VALUE"""),25.2)</f>
        <v>25.2</v>
      </c>
      <c r="D112" s="190">
        <f>IFERROR(__xludf.DUMMYFUNCTION("""COMPUTED_VALUE"""),25.45)</f>
        <v>25.45</v>
      </c>
      <c r="E112" s="190">
        <f>IFERROR(__xludf.DUMMYFUNCTION("""COMPUTED_VALUE"""),25.1)</f>
        <v>25.1</v>
      </c>
      <c r="F112" s="190">
        <f>IFERROR(__xludf.DUMMYFUNCTION("""COMPUTED_VALUE"""),25.15)</f>
        <v>25.15</v>
      </c>
      <c r="G112" s="191">
        <f>IFERROR(__xludf.DUMMYFUNCTION("""COMPUTED_VALUE"""),5084995.0)</f>
        <v>5084995</v>
      </c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</row>
    <row r="113" ht="17.25" customHeight="1">
      <c r="A113" s="112"/>
      <c r="B113" s="189">
        <f>IFERROR(__xludf.DUMMYFUNCTION("""COMPUTED_VALUE"""),46129.5625)</f>
        <v>46129.5625</v>
      </c>
      <c r="C113" s="190">
        <f>IFERROR(__xludf.DUMMYFUNCTION("""COMPUTED_VALUE"""),25.3)</f>
        <v>25.3</v>
      </c>
      <c r="D113" s="190">
        <f>IFERROR(__xludf.DUMMYFUNCTION("""COMPUTED_VALUE"""),25.3)</f>
        <v>25.3</v>
      </c>
      <c r="E113" s="190">
        <f>IFERROR(__xludf.DUMMYFUNCTION("""COMPUTED_VALUE"""),24.65)</f>
        <v>24.65</v>
      </c>
      <c r="F113" s="190">
        <f>IFERROR(__xludf.DUMMYFUNCTION("""COMPUTED_VALUE"""),24.65)</f>
        <v>24.65</v>
      </c>
      <c r="G113" s="191">
        <f>IFERROR(__xludf.DUMMYFUNCTION("""COMPUTED_VALUE"""),1.0026779E7)</f>
        <v>10026779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</row>
    <row r="114" ht="17.25" customHeight="1">
      <c r="A114" s="112"/>
      <c r="B114" s="189">
        <f>IFERROR(__xludf.DUMMYFUNCTION("""COMPUTED_VALUE"""),46132.5625)</f>
        <v>46132.5625</v>
      </c>
      <c r="C114" s="190">
        <f>IFERROR(__xludf.DUMMYFUNCTION("""COMPUTED_VALUE"""),25.0)</f>
        <v>25</v>
      </c>
      <c r="D114" s="190">
        <f>IFERROR(__xludf.DUMMYFUNCTION("""COMPUTED_VALUE"""),25.1)</f>
        <v>25.1</v>
      </c>
      <c r="E114" s="190">
        <f>IFERROR(__xludf.DUMMYFUNCTION("""COMPUTED_VALUE"""),24.55)</f>
        <v>24.55</v>
      </c>
      <c r="F114" s="190">
        <f>IFERROR(__xludf.DUMMYFUNCTION("""COMPUTED_VALUE"""),24.6)</f>
        <v>24.6</v>
      </c>
      <c r="G114" s="191">
        <f>IFERROR(__xludf.DUMMYFUNCTION("""COMPUTED_VALUE"""),6448310.0)</f>
        <v>6448310</v>
      </c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</row>
    <row r="115" ht="17.25" customHeight="1">
      <c r="A115" s="112"/>
      <c r="B115" s="189">
        <f>IFERROR(__xludf.DUMMYFUNCTION("""COMPUTED_VALUE"""),46133.5625)</f>
        <v>46133.5625</v>
      </c>
      <c r="C115" s="190">
        <f>IFERROR(__xludf.DUMMYFUNCTION("""COMPUTED_VALUE"""),24.8)</f>
        <v>24.8</v>
      </c>
      <c r="D115" s="190">
        <f>IFERROR(__xludf.DUMMYFUNCTION("""COMPUTED_VALUE"""),24.95)</f>
        <v>24.95</v>
      </c>
      <c r="E115" s="190">
        <f>IFERROR(__xludf.DUMMYFUNCTION("""COMPUTED_VALUE"""),24.6)</f>
        <v>24.6</v>
      </c>
      <c r="F115" s="190">
        <f>IFERROR(__xludf.DUMMYFUNCTION("""COMPUTED_VALUE"""),24.9)</f>
        <v>24.9</v>
      </c>
      <c r="G115" s="191">
        <f>IFERROR(__xludf.DUMMYFUNCTION("""COMPUTED_VALUE"""),4350662.0)</f>
        <v>4350662</v>
      </c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</row>
    <row r="116" ht="17.25" customHeight="1">
      <c r="A116" s="112"/>
      <c r="B116" s="189">
        <f>IFERROR(__xludf.DUMMYFUNCTION("""COMPUTED_VALUE"""),46134.5625)</f>
        <v>46134.5625</v>
      </c>
      <c r="C116" s="190">
        <f>IFERROR(__xludf.DUMMYFUNCTION("""COMPUTED_VALUE"""),25.05)</f>
        <v>25.05</v>
      </c>
      <c r="D116" s="190">
        <f>IFERROR(__xludf.DUMMYFUNCTION("""COMPUTED_VALUE"""),25.05)</f>
        <v>25.05</v>
      </c>
      <c r="E116" s="190">
        <f>IFERROR(__xludf.DUMMYFUNCTION("""COMPUTED_VALUE"""),24.6)</f>
        <v>24.6</v>
      </c>
      <c r="F116" s="190">
        <f>IFERROR(__xludf.DUMMYFUNCTION("""COMPUTED_VALUE"""),24.6)</f>
        <v>24.6</v>
      </c>
      <c r="G116" s="191">
        <f>IFERROR(__xludf.DUMMYFUNCTION("""COMPUTED_VALUE"""),5154059.0)</f>
        <v>5154059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</row>
    <row r="117" ht="17.25" customHeight="1">
      <c r="A117" s="112"/>
      <c r="B117" s="189">
        <f>IFERROR(__xludf.DUMMYFUNCTION("""COMPUTED_VALUE"""),46135.5625)</f>
        <v>46135.5625</v>
      </c>
      <c r="C117" s="190">
        <f>IFERROR(__xludf.DUMMYFUNCTION("""COMPUTED_VALUE"""),24.65)</f>
        <v>24.65</v>
      </c>
      <c r="D117" s="190">
        <f>IFERROR(__xludf.DUMMYFUNCTION("""COMPUTED_VALUE"""),24.7)</f>
        <v>24.7</v>
      </c>
      <c r="E117" s="190">
        <f>IFERROR(__xludf.DUMMYFUNCTION("""COMPUTED_VALUE"""),24.2)</f>
        <v>24.2</v>
      </c>
      <c r="F117" s="190">
        <f>IFERROR(__xludf.DUMMYFUNCTION("""COMPUTED_VALUE"""),24.3)</f>
        <v>24.3</v>
      </c>
      <c r="G117" s="191">
        <f>IFERROR(__xludf.DUMMYFUNCTION("""COMPUTED_VALUE"""),9854692.0)</f>
        <v>9854692</v>
      </c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</row>
    <row r="118" ht="17.25" customHeight="1">
      <c r="A118" s="112"/>
      <c r="B118" s="189">
        <f>IFERROR(__xludf.DUMMYFUNCTION("""COMPUTED_VALUE"""),46136.5625)</f>
        <v>46136.5625</v>
      </c>
      <c r="C118" s="190">
        <f>IFERROR(__xludf.DUMMYFUNCTION("""COMPUTED_VALUE"""),24.4)</f>
        <v>24.4</v>
      </c>
      <c r="D118" s="190">
        <f>IFERROR(__xludf.DUMMYFUNCTION("""COMPUTED_VALUE"""),24.4)</f>
        <v>24.4</v>
      </c>
      <c r="E118" s="190">
        <f>IFERROR(__xludf.DUMMYFUNCTION("""COMPUTED_VALUE"""),24.05)</f>
        <v>24.05</v>
      </c>
      <c r="F118" s="190">
        <f>IFERROR(__xludf.DUMMYFUNCTION("""COMPUTED_VALUE"""),24.2)</f>
        <v>24.2</v>
      </c>
      <c r="G118" s="191">
        <f>IFERROR(__xludf.DUMMYFUNCTION("""COMPUTED_VALUE"""),5527757.0)</f>
        <v>5527757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ht="17.25" customHeight="1">
      <c r="A119" s="112"/>
      <c r="B119" s="189">
        <f>IFERROR(__xludf.DUMMYFUNCTION("""COMPUTED_VALUE"""),46139.5625)</f>
        <v>46139.5625</v>
      </c>
      <c r="C119" s="190">
        <f>IFERROR(__xludf.DUMMYFUNCTION("""COMPUTED_VALUE"""),24.0)</f>
        <v>24</v>
      </c>
      <c r="D119" s="190">
        <f>IFERROR(__xludf.DUMMYFUNCTION("""COMPUTED_VALUE"""),24.0)</f>
        <v>24</v>
      </c>
      <c r="E119" s="190">
        <f>IFERROR(__xludf.DUMMYFUNCTION("""COMPUTED_VALUE"""),23.6)</f>
        <v>23.6</v>
      </c>
      <c r="F119" s="190">
        <f>IFERROR(__xludf.DUMMYFUNCTION("""COMPUTED_VALUE"""),23.7)</f>
        <v>23.7</v>
      </c>
      <c r="G119" s="191">
        <f>IFERROR(__xludf.DUMMYFUNCTION("""COMPUTED_VALUE"""),8105888.0)</f>
        <v>8105888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ht="17.25" customHeight="1">
      <c r="A120" s="112"/>
      <c r="B120" s="189">
        <f>IFERROR(__xludf.DUMMYFUNCTION("""COMPUTED_VALUE"""),46140.5625)</f>
        <v>46140.5625</v>
      </c>
      <c r="C120" s="190">
        <f>IFERROR(__xludf.DUMMYFUNCTION("""COMPUTED_VALUE"""),23.65)</f>
        <v>23.65</v>
      </c>
      <c r="D120" s="190">
        <f>IFERROR(__xludf.DUMMYFUNCTION("""COMPUTED_VALUE"""),24.0)</f>
        <v>24</v>
      </c>
      <c r="E120" s="190">
        <f>IFERROR(__xludf.DUMMYFUNCTION("""COMPUTED_VALUE"""),23.6)</f>
        <v>23.6</v>
      </c>
      <c r="F120" s="190">
        <f>IFERROR(__xludf.DUMMYFUNCTION("""COMPUTED_VALUE"""),23.9)</f>
        <v>23.9</v>
      </c>
      <c r="G120" s="191">
        <f>IFERROR(__xludf.DUMMYFUNCTION("""COMPUTED_VALUE"""),4980269.0)</f>
        <v>4980269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</row>
    <row r="121" ht="17.25" customHeight="1">
      <c r="A121" s="112"/>
      <c r="B121" s="189">
        <f>IFERROR(__xludf.DUMMYFUNCTION("""COMPUTED_VALUE"""),46141.5625)</f>
        <v>46141.5625</v>
      </c>
      <c r="C121" s="190">
        <f>IFERROR(__xludf.DUMMYFUNCTION("""COMPUTED_VALUE"""),24.1)</f>
        <v>24.1</v>
      </c>
      <c r="D121" s="190">
        <f>IFERROR(__xludf.DUMMYFUNCTION("""COMPUTED_VALUE"""),24.15)</f>
        <v>24.15</v>
      </c>
      <c r="E121" s="190">
        <f>IFERROR(__xludf.DUMMYFUNCTION("""COMPUTED_VALUE"""),23.7)</f>
        <v>23.7</v>
      </c>
      <c r="F121" s="190">
        <f>IFERROR(__xludf.DUMMYFUNCTION("""COMPUTED_VALUE"""),23.9)</f>
        <v>23.9</v>
      </c>
      <c r="G121" s="191">
        <f>IFERROR(__xludf.DUMMYFUNCTION("""COMPUTED_VALUE"""),4552317.0)</f>
        <v>4552317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</row>
    <row r="122" ht="17.25" customHeight="1">
      <c r="A122" s="112"/>
      <c r="B122" s="189">
        <f>IFERROR(__xludf.DUMMYFUNCTION("""COMPUTED_VALUE"""),46142.5625)</f>
        <v>46142.5625</v>
      </c>
      <c r="C122" s="190">
        <f>IFERROR(__xludf.DUMMYFUNCTION("""COMPUTED_VALUE"""),23.8)</f>
        <v>23.8</v>
      </c>
      <c r="D122" s="190">
        <f>IFERROR(__xludf.DUMMYFUNCTION("""COMPUTED_VALUE"""),23.95)</f>
        <v>23.95</v>
      </c>
      <c r="E122" s="190">
        <f>IFERROR(__xludf.DUMMYFUNCTION("""COMPUTED_VALUE"""),23.6)</f>
        <v>23.6</v>
      </c>
      <c r="F122" s="190">
        <f>IFERROR(__xludf.DUMMYFUNCTION("""COMPUTED_VALUE"""),23.6)</f>
        <v>23.6</v>
      </c>
      <c r="G122" s="191">
        <f>IFERROR(__xludf.DUMMYFUNCTION("""COMPUTED_VALUE"""),5320809.0)</f>
        <v>5320809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</row>
    <row r="123" ht="17.25" customHeight="1">
      <c r="A123" s="112"/>
      <c r="B123" s="189">
        <f>IFERROR(__xludf.DUMMYFUNCTION("""COMPUTED_VALUE"""),46146.5625)</f>
        <v>46146.5625</v>
      </c>
      <c r="C123" s="190">
        <f>IFERROR(__xludf.DUMMYFUNCTION("""COMPUTED_VALUE"""),23.7)</f>
        <v>23.7</v>
      </c>
      <c r="D123" s="190">
        <f>IFERROR(__xludf.DUMMYFUNCTION("""COMPUTED_VALUE"""),23.7)</f>
        <v>23.7</v>
      </c>
      <c r="E123" s="190">
        <f>IFERROR(__xludf.DUMMYFUNCTION("""COMPUTED_VALUE"""),23.3)</f>
        <v>23.3</v>
      </c>
      <c r="F123" s="190">
        <f>IFERROR(__xludf.DUMMYFUNCTION("""COMPUTED_VALUE"""),23.3)</f>
        <v>23.3</v>
      </c>
      <c r="G123" s="191">
        <f>IFERROR(__xludf.DUMMYFUNCTION("""COMPUTED_VALUE"""),8099722.0)</f>
        <v>8099722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</row>
    <row r="124" ht="17.25" customHeight="1">
      <c r="A124" s="112"/>
      <c r="B124" s="189">
        <f>IFERROR(__xludf.DUMMYFUNCTION("""COMPUTED_VALUE"""),46147.5625)</f>
        <v>46147.5625</v>
      </c>
      <c r="C124" s="190">
        <f>IFERROR(__xludf.DUMMYFUNCTION("""COMPUTED_VALUE"""),23.3)</f>
        <v>23.3</v>
      </c>
      <c r="D124" s="190">
        <f>IFERROR(__xludf.DUMMYFUNCTION("""COMPUTED_VALUE"""),23.5)</f>
        <v>23.5</v>
      </c>
      <c r="E124" s="190">
        <f>IFERROR(__xludf.DUMMYFUNCTION("""COMPUTED_VALUE"""),23.15)</f>
        <v>23.15</v>
      </c>
      <c r="F124" s="190">
        <f>IFERROR(__xludf.DUMMYFUNCTION("""COMPUTED_VALUE"""),23.35)</f>
        <v>23.35</v>
      </c>
      <c r="G124" s="191">
        <f>IFERROR(__xludf.DUMMYFUNCTION("""COMPUTED_VALUE"""),6520405.0)</f>
        <v>6520405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</row>
    <row r="125" ht="17.25" customHeight="1">
      <c r="A125" s="112"/>
      <c r="B125" s="189">
        <f>IFERROR(__xludf.DUMMYFUNCTION("""COMPUTED_VALUE"""),46148.5625)</f>
        <v>46148.5625</v>
      </c>
      <c r="C125" s="190">
        <f>IFERROR(__xludf.DUMMYFUNCTION("""COMPUTED_VALUE"""),23.55)</f>
        <v>23.55</v>
      </c>
      <c r="D125" s="190">
        <f>IFERROR(__xludf.DUMMYFUNCTION("""COMPUTED_VALUE"""),23.65)</f>
        <v>23.65</v>
      </c>
      <c r="E125" s="190">
        <f>IFERROR(__xludf.DUMMYFUNCTION("""COMPUTED_VALUE"""),23.3)</f>
        <v>23.3</v>
      </c>
      <c r="F125" s="190">
        <f>IFERROR(__xludf.DUMMYFUNCTION("""COMPUTED_VALUE"""),23.45)</f>
        <v>23.45</v>
      </c>
      <c r="G125" s="191">
        <f>IFERROR(__xludf.DUMMYFUNCTION("""COMPUTED_VALUE"""),6270128.0)</f>
        <v>6270128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</row>
    <row r="126" ht="17.25" customHeight="1">
      <c r="A126" s="112"/>
      <c r="B126" s="189">
        <f>IFERROR(__xludf.DUMMYFUNCTION("""COMPUTED_VALUE"""),46149.5625)</f>
        <v>46149.5625</v>
      </c>
      <c r="C126" s="190">
        <f>IFERROR(__xludf.DUMMYFUNCTION("""COMPUTED_VALUE"""),23.5)</f>
        <v>23.5</v>
      </c>
      <c r="D126" s="190">
        <f>IFERROR(__xludf.DUMMYFUNCTION("""COMPUTED_VALUE"""),23.6)</f>
        <v>23.6</v>
      </c>
      <c r="E126" s="190">
        <f>IFERROR(__xludf.DUMMYFUNCTION("""COMPUTED_VALUE"""),23.3)</f>
        <v>23.3</v>
      </c>
      <c r="F126" s="190">
        <f>IFERROR(__xludf.DUMMYFUNCTION("""COMPUTED_VALUE"""),23.6)</f>
        <v>23.6</v>
      </c>
      <c r="G126" s="191">
        <f>IFERROR(__xludf.DUMMYFUNCTION("""COMPUTED_VALUE"""),7864044.0)</f>
        <v>7864044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</row>
    <row r="127" ht="17.25" customHeight="1">
      <c r="A127" s="112"/>
      <c r="B127" s="189">
        <f>IFERROR(__xludf.DUMMYFUNCTION("""COMPUTED_VALUE"""),46150.5625)</f>
        <v>46150.5625</v>
      </c>
      <c r="C127" s="190">
        <f>IFERROR(__xludf.DUMMYFUNCTION("""COMPUTED_VALUE"""),23.6)</f>
        <v>23.6</v>
      </c>
      <c r="D127" s="190">
        <f>IFERROR(__xludf.DUMMYFUNCTION("""COMPUTED_VALUE"""),23.7)</f>
        <v>23.7</v>
      </c>
      <c r="E127" s="190">
        <f>IFERROR(__xludf.DUMMYFUNCTION("""COMPUTED_VALUE"""),23.4)</f>
        <v>23.4</v>
      </c>
      <c r="F127" s="190">
        <f>IFERROR(__xludf.DUMMYFUNCTION("""COMPUTED_VALUE"""),23.4)</f>
        <v>23.4</v>
      </c>
      <c r="G127" s="191">
        <f>IFERROR(__xludf.DUMMYFUNCTION("""COMPUTED_VALUE"""),4878556.0)</f>
        <v>4878556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</row>
    <row r="128" ht="17.25" customHeight="1">
      <c r="A128" s="112"/>
      <c r="B128" s="189">
        <f>IFERROR(__xludf.DUMMYFUNCTION("""COMPUTED_VALUE"""),46153.5625)</f>
        <v>46153.5625</v>
      </c>
      <c r="C128" s="190">
        <f>IFERROR(__xludf.DUMMYFUNCTION("""COMPUTED_VALUE"""),23.45)</f>
        <v>23.45</v>
      </c>
      <c r="D128" s="190">
        <f>IFERROR(__xludf.DUMMYFUNCTION("""COMPUTED_VALUE"""),23.6)</f>
        <v>23.6</v>
      </c>
      <c r="E128" s="190">
        <f>IFERROR(__xludf.DUMMYFUNCTION("""COMPUTED_VALUE"""),23.3)</f>
        <v>23.3</v>
      </c>
      <c r="F128" s="190">
        <f>IFERROR(__xludf.DUMMYFUNCTION("""COMPUTED_VALUE"""),23.6)</f>
        <v>23.6</v>
      </c>
      <c r="G128" s="191">
        <f>IFERROR(__xludf.DUMMYFUNCTION("""COMPUTED_VALUE"""),6143378.0)</f>
        <v>6143378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</row>
    <row r="129" ht="17.25" customHeight="1">
      <c r="A129" s="112"/>
      <c r="B129" s="189">
        <f>IFERROR(__xludf.DUMMYFUNCTION("""COMPUTED_VALUE"""),46154.5625)</f>
        <v>46154.5625</v>
      </c>
      <c r="C129" s="190">
        <f>IFERROR(__xludf.DUMMYFUNCTION("""COMPUTED_VALUE"""),23.65)</f>
        <v>23.65</v>
      </c>
      <c r="D129" s="190">
        <f>IFERROR(__xludf.DUMMYFUNCTION("""COMPUTED_VALUE"""),23.85)</f>
        <v>23.85</v>
      </c>
      <c r="E129" s="190">
        <f>IFERROR(__xludf.DUMMYFUNCTION("""COMPUTED_VALUE"""),23.4)</f>
        <v>23.4</v>
      </c>
      <c r="F129" s="190">
        <f>IFERROR(__xludf.DUMMYFUNCTION("""COMPUTED_VALUE"""),23.45)</f>
        <v>23.45</v>
      </c>
      <c r="G129" s="191">
        <f>IFERROR(__xludf.DUMMYFUNCTION("""COMPUTED_VALUE"""),9831759.0)</f>
        <v>9831759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</row>
    <row r="130" ht="17.25" customHeight="1">
      <c r="A130" s="112"/>
      <c r="B130" s="189">
        <f>IFERROR(__xludf.DUMMYFUNCTION("""COMPUTED_VALUE"""),46155.5625)</f>
        <v>46155.5625</v>
      </c>
      <c r="C130" s="190">
        <f>IFERROR(__xludf.DUMMYFUNCTION("""COMPUTED_VALUE"""),23.5)</f>
        <v>23.5</v>
      </c>
      <c r="D130" s="190">
        <f>IFERROR(__xludf.DUMMYFUNCTION("""COMPUTED_VALUE"""),23.5)</f>
        <v>23.5</v>
      </c>
      <c r="E130" s="190">
        <f>IFERROR(__xludf.DUMMYFUNCTION("""COMPUTED_VALUE"""),23.15)</f>
        <v>23.15</v>
      </c>
      <c r="F130" s="190">
        <f>IFERROR(__xludf.DUMMYFUNCTION("""COMPUTED_VALUE"""),23.3)</f>
        <v>23.3</v>
      </c>
      <c r="G130" s="191">
        <f>IFERROR(__xludf.DUMMYFUNCTION("""COMPUTED_VALUE"""),6390739.0)</f>
        <v>6390739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</row>
    <row r="131" ht="17.25" customHeight="1">
      <c r="A131" s="112"/>
      <c r="B131" s="189">
        <f>IFERROR(__xludf.DUMMYFUNCTION("""COMPUTED_VALUE"""),46156.5625)</f>
        <v>46156.5625</v>
      </c>
      <c r="C131" s="190">
        <f>IFERROR(__xludf.DUMMYFUNCTION("""COMPUTED_VALUE"""),23.3)</f>
        <v>23.3</v>
      </c>
      <c r="D131" s="190">
        <f>IFERROR(__xludf.DUMMYFUNCTION("""COMPUTED_VALUE"""),23.65)</f>
        <v>23.65</v>
      </c>
      <c r="E131" s="190">
        <f>IFERROR(__xludf.DUMMYFUNCTION("""COMPUTED_VALUE"""),23.15)</f>
        <v>23.15</v>
      </c>
      <c r="F131" s="190">
        <f>IFERROR(__xludf.DUMMYFUNCTION("""COMPUTED_VALUE"""),23.15)</f>
        <v>23.15</v>
      </c>
      <c r="G131" s="191">
        <f>IFERROR(__xludf.DUMMYFUNCTION("""COMPUTED_VALUE"""),5951986.0)</f>
        <v>5951986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</row>
    <row r="132" ht="17.25" customHeight="1">
      <c r="A132" s="112"/>
      <c r="B132" s="189">
        <f>IFERROR(__xludf.DUMMYFUNCTION("""COMPUTED_VALUE"""),46157.5625)</f>
        <v>46157.5625</v>
      </c>
      <c r="C132" s="190">
        <f>IFERROR(__xludf.DUMMYFUNCTION("""COMPUTED_VALUE"""),23.15)</f>
        <v>23.15</v>
      </c>
      <c r="D132" s="190">
        <f>IFERROR(__xludf.DUMMYFUNCTION("""COMPUTED_VALUE"""),23.6)</f>
        <v>23.6</v>
      </c>
      <c r="E132" s="190">
        <f>IFERROR(__xludf.DUMMYFUNCTION("""COMPUTED_VALUE"""),22.95)</f>
        <v>22.95</v>
      </c>
      <c r="F132" s="190">
        <f>IFERROR(__xludf.DUMMYFUNCTION("""COMPUTED_VALUE"""),23.0)</f>
        <v>23</v>
      </c>
      <c r="G132" s="191">
        <f>IFERROR(__xludf.DUMMYFUNCTION("""COMPUTED_VALUE"""),9878307.0)</f>
        <v>9878307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</row>
    <row r="133" ht="17.25" customHeight="1">
      <c r="A133" s="112"/>
      <c r="B133" s="189">
        <f>IFERROR(__xludf.DUMMYFUNCTION("""COMPUTED_VALUE"""),46160.5625)</f>
        <v>46160.5625</v>
      </c>
      <c r="C133" s="190">
        <f>IFERROR(__xludf.DUMMYFUNCTION("""COMPUTED_VALUE"""),23.4)</f>
        <v>23.4</v>
      </c>
      <c r="D133" s="190">
        <f>IFERROR(__xludf.DUMMYFUNCTION("""COMPUTED_VALUE"""),24.05)</f>
        <v>24.05</v>
      </c>
      <c r="E133" s="190">
        <f>IFERROR(__xludf.DUMMYFUNCTION("""COMPUTED_VALUE"""),23.05)</f>
        <v>23.05</v>
      </c>
      <c r="F133" s="190">
        <f>IFERROR(__xludf.DUMMYFUNCTION("""COMPUTED_VALUE"""),23.7)</f>
        <v>23.7</v>
      </c>
      <c r="G133" s="191">
        <f>IFERROR(__xludf.DUMMYFUNCTION("""COMPUTED_VALUE"""),1.2576383E7)</f>
        <v>12576383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</row>
    <row r="134" ht="17.25" customHeight="1">
      <c r="A134" s="112"/>
      <c r="B134" s="189">
        <f>IFERROR(__xludf.DUMMYFUNCTION("""COMPUTED_VALUE"""),46161.5625)</f>
        <v>46161.5625</v>
      </c>
      <c r="C134" s="190">
        <f>IFERROR(__xludf.DUMMYFUNCTION("""COMPUTED_VALUE"""),23.75)</f>
        <v>23.75</v>
      </c>
      <c r="D134" s="190">
        <f>IFERROR(__xludf.DUMMYFUNCTION("""COMPUTED_VALUE"""),24.45)</f>
        <v>24.45</v>
      </c>
      <c r="E134" s="190">
        <f>IFERROR(__xludf.DUMMYFUNCTION("""COMPUTED_VALUE"""),23.65)</f>
        <v>23.65</v>
      </c>
      <c r="F134" s="190">
        <f>IFERROR(__xludf.DUMMYFUNCTION("""COMPUTED_VALUE"""),23.95)</f>
        <v>23.95</v>
      </c>
      <c r="G134" s="191">
        <f>IFERROR(__xludf.DUMMYFUNCTION("""COMPUTED_VALUE"""),7973397.0)</f>
        <v>7973397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</row>
    <row r="135" ht="17.25" customHeight="1">
      <c r="A135" s="112"/>
      <c r="B135" s="189">
        <f>IFERROR(__xludf.DUMMYFUNCTION("""COMPUTED_VALUE"""),46162.5625)</f>
        <v>46162.5625</v>
      </c>
      <c r="C135" s="190">
        <f>IFERROR(__xludf.DUMMYFUNCTION("""COMPUTED_VALUE"""),23.95)</f>
        <v>23.95</v>
      </c>
      <c r="D135" s="190">
        <f>IFERROR(__xludf.DUMMYFUNCTION("""COMPUTED_VALUE"""),23.95)</f>
        <v>23.95</v>
      </c>
      <c r="E135" s="190">
        <f>IFERROR(__xludf.DUMMYFUNCTION("""COMPUTED_VALUE"""),23.2)</f>
        <v>23.2</v>
      </c>
      <c r="F135" s="190">
        <f>IFERROR(__xludf.DUMMYFUNCTION("""COMPUTED_VALUE"""),23.4)</f>
        <v>23.4</v>
      </c>
      <c r="G135" s="191">
        <f>IFERROR(__xludf.DUMMYFUNCTION("""COMPUTED_VALUE"""),8955901.0)</f>
        <v>8955901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</row>
    <row r="136" ht="17.25" customHeight="1">
      <c r="A136" s="112"/>
      <c r="B136" s="189">
        <f>IFERROR(__xludf.DUMMYFUNCTION("""COMPUTED_VALUE"""),46163.5625)</f>
        <v>46163.5625</v>
      </c>
      <c r="C136" s="190">
        <f>IFERROR(__xludf.DUMMYFUNCTION("""COMPUTED_VALUE"""),23.55)</f>
        <v>23.55</v>
      </c>
      <c r="D136" s="190">
        <f>IFERROR(__xludf.DUMMYFUNCTION("""COMPUTED_VALUE"""),23.55)</f>
        <v>23.55</v>
      </c>
      <c r="E136" s="190">
        <f>IFERROR(__xludf.DUMMYFUNCTION("""COMPUTED_VALUE"""),23.3)</f>
        <v>23.3</v>
      </c>
      <c r="F136" s="190">
        <f>IFERROR(__xludf.DUMMYFUNCTION("""COMPUTED_VALUE"""),23.4)</f>
        <v>23.4</v>
      </c>
      <c r="G136" s="191">
        <f>IFERROR(__xludf.DUMMYFUNCTION("""COMPUTED_VALUE"""),6593605.0)</f>
        <v>6593605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</row>
    <row r="137" ht="17.25" customHeight="1">
      <c r="A137" s="112"/>
      <c r="B137" s="189">
        <f>IFERROR(__xludf.DUMMYFUNCTION("""COMPUTED_VALUE"""),46164.5625)</f>
        <v>46164.5625</v>
      </c>
      <c r="C137" s="190">
        <f>IFERROR(__xludf.DUMMYFUNCTION("""COMPUTED_VALUE"""),23.45)</f>
        <v>23.45</v>
      </c>
      <c r="D137" s="190">
        <f>IFERROR(__xludf.DUMMYFUNCTION("""COMPUTED_VALUE"""),23.6)</f>
        <v>23.6</v>
      </c>
      <c r="E137" s="190">
        <f>IFERROR(__xludf.DUMMYFUNCTION("""COMPUTED_VALUE"""),23.1)</f>
        <v>23.1</v>
      </c>
      <c r="F137" s="190">
        <f>IFERROR(__xludf.DUMMYFUNCTION("""COMPUTED_VALUE"""),23.3)</f>
        <v>23.3</v>
      </c>
      <c r="G137" s="191">
        <f>IFERROR(__xludf.DUMMYFUNCTION("""COMPUTED_VALUE"""),9751839.0)</f>
        <v>9751839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</row>
    <row r="138" ht="17.25" customHeight="1">
      <c r="A138" s="112"/>
      <c r="B138" s="189">
        <f>IFERROR(__xludf.DUMMYFUNCTION("""COMPUTED_VALUE"""),46167.5625)</f>
        <v>46167.5625</v>
      </c>
      <c r="C138" s="190">
        <f>IFERROR(__xludf.DUMMYFUNCTION("""COMPUTED_VALUE"""),23.35)</f>
        <v>23.35</v>
      </c>
      <c r="D138" s="190">
        <f>IFERROR(__xludf.DUMMYFUNCTION("""COMPUTED_VALUE"""),23.45)</f>
        <v>23.45</v>
      </c>
      <c r="E138" s="190">
        <f>IFERROR(__xludf.DUMMYFUNCTION("""COMPUTED_VALUE"""),22.9)</f>
        <v>22.9</v>
      </c>
      <c r="F138" s="190">
        <f>IFERROR(__xludf.DUMMYFUNCTION("""COMPUTED_VALUE"""),22.95)</f>
        <v>22.95</v>
      </c>
      <c r="G138" s="191">
        <f>IFERROR(__xludf.DUMMYFUNCTION("""COMPUTED_VALUE"""),1.1593168E7)</f>
        <v>11593168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</row>
    <row r="139" ht="17.25" customHeight="1">
      <c r="A139" s="112"/>
      <c r="B139" s="189">
        <f>IFERROR(__xludf.DUMMYFUNCTION("""COMPUTED_VALUE"""),46168.5625)</f>
        <v>46168.5625</v>
      </c>
      <c r="C139" s="190">
        <f>IFERROR(__xludf.DUMMYFUNCTION("""COMPUTED_VALUE"""),22.95)</f>
        <v>22.95</v>
      </c>
      <c r="D139" s="190">
        <f>IFERROR(__xludf.DUMMYFUNCTION("""COMPUTED_VALUE"""),23.8)</f>
        <v>23.8</v>
      </c>
      <c r="E139" s="190">
        <f>IFERROR(__xludf.DUMMYFUNCTION("""COMPUTED_VALUE"""),22.95)</f>
        <v>22.95</v>
      </c>
      <c r="F139" s="190">
        <f>IFERROR(__xludf.DUMMYFUNCTION("""COMPUTED_VALUE"""),23.65)</f>
        <v>23.65</v>
      </c>
      <c r="G139" s="191">
        <f>IFERROR(__xludf.DUMMYFUNCTION("""COMPUTED_VALUE"""),9494260.0)</f>
        <v>9494260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</row>
    <row r="140" ht="17.25" customHeight="1">
      <c r="A140" s="112"/>
      <c r="B140" s="189">
        <f>IFERROR(__xludf.DUMMYFUNCTION("""COMPUTED_VALUE"""),46169.5625)</f>
        <v>46169.5625</v>
      </c>
      <c r="C140" s="190">
        <f>IFERROR(__xludf.DUMMYFUNCTION("""COMPUTED_VALUE"""),23.8)</f>
        <v>23.8</v>
      </c>
      <c r="D140" s="190">
        <f>IFERROR(__xludf.DUMMYFUNCTION("""COMPUTED_VALUE"""),23.8)</f>
        <v>23.8</v>
      </c>
      <c r="E140" s="190">
        <f>IFERROR(__xludf.DUMMYFUNCTION("""COMPUTED_VALUE"""),23.1)</f>
        <v>23.1</v>
      </c>
      <c r="F140" s="190">
        <f>IFERROR(__xludf.DUMMYFUNCTION("""COMPUTED_VALUE"""),23.25)</f>
        <v>23.25</v>
      </c>
      <c r="G140" s="191">
        <f>IFERROR(__xludf.DUMMYFUNCTION("""COMPUTED_VALUE"""),7515817.0)</f>
        <v>7515817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</row>
    <row r="141" ht="17.25" customHeight="1">
      <c r="A141" s="112"/>
      <c r="B141" s="189">
        <f>IFERROR(__xludf.DUMMYFUNCTION("""COMPUTED_VALUE"""),46170.5625)</f>
        <v>46170.5625</v>
      </c>
      <c r="C141" s="190">
        <f>IFERROR(__xludf.DUMMYFUNCTION("""COMPUTED_VALUE"""),23.35)</f>
        <v>23.35</v>
      </c>
      <c r="D141" s="190">
        <f>IFERROR(__xludf.DUMMYFUNCTION("""COMPUTED_VALUE"""),23.6)</f>
        <v>23.6</v>
      </c>
      <c r="E141" s="190">
        <f>IFERROR(__xludf.DUMMYFUNCTION("""COMPUTED_VALUE"""),23.2)</f>
        <v>23.2</v>
      </c>
      <c r="F141" s="190">
        <f>IFERROR(__xludf.DUMMYFUNCTION("""COMPUTED_VALUE"""),23.25)</f>
        <v>23.25</v>
      </c>
      <c r="G141" s="191">
        <f>IFERROR(__xludf.DUMMYFUNCTION("""COMPUTED_VALUE"""),5973231.0)</f>
        <v>5973231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</row>
    <row r="142" ht="17.25" customHeight="1">
      <c r="A142" s="112"/>
      <c r="B142" s="189">
        <f>IFERROR(__xludf.DUMMYFUNCTION("""COMPUTED_VALUE"""),46171.5625)</f>
        <v>46171.5625</v>
      </c>
      <c r="C142" s="190">
        <f>IFERROR(__xludf.DUMMYFUNCTION("""COMPUTED_VALUE"""),23.45)</f>
        <v>23.45</v>
      </c>
      <c r="D142" s="190">
        <f>IFERROR(__xludf.DUMMYFUNCTION("""COMPUTED_VALUE"""),23.7)</f>
        <v>23.7</v>
      </c>
      <c r="E142" s="190">
        <f>IFERROR(__xludf.DUMMYFUNCTION("""COMPUTED_VALUE"""),23.3)</f>
        <v>23.3</v>
      </c>
      <c r="F142" s="190">
        <f>IFERROR(__xludf.DUMMYFUNCTION("""COMPUTED_VALUE"""),23.3)</f>
        <v>23.3</v>
      </c>
      <c r="G142" s="191">
        <f>IFERROR(__xludf.DUMMYFUNCTION("""COMPUTED_VALUE"""),8279081.0)</f>
        <v>8279081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</row>
    <row r="143" ht="17.25" customHeight="1">
      <c r="A143" s="112"/>
      <c r="B143" s="189"/>
      <c r="C143" s="190"/>
      <c r="D143" s="190"/>
      <c r="E143" s="190"/>
      <c r="F143" s="190"/>
      <c r="G143" s="191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</row>
    <row r="144" ht="17.25" customHeight="1">
      <c r="A144" s="112"/>
      <c r="B144" s="189"/>
      <c r="C144" s="190"/>
      <c r="D144" s="190"/>
      <c r="E144" s="190"/>
      <c r="F144" s="190"/>
      <c r="G144" s="191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</row>
    <row r="145" ht="17.25" customHeight="1">
      <c r="A145" s="112"/>
      <c r="B145" s="189"/>
      <c r="C145" s="190"/>
      <c r="D145" s="190"/>
      <c r="E145" s="190"/>
      <c r="F145" s="190"/>
      <c r="G145" s="191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ht="17.25" customHeight="1">
      <c r="A146" s="112"/>
      <c r="B146" s="189"/>
      <c r="C146" s="190"/>
      <c r="D146" s="190"/>
      <c r="E146" s="190"/>
      <c r="F146" s="190"/>
      <c r="G146" s="191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ht="17.25" customHeight="1">
      <c r="A147" s="112"/>
      <c r="B147" s="189"/>
      <c r="C147" s="190"/>
      <c r="D147" s="190"/>
      <c r="E147" s="190"/>
      <c r="F147" s="190"/>
      <c r="G147" s="191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ht="17.25" customHeight="1">
      <c r="A148" s="112"/>
      <c r="B148" s="189"/>
      <c r="C148" s="190"/>
      <c r="D148" s="190"/>
      <c r="E148" s="190"/>
      <c r="F148" s="190"/>
      <c r="G148" s="191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</row>
    <row r="149" ht="17.25" customHeight="1">
      <c r="A149" s="112"/>
      <c r="B149" s="189"/>
      <c r="C149" s="190"/>
      <c r="D149" s="190"/>
      <c r="E149" s="190"/>
      <c r="F149" s="190"/>
      <c r="G149" s="191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ht="17.25" customHeight="1">
      <c r="A150" s="112"/>
      <c r="B150" s="189"/>
      <c r="C150" s="190"/>
      <c r="D150" s="190"/>
      <c r="E150" s="190"/>
      <c r="F150" s="190"/>
      <c r="G150" s="191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ht="17.25" customHeight="1">
      <c r="A151" s="112"/>
      <c r="B151" s="189"/>
      <c r="C151" s="190"/>
      <c r="D151" s="190"/>
      <c r="E151" s="190"/>
      <c r="F151" s="190"/>
      <c r="G151" s="191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ht="17.25" customHeight="1">
      <c r="A152" s="112"/>
      <c r="B152" s="189"/>
      <c r="C152" s="190"/>
      <c r="D152" s="190"/>
      <c r="E152" s="190"/>
      <c r="F152" s="190"/>
      <c r="G152" s="191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</row>
    <row r="153" ht="17.25" customHeight="1">
      <c r="A153" s="112"/>
      <c r="B153" s="189"/>
      <c r="C153" s="190"/>
      <c r="D153" s="190"/>
      <c r="E153" s="190"/>
      <c r="F153" s="190"/>
      <c r="G153" s="191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ht="17.25" customHeight="1">
      <c r="A154" s="112"/>
      <c r="B154" s="189"/>
      <c r="C154" s="190"/>
      <c r="D154" s="190"/>
      <c r="E154" s="190"/>
      <c r="F154" s="190"/>
      <c r="G154" s="191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</row>
    <row r="155" ht="17.25" customHeight="1">
      <c r="A155" s="112"/>
      <c r="B155" s="189"/>
      <c r="C155" s="190"/>
      <c r="D155" s="190"/>
      <c r="E155" s="190"/>
      <c r="F155" s="190"/>
      <c r="G155" s="191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ht="17.25" customHeight="1">
      <c r="A156" s="112"/>
      <c r="B156" s="189"/>
      <c r="C156" s="190"/>
      <c r="D156" s="190"/>
      <c r="E156" s="190"/>
      <c r="F156" s="190"/>
      <c r="G156" s="191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ht="17.25" customHeight="1">
      <c r="A157" s="112"/>
      <c r="B157" s="189"/>
      <c r="C157" s="190"/>
      <c r="D157" s="190"/>
      <c r="E157" s="190"/>
      <c r="F157" s="190"/>
      <c r="G157" s="191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ht="17.25" customHeight="1">
      <c r="A158" s="112"/>
      <c r="B158" s="189"/>
      <c r="C158" s="190"/>
      <c r="D158" s="190"/>
      <c r="E158" s="190"/>
      <c r="F158" s="190"/>
      <c r="G158" s="191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ht="17.25" customHeight="1">
      <c r="A159" s="112"/>
      <c r="B159" s="189"/>
      <c r="C159" s="190"/>
      <c r="D159" s="190"/>
      <c r="E159" s="190"/>
      <c r="F159" s="190"/>
      <c r="G159" s="191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ht="17.25" customHeight="1">
      <c r="A160" s="112"/>
      <c r="B160" s="189"/>
      <c r="C160" s="190"/>
      <c r="D160" s="190"/>
      <c r="E160" s="190"/>
      <c r="F160" s="190"/>
      <c r="G160" s="191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ht="17.25" customHeight="1">
      <c r="A161" s="112"/>
      <c r="B161" s="189"/>
      <c r="C161" s="190"/>
      <c r="D161" s="190"/>
      <c r="E161" s="190"/>
      <c r="F161" s="190"/>
      <c r="G161" s="191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ht="17.25" customHeight="1">
      <c r="A162" s="112"/>
      <c r="B162" s="189"/>
      <c r="C162" s="190"/>
      <c r="D162" s="190"/>
      <c r="E162" s="190"/>
      <c r="F162" s="190"/>
      <c r="G162" s="191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ht="17.25" customHeight="1">
      <c r="A163" s="112"/>
      <c r="B163" s="189"/>
      <c r="C163" s="190"/>
      <c r="D163" s="190"/>
      <c r="E163" s="190"/>
      <c r="F163" s="190"/>
      <c r="G163" s="191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</row>
    <row r="164" ht="17.25" customHeight="1">
      <c r="A164" s="112"/>
      <c r="B164" s="189"/>
      <c r="C164" s="190"/>
      <c r="D164" s="190"/>
      <c r="E164" s="190"/>
      <c r="F164" s="190"/>
      <c r="G164" s="191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ht="17.25" customHeight="1">
      <c r="A165" s="112"/>
      <c r="B165" s="189"/>
      <c r="C165" s="190"/>
      <c r="D165" s="190"/>
      <c r="E165" s="190"/>
      <c r="F165" s="190"/>
      <c r="G165" s="191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ht="17.25" customHeight="1">
      <c r="A166" s="112"/>
      <c r="B166" s="189"/>
      <c r="C166" s="190"/>
      <c r="D166" s="190"/>
      <c r="E166" s="190"/>
      <c r="F166" s="190"/>
      <c r="G166" s="191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ht="17.25" customHeight="1">
      <c r="A167" s="112"/>
      <c r="B167" s="189"/>
      <c r="C167" s="190"/>
      <c r="D167" s="190"/>
      <c r="E167" s="190"/>
      <c r="F167" s="190"/>
      <c r="G167" s="191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</row>
    <row r="168" ht="17.25" customHeight="1">
      <c r="A168" s="112"/>
      <c r="B168" s="189"/>
      <c r="C168" s="190"/>
      <c r="D168" s="190"/>
      <c r="E168" s="190"/>
      <c r="F168" s="190"/>
      <c r="G168" s="191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ht="17.25" customHeight="1">
      <c r="A169" s="112"/>
      <c r="B169" s="189"/>
      <c r="C169" s="190"/>
      <c r="D169" s="190"/>
      <c r="E169" s="190"/>
      <c r="F169" s="190"/>
      <c r="G169" s="191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ht="17.25" customHeight="1">
      <c r="A170" s="112"/>
      <c r="B170" s="189"/>
      <c r="C170" s="190"/>
      <c r="D170" s="190"/>
      <c r="E170" s="190"/>
      <c r="F170" s="190"/>
      <c r="G170" s="191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</row>
    <row r="171" ht="17.25" customHeight="1">
      <c r="A171" s="112"/>
      <c r="B171" s="189"/>
      <c r="C171" s="190"/>
      <c r="D171" s="190"/>
      <c r="E171" s="190"/>
      <c r="F171" s="190"/>
      <c r="G171" s="191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</row>
    <row r="172" ht="17.25" customHeight="1">
      <c r="A172" s="112"/>
      <c r="B172" s="189"/>
      <c r="C172" s="190"/>
      <c r="D172" s="190"/>
      <c r="E172" s="190"/>
      <c r="F172" s="190"/>
      <c r="G172" s="191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ht="17.25" customHeight="1">
      <c r="A173" s="112"/>
      <c r="B173" s="189"/>
      <c r="C173" s="190"/>
      <c r="D173" s="190"/>
      <c r="E173" s="190"/>
      <c r="F173" s="190"/>
      <c r="G173" s="191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</row>
    <row r="174" ht="17.25" customHeight="1">
      <c r="A174" s="112"/>
      <c r="B174" s="189"/>
      <c r="C174" s="190"/>
      <c r="D174" s="190"/>
      <c r="E174" s="190"/>
      <c r="F174" s="190"/>
      <c r="G174" s="191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</row>
    <row r="175" ht="17.25" customHeight="1">
      <c r="A175" s="112"/>
      <c r="B175" s="189"/>
      <c r="C175" s="190"/>
      <c r="D175" s="190"/>
      <c r="E175" s="190"/>
      <c r="F175" s="190"/>
      <c r="G175" s="191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</row>
    <row r="176" ht="17.25" customHeight="1">
      <c r="A176" s="112"/>
      <c r="B176" s="189"/>
      <c r="C176" s="190"/>
      <c r="D176" s="190"/>
      <c r="E176" s="190"/>
      <c r="F176" s="190"/>
      <c r="G176" s="191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</row>
    <row r="177" ht="17.25" customHeight="1">
      <c r="A177" s="112"/>
      <c r="B177" s="189"/>
      <c r="C177" s="190"/>
      <c r="D177" s="190"/>
      <c r="E177" s="190"/>
      <c r="F177" s="190"/>
      <c r="G177" s="191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</row>
    <row r="178" ht="17.25" customHeight="1">
      <c r="A178" s="112"/>
      <c r="B178" s="189"/>
      <c r="C178" s="190"/>
      <c r="D178" s="190"/>
      <c r="E178" s="190"/>
      <c r="F178" s="190"/>
      <c r="G178" s="191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</row>
    <row r="179" ht="17.25" customHeight="1">
      <c r="A179" s="112"/>
      <c r="B179" s="189"/>
      <c r="C179" s="190"/>
      <c r="D179" s="190"/>
      <c r="E179" s="190"/>
      <c r="F179" s="190"/>
      <c r="G179" s="191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</row>
    <row r="180" ht="17.25" customHeight="1">
      <c r="A180" s="112"/>
      <c r="B180" s="189"/>
      <c r="C180" s="190"/>
      <c r="D180" s="190"/>
      <c r="E180" s="190"/>
      <c r="F180" s="190"/>
      <c r="G180" s="191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</row>
    <row r="181" ht="17.25" customHeight="1">
      <c r="A181" s="112"/>
      <c r="B181" s="189"/>
      <c r="C181" s="190"/>
      <c r="D181" s="190"/>
      <c r="E181" s="190"/>
      <c r="F181" s="190"/>
      <c r="G181" s="191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</row>
    <row r="182" ht="17.25" customHeight="1">
      <c r="A182" s="112"/>
      <c r="B182" s="189"/>
      <c r="C182" s="190"/>
      <c r="D182" s="190"/>
      <c r="E182" s="190"/>
      <c r="F182" s="190"/>
      <c r="G182" s="191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</row>
    <row r="183" ht="17.25" customHeight="1">
      <c r="A183" s="112"/>
      <c r="B183" s="189"/>
      <c r="C183" s="190"/>
      <c r="D183" s="190"/>
      <c r="E183" s="190"/>
      <c r="F183" s="190"/>
      <c r="G183" s="191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</row>
    <row r="184" ht="17.25" customHeight="1">
      <c r="A184" s="112"/>
      <c r="B184" s="189"/>
      <c r="C184" s="190"/>
      <c r="D184" s="190"/>
      <c r="E184" s="190"/>
      <c r="F184" s="190"/>
      <c r="G184" s="191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</row>
    <row r="185" ht="17.25" customHeight="1">
      <c r="A185" s="112"/>
      <c r="B185" s="189"/>
      <c r="C185" s="190"/>
      <c r="D185" s="190"/>
      <c r="E185" s="190"/>
      <c r="F185" s="190"/>
      <c r="G185" s="191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</row>
    <row r="186" ht="17.25" customHeight="1">
      <c r="A186" s="112"/>
      <c r="B186" s="189"/>
      <c r="C186" s="190"/>
      <c r="D186" s="190"/>
      <c r="E186" s="190"/>
      <c r="F186" s="190"/>
      <c r="G186" s="191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</row>
    <row r="187" ht="17.25" customHeight="1">
      <c r="A187" s="112"/>
      <c r="B187" s="189"/>
      <c r="C187" s="190"/>
      <c r="D187" s="190"/>
      <c r="E187" s="190"/>
      <c r="F187" s="190"/>
      <c r="G187" s="191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</row>
    <row r="188" ht="17.25" customHeight="1">
      <c r="A188" s="112"/>
      <c r="B188" s="189"/>
      <c r="C188" s="190"/>
      <c r="D188" s="190"/>
      <c r="E188" s="190"/>
      <c r="F188" s="190"/>
      <c r="G188" s="191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</row>
    <row r="189" ht="17.25" customHeight="1">
      <c r="A189" s="112"/>
      <c r="B189" s="189"/>
      <c r="C189" s="190"/>
      <c r="D189" s="190"/>
      <c r="E189" s="190"/>
      <c r="F189" s="190"/>
      <c r="G189" s="191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</row>
    <row r="190" ht="17.25" customHeight="1">
      <c r="A190" s="112"/>
      <c r="B190" s="189"/>
      <c r="C190" s="190"/>
      <c r="D190" s="190"/>
      <c r="E190" s="190"/>
      <c r="F190" s="190"/>
      <c r="G190" s="191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</row>
    <row r="191" ht="17.25" customHeight="1">
      <c r="A191" s="112"/>
      <c r="B191" s="189"/>
      <c r="C191" s="190"/>
      <c r="D191" s="190"/>
      <c r="E191" s="190"/>
      <c r="F191" s="190"/>
      <c r="G191" s="191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</row>
    <row r="192" ht="17.25" customHeight="1">
      <c r="A192" s="112"/>
      <c r="B192" s="189"/>
      <c r="C192" s="190"/>
      <c r="D192" s="190"/>
      <c r="E192" s="190"/>
      <c r="F192" s="190"/>
      <c r="G192" s="191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</row>
    <row r="193" ht="17.25" customHeight="1">
      <c r="A193" s="112"/>
      <c r="B193" s="189"/>
      <c r="C193" s="190"/>
      <c r="D193" s="190"/>
      <c r="E193" s="190"/>
      <c r="F193" s="190"/>
      <c r="G193" s="191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</row>
    <row r="194" ht="17.25" customHeight="1">
      <c r="A194" s="112"/>
      <c r="B194" s="189"/>
      <c r="C194" s="190"/>
      <c r="D194" s="190"/>
      <c r="E194" s="190"/>
      <c r="F194" s="190"/>
      <c r="G194" s="191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</row>
    <row r="195" ht="17.25" customHeight="1">
      <c r="A195" s="112"/>
      <c r="B195" s="189"/>
      <c r="C195" s="190"/>
      <c r="D195" s="190"/>
      <c r="E195" s="190"/>
      <c r="F195" s="190"/>
      <c r="G195" s="191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</row>
    <row r="196" ht="17.25" customHeight="1">
      <c r="A196" s="112"/>
      <c r="B196" s="189"/>
      <c r="C196" s="190"/>
      <c r="D196" s="190"/>
      <c r="E196" s="190"/>
      <c r="F196" s="190"/>
      <c r="G196" s="191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</row>
    <row r="197" ht="17.25" customHeight="1">
      <c r="A197" s="112"/>
      <c r="B197" s="189"/>
      <c r="C197" s="190"/>
      <c r="D197" s="190"/>
      <c r="E197" s="190"/>
      <c r="F197" s="190"/>
      <c r="G197" s="191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</row>
    <row r="198" ht="17.25" customHeight="1">
      <c r="A198" s="112"/>
      <c r="B198" s="189"/>
      <c r="C198" s="190"/>
      <c r="D198" s="190"/>
      <c r="E198" s="190"/>
      <c r="F198" s="190"/>
      <c r="G198" s="191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</row>
    <row r="199" ht="17.25" customHeight="1">
      <c r="A199" s="112"/>
      <c r="B199" s="189"/>
      <c r="C199" s="190"/>
      <c r="D199" s="190"/>
      <c r="E199" s="190"/>
      <c r="F199" s="190"/>
      <c r="G199" s="191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</row>
    <row r="200" ht="17.25" customHeight="1">
      <c r="A200" s="112"/>
      <c r="B200" s="189"/>
      <c r="C200" s="190"/>
      <c r="D200" s="190"/>
      <c r="E200" s="190"/>
      <c r="F200" s="190"/>
      <c r="G200" s="191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</row>
    <row r="201" ht="17.25" customHeight="1">
      <c r="A201" s="112"/>
      <c r="B201" s="189"/>
      <c r="C201" s="190"/>
      <c r="D201" s="190"/>
      <c r="E201" s="190"/>
      <c r="F201" s="190"/>
      <c r="G201" s="191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/>
      <c r="C202" s="190"/>
      <c r="D202" s="190"/>
      <c r="E202" s="190"/>
      <c r="F202" s="190"/>
      <c r="G202" s="191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/>
      <c r="C203" s="190"/>
      <c r="D203" s="190"/>
      <c r="E203" s="190"/>
      <c r="F203" s="190"/>
      <c r="G203" s="191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/>
      <c r="C204" s="190"/>
      <c r="D204" s="190"/>
      <c r="E204" s="190"/>
      <c r="F204" s="190"/>
      <c r="G204" s="191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/>
      <c r="C205" s="190"/>
      <c r="D205" s="190"/>
      <c r="E205" s="190"/>
      <c r="F205" s="190"/>
      <c r="G205" s="191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/>
      <c r="C206" s="190"/>
      <c r="D206" s="190"/>
      <c r="E206" s="190"/>
      <c r="F206" s="190"/>
      <c r="G206" s="191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/>
      <c r="C207" s="190"/>
      <c r="D207" s="190"/>
      <c r="E207" s="190"/>
      <c r="F207" s="190"/>
      <c r="G207" s="191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/>
      <c r="C208" s="190"/>
      <c r="D208" s="190"/>
      <c r="E208" s="190"/>
      <c r="F208" s="190"/>
      <c r="G208" s="191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/>
      <c r="C209" s="190"/>
      <c r="D209" s="190"/>
      <c r="E209" s="190"/>
      <c r="F209" s="190"/>
      <c r="G209" s="191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/>
      <c r="C210" s="190"/>
      <c r="D210" s="190"/>
      <c r="E210" s="190"/>
      <c r="F210" s="190"/>
      <c r="G210" s="191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/>
      <c r="C211" s="190"/>
      <c r="D211" s="190"/>
      <c r="E211" s="190"/>
      <c r="F211" s="190"/>
      <c r="G211" s="191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/>
      <c r="C212" s="190"/>
      <c r="D212" s="190"/>
      <c r="E212" s="190"/>
      <c r="F212" s="190"/>
      <c r="G212" s="191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/>
      <c r="C213" s="190"/>
      <c r="D213" s="190"/>
      <c r="E213" s="190"/>
      <c r="F213" s="190"/>
      <c r="G213" s="191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/>
      <c r="C214" s="190"/>
      <c r="D214" s="190"/>
      <c r="E214" s="190"/>
      <c r="F214" s="190"/>
      <c r="G214" s="191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/>
      <c r="C215" s="190"/>
      <c r="D215" s="190"/>
      <c r="E215" s="190"/>
      <c r="F215" s="190"/>
      <c r="G215" s="191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/>
      <c r="C216" s="190"/>
      <c r="D216" s="190"/>
      <c r="E216" s="190"/>
      <c r="F216" s="190"/>
      <c r="G216" s="191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/>
      <c r="C217" s="190"/>
      <c r="D217" s="190"/>
      <c r="E217" s="190"/>
      <c r="F217" s="190"/>
      <c r="G217" s="191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/>
      <c r="C218" s="190"/>
      <c r="D218" s="190"/>
      <c r="E218" s="190"/>
      <c r="F218" s="190"/>
      <c r="G218" s="191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/>
      <c r="C219" s="190"/>
      <c r="D219" s="190"/>
      <c r="E219" s="190"/>
      <c r="F219" s="190"/>
      <c r="G219" s="191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/>
      <c r="C220" s="190"/>
      <c r="D220" s="190"/>
      <c r="E220" s="190"/>
      <c r="F220" s="190"/>
      <c r="G220" s="191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/>
      <c r="C221" s="190"/>
      <c r="D221" s="190"/>
      <c r="E221" s="190"/>
      <c r="F221" s="190"/>
      <c r="G221" s="191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/>
      <c r="C222" s="190"/>
      <c r="D222" s="190"/>
      <c r="E222" s="190"/>
      <c r="F222" s="190"/>
      <c r="G222" s="191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/>
      <c r="C223" s="190"/>
      <c r="D223" s="190"/>
      <c r="E223" s="190"/>
      <c r="F223" s="190"/>
      <c r="G223" s="191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/>
      <c r="C224" s="190"/>
      <c r="D224" s="190"/>
      <c r="E224" s="190"/>
      <c r="F224" s="190"/>
      <c r="G224" s="191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/>
      <c r="C225" s="190"/>
      <c r="D225" s="190"/>
      <c r="E225" s="190"/>
      <c r="F225" s="190"/>
      <c r="G225" s="191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/>
      <c r="C226" s="190"/>
      <c r="D226" s="190"/>
      <c r="E226" s="190"/>
      <c r="F226" s="190"/>
      <c r="G226" s="191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/>
      <c r="C227" s="190"/>
      <c r="D227" s="190"/>
      <c r="E227" s="190"/>
      <c r="F227" s="190"/>
      <c r="G227" s="191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/>
      <c r="C228" s="190"/>
      <c r="D228" s="190"/>
      <c r="E228" s="190"/>
      <c r="F228" s="190"/>
      <c r="G228" s="191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/>
      <c r="C229" s="190"/>
      <c r="D229" s="190"/>
      <c r="E229" s="190"/>
      <c r="F229" s="190"/>
      <c r="G229" s="191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/>
      <c r="C230" s="190"/>
      <c r="D230" s="190"/>
      <c r="E230" s="190"/>
      <c r="F230" s="190"/>
      <c r="G230" s="191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/>
      <c r="C231" s="190"/>
      <c r="D231" s="190"/>
      <c r="E231" s="190"/>
      <c r="F231" s="190"/>
      <c r="G231" s="191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/>
      <c r="C232" s="190"/>
      <c r="D232" s="190"/>
      <c r="E232" s="190"/>
      <c r="F232" s="190"/>
      <c r="G232" s="19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/>
      <c r="C233" s="190"/>
      <c r="D233" s="190"/>
      <c r="E233" s="190"/>
      <c r="F233" s="190"/>
      <c r="G233" s="191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/>
      <c r="C234" s="190"/>
      <c r="D234" s="190"/>
      <c r="E234" s="190"/>
      <c r="F234" s="190"/>
      <c r="G234" s="191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/>
      <c r="C235" s="190"/>
      <c r="D235" s="190"/>
      <c r="E235" s="190"/>
      <c r="F235" s="190"/>
      <c r="G235" s="191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/>
      <c r="C236" s="190"/>
      <c r="D236" s="190"/>
      <c r="E236" s="190"/>
      <c r="F236" s="190"/>
      <c r="G236" s="191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/>
      <c r="C237" s="190"/>
      <c r="D237" s="190"/>
      <c r="E237" s="190"/>
      <c r="F237" s="190"/>
      <c r="G237" s="191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/>
      <c r="C238" s="190"/>
      <c r="D238" s="190"/>
      <c r="E238" s="190"/>
      <c r="F238" s="190"/>
      <c r="G238" s="191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/>
      <c r="C239" s="190"/>
      <c r="D239" s="190"/>
      <c r="E239" s="190"/>
      <c r="F239" s="190"/>
      <c r="G239" s="19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/>
      <c r="C240" s="190"/>
      <c r="D240" s="190"/>
      <c r="E240" s="190"/>
      <c r="F240" s="190"/>
      <c r="G240" s="191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/>
      <c r="C241" s="190"/>
      <c r="D241" s="190"/>
      <c r="E241" s="190"/>
      <c r="F241" s="190"/>
      <c r="G241" s="191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/>
      <c r="C242" s="190"/>
      <c r="D242" s="190"/>
      <c r="E242" s="190"/>
      <c r="F242" s="190"/>
      <c r="G242" s="191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/>
      <c r="C243" s="190"/>
      <c r="D243" s="190"/>
      <c r="E243" s="190"/>
      <c r="F243" s="190"/>
      <c r="G243" s="191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/>
      <c r="C244" s="190"/>
      <c r="D244" s="190"/>
      <c r="E244" s="190"/>
      <c r="F244" s="190"/>
      <c r="G244" s="191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/>
      <c r="C245" s="190"/>
      <c r="D245" s="190"/>
      <c r="E245" s="190"/>
      <c r="F245" s="190"/>
      <c r="G245" s="191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/>
      <c r="C246" s="190"/>
      <c r="D246" s="190"/>
      <c r="E246" s="190"/>
      <c r="F246" s="190"/>
      <c r="G246" s="191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/>
      <c r="C247" s="190"/>
      <c r="D247" s="190"/>
      <c r="E247" s="190"/>
      <c r="F247" s="190"/>
      <c r="G247" s="191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/>
      <c r="C248" s="190"/>
      <c r="D248" s="190"/>
      <c r="E248" s="190"/>
      <c r="F248" s="190"/>
      <c r="G248" s="191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/>
      <c r="C249" s="190"/>
      <c r="D249" s="190"/>
      <c r="E249" s="190"/>
      <c r="F249" s="190"/>
      <c r="G249" s="191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/>
      <c r="C250" s="190"/>
      <c r="D250" s="190"/>
      <c r="E250" s="190"/>
      <c r="F250" s="190"/>
      <c r="G250" s="191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/>
      <c r="C251" s="190"/>
      <c r="D251" s="190"/>
      <c r="E251" s="190"/>
      <c r="F251" s="190"/>
      <c r="G251" s="191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/>
      <c r="C252" s="190"/>
      <c r="D252" s="190"/>
      <c r="E252" s="190"/>
      <c r="F252" s="190"/>
      <c r="G252" s="191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/>
      <c r="C253" s="190"/>
      <c r="D253" s="190"/>
      <c r="E253" s="190"/>
      <c r="F253" s="190"/>
      <c r="G253" s="191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/>
      <c r="C254" s="190"/>
      <c r="D254" s="190"/>
      <c r="E254" s="190"/>
      <c r="F254" s="190"/>
      <c r="G254" s="191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/>
      <c r="C255" s="190"/>
      <c r="D255" s="190"/>
      <c r="E255" s="190"/>
      <c r="F255" s="190"/>
      <c r="G255" s="191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/>
      <c r="C256" s="190"/>
      <c r="D256" s="190"/>
      <c r="E256" s="190"/>
      <c r="F256" s="190"/>
      <c r="G256" s="191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/>
      <c r="C257" s="190"/>
      <c r="D257" s="190"/>
      <c r="E257" s="190"/>
      <c r="F257" s="190"/>
      <c r="G257" s="191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/>
      <c r="C258" s="190"/>
      <c r="D258" s="190"/>
      <c r="E258" s="190"/>
      <c r="F258" s="190"/>
      <c r="G258" s="191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/>
      <c r="C259" s="190"/>
      <c r="D259" s="190"/>
      <c r="E259" s="190"/>
      <c r="F259" s="190"/>
      <c r="G259" s="191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/>
      <c r="C260" s="190"/>
      <c r="D260" s="190"/>
      <c r="E260" s="190"/>
      <c r="F260" s="190"/>
      <c r="G260" s="191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/>
      <c r="C261" s="190"/>
      <c r="D261" s="190"/>
      <c r="E261" s="190"/>
      <c r="F261" s="190"/>
      <c r="G261" s="191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/>
      <c r="C262" s="190"/>
      <c r="D262" s="190"/>
      <c r="E262" s="190"/>
      <c r="F262" s="190"/>
      <c r="G262" s="191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/>
      <c r="C263" s="190"/>
      <c r="D263" s="190"/>
      <c r="E263" s="190"/>
      <c r="F263" s="190"/>
      <c r="G263" s="191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/>
      <c r="C264" s="190"/>
      <c r="D264" s="190"/>
      <c r="E264" s="190"/>
      <c r="F264" s="190"/>
      <c r="G264" s="191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/>
      <c r="C265" s="190"/>
      <c r="D265" s="190"/>
      <c r="E265" s="190"/>
      <c r="F265" s="190"/>
      <c r="G265" s="191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/>
      <c r="C266" s="190"/>
      <c r="D266" s="190"/>
      <c r="E266" s="190"/>
      <c r="F266" s="190"/>
      <c r="G266" s="191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/>
      <c r="C267" s="190"/>
      <c r="D267" s="190"/>
      <c r="E267" s="190"/>
      <c r="F267" s="190"/>
      <c r="G267" s="191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/>
      <c r="C268" s="190"/>
      <c r="D268" s="190"/>
      <c r="E268" s="190"/>
      <c r="F268" s="190"/>
      <c r="G268" s="191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/>
      <c r="C269" s="190"/>
      <c r="D269" s="190"/>
      <c r="E269" s="190"/>
      <c r="F269" s="190"/>
      <c r="G269" s="191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/>
      <c r="C270" s="190"/>
      <c r="D270" s="190"/>
      <c r="E270" s="190"/>
      <c r="F270" s="190"/>
      <c r="G270" s="191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/>
      <c r="C271" s="190"/>
      <c r="D271" s="190"/>
      <c r="E271" s="190"/>
      <c r="F271" s="190"/>
      <c r="G271" s="191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/>
      <c r="C272" s="190"/>
      <c r="D272" s="190"/>
      <c r="E272" s="190"/>
      <c r="F272" s="190"/>
      <c r="G272" s="191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/>
      <c r="C273" s="190"/>
      <c r="D273" s="190"/>
      <c r="E273" s="190"/>
      <c r="F273" s="190"/>
      <c r="G273" s="191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/>
      <c r="C274" s="190"/>
      <c r="D274" s="190"/>
      <c r="E274" s="190"/>
      <c r="F274" s="190"/>
      <c r="G274" s="191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/>
      <c r="C275" s="190"/>
      <c r="D275" s="190"/>
      <c r="E275" s="190"/>
      <c r="F275" s="190"/>
      <c r="G275" s="191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/>
      <c r="C276" s="190"/>
      <c r="D276" s="190"/>
      <c r="E276" s="190"/>
      <c r="F276" s="190"/>
      <c r="G276" s="191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/>
      <c r="C277" s="190"/>
      <c r="D277" s="190"/>
      <c r="E277" s="190"/>
      <c r="F277" s="190"/>
      <c r="G277" s="191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/>
      <c r="C278" s="190"/>
      <c r="D278" s="190"/>
      <c r="E278" s="190"/>
      <c r="F278" s="190"/>
      <c r="G278" s="191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/>
      <c r="C279" s="190"/>
      <c r="D279" s="190"/>
      <c r="E279" s="190"/>
      <c r="F279" s="190"/>
      <c r="G279" s="191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/>
      <c r="C280" s="190"/>
      <c r="D280" s="190"/>
      <c r="E280" s="190"/>
      <c r="F280" s="190"/>
      <c r="G280" s="191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/>
      <c r="C281" s="190"/>
      <c r="D281" s="190"/>
      <c r="E281" s="190"/>
      <c r="F281" s="190"/>
      <c r="G281" s="191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/>
      <c r="C282" s="190"/>
      <c r="D282" s="190"/>
      <c r="E282" s="190"/>
      <c r="F282" s="190"/>
      <c r="G282" s="191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/>
      <c r="C283" s="190"/>
      <c r="D283" s="190"/>
      <c r="E283" s="190"/>
      <c r="F283" s="190"/>
      <c r="G283" s="191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/>
      <c r="C284" s="190"/>
      <c r="D284" s="190"/>
      <c r="E284" s="190"/>
      <c r="F284" s="190"/>
      <c r="G284" s="191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/>
      <c r="C285" s="190"/>
      <c r="D285" s="190"/>
      <c r="E285" s="190"/>
      <c r="F285" s="190"/>
      <c r="G285" s="191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/>
      <c r="C286" s="190"/>
      <c r="D286" s="190"/>
      <c r="E286" s="190"/>
      <c r="F286" s="190"/>
      <c r="G286" s="191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/>
      <c r="C287" s="190"/>
      <c r="D287" s="190"/>
      <c r="E287" s="190"/>
      <c r="F287" s="190"/>
      <c r="G287" s="191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/>
      <c r="C288" s="190"/>
      <c r="D288" s="190"/>
      <c r="E288" s="190"/>
      <c r="F288" s="190"/>
      <c r="G288" s="191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/>
      <c r="C289" s="190"/>
      <c r="D289" s="190"/>
      <c r="E289" s="190"/>
      <c r="F289" s="190"/>
      <c r="G289" s="19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/>
      <c r="C290" s="190"/>
      <c r="D290" s="190"/>
      <c r="E290" s="190"/>
      <c r="F290" s="190"/>
      <c r="G290" s="191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/>
      <c r="C291" s="190"/>
      <c r="D291" s="190"/>
      <c r="E291" s="190"/>
      <c r="F291" s="190"/>
      <c r="G291" s="191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/>
      <c r="C292" s="190"/>
      <c r="D292" s="190"/>
      <c r="E292" s="190"/>
      <c r="F292" s="190"/>
      <c r="G292" s="191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/>
      <c r="C293" s="190"/>
      <c r="D293" s="190"/>
      <c r="E293" s="190"/>
      <c r="F293" s="190"/>
      <c r="G293" s="191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/>
      <c r="C294" s="190"/>
      <c r="D294" s="190"/>
      <c r="E294" s="190"/>
      <c r="F294" s="190"/>
      <c r="G294" s="191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/>
      <c r="C295" s="190"/>
      <c r="D295" s="190"/>
      <c r="E295" s="190"/>
      <c r="F295" s="190"/>
      <c r="G295" s="191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/>
      <c r="C296" s="190"/>
      <c r="D296" s="190"/>
      <c r="E296" s="190"/>
      <c r="F296" s="190"/>
      <c r="G296" s="19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/>
      <c r="C297" s="190"/>
      <c r="D297" s="190"/>
      <c r="E297" s="190"/>
      <c r="F297" s="190"/>
      <c r="G297" s="191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/>
      <c r="C298" s="190"/>
      <c r="D298" s="190"/>
      <c r="E298" s="190"/>
      <c r="F298" s="190"/>
      <c r="G298" s="191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/>
      <c r="C299" s="190"/>
      <c r="D299" s="190"/>
      <c r="E299" s="190"/>
      <c r="F299" s="190"/>
      <c r="G299" s="191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/>
      <c r="C300" s="190"/>
      <c r="D300" s="190"/>
      <c r="E300" s="190"/>
      <c r="F300" s="190"/>
      <c r="G300" s="191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/>
      <c r="C301" s="190"/>
      <c r="D301" s="190"/>
      <c r="E301" s="190"/>
      <c r="F301" s="190"/>
      <c r="G301" s="191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/>
      <c r="C302" s="190"/>
      <c r="D302" s="190"/>
      <c r="E302" s="190"/>
      <c r="F302" s="190"/>
      <c r="G302" s="191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/>
      <c r="C303" s="190"/>
      <c r="D303" s="190"/>
      <c r="E303" s="190"/>
      <c r="F303" s="190"/>
      <c r="G303" s="191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/>
      <c r="C304" s="190"/>
      <c r="D304" s="190"/>
      <c r="E304" s="190"/>
      <c r="F304" s="190"/>
      <c r="G304" s="19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/>
      <c r="C305" s="190"/>
      <c r="D305" s="190"/>
      <c r="E305" s="190"/>
      <c r="F305" s="190"/>
      <c r="G305" s="191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/>
      <c r="C306" s="190"/>
      <c r="D306" s="190"/>
      <c r="E306" s="190"/>
      <c r="F306" s="190"/>
      <c r="G306" s="191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/>
      <c r="C307" s="190"/>
      <c r="D307" s="190"/>
      <c r="E307" s="190"/>
      <c r="F307" s="190"/>
      <c r="G307" s="191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/>
      <c r="C308" s="190"/>
      <c r="D308" s="190"/>
      <c r="E308" s="190"/>
      <c r="F308" s="190"/>
      <c r="G308" s="191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/>
      <c r="C309" s="190"/>
      <c r="D309" s="190"/>
      <c r="E309" s="190"/>
      <c r="F309" s="190"/>
      <c r="G309" s="191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/>
      <c r="C310" s="190"/>
      <c r="D310" s="190"/>
      <c r="E310" s="190"/>
      <c r="F310" s="190"/>
      <c r="G310" s="191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/>
      <c r="C311" s="190"/>
      <c r="D311" s="190"/>
      <c r="E311" s="190"/>
      <c r="F311" s="190"/>
      <c r="G311" s="191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/>
      <c r="C312" s="190"/>
      <c r="D312" s="190"/>
      <c r="E312" s="190"/>
      <c r="F312" s="190"/>
      <c r="G312" s="191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/>
      <c r="C313" s="190"/>
      <c r="D313" s="190"/>
      <c r="E313" s="190"/>
      <c r="F313" s="190"/>
      <c r="G313" s="191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/>
      <c r="C314" s="190"/>
      <c r="D314" s="190"/>
      <c r="E314" s="190"/>
      <c r="F314" s="190"/>
      <c r="G314" s="191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/>
      <c r="C315" s="190"/>
      <c r="D315" s="190"/>
      <c r="E315" s="190"/>
      <c r="F315" s="190"/>
      <c r="G315" s="191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/>
      <c r="C316" s="190"/>
      <c r="D316" s="190"/>
      <c r="E316" s="190"/>
      <c r="F316" s="190"/>
      <c r="G316" s="191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/>
      <c r="C317" s="190"/>
      <c r="D317" s="190"/>
      <c r="E317" s="190"/>
      <c r="F317" s="190"/>
      <c r="G317" s="191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/>
      <c r="C318" s="190"/>
      <c r="D318" s="190"/>
      <c r="E318" s="190"/>
      <c r="F318" s="190"/>
      <c r="G318" s="191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/>
      <c r="C319" s="190"/>
      <c r="D319" s="190"/>
      <c r="E319" s="190"/>
      <c r="F319" s="190"/>
      <c r="G319" s="191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/>
      <c r="C320" s="190"/>
      <c r="D320" s="190"/>
      <c r="E320" s="190"/>
      <c r="F320" s="190"/>
      <c r="G320" s="191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/>
      <c r="C321" s="190"/>
      <c r="D321" s="190"/>
      <c r="E321" s="190"/>
      <c r="F321" s="190"/>
      <c r="G321" s="191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/>
      <c r="C322" s="190"/>
      <c r="D322" s="190"/>
      <c r="E322" s="190"/>
      <c r="F322" s="190"/>
      <c r="G322" s="191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/>
      <c r="C323" s="190"/>
      <c r="D323" s="190"/>
      <c r="E323" s="190"/>
      <c r="F323" s="190"/>
      <c r="G323" s="191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/>
      <c r="C324" s="190"/>
      <c r="D324" s="190"/>
      <c r="E324" s="190"/>
      <c r="F324" s="190"/>
      <c r="G324" s="191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/>
      <c r="C325" s="190"/>
      <c r="D325" s="190"/>
      <c r="E325" s="190"/>
      <c r="F325" s="190"/>
      <c r="G325" s="191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/>
      <c r="C326" s="190"/>
      <c r="D326" s="190"/>
      <c r="E326" s="190"/>
      <c r="F326" s="190"/>
      <c r="G326" s="191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/>
      <c r="C327" s="190"/>
      <c r="D327" s="190"/>
      <c r="E327" s="190"/>
      <c r="F327" s="190"/>
      <c r="G327" s="191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/>
      <c r="C328" s="190"/>
      <c r="D328" s="190"/>
      <c r="E328" s="190"/>
      <c r="F328" s="190"/>
      <c r="G328" s="191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/>
      <c r="C329" s="190"/>
      <c r="D329" s="190"/>
      <c r="E329" s="190"/>
      <c r="F329" s="190"/>
      <c r="G329" s="191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/>
      <c r="C330" s="190"/>
      <c r="D330" s="190"/>
      <c r="E330" s="190"/>
      <c r="F330" s="190"/>
      <c r="G330" s="191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/>
      <c r="C331" s="190"/>
      <c r="D331" s="190"/>
      <c r="E331" s="190"/>
      <c r="F331" s="190"/>
      <c r="G331" s="191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/>
      <c r="C332" s="190"/>
      <c r="D332" s="190"/>
      <c r="E332" s="190"/>
      <c r="F332" s="190"/>
      <c r="G332" s="191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/>
      <c r="C333" s="190"/>
      <c r="D333" s="190"/>
      <c r="E333" s="190"/>
      <c r="F333" s="190"/>
      <c r="G333" s="191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/>
      <c r="C334" s="190"/>
      <c r="D334" s="190"/>
      <c r="E334" s="190"/>
      <c r="F334" s="190"/>
      <c r="G334" s="191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/>
      <c r="C335" s="190"/>
      <c r="D335" s="190"/>
      <c r="E335" s="190"/>
      <c r="F335" s="190"/>
      <c r="G335" s="191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/>
      <c r="C336" s="190"/>
      <c r="D336" s="190"/>
      <c r="E336" s="190"/>
      <c r="F336" s="190"/>
      <c r="G336" s="191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/>
      <c r="C337" s="190"/>
      <c r="D337" s="190"/>
      <c r="E337" s="190"/>
      <c r="F337" s="190"/>
      <c r="G337" s="191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/>
      <c r="C338" s="190"/>
      <c r="D338" s="190"/>
      <c r="E338" s="190"/>
      <c r="F338" s="190"/>
      <c r="G338" s="191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/>
      <c r="C339" s="190"/>
      <c r="D339" s="190"/>
      <c r="E339" s="190"/>
      <c r="F339" s="190"/>
      <c r="G339" s="191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/>
      <c r="C340" s="190"/>
      <c r="D340" s="190"/>
      <c r="E340" s="190"/>
      <c r="F340" s="190"/>
      <c r="G340" s="191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/>
      <c r="C341" s="190"/>
      <c r="D341" s="190"/>
      <c r="E341" s="190"/>
      <c r="F341" s="190"/>
      <c r="G341" s="191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/>
      <c r="C342" s="190"/>
      <c r="D342" s="190"/>
      <c r="E342" s="190"/>
      <c r="F342" s="190"/>
      <c r="G342" s="191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/>
      <c r="C343" s="190"/>
      <c r="D343" s="190"/>
      <c r="E343" s="190"/>
      <c r="F343" s="190"/>
      <c r="G343" s="191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/>
      <c r="C344" s="190"/>
      <c r="D344" s="190"/>
      <c r="E344" s="190"/>
      <c r="F344" s="190"/>
      <c r="G344" s="191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/>
      <c r="C345" s="190"/>
      <c r="D345" s="190"/>
      <c r="E345" s="190"/>
      <c r="F345" s="190"/>
      <c r="G345" s="191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/>
      <c r="C346" s="190"/>
      <c r="D346" s="190"/>
      <c r="E346" s="190"/>
      <c r="F346" s="190"/>
      <c r="G346" s="191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/>
      <c r="C347" s="190"/>
      <c r="D347" s="190"/>
      <c r="E347" s="190"/>
      <c r="F347" s="190"/>
      <c r="G347" s="191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/>
      <c r="C348" s="190"/>
      <c r="D348" s="190"/>
      <c r="E348" s="190"/>
      <c r="F348" s="190"/>
      <c r="G348" s="191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/>
      <c r="C349" s="190"/>
      <c r="D349" s="190"/>
      <c r="E349" s="190"/>
      <c r="F349" s="190"/>
      <c r="G349" s="191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/>
      <c r="C350" s="190"/>
      <c r="D350" s="190"/>
      <c r="E350" s="190"/>
      <c r="F350" s="190"/>
      <c r="G350" s="191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/>
      <c r="C351" s="190"/>
      <c r="D351" s="190"/>
      <c r="E351" s="190"/>
      <c r="F351" s="190"/>
      <c r="G351" s="191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/>
      <c r="C352" s="190"/>
      <c r="D352" s="190"/>
      <c r="E352" s="190"/>
      <c r="F352" s="190"/>
      <c r="G352" s="191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/>
      <c r="C353" s="190"/>
      <c r="D353" s="190"/>
      <c r="E353" s="190"/>
      <c r="F353" s="190"/>
      <c r="G353" s="191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/>
      <c r="C354" s="190"/>
      <c r="D354" s="190"/>
      <c r="E354" s="190"/>
      <c r="F354" s="190"/>
      <c r="G354" s="191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/>
      <c r="C355" s="190"/>
      <c r="D355" s="190"/>
      <c r="E355" s="190"/>
      <c r="F355" s="190"/>
      <c r="G355" s="191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/>
      <c r="C356" s="190"/>
      <c r="D356" s="190"/>
      <c r="E356" s="190"/>
      <c r="F356" s="190"/>
      <c r="G356" s="191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/>
      <c r="C357" s="190"/>
      <c r="D357" s="190"/>
      <c r="E357" s="190"/>
      <c r="F357" s="190"/>
      <c r="G357" s="191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/>
      <c r="C358" s="190"/>
      <c r="D358" s="190"/>
      <c r="E358" s="190"/>
      <c r="F358" s="190"/>
      <c r="G358" s="191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/>
      <c r="C359" s="190"/>
      <c r="D359" s="190"/>
      <c r="E359" s="190"/>
      <c r="F359" s="190"/>
      <c r="G359" s="191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/>
      <c r="C360" s="190"/>
      <c r="D360" s="190"/>
      <c r="E360" s="190"/>
      <c r="F360" s="190"/>
      <c r="G360" s="191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/>
      <c r="C361" s="190"/>
      <c r="D361" s="190"/>
      <c r="E361" s="190"/>
      <c r="F361" s="190"/>
      <c r="G361" s="191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/>
      <c r="C362" s="190"/>
      <c r="D362" s="190"/>
      <c r="E362" s="190"/>
      <c r="F362" s="190"/>
      <c r="G362" s="191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/>
      <c r="C363" s="190"/>
      <c r="D363" s="190"/>
      <c r="E363" s="190"/>
      <c r="F363" s="190"/>
      <c r="G363" s="191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/>
      <c r="C364" s="190"/>
      <c r="D364" s="190"/>
      <c r="E364" s="190"/>
      <c r="F364" s="190"/>
      <c r="G364" s="191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/>
      <c r="C365" s="190"/>
      <c r="D365" s="190"/>
      <c r="E365" s="190"/>
      <c r="F365" s="190"/>
      <c r="G365" s="191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/>
      <c r="C366" s="190"/>
      <c r="D366" s="190"/>
      <c r="E366" s="190"/>
      <c r="F366" s="190"/>
      <c r="G366" s="191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/>
      <c r="C367" s="190"/>
      <c r="D367" s="190"/>
      <c r="E367" s="190"/>
      <c r="F367" s="190"/>
      <c r="G367" s="191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/>
      <c r="C368" s="190"/>
      <c r="D368" s="190"/>
      <c r="E368" s="190"/>
      <c r="F368" s="190"/>
      <c r="G368" s="191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/>
      <c r="C369" s="190"/>
      <c r="D369" s="190"/>
      <c r="E369" s="190"/>
      <c r="F369" s="190"/>
      <c r="G369" s="191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/>
      <c r="C370" s="190"/>
      <c r="D370" s="190"/>
      <c r="E370" s="190"/>
      <c r="F370" s="190"/>
      <c r="G370" s="191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/>
      <c r="C371" s="190"/>
      <c r="D371" s="190"/>
      <c r="E371" s="190"/>
      <c r="F371" s="190"/>
      <c r="G371" s="191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/>
      <c r="C372" s="190"/>
      <c r="D372" s="190"/>
      <c r="E372" s="190"/>
      <c r="F372" s="190"/>
      <c r="G372" s="191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/>
      <c r="C373" s="190"/>
      <c r="D373" s="190"/>
      <c r="E373" s="190"/>
      <c r="F373" s="190"/>
      <c r="G373" s="191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/>
      <c r="C374" s="190"/>
      <c r="D374" s="190"/>
      <c r="E374" s="190"/>
      <c r="F374" s="190"/>
      <c r="G374" s="191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/>
      <c r="C375" s="190"/>
      <c r="D375" s="190"/>
      <c r="E375" s="190"/>
      <c r="F375" s="190"/>
      <c r="G375" s="191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/>
      <c r="C376" s="190"/>
      <c r="D376" s="190"/>
      <c r="E376" s="190"/>
      <c r="F376" s="190"/>
      <c r="G376" s="191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/>
      <c r="C377" s="190"/>
      <c r="D377" s="190"/>
      <c r="E377" s="190"/>
      <c r="F377" s="190"/>
      <c r="G377" s="191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/>
      <c r="C378" s="190"/>
      <c r="D378" s="190"/>
      <c r="E378" s="190"/>
      <c r="F378" s="190"/>
      <c r="G378" s="19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/>
      <c r="C379" s="190"/>
      <c r="D379" s="190"/>
      <c r="E379" s="190"/>
      <c r="F379" s="190"/>
      <c r="G379" s="191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/>
      <c r="C380" s="190"/>
      <c r="D380" s="190"/>
      <c r="E380" s="190"/>
      <c r="F380" s="190"/>
      <c r="G380" s="191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/>
      <c r="C381" s="190"/>
      <c r="D381" s="190"/>
      <c r="E381" s="190"/>
      <c r="F381" s="190"/>
      <c r="G381" s="191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/>
      <c r="C382" s="190"/>
      <c r="D382" s="190"/>
      <c r="E382" s="190"/>
      <c r="F382" s="190"/>
      <c r="G382" s="191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/>
      <c r="C383" s="190"/>
      <c r="D383" s="190"/>
      <c r="E383" s="190"/>
      <c r="F383" s="190"/>
      <c r="G383" s="191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/>
      <c r="C384" s="190"/>
      <c r="D384" s="190"/>
      <c r="E384" s="190"/>
      <c r="F384" s="190"/>
      <c r="G384" s="191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/>
      <c r="C385" s="190"/>
      <c r="D385" s="190"/>
      <c r="E385" s="190"/>
      <c r="F385" s="190"/>
      <c r="G385" s="191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/>
      <c r="C386" s="190"/>
      <c r="D386" s="190"/>
      <c r="E386" s="190"/>
      <c r="F386" s="190"/>
      <c r="G386" s="191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/>
      <c r="C387" s="190"/>
      <c r="D387" s="190"/>
      <c r="E387" s="190"/>
      <c r="F387" s="190"/>
      <c r="G387" s="191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/>
      <c r="C388" s="190"/>
      <c r="D388" s="190"/>
      <c r="E388" s="190"/>
      <c r="F388" s="190"/>
      <c r="G388" s="191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/>
      <c r="C389" s="190"/>
      <c r="D389" s="190"/>
      <c r="E389" s="190"/>
      <c r="F389" s="190"/>
      <c r="G389" s="191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/>
      <c r="C390" s="190"/>
      <c r="D390" s="190"/>
      <c r="E390" s="190"/>
      <c r="F390" s="190"/>
      <c r="G390" s="191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/>
      <c r="C391" s="190"/>
      <c r="D391" s="190"/>
      <c r="E391" s="190"/>
      <c r="F391" s="190"/>
      <c r="G391" s="191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/>
      <c r="C392" s="190"/>
      <c r="D392" s="190"/>
      <c r="E392" s="190"/>
      <c r="F392" s="190"/>
      <c r="G392" s="191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/>
      <c r="C393" s="190"/>
      <c r="D393" s="190"/>
      <c r="E393" s="190"/>
      <c r="F393" s="190"/>
      <c r="G393" s="191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/>
      <c r="C394" s="190"/>
      <c r="D394" s="190"/>
      <c r="E394" s="190"/>
      <c r="F394" s="190"/>
      <c r="G394" s="191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/>
      <c r="C395" s="190"/>
      <c r="D395" s="190"/>
      <c r="E395" s="190"/>
      <c r="F395" s="190"/>
      <c r="G395" s="191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/>
      <c r="C396" s="190"/>
      <c r="D396" s="190"/>
      <c r="E396" s="190"/>
      <c r="F396" s="190"/>
      <c r="G396" s="191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/>
      <c r="C397" s="190"/>
      <c r="D397" s="190"/>
      <c r="E397" s="190"/>
      <c r="F397" s="190"/>
      <c r="G397" s="191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/>
      <c r="C398" s="190"/>
      <c r="D398" s="190"/>
      <c r="E398" s="190"/>
      <c r="F398" s="190"/>
      <c r="G398" s="191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/>
      <c r="C399" s="190"/>
      <c r="D399" s="190"/>
      <c r="E399" s="190"/>
      <c r="F399" s="190"/>
      <c r="G399" s="191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/>
      <c r="C400" s="190"/>
      <c r="D400" s="190"/>
      <c r="E400" s="190"/>
      <c r="F400" s="190"/>
      <c r="G400" s="191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/>
      <c r="C401" s="190"/>
      <c r="D401" s="190"/>
      <c r="E401" s="190"/>
      <c r="F401" s="190"/>
      <c r="G401" s="191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/>
      <c r="C402" s="190"/>
      <c r="D402" s="190"/>
      <c r="E402" s="190"/>
      <c r="F402" s="190"/>
      <c r="G402" s="191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/>
      <c r="C403" s="190"/>
      <c r="D403" s="190"/>
      <c r="E403" s="190"/>
      <c r="F403" s="190"/>
      <c r="G403" s="191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/>
      <c r="C404" s="190"/>
      <c r="D404" s="190"/>
      <c r="E404" s="190"/>
      <c r="F404" s="190"/>
      <c r="G404" s="191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/>
      <c r="C405" s="190"/>
      <c r="D405" s="190"/>
      <c r="E405" s="190"/>
      <c r="F405" s="190"/>
      <c r="G405" s="191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/>
      <c r="C406" s="190"/>
      <c r="D406" s="190"/>
      <c r="E406" s="190"/>
      <c r="F406" s="190"/>
      <c r="G406" s="191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/>
      <c r="C407" s="190"/>
      <c r="D407" s="190"/>
      <c r="E407" s="190"/>
      <c r="F407" s="190"/>
      <c r="G407" s="191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/>
      <c r="C408" s="190"/>
      <c r="D408" s="190"/>
      <c r="E408" s="190"/>
      <c r="F408" s="190"/>
      <c r="G408" s="191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/>
      <c r="C409" s="190"/>
      <c r="D409" s="190"/>
      <c r="E409" s="190"/>
      <c r="F409" s="190"/>
      <c r="G409" s="191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/>
      <c r="C410" s="190"/>
      <c r="D410" s="190"/>
      <c r="E410" s="190"/>
      <c r="F410" s="190"/>
      <c r="G410" s="191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/>
      <c r="C411" s="190"/>
      <c r="D411" s="190"/>
      <c r="E411" s="190"/>
      <c r="F411" s="190"/>
      <c r="G411" s="191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/>
      <c r="C412" s="190"/>
      <c r="D412" s="190"/>
      <c r="E412" s="190"/>
      <c r="F412" s="190"/>
      <c r="G412" s="191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/>
      <c r="C413" s="190"/>
      <c r="D413" s="190"/>
      <c r="E413" s="190"/>
      <c r="F413" s="190"/>
      <c r="G413" s="191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/>
      <c r="C414" s="190"/>
      <c r="D414" s="190"/>
      <c r="E414" s="190"/>
      <c r="F414" s="190"/>
      <c r="G414" s="191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/>
      <c r="C415" s="190"/>
      <c r="D415" s="190"/>
      <c r="E415" s="190"/>
      <c r="F415" s="190"/>
      <c r="G415" s="191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/>
      <c r="C416" s="190"/>
      <c r="D416" s="190"/>
      <c r="E416" s="190"/>
      <c r="F416" s="190"/>
      <c r="G416" s="191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/>
      <c r="C417" s="190"/>
      <c r="D417" s="190"/>
      <c r="E417" s="190"/>
      <c r="F417" s="190"/>
      <c r="G417" s="191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/>
      <c r="C418" s="190"/>
      <c r="D418" s="190"/>
      <c r="E418" s="190"/>
      <c r="F418" s="190"/>
      <c r="G418" s="191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/>
      <c r="C419" s="190"/>
      <c r="D419" s="190"/>
      <c r="E419" s="190"/>
      <c r="F419" s="190"/>
      <c r="G419" s="191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/>
      <c r="C420" s="190"/>
      <c r="D420" s="190"/>
      <c r="E420" s="190"/>
      <c r="F420" s="190"/>
      <c r="G420" s="191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/>
      <c r="C421" s="190"/>
      <c r="D421" s="190"/>
      <c r="E421" s="190"/>
      <c r="F421" s="190"/>
      <c r="G421" s="191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/>
      <c r="C422" s="190"/>
      <c r="D422" s="190"/>
      <c r="E422" s="190"/>
      <c r="F422" s="190"/>
      <c r="G422" s="191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/>
      <c r="C423" s="190"/>
      <c r="D423" s="190"/>
      <c r="E423" s="190"/>
      <c r="F423" s="190"/>
      <c r="G423" s="191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/>
      <c r="C424" s="190"/>
      <c r="D424" s="190"/>
      <c r="E424" s="190"/>
      <c r="F424" s="190"/>
      <c r="G424" s="191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/>
      <c r="C425" s="190"/>
      <c r="D425" s="190"/>
      <c r="E425" s="190"/>
      <c r="F425" s="190"/>
      <c r="G425" s="191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/>
      <c r="C426" s="190"/>
      <c r="D426" s="190"/>
      <c r="E426" s="190"/>
      <c r="F426" s="190"/>
      <c r="G426" s="191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/>
      <c r="C427" s="190"/>
      <c r="D427" s="190"/>
      <c r="E427" s="190"/>
      <c r="F427" s="190"/>
      <c r="G427" s="191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/>
      <c r="C428" s="190"/>
      <c r="D428" s="190"/>
      <c r="E428" s="190"/>
      <c r="F428" s="190"/>
      <c r="G428" s="191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/>
      <c r="C429" s="190"/>
      <c r="D429" s="190"/>
      <c r="E429" s="190"/>
      <c r="F429" s="190"/>
      <c r="G429" s="191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/>
      <c r="C430" s="190"/>
      <c r="D430" s="190"/>
      <c r="E430" s="190"/>
      <c r="F430" s="190"/>
      <c r="G430" s="191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/>
      <c r="C431" s="190"/>
      <c r="D431" s="190"/>
      <c r="E431" s="190"/>
      <c r="F431" s="190"/>
      <c r="G431" s="191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/>
      <c r="C432" s="190"/>
      <c r="D432" s="190"/>
      <c r="E432" s="190"/>
      <c r="F432" s="190"/>
      <c r="G432" s="191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/>
      <c r="C433" s="190"/>
      <c r="D433" s="190"/>
      <c r="E433" s="190"/>
      <c r="F433" s="190"/>
      <c r="G433" s="191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/>
      <c r="C434" s="190"/>
      <c r="D434" s="190"/>
      <c r="E434" s="190"/>
      <c r="F434" s="190"/>
      <c r="G434" s="191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/>
      <c r="C435" s="190"/>
      <c r="D435" s="190"/>
      <c r="E435" s="190"/>
      <c r="F435" s="190"/>
      <c r="G435" s="191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/>
      <c r="C436" s="190"/>
      <c r="D436" s="190"/>
      <c r="E436" s="190"/>
      <c r="F436" s="190"/>
      <c r="G436" s="191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/>
      <c r="C437" s="190"/>
      <c r="D437" s="190"/>
      <c r="E437" s="190"/>
      <c r="F437" s="190"/>
      <c r="G437" s="191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/>
      <c r="C438" s="190"/>
      <c r="D438" s="190"/>
      <c r="E438" s="190"/>
      <c r="F438" s="190"/>
      <c r="G438" s="191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/>
      <c r="C439" s="190"/>
      <c r="D439" s="190"/>
      <c r="E439" s="190"/>
      <c r="F439" s="190"/>
      <c r="G439" s="191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/>
      <c r="C440" s="190"/>
      <c r="D440" s="190"/>
      <c r="E440" s="190"/>
      <c r="F440" s="190"/>
      <c r="G440" s="191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/>
      <c r="C441" s="190"/>
      <c r="D441" s="190"/>
      <c r="E441" s="190"/>
      <c r="F441" s="190"/>
      <c r="G441" s="191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/>
      <c r="C442" s="190"/>
      <c r="D442" s="190"/>
      <c r="E442" s="190"/>
      <c r="F442" s="190"/>
      <c r="G442" s="191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/>
      <c r="C443" s="190"/>
      <c r="D443" s="190"/>
      <c r="E443" s="190"/>
      <c r="F443" s="190"/>
      <c r="G443" s="191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/>
      <c r="C444" s="190"/>
      <c r="D444" s="190"/>
      <c r="E444" s="190"/>
      <c r="F444" s="190"/>
      <c r="G444" s="191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/>
      <c r="C445" s="190"/>
      <c r="D445" s="190"/>
      <c r="E445" s="190"/>
      <c r="F445" s="190"/>
      <c r="G445" s="191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/>
      <c r="C446" s="190"/>
      <c r="D446" s="190"/>
      <c r="E446" s="190"/>
      <c r="F446" s="190"/>
      <c r="G446" s="191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/>
      <c r="C447" s="190"/>
      <c r="D447" s="190"/>
      <c r="E447" s="190"/>
      <c r="F447" s="190"/>
      <c r="G447" s="191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/>
      <c r="C448" s="190"/>
      <c r="D448" s="190"/>
      <c r="E448" s="190"/>
      <c r="F448" s="190"/>
      <c r="G448" s="191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/>
      <c r="C449" s="190"/>
      <c r="D449" s="190"/>
      <c r="E449" s="190"/>
      <c r="F449" s="190"/>
      <c r="G449" s="191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/>
      <c r="C450" s="190"/>
      <c r="D450" s="190"/>
      <c r="E450" s="190"/>
      <c r="F450" s="190"/>
      <c r="G450" s="191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/>
      <c r="C451" s="190"/>
      <c r="D451" s="190"/>
      <c r="E451" s="190"/>
      <c r="F451" s="190"/>
      <c r="G451" s="191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/>
      <c r="C452" s="190"/>
      <c r="D452" s="190"/>
      <c r="E452" s="190"/>
      <c r="F452" s="190"/>
      <c r="G452" s="191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/>
      <c r="C453" s="190"/>
      <c r="D453" s="190"/>
      <c r="E453" s="190"/>
      <c r="F453" s="190"/>
      <c r="G453" s="191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/>
      <c r="C454" s="190"/>
      <c r="D454" s="190"/>
      <c r="E454" s="190"/>
      <c r="F454" s="190"/>
      <c r="G454" s="191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/>
      <c r="C455" s="190"/>
      <c r="D455" s="190"/>
      <c r="E455" s="190"/>
      <c r="F455" s="190"/>
      <c r="G455" s="191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/>
      <c r="C456" s="190"/>
      <c r="D456" s="190"/>
      <c r="E456" s="190"/>
      <c r="F456" s="190"/>
      <c r="G456" s="191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/>
      <c r="C457" s="190"/>
      <c r="D457" s="190"/>
      <c r="E457" s="190"/>
      <c r="F457" s="190"/>
      <c r="G457" s="191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/>
      <c r="C458" s="190"/>
      <c r="D458" s="190"/>
      <c r="E458" s="190"/>
      <c r="F458" s="190"/>
      <c r="G458" s="191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/>
      <c r="C459" s="190"/>
      <c r="D459" s="190"/>
      <c r="E459" s="190"/>
      <c r="F459" s="190"/>
      <c r="G459" s="191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/>
      <c r="C460" s="190"/>
      <c r="D460" s="190"/>
      <c r="E460" s="190"/>
      <c r="F460" s="190"/>
      <c r="G460" s="191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/>
      <c r="C461" s="190"/>
      <c r="D461" s="190"/>
      <c r="E461" s="190"/>
      <c r="F461" s="190"/>
      <c r="G461" s="191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/>
      <c r="C462" s="190"/>
      <c r="D462" s="190"/>
      <c r="E462" s="190"/>
      <c r="F462" s="190"/>
      <c r="G462" s="191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/>
      <c r="C463" s="190"/>
      <c r="D463" s="190"/>
      <c r="E463" s="190"/>
      <c r="F463" s="190"/>
      <c r="G463" s="191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/>
      <c r="C464" s="190"/>
      <c r="D464" s="190"/>
      <c r="E464" s="190"/>
      <c r="F464" s="190"/>
      <c r="G464" s="191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/>
      <c r="C465" s="190"/>
      <c r="D465" s="190"/>
      <c r="E465" s="190"/>
      <c r="F465" s="190"/>
      <c r="G465" s="191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/>
      <c r="C466" s="190"/>
      <c r="D466" s="190"/>
      <c r="E466" s="190"/>
      <c r="F466" s="190"/>
      <c r="G466" s="191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/>
      <c r="C467" s="190"/>
      <c r="D467" s="190"/>
      <c r="E467" s="190"/>
      <c r="F467" s="190"/>
      <c r="G467" s="191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/>
      <c r="C468" s="190"/>
      <c r="D468" s="190"/>
      <c r="E468" s="190"/>
      <c r="F468" s="190"/>
      <c r="G468" s="191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/>
      <c r="C469" s="190"/>
      <c r="D469" s="190"/>
      <c r="E469" s="190"/>
      <c r="F469" s="190"/>
      <c r="G469" s="191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/>
      <c r="C470" s="190"/>
      <c r="D470" s="190"/>
      <c r="E470" s="190"/>
      <c r="F470" s="190"/>
      <c r="G470" s="191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/>
      <c r="C471" s="190"/>
      <c r="D471" s="190"/>
      <c r="E471" s="190"/>
      <c r="F471" s="190"/>
      <c r="G471" s="191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/>
      <c r="C472" s="190"/>
      <c r="D472" s="190"/>
      <c r="E472" s="190"/>
      <c r="F472" s="190"/>
      <c r="G472" s="191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/>
      <c r="C473" s="190"/>
      <c r="D473" s="190"/>
      <c r="E473" s="190"/>
      <c r="F473" s="190"/>
      <c r="G473" s="191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/>
      <c r="C474" s="190"/>
      <c r="D474" s="190"/>
      <c r="E474" s="190"/>
      <c r="F474" s="190"/>
      <c r="G474" s="191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/>
      <c r="C475" s="190"/>
      <c r="D475" s="190"/>
      <c r="E475" s="190"/>
      <c r="F475" s="190"/>
      <c r="G475" s="191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/>
      <c r="C476" s="190"/>
      <c r="D476" s="190"/>
      <c r="E476" s="190"/>
      <c r="F476" s="190"/>
      <c r="G476" s="191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/>
      <c r="C477" s="190"/>
      <c r="D477" s="190"/>
      <c r="E477" s="190"/>
      <c r="F477" s="190"/>
      <c r="G477" s="191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/>
      <c r="C478" s="190"/>
      <c r="D478" s="190"/>
      <c r="E478" s="190"/>
      <c r="F478" s="190"/>
      <c r="G478" s="191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/>
      <c r="C479" s="190"/>
      <c r="D479" s="190"/>
      <c r="E479" s="190"/>
      <c r="F479" s="190"/>
      <c r="G479" s="191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/>
      <c r="C480" s="190"/>
      <c r="D480" s="190"/>
      <c r="E480" s="190"/>
      <c r="F480" s="190"/>
      <c r="G480" s="191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/>
      <c r="C481" s="190"/>
      <c r="D481" s="190"/>
      <c r="E481" s="190"/>
      <c r="F481" s="190"/>
      <c r="G481" s="191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/>
      <c r="C482" s="190"/>
      <c r="D482" s="190"/>
      <c r="E482" s="190"/>
      <c r="F482" s="190"/>
      <c r="G482" s="191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/>
      <c r="C483" s="190"/>
      <c r="D483" s="190"/>
      <c r="E483" s="190"/>
      <c r="F483" s="190"/>
      <c r="G483" s="191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/>
      <c r="C484" s="190"/>
      <c r="D484" s="190"/>
      <c r="E484" s="190"/>
      <c r="F484" s="190"/>
      <c r="G484" s="191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/>
      <c r="C485" s="190"/>
      <c r="D485" s="190"/>
      <c r="E485" s="190"/>
      <c r="F485" s="190"/>
      <c r="G485" s="191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/>
      <c r="C486" s="190"/>
      <c r="D486" s="190"/>
      <c r="E486" s="190"/>
      <c r="F486" s="190"/>
      <c r="G486" s="191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/>
      <c r="C487" s="190"/>
      <c r="D487" s="190"/>
      <c r="E487" s="190"/>
      <c r="F487" s="190"/>
      <c r="G487" s="191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/>
      <c r="C488" s="190"/>
      <c r="D488" s="190"/>
      <c r="E488" s="190"/>
      <c r="F488" s="190"/>
      <c r="G488" s="191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/>
      <c r="C489" s="190"/>
      <c r="D489" s="190"/>
      <c r="E489" s="190"/>
      <c r="F489" s="190"/>
      <c r="G489" s="191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/>
      <c r="C490" s="190"/>
      <c r="D490" s="190"/>
      <c r="E490" s="190"/>
      <c r="F490" s="190"/>
      <c r="G490" s="191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/>
      <c r="C491" s="190"/>
      <c r="D491" s="190"/>
      <c r="E491" s="190"/>
      <c r="F491" s="190"/>
      <c r="G491" s="191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/>
      <c r="C492" s="190"/>
      <c r="D492" s="190"/>
      <c r="E492" s="190"/>
      <c r="F492" s="190"/>
      <c r="G492" s="191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/>
      <c r="C493" s="190"/>
      <c r="D493" s="190"/>
      <c r="E493" s="190"/>
      <c r="F493" s="190"/>
      <c r="G493" s="191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/>
      <c r="C494" s="190"/>
      <c r="D494" s="190"/>
      <c r="E494" s="190"/>
      <c r="F494" s="190"/>
      <c r="G494" s="191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/>
      <c r="C495" s="190"/>
      <c r="D495" s="190"/>
      <c r="E495" s="190"/>
      <c r="F495" s="190"/>
      <c r="G495" s="191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/>
      <c r="C496" s="190"/>
      <c r="D496" s="190"/>
      <c r="E496" s="190"/>
      <c r="F496" s="190"/>
      <c r="G496" s="191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/>
      <c r="C497" s="190"/>
      <c r="D497" s="190"/>
      <c r="E497" s="190"/>
      <c r="F497" s="190"/>
      <c r="G497" s="191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/>
      <c r="C498" s="190"/>
      <c r="D498" s="190"/>
      <c r="E498" s="190"/>
      <c r="F498" s="190"/>
      <c r="G498" s="191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/>
      <c r="C499" s="190"/>
      <c r="D499" s="190"/>
      <c r="E499" s="190"/>
      <c r="F499" s="190"/>
      <c r="G499" s="191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/>
      <c r="C500" s="190"/>
      <c r="D500" s="190"/>
      <c r="E500" s="190"/>
      <c r="F500" s="190"/>
      <c r="G500" s="191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/>
      <c r="C501" s="190"/>
      <c r="D501" s="190"/>
      <c r="E501" s="190"/>
      <c r="F501" s="190"/>
      <c r="G501" s="191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/>
      <c r="C502" s="190"/>
      <c r="D502" s="190"/>
      <c r="E502" s="190"/>
      <c r="F502" s="190"/>
      <c r="G502" s="191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/>
      <c r="C503" s="190"/>
      <c r="D503" s="190"/>
      <c r="E503" s="190"/>
      <c r="F503" s="190"/>
      <c r="G503" s="191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/>
      <c r="C504" s="190"/>
      <c r="D504" s="190"/>
      <c r="E504" s="190"/>
      <c r="F504" s="190"/>
      <c r="G504" s="191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/>
      <c r="C505" s="190"/>
      <c r="D505" s="190"/>
      <c r="E505" s="190"/>
      <c r="F505" s="190"/>
      <c r="G505" s="191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/>
      <c r="C506" s="190"/>
      <c r="D506" s="190"/>
      <c r="E506" s="190"/>
      <c r="F506" s="190"/>
      <c r="G506" s="191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/>
      <c r="C507" s="190"/>
      <c r="D507" s="190"/>
      <c r="E507" s="190"/>
      <c r="F507" s="190"/>
      <c r="G507" s="191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/>
      <c r="C508" s="190"/>
      <c r="D508" s="190"/>
      <c r="E508" s="190"/>
      <c r="F508" s="190"/>
      <c r="G508" s="191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/>
      <c r="C509" s="190"/>
      <c r="D509" s="190"/>
      <c r="E509" s="190"/>
      <c r="F509" s="190"/>
      <c r="G509" s="191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/>
      <c r="C510" s="190"/>
      <c r="D510" s="190"/>
      <c r="E510" s="190"/>
      <c r="F510" s="190"/>
      <c r="G510" s="191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/>
      <c r="C511" s="190"/>
      <c r="D511" s="190"/>
      <c r="E511" s="190"/>
      <c r="F511" s="190"/>
      <c r="G511" s="191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/>
      <c r="C512" s="190"/>
      <c r="D512" s="190"/>
      <c r="E512" s="190"/>
      <c r="F512" s="190"/>
      <c r="G512" s="191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/>
      <c r="C513" s="190"/>
      <c r="D513" s="190"/>
      <c r="E513" s="190"/>
      <c r="F513" s="190"/>
      <c r="G513" s="191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/>
      <c r="C514" s="190"/>
      <c r="D514" s="190"/>
      <c r="E514" s="190"/>
      <c r="F514" s="190"/>
      <c r="G514" s="191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/>
      <c r="C515" s="190"/>
      <c r="D515" s="190"/>
      <c r="E515" s="190"/>
      <c r="F515" s="190"/>
      <c r="G515" s="191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/>
      <c r="C516" s="190"/>
      <c r="D516" s="190"/>
      <c r="E516" s="190"/>
      <c r="F516" s="190"/>
      <c r="G516" s="191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/>
      <c r="C517" s="190"/>
      <c r="D517" s="190"/>
      <c r="E517" s="190"/>
      <c r="F517" s="190"/>
      <c r="G517" s="191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/>
      <c r="C518" s="190"/>
      <c r="D518" s="190"/>
      <c r="E518" s="190"/>
      <c r="F518" s="190"/>
      <c r="G518" s="191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/>
      <c r="C519" s="190"/>
      <c r="D519" s="190"/>
      <c r="E519" s="190"/>
      <c r="F519" s="190"/>
      <c r="G519" s="191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/>
      <c r="C520" s="190"/>
      <c r="D520" s="190"/>
      <c r="E520" s="190"/>
      <c r="F520" s="190"/>
      <c r="G520" s="191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/>
      <c r="C521" s="190"/>
      <c r="D521" s="190"/>
      <c r="E521" s="190"/>
      <c r="F521" s="190"/>
      <c r="G521" s="191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/>
      <c r="C522" s="190"/>
      <c r="D522" s="190"/>
      <c r="E522" s="190"/>
      <c r="F522" s="190"/>
      <c r="G522" s="191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/>
      <c r="C523" s="190"/>
      <c r="D523" s="190"/>
      <c r="E523" s="190"/>
      <c r="F523" s="190"/>
      <c r="G523" s="191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/>
      <c r="C524" s="190"/>
      <c r="D524" s="190"/>
      <c r="E524" s="190"/>
      <c r="F524" s="190"/>
      <c r="G524" s="191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/>
      <c r="C525" s="190"/>
      <c r="D525" s="190"/>
      <c r="E525" s="190"/>
      <c r="F525" s="190"/>
      <c r="G525" s="191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/>
      <c r="C526" s="190"/>
      <c r="D526" s="190"/>
      <c r="E526" s="190"/>
      <c r="F526" s="190"/>
      <c r="G526" s="191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/>
      <c r="C527" s="190"/>
      <c r="D527" s="190"/>
      <c r="E527" s="190"/>
      <c r="F527" s="190"/>
      <c r="G527" s="191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/>
      <c r="C528" s="190"/>
      <c r="D528" s="190"/>
      <c r="E528" s="190"/>
      <c r="F528" s="190"/>
      <c r="G528" s="191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/>
      <c r="C529" s="190"/>
      <c r="D529" s="190"/>
      <c r="E529" s="190"/>
      <c r="F529" s="190"/>
      <c r="G529" s="191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/>
      <c r="C530" s="190"/>
      <c r="D530" s="190"/>
      <c r="E530" s="190"/>
      <c r="F530" s="190"/>
      <c r="G530" s="191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/>
      <c r="C531" s="190"/>
      <c r="D531" s="190"/>
      <c r="E531" s="190"/>
      <c r="F531" s="190"/>
      <c r="G531" s="191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/>
      <c r="C532" s="190"/>
      <c r="D532" s="190"/>
      <c r="E532" s="190"/>
      <c r="F532" s="190"/>
      <c r="G532" s="191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/>
      <c r="C533" s="190"/>
      <c r="D533" s="190"/>
      <c r="E533" s="190"/>
      <c r="F533" s="190"/>
      <c r="G533" s="191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/>
      <c r="C534" s="190"/>
      <c r="D534" s="190"/>
      <c r="E534" s="190"/>
      <c r="F534" s="190"/>
      <c r="G534" s="191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/>
      <c r="C535" s="190"/>
      <c r="D535" s="190"/>
      <c r="E535" s="190"/>
      <c r="F535" s="190"/>
      <c r="G535" s="191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/>
      <c r="C536" s="190"/>
      <c r="D536" s="190"/>
      <c r="E536" s="190"/>
      <c r="F536" s="190"/>
      <c r="G536" s="191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/>
      <c r="C537" s="190"/>
      <c r="D537" s="190"/>
      <c r="E537" s="190"/>
      <c r="F537" s="190"/>
      <c r="G537" s="191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/>
      <c r="C538" s="190"/>
      <c r="D538" s="190"/>
      <c r="E538" s="190"/>
      <c r="F538" s="190"/>
      <c r="G538" s="191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/>
      <c r="C539" s="190"/>
      <c r="D539" s="190"/>
      <c r="E539" s="190"/>
      <c r="F539" s="190"/>
      <c r="G539" s="191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/>
      <c r="C540" s="190"/>
      <c r="D540" s="190"/>
      <c r="E540" s="190"/>
      <c r="F540" s="190"/>
      <c r="G540" s="191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/>
      <c r="C541" s="190"/>
      <c r="D541" s="190"/>
      <c r="E541" s="190"/>
      <c r="F541" s="190"/>
      <c r="G541" s="191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/>
      <c r="C542" s="190"/>
      <c r="D542" s="190"/>
      <c r="E542" s="190"/>
      <c r="F542" s="190"/>
      <c r="G542" s="191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/>
      <c r="C543" s="190"/>
      <c r="D543" s="190"/>
      <c r="E543" s="190"/>
      <c r="F543" s="190"/>
      <c r="G543" s="191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/>
      <c r="C544" s="190"/>
      <c r="D544" s="190"/>
      <c r="E544" s="190"/>
      <c r="F544" s="190"/>
      <c r="G544" s="191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/>
      <c r="C545" s="190"/>
      <c r="D545" s="190"/>
      <c r="E545" s="190"/>
      <c r="F545" s="190"/>
      <c r="G545" s="191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/>
      <c r="C546" s="190"/>
      <c r="D546" s="190"/>
      <c r="E546" s="190"/>
      <c r="F546" s="190"/>
      <c r="G546" s="191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/>
      <c r="C547" s="190"/>
      <c r="D547" s="190"/>
      <c r="E547" s="190"/>
      <c r="F547" s="190"/>
      <c r="G547" s="191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/>
      <c r="C548" s="190"/>
      <c r="D548" s="190"/>
      <c r="E548" s="190"/>
      <c r="F548" s="190"/>
      <c r="G548" s="191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/>
      <c r="C549" s="190"/>
      <c r="D549" s="190"/>
      <c r="E549" s="190"/>
      <c r="F549" s="190"/>
      <c r="G549" s="191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/>
      <c r="C550" s="190"/>
      <c r="D550" s="190"/>
      <c r="E550" s="190"/>
      <c r="F550" s="190"/>
      <c r="G550" s="191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/>
      <c r="C551" s="190"/>
      <c r="D551" s="190"/>
      <c r="E551" s="190"/>
      <c r="F551" s="190"/>
      <c r="G551" s="191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/>
      <c r="C552" s="190"/>
      <c r="D552" s="190"/>
      <c r="E552" s="190"/>
      <c r="F552" s="190"/>
      <c r="G552" s="191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/>
      <c r="C553" s="190"/>
      <c r="D553" s="190"/>
      <c r="E553" s="190"/>
      <c r="F553" s="190"/>
      <c r="G553" s="191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/>
      <c r="C554" s="190"/>
      <c r="D554" s="190"/>
      <c r="E554" s="190"/>
      <c r="F554" s="190"/>
      <c r="G554" s="191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/>
      <c r="C555" s="190"/>
      <c r="D555" s="190"/>
      <c r="E555" s="190"/>
      <c r="F555" s="190"/>
      <c r="G555" s="191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/>
      <c r="C556" s="190"/>
      <c r="D556" s="190"/>
      <c r="E556" s="190"/>
      <c r="F556" s="190"/>
      <c r="G556" s="191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/>
      <c r="C557" s="190"/>
      <c r="D557" s="190"/>
      <c r="E557" s="190"/>
      <c r="F557" s="190"/>
      <c r="G557" s="191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/>
      <c r="C558" s="190"/>
      <c r="D558" s="190"/>
      <c r="E558" s="190"/>
      <c r="F558" s="190"/>
      <c r="G558" s="191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/>
      <c r="C559" s="190"/>
      <c r="D559" s="190"/>
      <c r="E559" s="190"/>
      <c r="F559" s="190"/>
      <c r="G559" s="191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/>
      <c r="C560" s="190"/>
      <c r="D560" s="190"/>
      <c r="E560" s="190"/>
      <c r="F560" s="190"/>
      <c r="G560" s="191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/>
      <c r="C561" s="190"/>
      <c r="D561" s="190"/>
      <c r="E561" s="190"/>
      <c r="F561" s="190"/>
      <c r="G561" s="191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/>
      <c r="C562" s="190"/>
      <c r="D562" s="190"/>
      <c r="E562" s="190"/>
      <c r="F562" s="190"/>
      <c r="G562" s="191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/>
      <c r="C563" s="190"/>
      <c r="D563" s="190"/>
      <c r="E563" s="190"/>
      <c r="F563" s="190"/>
      <c r="G563" s="191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/>
      <c r="C564" s="190"/>
      <c r="D564" s="190"/>
      <c r="E564" s="190"/>
      <c r="F564" s="190"/>
      <c r="G564" s="191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/>
      <c r="C565" s="190"/>
      <c r="D565" s="190"/>
      <c r="E565" s="190"/>
      <c r="F565" s="190"/>
      <c r="G565" s="191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/>
      <c r="C566" s="190"/>
      <c r="D566" s="190"/>
      <c r="E566" s="190"/>
      <c r="F566" s="190"/>
      <c r="G566" s="191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/>
      <c r="C567" s="190"/>
      <c r="D567" s="190"/>
      <c r="E567" s="190"/>
      <c r="F567" s="190"/>
      <c r="G567" s="191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/>
      <c r="C568" s="190"/>
      <c r="D568" s="190"/>
      <c r="E568" s="190"/>
      <c r="F568" s="190"/>
      <c r="G568" s="191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/>
      <c r="C569" s="190"/>
      <c r="D569" s="190"/>
      <c r="E569" s="190"/>
      <c r="F569" s="190"/>
      <c r="G569" s="191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/>
      <c r="C570" s="190"/>
      <c r="D570" s="190"/>
      <c r="E570" s="190"/>
      <c r="F570" s="190"/>
      <c r="G570" s="191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/>
      <c r="C571" s="190"/>
      <c r="D571" s="190"/>
      <c r="E571" s="190"/>
      <c r="F571" s="190"/>
      <c r="G571" s="191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/>
      <c r="C572" s="190"/>
      <c r="D572" s="190"/>
      <c r="E572" s="190"/>
      <c r="F572" s="190"/>
      <c r="G572" s="191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/>
      <c r="C573" s="190"/>
      <c r="D573" s="190"/>
      <c r="E573" s="190"/>
      <c r="F573" s="190"/>
      <c r="G573" s="191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/>
      <c r="C574" s="190"/>
      <c r="D574" s="190"/>
      <c r="E574" s="190"/>
      <c r="F574" s="190"/>
      <c r="G574" s="191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/>
      <c r="C575" s="190"/>
      <c r="D575" s="190"/>
      <c r="E575" s="190"/>
      <c r="F575" s="190"/>
      <c r="G575" s="191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/>
      <c r="C576" s="190"/>
      <c r="D576" s="190"/>
      <c r="E576" s="190"/>
      <c r="F576" s="190"/>
      <c r="G576" s="191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/>
      <c r="C577" s="190"/>
      <c r="D577" s="190"/>
      <c r="E577" s="190"/>
      <c r="F577" s="190"/>
      <c r="G577" s="191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/>
      <c r="C578" s="190"/>
      <c r="D578" s="190"/>
      <c r="E578" s="190"/>
      <c r="F578" s="190"/>
      <c r="G578" s="191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/>
      <c r="C579" s="190"/>
      <c r="D579" s="190"/>
      <c r="E579" s="190"/>
      <c r="F579" s="190"/>
      <c r="G579" s="191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/>
      <c r="C580" s="190"/>
      <c r="D580" s="190"/>
      <c r="E580" s="190"/>
      <c r="F580" s="190"/>
      <c r="G580" s="191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/>
      <c r="C581" s="190"/>
      <c r="D581" s="190"/>
      <c r="E581" s="190"/>
      <c r="F581" s="190"/>
      <c r="G581" s="191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/>
      <c r="C582" s="190"/>
      <c r="D582" s="190"/>
      <c r="E582" s="190"/>
      <c r="F582" s="190"/>
      <c r="G582" s="191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/>
      <c r="C583" s="190"/>
      <c r="D583" s="190"/>
      <c r="E583" s="190"/>
      <c r="F583" s="190"/>
      <c r="G583" s="191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/>
      <c r="C584" s="190"/>
      <c r="D584" s="190"/>
      <c r="E584" s="190"/>
      <c r="F584" s="190"/>
      <c r="G584" s="191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/>
      <c r="C585" s="190"/>
      <c r="D585" s="190"/>
      <c r="E585" s="190"/>
      <c r="F585" s="190"/>
      <c r="G585" s="191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/>
      <c r="C586" s="190"/>
      <c r="D586" s="190"/>
      <c r="E586" s="190"/>
      <c r="F586" s="190"/>
      <c r="G586" s="191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/>
      <c r="C587" s="190"/>
      <c r="D587" s="190"/>
      <c r="E587" s="190"/>
      <c r="F587" s="190"/>
      <c r="G587" s="191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/>
      <c r="C588" s="190"/>
      <c r="D588" s="190"/>
      <c r="E588" s="190"/>
      <c r="F588" s="190"/>
      <c r="G588" s="191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/>
      <c r="C589" s="190"/>
      <c r="D589" s="190"/>
      <c r="E589" s="190"/>
      <c r="F589" s="190"/>
      <c r="G589" s="191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/>
      <c r="C590" s="190"/>
      <c r="D590" s="190"/>
      <c r="E590" s="190"/>
      <c r="F590" s="190"/>
      <c r="G590" s="191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/>
      <c r="C591" s="190"/>
      <c r="D591" s="190"/>
      <c r="E591" s="190"/>
      <c r="F591" s="190"/>
      <c r="G591" s="191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/>
      <c r="C592" s="190"/>
      <c r="D592" s="190"/>
      <c r="E592" s="190"/>
      <c r="F592" s="190"/>
      <c r="G592" s="191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/>
      <c r="C593" s="190"/>
      <c r="D593" s="190"/>
      <c r="E593" s="190"/>
      <c r="F593" s="190"/>
      <c r="G593" s="191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/>
      <c r="C594" s="190"/>
      <c r="D594" s="190"/>
      <c r="E594" s="190"/>
      <c r="F594" s="190"/>
      <c r="G594" s="191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/>
      <c r="C595" s="190"/>
      <c r="D595" s="190"/>
      <c r="E595" s="190"/>
      <c r="F595" s="190"/>
      <c r="G595" s="191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/>
      <c r="C596" s="190"/>
      <c r="D596" s="190"/>
      <c r="E596" s="190"/>
      <c r="F596" s="190"/>
      <c r="G596" s="191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/>
      <c r="C597" s="190"/>
      <c r="D597" s="190"/>
      <c r="E597" s="190"/>
      <c r="F597" s="190"/>
      <c r="G597" s="191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/>
      <c r="C598" s="190"/>
      <c r="D598" s="190"/>
      <c r="E598" s="190"/>
      <c r="F598" s="190"/>
      <c r="G598" s="191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/>
      <c r="C599" s="190"/>
      <c r="D599" s="190"/>
      <c r="E599" s="190"/>
      <c r="F599" s="190"/>
      <c r="G599" s="191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/>
      <c r="C600" s="190"/>
      <c r="D600" s="190"/>
      <c r="E600" s="190"/>
      <c r="F600" s="190"/>
      <c r="G600" s="191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/>
      <c r="C601" s="190"/>
      <c r="D601" s="190"/>
      <c r="E601" s="190"/>
      <c r="F601" s="190"/>
      <c r="G601" s="191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/>
      <c r="C602" s="190"/>
      <c r="D602" s="190"/>
      <c r="E602" s="190"/>
      <c r="F602" s="190"/>
      <c r="G602" s="191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/>
      <c r="C603" s="190"/>
      <c r="D603" s="190"/>
      <c r="E603" s="190"/>
      <c r="F603" s="190"/>
      <c r="G603" s="191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/>
      <c r="C604" s="190"/>
      <c r="D604" s="190"/>
      <c r="E604" s="190"/>
      <c r="F604" s="190"/>
      <c r="G604" s="191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/>
      <c r="C605" s="190"/>
      <c r="D605" s="190"/>
      <c r="E605" s="190"/>
      <c r="F605" s="190"/>
      <c r="G605" s="191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/>
      <c r="C606" s="190"/>
      <c r="D606" s="190"/>
      <c r="E606" s="190"/>
      <c r="F606" s="190"/>
      <c r="G606" s="191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/>
      <c r="C607" s="190"/>
      <c r="D607" s="190"/>
      <c r="E607" s="190"/>
      <c r="F607" s="190"/>
      <c r="G607" s="191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/>
      <c r="C608" s="190"/>
      <c r="D608" s="190"/>
      <c r="E608" s="190"/>
      <c r="F608" s="190"/>
      <c r="G608" s="191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/>
      <c r="C609" s="190"/>
      <c r="D609" s="190"/>
      <c r="E609" s="190"/>
      <c r="F609" s="190"/>
      <c r="G609" s="191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/>
      <c r="C610" s="190"/>
      <c r="D610" s="190"/>
      <c r="E610" s="190"/>
      <c r="F610" s="190"/>
      <c r="G610" s="191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/>
      <c r="C611" s="190"/>
      <c r="D611" s="190"/>
      <c r="E611" s="190"/>
      <c r="F611" s="190"/>
      <c r="G611" s="191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/>
      <c r="C612" s="190"/>
      <c r="D612" s="190"/>
      <c r="E612" s="190"/>
      <c r="F612" s="190"/>
      <c r="G612" s="191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/>
      <c r="C613" s="190"/>
      <c r="D613" s="190"/>
      <c r="E613" s="190"/>
      <c r="F613" s="190"/>
      <c r="G613" s="191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/>
      <c r="C614" s="190"/>
      <c r="D614" s="190"/>
      <c r="E614" s="190"/>
      <c r="F614" s="190"/>
      <c r="G614" s="191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/>
      <c r="C615" s="190"/>
      <c r="D615" s="190"/>
      <c r="E615" s="190"/>
      <c r="F615" s="190"/>
      <c r="G615" s="191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/>
      <c r="C616" s="190"/>
      <c r="D616" s="190"/>
      <c r="E616" s="190"/>
      <c r="F616" s="190"/>
      <c r="G616" s="191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/>
      <c r="C617" s="190"/>
      <c r="D617" s="190"/>
      <c r="E617" s="190"/>
      <c r="F617" s="190"/>
      <c r="G617" s="191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/>
      <c r="C618" s="190"/>
      <c r="D618" s="190"/>
      <c r="E618" s="190"/>
      <c r="F618" s="190"/>
      <c r="G618" s="191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/>
      <c r="C619" s="190"/>
      <c r="D619" s="190"/>
      <c r="E619" s="190"/>
      <c r="F619" s="190"/>
      <c r="G619" s="191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/>
      <c r="C620" s="190"/>
      <c r="D620" s="190"/>
      <c r="E620" s="190"/>
      <c r="F620" s="190"/>
      <c r="G620" s="191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/>
      <c r="C621" s="190"/>
      <c r="D621" s="190"/>
      <c r="E621" s="190"/>
      <c r="F621" s="190"/>
      <c r="G621" s="191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/>
      <c r="C622" s="190"/>
      <c r="D622" s="190"/>
      <c r="E622" s="190"/>
      <c r="F622" s="190"/>
      <c r="G622" s="191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/>
      <c r="C623" s="190"/>
      <c r="D623" s="190"/>
      <c r="E623" s="190"/>
      <c r="F623" s="190"/>
      <c r="G623" s="191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/>
      <c r="C624" s="190"/>
      <c r="D624" s="190"/>
      <c r="E624" s="190"/>
      <c r="F624" s="190"/>
      <c r="G624" s="191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/>
      <c r="C625" s="190"/>
      <c r="D625" s="190"/>
      <c r="E625" s="190"/>
      <c r="F625" s="190"/>
      <c r="G625" s="191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/>
      <c r="C626" s="190"/>
      <c r="D626" s="190"/>
      <c r="E626" s="190"/>
      <c r="F626" s="190"/>
      <c r="G626" s="191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/>
      <c r="C627" s="190"/>
      <c r="D627" s="190"/>
      <c r="E627" s="190"/>
      <c r="F627" s="190"/>
      <c r="G627" s="191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/>
      <c r="C628" s="190"/>
      <c r="D628" s="190"/>
      <c r="E628" s="190"/>
      <c r="F628" s="190"/>
      <c r="G628" s="191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/>
      <c r="C629" s="190"/>
      <c r="D629" s="190"/>
      <c r="E629" s="190"/>
      <c r="F629" s="190"/>
      <c r="G629" s="191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/>
      <c r="C630" s="190"/>
      <c r="D630" s="190"/>
      <c r="E630" s="190"/>
      <c r="F630" s="190"/>
      <c r="G630" s="191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/>
      <c r="C631" s="190"/>
      <c r="D631" s="190"/>
      <c r="E631" s="190"/>
      <c r="F631" s="190"/>
      <c r="G631" s="191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/>
      <c r="C632" s="190"/>
      <c r="D632" s="190"/>
      <c r="E632" s="190"/>
      <c r="F632" s="190"/>
      <c r="G632" s="191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/>
      <c r="C633" s="190"/>
      <c r="D633" s="190"/>
      <c r="E633" s="190"/>
      <c r="F633" s="190"/>
      <c r="G633" s="191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/>
      <c r="C634" s="190"/>
      <c r="D634" s="190"/>
      <c r="E634" s="190"/>
      <c r="F634" s="190"/>
      <c r="G634" s="191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/>
      <c r="C635" s="190"/>
      <c r="D635" s="190"/>
      <c r="E635" s="190"/>
      <c r="F635" s="190"/>
      <c r="G635" s="191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/>
      <c r="C636" s="190"/>
      <c r="D636" s="190"/>
      <c r="E636" s="190"/>
      <c r="F636" s="190"/>
      <c r="G636" s="191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/>
      <c r="C637" s="190"/>
      <c r="D637" s="190"/>
      <c r="E637" s="190"/>
      <c r="F637" s="190"/>
      <c r="G637" s="191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/>
      <c r="C638" s="190"/>
      <c r="D638" s="190"/>
      <c r="E638" s="190"/>
      <c r="F638" s="190"/>
      <c r="G638" s="191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/>
      <c r="C639" s="190"/>
      <c r="D639" s="190"/>
      <c r="E639" s="190"/>
      <c r="F639" s="190"/>
      <c r="G639" s="191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/>
      <c r="C640" s="190"/>
      <c r="D640" s="190"/>
      <c r="E640" s="190"/>
      <c r="F640" s="190"/>
      <c r="G640" s="191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/>
      <c r="C641" s="190"/>
      <c r="D641" s="190"/>
      <c r="E641" s="190"/>
      <c r="F641" s="190"/>
      <c r="G641" s="191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/>
      <c r="C642" s="190"/>
      <c r="D642" s="190"/>
      <c r="E642" s="190"/>
      <c r="F642" s="190"/>
      <c r="G642" s="191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/>
      <c r="C643" s="190"/>
      <c r="D643" s="190"/>
      <c r="E643" s="190"/>
      <c r="F643" s="190"/>
      <c r="G643" s="191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/>
      <c r="C644" s="190"/>
      <c r="D644" s="190"/>
      <c r="E644" s="190"/>
      <c r="F644" s="190"/>
      <c r="G644" s="191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/>
      <c r="C645" s="190"/>
      <c r="D645" s="190"/>
      <c r="E645" s="190"/>
      <c r="F645" s="190"/>
      <c r="G645" s="191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/>
      <c r="C646" s="190"/>
      <c r="D646" s="190"/>
      <c r="E646" s="190"/>
      <c r="F646" s="190"/>
      <c r="G646" s="191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/>
      <c r="C647" s="190"/>
      <c r="D647" s="190"/>
      <c r="E647" s="190"/>
      <c r="F647" s="190"/>
      <c r="G647" s="191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/>
      <c r="C648" s="190"/>
      <c r="D648" s="190"/>
      <c r="E648" s="190"/>
      <c r="F648" s="190"/>
      <c r="G648" s="191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/>
      <c r="C649" s="190"/>
      <c r="D649" s="190"/>
      <c r="E649" s="190"/>
      <c r="F649" s="190"/>
      <c r="G649" s="191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/>
      <c r="C650" s="190"/>
      <c r="D650" s="190"/>
      <c r="E650" s="190"/>
      <c r="F650" s="190"/>
      <c r="G650" s="191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/>
      <c r="C651" s="190"/>
      <c r="D651" s="190"/>
      <c r="E651" s="190"/>
      <c r="F651" s="190"/>
      <c r="G651" s="191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/>
      <c r="C652" s="190"/>
      <c r="D652" s="190"/>
      <c r="E652" s="190"/>
      <c r="F652" s="190"/>
      <c r="G652" s="191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/>
      <c r="C653" s="190"/>
      <c r="D653" s="190"/>
      <c r="E653" s="190"/>
      <c r="F653" s="190"/>
      <c r="G653" s="191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/>
      <c r="C654" s="190"/>
      <c r="D654" s="190"/>
      <c r="E654" s="190"/>
      <c r="F654" s="190"/>
      <c r="G654" s="191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/>
      <c r="C655" s="190"/>
      <c r="D655" s="190"/>
      <c r="E655" s="190"/>
      <c r="F655" s="190"/>
      <c r="G655" s="191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/>
      <c r="C656" s="190"/>
      <c r="D656" s="190"/>
      <c r="E656" s="190"/>
      <c r="F656" s="190"/>
      <c r="G656" s="191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/>
      <c r="C657" s="190"/>
      <c r="D657" s="190"/>
      <c r="E657" s="190"/>
      <c r="F657" s="190"/>
      <c r="G657" s="191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/>
      <c r="C658" s="190"/>
      <c r="D658" s="190"/>
      <c r="E658" s="190"/>
      <c r="F658" s="190"/>
      <c r="G658" s="191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/>
      <c r="C659" s="190"/>
      <c r="D659" s="190"/>
      <c r="E659" s="190"/>
      <c r="F659" s="190"/>
      <c r="G659" s="191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/>
      <c r="C660" s="190"/>
      <c r="D660" s="190"/>
      <c r="E660" s="190"/>
      <c r="F660" s="190"/>
      <c r="G660" s="191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/>
      <c r="C661" s="190"/>
      <c r="D661" s="190"/>
      <c r="E661" s="190"/>
      <c r="F661" s="190"/>
      <c r="G661" s="191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/>
      <c r="C662" s="190"/>
      <c r="D662" s="190"/>
      <c r="E662" s="190"/>
      <c r="F662" s="190"/>
      <c r="G662" s="191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/>
      <c r="C663" s="190"/>
      <c r="D663" s="190"/>
      <c r="E663" s="190"/>
      <c r="F663" s="190"/>
      <c r="G663" s="191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/>
      <c r="C664" s="190"/>
      <c r="D664" s="190"/>
      <c r="E664" s="190"/>
      <c r="F664" s="190"/>
      <c r="G664" s="191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/>
      <c r="C665" s="190"/>
      <c r="D665" s="190"/>
      <c r="E665" s="190"/>
      <c r="F665" s="190"/>
      <c r="G665" s="191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/>
      <c r="C666" s="190"/>
      <c r="D666" s="190"/>
      <c r="E666" s="190"/>
      <c r="F666" s="190"/>
      <c r="G666" s="191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/>
      <c r="C667" s="190"/>
      <c r="D667" s="190"/>
      <c r="E667" s="190"/>
      <c r="F667" s="190"/>
      <c r="G667" s="191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/>
      <c r="C668" s="190"/>
      <c r="D668" s="190"/>
      <c r="E668" s="190"/>
      <c r="F668" s="190"/>
      <c r="G668" s="191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/>
      <c r="C669" s="190"/>
      <c r="D669" s="190"/>
      <c r="E669" s="190"/>
      <c r="F669" s="190"/>
      <c r="G669" s="191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/>
      <c r="C670" s="190"/>
      <c r="D670" s="190"/>
      <c r="E670" s="190"/>
      <c r="F670" s="190"/>
      <c r="G670" s="191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/>
      <c r="C671" s="190"/>
      <c r="D671" s="190"/>
      <c r="E671" s="190"/>
      <c r="F671" s="190"/>
      <c r="G671" s="191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/>
      <c r="C672" s="190"/>
      <c r="D672" s="190"/>
      <c r="E672" s="190"/>
      <c r="F672" s="190"/>
      <c r="G672" s="191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/>
      <c r="C673" s="190"/>
      <c r="D673" s="190"/>
      <c r="E673" s="190"/>
      <c r="F673" s="190"/>
      <c r="G673" s="191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/>
      <c r="C674" s="190"/>
      <c r="D674" s="190"/>
      <c r="E674" s="190"/>
      <c r="F674" s="190"/>
      <c r="G674" s="191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/>
      <c r="C675" s="190"/>
      <c r="D675" s="190"/>
      <c r="E675" s="190"/>
      <c r="F675" s="190"/>
      <c r="G675" s="191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/>
      <c r="C676" s="190"/>
      <c r="D676" s="190"/>
      <c r="E676" s="190"/>
      <c r="F676" s="190"/>
      <c r="G676" s="191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/>
      <c r="C678" s="190"/>
      <c r="D678" s="190"/>
      <c r="E678" s="190"/>
      <c r="F678" s="190"/>
      <c r="G678" s="191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/>
      <c r="C679" s="190"/>
      <c r="D679" s="190"/>
      <c r="E679" s="190"/>
      <c r="F679" s="190"/>
      <c r="G679" s="191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/>
      <c r="C680" s="190"/>
      <c r="D680" s="190"/>
      <c r="E680" s="190"/>
      <c r="F680" s="190"/>
      <c r="G680" s="191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/>
      <c r="C681" s="190"/>
      <c r="D681" s="190"/>
      <c r="E681" s="190"/>
      <c r="F681" s="190"/>
      <c r="G681" s="191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/>
      <c r="C682" s="190"/>
      <c r="D682" s="190"/>
      <c r="E682" s="190"/>
      <c r="F682" s="190"/>
      <c r="G682" s="191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/>
      <c r="C683" s="190"/>
      <c r="D683" s="190"/>
      <c r="E683" s="190"/>
      <c r="F683" s="190"/>
      <c r="G683" s="191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/>
      <c r="C684" s="190"/>
      <c r="D684" s="190"/>
      <c r="E684" s="190"/>
      <c r="F684" s="190"/>
      <c r="G684" s="191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/>
      <c r="C685" s="190"/>
      <c r="D685" s="190"/>
      <c r="E685" s="190"/>
      <c r="F685" s="190"/>
      <c r="G685" s="191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/>
      <c r="C686" s="190"/>
      <c r="D686" s="190"/>
      <c r="E686" s="190"/>
      <c r="F686" s="190"/>
      <c r="G686" s="191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/>
      <c r="C687" s="190"/>
      <c r="D687" s="190"/>
      <c r="E687" s="190"/>
      <c r="F687" s="190"/>
      <c r="G687" s="191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/>
      <c r="C688" s="190"/>
      <c r="D688" s="190"/>
      <c r="E688" s="190"/>
      <c r="F688" s="190"/>
      <c r="G688" s="191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/>
      <c r="C689" s="190"/>
      <c r="D689" s="190"/>
      <c r="E689" s="190"/>
      <c r="F689" s="190"/>
      <c r="G689" s="191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/>
      <c r="C690" s="190"/>
      <c r="D690" s="190"/>
      <c r="E690" s="190"/>
      <c r="F690" s="190"/>
      <c r="G690" s="191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/>
      <c r="C691" s="190"/>
      <c r="D691" s="190"/>
      <c r="E691" s="190"/>
      <c r="F691" s="190"/>
      <c r="G691" s="191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/>
      <c r="C692" s="190"/>
      <c r="D692" s="190"/>
      <c r="E692" s="190"/>
      <c r="F692" s="190"/>
      <c r="G692" s="191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/>
      <c r="C693" s="190"/>
      <c r="D693" s="190"/>
      <c r="E693" s="190"/>
      <c r="F693" s="190"/>
      <c r="G693" s="191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/>
      <c r="C694" s="190"/>
      <c r="D694" s="190"/>
      <c r="E694" s="190"/>
      <c r="F694" s="190"/>
      <c r="G694" s="191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/>
      <c r="C695" s="190"/>
      <c r="D695" s="190"/>
      <c r="E695" s="190"/>
      <c r="F695" s="190"/>
      <c r="G695" s="191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/>
      <c r="C696" s="190"/>
      <c r="D696" s="190"/>
      <c r="E696" s="190"/>
      <c r="F696" s="190"/>
      <c r="G696" s="191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/>
      <c r="C697" s="190"/>
      <c r="D697" s="190"/>
      <c r="E697" s="190"/>
      <c r="F697" s="190"/>
      <c r="G697" s="191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/>
      <c r="C698" s="190"/>
      <c r="D698" s="190"/>
      <c r="E698" s="190"/>
      <c r="F698" s="190"/>
      <c r="G698" s="191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/>
      <c r="C699" s="190"/>
      <c r="D699" s="190"/>
      <c r="E699" s="190"/>
      <c r="F699" s="190"/>
      <c r="G699" s="191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/>
      <c r="C700" s="190"/>
      <c r="D700" s="190"/>
      <c r="E700" s="190"/>
      <c r="F700" s="190"/>
      <c r="G700" s="191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/>
      <c r="C701" s="190"/>
      <c r="D701" s="190"/>
      <c r="E701" s="190"/>
      <c r="F701" s="190"/>
      <c r="G701" s="191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/>
      <c r="C702" s="190"/>
      <c r="D702" s="190"/>
      <c r="E702" s="190"/>
      <c r="F702" s="190"/>
      <c r="G702" s="191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/>
      <c r="C703" s="190"/>
      <c r="D703" s="190"/>
      <c r="E703" s="190"/>
      <c r="F703" s="190"/>
      <c r="G703" s="191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/>
      <c r="C704" s="190"/>
      <c r="D704" s="190"/>
      <c r="E704" s="190"/>
      <c r="F704" s="190"/>
      <c r="G704" s="191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/>
      <c r="C705" s="190"/>
      <c r="D705" s="190"/>
      <c r="E705" s="190"/>
      <c r="F705" s="190"/>
      <c r="G705" s="191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/>
      <c r="C706" s="190"/>
      <c r="D706" s="190"/>
      <c r="E706" s="190"/>
      <c r="F706" s="190"/>
      <c r="G706" s="191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/>
      <c r="C707" s="190"/>
      <c r="D707" s="190"/>
      <c r="E707" s="190"/>
      <c r="F707" s="190"/>
      <c r="G707" s="191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/>
      <c r="C708" s="190"/>
      <c r="D708" s="190"/>
      <c r="E708" s="190"/>
      <c r="F708" s="190"/>
      <c r="G708" s="191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/>
      <c r="C709" s="190"/>
      <c r="D709" s="190"/>
      <c r="E709" s="190"/>
      <c r="F709" s="190"/>
      <c r="G709" s="191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/>
      <c r="C710" s="190"/>
      <c r="D710" s="190"/>
      <c r="E710" s="190"/>
      <c r="F710" s="190"/>
      <c r="G710" s="191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/>
      <c r="C711" s="190"/>
      <c r="D711" s="190"/>
      <c r="E711" s="190"/>
      <c r="F711" s="190"/>
      <c r="G711" s="191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/>
      <c r="C712" s="190"/>
      <c r="D712" s="190"/>
      <c r="E712" s="190"/>
      <c r="F712" s="190"/>
      <c r="G712" s="191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/>
      <c r="C713" s="190"/>
      <c r="D713" s="190"/>
      <c r="E713" s="190"/>
      <c r="F713" s="190"/>
      <c r="G713" s="191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/>
      <c r="C714" s="190"/>
      <c r="D714" s="190"/>
      <c r="E714" s="190"/>
      <c r="F714" s="190"/>
      <c r="G714" s="191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/>
      <c r="C715" s="190"/>
      <c r="D715" s="190"/>
      <c r="E715" s="190"/>
      <c r="F715" s="190"/>
      <c r="G715" s="191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/>
      <c r="C716" s="190"/>
      <c r="D716" s="190"/>
      <c r="E716" s="190"/>
      <c r="F716" s="190"/>
      <c r="G716" s="191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/>
      <c r="C717" s="190"/>
      <c r="D717" s="190"/>
      <c r="E717" s="190"/>
      <c r="F717" s="190"/>
      <c r="G717" s="191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/>
      <c r="C718" s="190"/>
      <c r="D718" s="190"/>
      <c r="E718" s="190"/>
      <c r="F718" s="190"/>
      <c r="G718" s="191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/>
      <c r="C719" s="190"/>
      <c r="D719" s="190"/>
      <c r="E719" s="190"/>
      <c r="F719" s="190"/>
      <c r="G719" s="191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/>
      <c r="C720" s="190"/>
      <c r="D720" s="190"/>
      <c r="E720" s="190"/>
      <c r="F720" s="190"/>
      <c r="G720" s="191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/>
      <c r="C721" s="190"/>
      <c r="D721" s="190"/>
      <c r="E721" s="190"/>
      <c r="F721" s="190"/>
      <c r="G721" s="191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/>
      <c r="C722" s="190"/>
      <c r="D722" s="190"/>
      <c r="E722" s="190"/>
      <c r="F722" s="190"/>
      <c r="G722" s="191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/>
      <c r="C723" s="190"/>
      <c r="D723" s="190"/>
      <c r="E723" s="190"/>
      <c r="F723" s="190"/>
      <c r="G723" s="191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/>
      <c r="C724" s="190"/>
      <c r="D724" s="190"/>
      <c r="E724" s="190"/>
      <c r="F724" s="190"/>
      <c r="G724" s="191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/>
      <c r="C725" s="190"/>
      <c r="D725" s="190"/>
      <c r="E725" s="190"/>
      <c r="F725" s="190"/>
      <c r="G725" s="191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/>
      <c r="C726" s="190"/>
      <c r="D726" s="190"/>
      <c r="E726" s="190"/>
      <c r="F726" s="190"/>
      <c r="G726" s="191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/>
      <c r="C727" s="190"/>
      <c r="D727" s="190"/>
      <c r="E727" s="190"/>
      <c r="F727" s="190"/>
      <c r="G727" s="191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/>
      <c r="C728" s="190"/>
      <c r="D728" s="190"/>
      <c r="E728" s="190"/>
      <c r="F728" s="190"/>
      <c r="G728" s="191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/>
      <c r="C729" s="190"/>
      <c r="D729" s="190"/>
      <c r="E729" s="190"/>
      <c r="F729" s="190"/>
      <c r="G729" s="191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/>
      <c r="C730" s="190"/>
      <c r="D730" s="190"/>
      <c r="E730" s="190"/>
      <c r="F730" s="190"/>
      <c r="G730" s="191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/>
      <c r="C731" s="190"/>
      <c r="D731" s="190"/>
      <c r="E731" s="190"/>
      <c r="F731" s="190"/>
      <c r="G731" s="191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/>
      <c r="C732" s="190"/>
      <c r="D732" s="190"/>
      <c r="E732" s="190"/>
      <c r="F732" s="190"/>
      <c r="G732" s="191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/>
      <c r="C733" s="190"/>
      <c r="D733" s="190"/>
      <c r="E733" s="190"/>
      <c r="F733" s="190"/>
      <c r="G733" s="191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/>
      <c r="C734" s="190"/>
      <c r="D734" s="190"/>
      <c r="E734" s="190"/>
      <c r="F734" s="190"/>
      <c r="G734" s="191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/>
      <c r="C735" s="190"/>
      <c r="D735" s="190"/>
      <c r="E735" s="190"/>
      <c r="F735" s="190"/>
      <c r="G735" s="191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/>
      <c r="C736" s="190"/>
      <c r="D736" s="190"/>
      <c r="E736" s="190"/>
      <c r="F736" s="190"/>
      <c r="G736" s="191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/>
      <c r="C737" s="190"/>
      <c r="D737" s="190"/>
      <c r="E737" s="190"/>
      <c r="F737" s="190"/>
      <c r="G737" s="191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/>
      <c r="C738" s="190"/>
      <c r="D738" s="190"/>
      <c r="E738" s="190"/>
      <c r="F738" s="190"/>
      <c r="G738" s="191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/>
      <c r="C739" s="190"/>
      <c r="D739" s="190"/>
      <c r="E739" s="190"/>
      <c r="F739" s="190"/>
      <c r="G739" s="191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/>
      <c r="C740" s="190"/>
      <c r="D740" s="190"/>
      <c r="E740" s="190"/>
      <c r="F740" s="190"/>
      <c r="G740" s="191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/>
      <c r="C741" s="190"/>
      <c r="D741" s="190"/>
      <c r="E741" s="190"/>
      <c r="F741" s="190"/>
      <c r="G741" s="191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/>
      <c r="C742" s="190"/>
      <c r="D742" s="190"/>
      <c r="E742" s="190"/>
      <c r="F742" s="190"/>
      <c r="G742" s="191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/>
      <c r="C743" s="190"/>
      <c r="D743" s="190"/>
      <c r="E743" s="190"/>
      <c r="F743" s="190"/>
      <c r="G743" s="191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/>
      <c r="C744" s="190"/>
      <c r="D744" s="190"/>
      <c r="E744" s="190"/>
      <c r="F744" s="190"/>
      <c r="G744" s="191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/>
      <c r="C745" s="190"/>
      <c r="D745" s="190"/>
      <c r="E745" s="190"/>
      <c r="F745" s="190"/>
      <c r="G745" s="191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/>
      <c r="C746" s="190"/>
      <c r="D746" s="190"/>
      <c r="E746" s="190"/>
      <c r="F746" s="190"/>
      <c r="G746" s="191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/>
      <c r="C747" s="190"/>
      <c r="D747" s="190"/>
      <c r="E747" s="190"/>
      <c r="F747" s="190"/>
      <c r="G747" s="191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/>
      <c r="C748" s="190"/>
      <c r="D748" s="190"/>
      <c r="E748" s="190"/>
      <c r="F748" s="190"/>
      <c r="G748" s="191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/>
      <c r="C749" s="190"/>
      <c r="D749" s="190"/>
      <c r="E749" s="190"/>
      <c r="F749" s="190"/>
      <c r="G749" s="191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/>
      <c r="C750" s="190"/>
      <c r="D750" s="190"/>
      <c r="E750" s="190"/>
      <c r="F750" s="190"/>
      <c r="G750" s="191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/>
      <c r="C751" s="190"/>
      <c r="D751" s="190"/>
      <c r="E751" s="190"/>
      <c r="F751" s="190"/>
      <c r="G751" s="191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/>
      <c r="C752" s="190"/>
      <c r="D752" s="190"/>
      <c r="E752" s="190"/>
      <c r="F752" s="190"/>
      <c r="G752" s="191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/>
      <c r="C753" s="190"/>
      <c r="D753" s="190"/>
      <c r="E753" s="190"/>
      <c r="F753" s="190"/>
      <c r="G753" s="191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156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161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IFERROR(__xludf.DUMMYFUNCTION("GOOGLEFINANCE(B16,""name"")"),"iShares Core S&amp;P Total US Stock Market ETF")</f>
        <v>iShares Core S&amp;P Total US Stock Market ETF</v>
      </c>
      <c r="H5" s="64"/>
      <c r="I5" s="64"/>
      <c r="J5" s="157"/>
      <c r="K5" s="64"/>
      <c r="L5" s="64"/>
      <c r="M5" s="64"/>
      <c r="N5" s="64"/>
      <c r="O5" s="264" t="s">
        <v>317</v>
      </c>
      <c r="P5" s="164" t="s">
        <v>337</v>
      </c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IFERROR(__xludf.DUMMYFUNCTION("GOOGLEFINANCE(B16,""price"")"),165.48)</f>
        <v>165.48</v>
      </c>
      <c r="D8" s="171">
        <f>IFERROR(__xludf.DUMMYFUNCTION("IFERROR(GOOGLEFINANCE(B16,""change""),""-"")"),0.44)</f>
        <v>0.44</v>
      </c>
      <c r="E8" s="172">
        <f>IFERROR(__xludf.DUMMYFUNCTION("IFERROR(GOOGLEFINANCE(B16,""changepct"")/100,""-"")"),0.0027)</f>
        <v>0.0027</v>
      </c>
      <c r="F8" s="64"/>
      <c r="G8" s="64"/>
      <c r="H8" s="64"/>
      <c r="I8" s="64"/>
      <c r="J8" s="202">
        <f>SUM(K26:K100)</f>
        <v>6</v>
      </c>
      <c r="K8" s="203">
        <f>SUM(N26:N100)</f>
        <v>545.99</v>
      </c>
      <c r="L8" s="175">
        <f>K8/J8</f>
        <v>90.99833333</v>
      </c>
      <c r="M8" s="64"/>
      <c r="N8" s="176" t="s">
        <v>163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>
        <f>IFERROR(__xludf.DUMMYFUNCTION("IFERROR(GOOGLEFINANCE(B16,""marketcap""),""-"")"),5.728917452E10)</f>
        <v>57289174520</v>
      </c>
      <c r="C12" s="181" t="str">
        <f>IFERROR(__xludf.DUMMYFUNCTION("IFERROR(GOOGLEFINANCE(B16,""pe""),""-"")"),"-")</f>
        <v>-</v>
      </c>
      <c r="D12" s="181" t="str">
        <f>IFERROR(__xludf.DUMMYFUNCTION("IFERROR(GOOGLEFINANCE(B16,""beta""),""-"")"),"-")</f>
        <v>-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246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ITOT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IFERROR(__xludf.DUMMYFUNCTION("""COMPUTED_VALUE"""),45992.66666666667)</f>
        <v>45992.66667</v>
      </c>
      <c r="C26" s="190">
        <f>IFERROR(__xludf.DUMMYFUNCTION("""COMPUTED_VALUE"""),148.12)</f>
        <v>148.12</v>
      </c>
      <c r="D26" s="190">
        <f>IFERROR(__xludf.DUMMYFUNCTION("""COMPUTED_VALUE"""),149.07)</f>
        <v>149.07</v>
      </c>
      <c r="E26" s="190">
        <f>IFERROR(__xludf.DUMMYFUNCTION("""COMPUTED_VALUE"""),148.02)</f>
        <v>148.02</v>
      </c>
      <c r="F26" s="190">
        <f>IFERROR(__xludf.DUMMYFUNCTION("""COMPUTED_VALUE"""),148.4)</f>
        <v>148.4</v>
      </c>
      <c r="G26" s="191">
        <f>IFERROR(__xludf.DUMMYFUNCTION("""COMPUTED_VALUE"""),1585339.0)</f>
        <v>1585339</v>
      </c>
      <c r="H26" s="112"/>
      <c r="I26" s="112"/>
      <c r="J26" s="192">
        <v>44781.0</v>
      </c>
      <c r="K26" s="204">
        <v>3.0</v>
      </c>
      <c r="L26" s="194">
        <v>93.28</v>
      </c>
      <c r="M26" s="94"/>
      <c r="N26" s="112">
        <f t="shared" ref="N26:N31" si="1">K26*L26+M26</f>
        <v>279.84</v>
      </c>
      <c r="O26" s="112">
        <f>N26/K26</f>
        <v>93.28</v>
      </c>
      <c r="P26" s="112"/>
      <c r="Q26" s="112"/>
      <c r="R26" s="112"/>
    </row>
    <row r="27" ht="17.25" customHeight="1">
      <c r="A27" s="112"/>
      <c r="B27" s="189">
        <f>IFERROR(__xludf.DUMMYFUNCTION("""COMPUTED_VALUE"""),45993.66666666667)</f>
        <v>45993.66667</v>
      </c>
      <c r="C27" s="190">
        <f>IFERROR(__xludf.DUMMYFUNCTION("""COMPUTED_VALUE"""),148.88)</f>
        <v>148.88</v>
      </c>
      <c r="D27" s="190">
        <f>IFERROR(__xludf.DUMMYFUNCTION("""COMPUTED_VALUE"""),149.22)</f>
        <v>149.22</v>
      </c>
      <c r="E27" s="190">
        <f>IFERROR(__xludf.DUMMYFUNCTION("""COMPUTED_VALUE"""),148.25)</f>
        <v>148.25</v>
      </c>
      <c r="F27" s="190">
        <f>IFERROR(__xludf.DUMMYFUNCTION("""COMPUTED_VALUE"""),148.65)</f>
        <v>148.65</v>
      </c>
      <c r="G27" s="191">
        <f>IFERROR(__xludf.DUMMYFUNCTION("""COMPUTED_VALUE"""),1625405.0)</f>
        <v>1625405</v>
      </c>
      <c r="H27" s="112"/>
      <c r="I27" s="112"/>
      <c r="J27" s="192">
        <v>44798.0</v>
      </c>
      <c r="K27" s="204">
        <v>1.0</v>
      </c>
      <c r="L27" s="195">
        <v>93.1</v>
      </c>
      <c r="M27" s="94"/>
      <c r="N27" s="112">
        <f t="shared" si="1"/>
        <v>93.1</v>
      </c>
      <c r="O27" s="196">
        <f t="shared" ref="O27:O41" si="2">SUM($N$26:N27)/SUM($K$26:K27)</f>
        <v>93.235</v>
      </c>
      <c r="P27" s="112"/>
      <c r="Q27" s="112"/>
      <c r="R27" s="112"/>
    </row>
    <row r="28" ht="17.25" customHeight="1">
      <c r="A28" s="112"/>
      <c r="B28" s="189">
        <f>IFERROR(__xludf.DUMMYFUNCTION("""COMPUTED_VALUE"""),45994.66666666667)</f>
        <v>45994.66667</v>
      </c>
      <c r="C28" s="190">
        <f>IFERROR(__xludf.DUMMYFUNCTION("""COMPUTED_VALUE"""),148.49)</f>
        <v>148.49</v>
      </c>
      <c r="D28" s="190">
        <f>IFERROR(__xludf.DUMMYFUNCTION("""COMPUTED_VALUE"""),149.56)</f>
        <v>149.56</v>
      </c>
      <c r="E28" s="190">
        <f>IFERROR(__xludf.DUMMYFUNCTION("""COMPUTED_VALUE"""),148.35)</f>
        <v>148.35</v>
      </c>
      <c r="F28" s="190">
        <f>IFERROR(__xludf.DUMMYFUNCTION("""COMPUTED_VALUE"""),149.35)</f>
        <v>149.35</v>
      </c>
      <c r="G28" s="191">
        <f>IFERROR(__xludf.DUMMYFUNCTION("""COMPUTED_VALUE"""),2193697.0)</f>
        <v>2193697</v>
      </c>
      <c r="H28" s="112"/>
      <c r="I28" s="112"/>
      <c r="J28" s="197">
        <v>44840.0</v>
      </c>
      <c r="K28" s="194">
        <v>1.0</v>
      </c>
      <c r="L28" s="194">
        <v>83.4</v>
      </c>
      <c r="M28" s="94"/>
      <c r="N28" s="112">
        <f t="shared" si="1"/>
        <v>83.4</v>
      </c>
      <c r="O28" s="196">
        <f t="shared" si="2"/>
        <v>91.268</v>
      </c>
      <c r="P28" s="198"/>
      <c r="Q28" s="112"/>
      <c r="R28" s="112"/>
    </row>
    <row r="29" ht="17.25" customHeight="1">
      <c r="A29" s="112"/>
      <c r="B29" s="189">
        <f>IFERROR(__xludf.DUMMYFUNCTION("""COMPUTED_VALUE"""),45995.66666666667)</f>
        <v>45995.66667</v>
      </c>
      <c r="C29" s="190">
        <f>IFERROR(__xludf.DUMMYFUNCTION("""COMPUTED_VALUE"""),149.66)</f>
        <v>149.66</v>
      </c>
      <c r="D29" s="190">
        <f>IFERROR(__xludf.DUMMYFUNCTION("""COMPUTED_VALUE"""),149.66)</f>
        <v>149.66</v>
      </c>
      <c r="E29" s="190">
        <f>IFERROR(__xludf.DUMMYFUNCTION("""COMPUTED_VALUE"""),148.91)</f>
        <v>148.91</v>
      </c>
      <c r="F29" s="190">
        <f>IFERROR(__xludf.DUMMYFUNCTION("""COMPUTED_VALUE"""),149.53)</f>
        <v>149.53</v>
      </c>
      <c r="G29" s="191">
        <f>IFERROR(__xludf.DUMMYFUNCTION("""COMPUTED_VALUE"""),2535766.0)</f>
        <v>2535766</v>
      </c>
      <c r="H29" s="112"/>
      <c r="I29" s="112"/>
      <c r="J29" s="192">
        <v>44952.0</v>
      </c>
      <c r="K29" s="204">
        <v>1.0</v>
      </c>
      <c r="L29" s="194">
        <v>89.65</v>
      </c>
      <c r="M29" s="94"/>
      <c r="N29" s="112">
        <f t="shared" si="1"/>
        <v>89.65</v>
      </c>
      <c r="O29" s="196">
        <f t="shared" si="2"/>
        <v>90.99833333</v>
      </c>
      <c r="P29" s="199"/>
      <c r="Q29" s="112"/>
      <c r="R29" s="112"/>
    </row>
    <row r="30" ht="17.25" customHeight="1">
      <c r="A30" s="112"/>
      <c r="B30" s="189">
        <f>IFERROR(__xludf.DUMMYFUNCTION("""COMPUTED_VALUE"""),45996.66666666667)</f>
        <v>45996.66667</v>
      </c>
      <c r="C30" s="190">
        <f>IFERROR(__xludf.DUMMYFUNCTION("""COMPUTED_VALUE"""),149.76)</f>
        <v>149.76</v>
      </c>
      <c r="D30" s="190">
        <f>IFERROR(__xludf.DUMMYFUNCTION("""COMPUTED_VALUE"""),150.4)</f>
        <v>150.4</v>
      </c>
      <c r="E30" s="190">
        <f>IFERROR(__xludf.DUMMYFUNCTION("""COMPUTED_VALUE"""),149.55)</f>
        <v>149.55</v>
      </c>
      <c r="F30" s="190">
        <f>IFERROR(__xludf.DUMMYFUNCTION("""COMPUTED_VALUE"""),149.79)</f>
        <v>149.79</v>
      </c>
      <c r="G30" s="191">
        <f>IFERROR(__xludf.DUMMYFUNCTION("""COMPUTED_VALUE"""),2072094.0)</f>
        <v>2072094</v>
      </c>
      <c r="H30" s="112"/>
      <c r="I30" s="112"/>
      <c r="J30" s="192">
        <v>44995.0</v>
      </c>
      <c r="K30" s="204"/>
      <c r="L30" s="194">
        <v>86.2</v>
      </c>
      <c r="M30" s="94"/>
      <c r="N30" s="112">
        <f t="shared" si="1"/>
        <v>0</v>
      </c>
      <c r="O30" s="196">
        <f t="shared" si="2"/>
        <v>90.99833333</v>
      </c>
      <c r="P30" s="200"/>
      <c r="Q30" s="112"/>
      <c r="R30" s="112"/>
    </row>
    <row r="31" ht="17.25" customHeight="1">
      <c r="A31" s="112"/>
      <c r="B31" s="189">
        <f>IFERROR(__xludf.DUMMYFUNCTION("""COMPUTED_VALUE"""),45999.66666666667)</f>
        <v>45999.66667</v>
      </c>
      <c r="C31" s="190">
        <f>IFERROR(__xludf.DUMMYFUNCTION("""COMPUTED_VALUE"""),150.04)</f>
        <v>150.04</v>
      </c>
      <c r="D31" s="190">
        <f>IFERROR(__xludf.DUMMYFUNCTION("""COMPUTED_VALUE"""),150.08)</f>
        <v>150.08</v>
      </c>
      <c r="E31" s="190">
        <f>IFERROR(__xludf.DUMMYFUNCTION("""COMPUTED_VALUE"""),148.94)</f>
        <v>148.94</v>
      </c>
      <c r="F31" s="190">
        <f>IFERROR(__xludf.DUMMYFUNCTION("""COMPUTED_VALUE"""),149.32)</f>
        <v>149.32</v>
      </c>
      <c r="G31" s="191">
        <f>IFERROR(__xludf.DUMMYFUNCTION("""COMPUTED_VALUE"""),2301918.0)</f>
        <v>2301918</v>
      </c>
      <c r="H31" s="112"/>
      <c r="I31" s="112"/>
      <c r="J31" s="192"/>
      <c r="K31" s="204"/>
      <c r="L31" s="194"/>
      <c r="M31" s="94"/>
      <c r="N31" s="112">
        <f t="shared" si="1"/>
        <v>0</v>
      </c>
      <c r="O31" s="196">
        <f t="shared" si="2"/>
        <v>90.99833333</v>
      </c>
      <c r="P31" s="198"/>
      <c r="Q31" s="112"/>
      <c r="R31" s="112"/>
    </row>
    <row r="32" ht="17.25" customHeight="1">
      <c r="A32" s="112"/>
      <c r="B32" s="189">
        <f>IFERROR(__xludf.DUMMYFUNCTION("""COMPUTED_VALUE"""),46000.66666666667)</f>
        <v>46000.66667</v>
      </c>
      <c r="C32" s="190">
        <f>IFERROR(__xludf.DUMMYFUNCTION("""COMPUTED_VALUE"""),149.17)</f>
        <v>149.17</v>
      </c>
      <c r="D32" s="190">
        <f>IFERROR(__xludf.DUMMYFUNCTION("""COMPUTED_VALUE"""),149.8)</f>
        <v>149.8</v>
      </c>
      <c r="E32" s="190">
        <f>IFERROR(__xludf.DUMMYFUNCTION("""COMPUTED_VALUE"""),149.15)</f>
        <v>149.15</v>
      </c>
      <c r="F32" s="190">
        <f>IFERROR(__xludf.DUMMYFUNCTION("""COMPUTED_VALUE"""),149.21)</f>
        <v>149.21</v>
      </c>
      <c r="G32" s="191">
        <f>IFERROR(__xludf.DUMMYFUNCTION("""COMPUTED_VALUE"""),1744859.0)</f>
        <v>1744859</v>
      </c>
      <c r="H32" s="112"/>
      <c r="I32" s="112"/>
      <c r="J32" s="192"/>
      <c r="K32" s="204"/>
      <c r="L32" s="194"/>
      <c r="M32" s="94"/>
      <c r="N32" s="94"/>
      <c r="O32" s="196">
        <f t="shared" si="2"/>
        <v>90.99833333</v>
      </c>
      <c r="P32" s="198"/>
      <c r="Q32" s="112"/>
      <c r="R32" s="112"/>
    </row>
    <row r="33" ht="17.25" customHeight="1">
      <c r="A33" s="112"/>
      <c r="B33" s="189">
        <f>IFERROR(__xludf.DUMMYFUNCTION("""COMPUTED_VALUE"""),46001.66666666667)</f>
        <v>46001.66667</v>
      </c>
      <c r="C33" s="190">
        <f>IFERROR(__xludf.DUMMYFUNCTION("""COMPUTED_VALUE"""),149.08)</f>
        <v>149.08</v>
      </c>
      <c r="D33" s="190">
        <f>IFERROR(__xludf.DUMMYFUNCTION("""COMPUTED_VALUE"""),150.7)</f>
        <v>150.7</v>
      </c>
      <c r="E33" s="190">
        <f>IFERROR(__xludf.DUMMYFUNCTION("""COMPUTED_VALUE"""),148.89)</f>
        <v>148.89</v>
      </c>
      <c r="F33" s="190">
        <f>IFERROR(__xludf.DUMMYFUNCTION("""COMPUTED_VALUE"""),150.31)</f>
        <v>150.31</v>
      </c>
      <c r="G33" s="191">
        <f>IFERROR(__xludf.DUMMYFUNCTION("""COMPUTED_VALUE"""),3688304.0)</f>
        <v>3688304</v>
      </c>
      <c r="H33" s="112"/>
      <c r="I33" s="112"/>
      <c r="J33" s="197"/>
      <c r="K33" s="204"/>
      <c r="L33" s="194"/>
      <c r="M33" s="94"/>
      <c r="N33" s="112">
        <f t="shared" ref="N33:N41" si="3">K33*L33+M33</f>
        <v>0</v>
      </c>
      <c r="O33" s="196">
        <f t="shared" si="2"/>
        <v>90.99833333</v>
      </c>
      <c r="P33" s="112"/>
      <c r="Q33" s="112"/>
      <c r="R33" s="112"/>
    </row>
    <row r="34" ht="17.25" customHeight="1">
      <c r="A34" s="112"/>
      <c r="B34" s="189">
        <f>IFERROR(__xludf.DUMMYFUNCTION("""COMPUTED_VALUE"""),46002.66666666667)</f>
        <v>46002.66667</v>
      </c>
      <c r="C34" s="190">
        <f>IFERROR(__xludf.DUMMYFUNCTION("""COMPUTED_VALUE"""),149.85)</f>
        <v>149.85</v>
      </c>
      <c r="D34" s="190">
        <f>IFERROR(__xludf.DUMMYFUNCTION("""COMPUTED_VALUE"""),150.84)</f>
        <v>150.84</v>
      </c>
      <c r="E34" s="190">
        <f>IFERROR(__xludf.DUMMYFUNCTION("""COMPUTED_VALUE"""),149.28)</f>
        <v>149.28</v>
      </c>
      <c r="F34" s="190">
        <f>IFERROR(__xludf.DUMMYFUNCTION("""COMPUTED_VALUE"""),150.77)</f>
        <v>150.77</v>
      </c>
      <c r="G34" s="191">
        <f>IFERROR(__xludf.DUMMYFUNCTION("""COMPUTED_VALUE"""),3089336.0)</f>
        <v>3089336</v>
      </c>
      <c r="H34" s="112"/>
      <c r="I34" s="112"/>
      <c r="J34" s="197"/>
      <c r="K34" s="204"/>
      <c r="L34" s="194"/>
      <c r="M34" s="94"/>
      <c r="N34" s="112">
        <f t="shared" si="3"/>
        <v>0</v>
      </c>
      <c r="O34" s="196">
        <f t="shared" si="2"/>
        <v>90.99833333</v>
      </c>
      <c r="P34" s="112"/>
      <c r="Q34" s="112"/>
      <c r="R34" s="112"/>
    </row>
    <row r="35" ht="17.25" customHeight="1">
      <c r="A35" s="112"/>
      <c r="B35" s="189">
        <f>IFERROR(__xludf.DUMMYFUNCTION("""COMPUTED_VALUE"""),46003.66666666667)</f>
        <v>46003.66667</v>
      </c>
      <c r="C35" s="190">
        <f>IFERROR(__xludf.DUMMYFUNCTION("""COMPUTED_VALUE"""),150.62)</f>
        <v>150.62</v>
      </c>
      <c r="D35" s="190">
        <f>IFERROR(__xludf.DUMMYFUNCTION("""COMPUTED_VALUE"""),150.76)</f>
        <v>150.76</v>
      </c>
      <c r="E35" s="190">
        <f>IFERROR(__xludf.DUMMYFUNCTION("""COMPUTED_VALUE"""),148.56)</f>
        <v>148.56</v>
      </c>
      <c r="F35" s="190">
        <f>IFERROR(__xludf.DUMMYFUNCTION("""COMPUTED_VALUE"""),149.07)</f>
        <v>149.07</v>
      </c>
      <c r="G35" s="191">
        <f>IFERROR(__xludf.DUMMYFUNCTION("""COMPUTED_VALUE"""),3017907.0)</f>
        <v>3017907</v>
      </c>
      <c r="H35" s="112"/>
      <c r="I35" s="112"/>
      <c r="J35" s="197"/>
      <c r="K35" s="204"/>
      <c r="L35" s="194"/>
      <c r="M35" s="94"/>
      <c r="N35" s="112">
        <f t="shared" si="3"/>
        <v>0</v>
      </c>
      <c r="O35" s="196">
        <f t="shared" si="2"/>
        <v>90.99833333</v>
      </c>
      <c r="P35" s="112"/>
      <c r="Q35" s="112"/>
      <c r="R35" s="112"/>
    </row>
    <row r="36" ht="17.25" customHeight="1">
      <c r="A36" s="112"/>
      <c r="B36" s="189">
        <f>IFERROR(__xludf.DUMMYFUNCTION("""COMPUTED_VALUE"""),46006.66666666667)</f>
        <v>46006.66667</v>
      </c>
      <c r="C36" s="190">
        <f>IFERROR(__xludf.DUMMYFUNCTION("""COMPUTED_VALUE"""),149.91)</f>
        <v>149.91</v>
      </c>
      <c r="D36" s="190">
        <f>IFERROR(__xludf.DUMMYFUNCTION("""COMPUTED_VALUE"""),149.93)</f>
        <v>149.93</v>
      </c>
      <c r="E36" s="190">
        <f>IFERROR(__xludf.DUMMYFUNCTION("""COMPUTED_VALUE"""),148.47)</f>
        <v>148.47</v>
      </c>
      <c r="F36" s="190">
        <f>IFERROR(__xludf.DUMMYFUNCTION("""COMPUTED_VALUE"""),148.74)</f>
        <v>148.74</v>
      </c>
      <c r="G36" s="191">
        <f>IFERROR(__xludf.DUMMYFUNCTION("""COMPUTED_VALUE"""),3102604.0)</f>
        <v>3102604</v>
      </c>
      <c r="H36" s="112"/>
      <c r="I36" s="112"/>
      <c r="J36" s="197"/>
      <c r="K36" s="194"/>
      <c r="L36" s="194"/>
      <c r="M36" s="94"/>
      <c r="N36" s="112">
        <f t="shared" si="3"/>
        <v>0</v>
      </c>
      <c r="O36" s="196">
        <f t="shared" si="2"/>
        <v>90.99833333</v>
      </c>
      <c r="P36" s="112"/>
      <c r="Q36" s="112"/>
      <c r="R36" s="112"/>
    </row>
    <row r="37" ht="17.25" customHeight="1">
      <c r="A37" s="112"/>
      <c r="B37" s="189">
        <f>IFERROR(__xludf.DUMMYFUNCTION("""COMPUTED_VALUE"""),46007.66666666667)</f>
        <v>46007.66667</v>
      </c>
      <c r="C37" s="190">
        <f>IFERROR(__xludf.DUMMYFUNCTION("""COMPUTED_VALUE"""),147.96)</f>
        <v>147.96</v>
      </c>
      <c r="D37" s="190">
        <f>IFERROR(__xludf.DUMMYFUNCTION("""COMPUTED_VALUE"""),148.35)</f>
        <v>148.35</v>
      </c>
      <c r="E37" s="190">
        <f>IFERROR(__xludf.DUMMYFUNCTION("""COMPUTED_VALUE"""),146.98)</f>
        <v>146.98</v>
      </c>
      <c r="F37" s="190">
        <f>IFERROR(__xludf.DUMMYFUNCTION("""COMPUTED_VALUE"""),147.82)</f>
        <v>147.82</v>
      </c>
      <c r="G37" s="191">
        <f>IFERROR(__xludf.DUMMYFUNCTION("""COMPUTED_VALUE"""),3435174.0)</f>
        <v>3435174</v>
      </c>
      <c r="H37" s="112"/>
      <c r="I37" s="112"/>
      <c r="J37" s="192"/>
      <c r="K37" s="194"/>
      <c r="L37" s="194"/>
      <c r="M37" s="94"/>
      <c r="N37" s="112">
        <f t="shared" si="3"/>
        <v>0</v>
      </c>
      <c r="O37" s="196">
        <f t="shared" si="2"/>
        <v>90.99833333</v>
      </c>
      <c r="P37" s="112"/>
      <c r="Q37" s="112"/>
      <c r="R37" s="112"/>
    </row>
    <row r="38" ht="17.25" customHeight="1">
      <c r="A38" s="112"/>
      <c r="B38" s="189">
        <f>IFERROR(__xludf.DUMMYFUNCTION("""COMPUTED_VALUE"""),46008.66666666667)</f>
        <v>46008.66667</v>
      </c>
      <c r="C38" s="190">
        <f>IFERROR(__xludf.DUMMYFUNCTION("""COMPUTED_VALUE"""),148.01)</f>
        <v>148.01</v>
      </c>
      <c r="D38" s="190">
        <f>IFERROR(__xludf.DUMMYFUNCTION("""COMPUTED_VALUE"""),148.22)</f>
        <v>148.22</v>
      </c>
      <c r="E38" s="190">
        <f>IFERROR(__xludf.DUMMYFUNCTION("""COMPUTED_VALUE"""),146.19)</f>
        <v>146.19</v>
      </c>
      <c r="F38" s="190">
        <f>IFERROR(__xludf.DUMMYFUNCTION("""COMPUTED_VALUE"""),146.23)</f>
        <v>146.23</v>
      </c>
      <c r="G38" s="191">
        <f>IFERROR(__xludf.DUMMYFUNCTION("""COMPUTED_VALUE"""),3742746.0)</f>
        <v>3742746</v>
      </c>
      <c r="H38" s="112"/>
      <c r="I38" s="112"/>
      <c r="J38" s="192"/>
      <c r="K38" s="204"/>
      <c r="L38" s="194"/>
      <c r="M38" s="94"/>
      <c r="N38" s="112">
        <f t="shared" si="3"/>
        <v>0</v>
      </c>
      <c r="O38" s="196">
        <f t="shared" si="2"/>
        <v>90.99833333</v>
      </c>
      <c r="P38" s="112"/>
      <c r="Q38" s="112"/>
      <c r="R38" s="112"/>
    </row>
    <row r="39" ht="17.25" customHeight="1">
      <c r="A39" s="112"/>
      <c r="B39" s="189">
        <f>IFERROR(__xludf.DUMMYFUNCTION("""COMPUTED_VALUE"""),46009.66666666667)</f>
        <v>46009.66667</v>
      </c>
      <c r="C39" s="190">
        <f>IFERROR(__xludf.DUMMYFUNCTION("""COMPUTED_VALUE"""),147.55)</f>
        <v>147.55</v>
      </c>
      <c r="D39" s="190">
        <f>IFERROR(__xludf.DUMMYFUNCTION("""COMPUTED_VALUE"""),148.29)</f>
        <v>148.29</v>
      </c>
      <c r="E39" s="190">
        <f>IFERROR(__xludf.DUMMYFUNCTION("""COMPUTED_VALUE"""),147.0)</f>
        <v>147</v>
      </c>
      <c r="F39" s="190">
        <f>IFERROR(__xludf.DUMMYFUNCTION("""COMPUTED_VALUE"""),147.36)</f>
        <v>147.36</v>
      </c>
      <c r="G39" s="191">
        <f>IFERROR(__xludf.DUMMYFUNCTION("""COMPUTED_VALUE"""),2726450.0)</f>
        <v>2726450</v>
      </c>
      <c r="H39" s="112"/>
      <c r="I39" s="112"/>
      <c r="J39" s="192"/>
      <c r="K39" s="204"/>
      <c r="L39" s="194"/>
      <c r="M39" s="94"/>
      <c r="N39" s="112">
        <f t="shared" si="3"/>
        <v>0</v>
      </c>
      <c r="O39" s="196">
        <f t="shared" si="2"/>
        <v>90.99833333</v>
      </c>
      <c r="P39" s="112"/>
      <c r="Q39" s="112"/>
      <c r="R39" s="112"/>
    </row>
    <row r="40" ht="17.25" customHeight="1">
      <c r="A40" s="112"/>
      <c r="B40" s="189">
        <f>IFERROR(__xludf.DUMMYFUNCTION("""COMPUTED_VALUE"""),46010.66666666667)</f>
        <v>46010.66667</v>
      </c>
      <c r="C40" s="190">
        <f>IFERROR(__xludf.DUMMYFUNCTION("""COMPUTED_VALUE"""),147.86)</f>
        <v>147.86</v>
      </c>
      <c r="D40" s="190">
        <f>IFERROR(__xludf.DUMMYFUNCTION("""COMPUTED_VALUE"""),148.83)</f>
        <v>148.83</v>
      </c>
      <c r="E40" s="190">
        <f>IFERROR(__xludf.DUMMYFUNCTION("""COMPUTED_VALUE"""),147.82)</f>
        <v>147.82</v>
      </c>
      <c r="F40" s="190">
        <f>IFERROR(__xludf.DUMMYFUNCTION("""COMPUTED_VALUE"""),148.68)</f>
        <v>148.68</v>
      </c>
      <c r="G40" s="191">
        <f>IFERROR(__xludf.DUMMYFUNCTION("""COMPUTED_VALUE"""),2769670.0)</f>
        <v>2769670</v>
      </c>
      <c r="H40" s="112"/>
      <c r="I40" s="112"/>
      <c r="J40" s="192"/>
      <c r="K40" s="204"/>
      <c r="L40" s="194"/>
      <c r="M40" s="94"/>
      <c r="N40" s="112">
        <f t="shared" si="3"/>
        <v>0</v>
      </c>
      <c r="O40" s="196">
        <f t="shared" si="2"/>
        <v>90.99833333</v>
      </c>
      <c r="P40" s="112"/>
      <c r="Q40" s="112"/>
      <c r="R40" s="112"/>
    </row>
    <row r="41" ht="17.25" customHeight="1">
      <c r="A41" s="112"/>
      <c r="B41" s="189">
        <f>IFERROR(__xludf.DUMMYFUNCTION("""COMPUTED_VALUE"""),46013.66666666667)</f>
        <v>46013.66667</v>
      </c>
      <c r="C41" s="190">
        <f>IFERROR(__xludf.DUMMYFUNCTION("""COMPUTED_VALUE"""),149.42)</f>
        <v>149.42</v>
      </c>
      <c r="D41" s="190">
        <f>IFERROR(__xludf.DUMMYFUNCTION("""COMPUTED_VALUE"""),149.85)</f>
        <v>149.85</v>
      </c>
      <c r="E41" s="190">
        <f>IFERROR(__xludf.DUMMYFUNCTION("""COMPUTED_VALUE"""),149.27)</f>
        <v>149.27</v>
      </c>
      <c r="F41" s="190">
        <f>IFERROR(__xludf.DUMMYFUNCTION("""COMPUTED_VALUE"""),149.71)</f>
        <v>149.71</v>
      </c>
      <c r="G41" s="191">
        <f>IFERROR(__xludf.DUMMYFUNCTION("""COMPUTED_VALUE"""),1796602.0)</f>
        <v>1796602</v>
      </c>
      <c r="H41" s="112"/>
      <c r="I41" s="112"/>
      <c r="J41" s="192"/>
      <c r="K41" s="194"/>
      <c r="L41" s="194"/>
      <c r="M41" s="94"/>
      <c r="N41" s="112">
        <f t="shared" si="3"/>
        <v>0</v>
      </c>
      <c r="O41" s="196">
        <f t="shared" si="2"/>
        <v>90.99833333</v>
      </c>
      <c r="P41" s="112"/>
      <c r="Q41" s="112"/>
      <c r="R41" s="112"/>
    </row>
    <row r="42" ht="17.25" customHeight="1">
      <c r="A42" s="112"/>
      <c r="B42" s="189">
        <f>IFERROR(__xludf.DUMMYFUNCTION("""COMPUTED_VALUE"""),46014.66666666667)</f>
        <v>46014.66667</v>
      </c>
      <c r="C42" s="190">
        <f>IFERROR(__xludf.DUMMYFUNCTION("""COMPUTED_VALUE"""),149.42)</f>
        <v>149.42</v>
      </c>
      <c r="D42" s="190">
        <f>IFERROR(__xludf.DUMMYFUNCTION("""COMPUTED_VALUE"""),150.25)</f>
        <v>150.25</v>
      </c>
      <c r="E42" s="190">
        <f>IFERROR(__xludf.DUMMYFUNCTION("""COMPUTED_VALUE"""),149.42)</f>
        <v>149.42</v>
      </c>
      <c r="F42" s="190">
        <f>IFERROR(__xludf.DUMMYFUNCTION("""COMPUTED_VALUE"""),150.19)</f>
        <v>150.19</v>
      </c>
      <c r="G42" s="191">
        <f>IFERROR(__xludf.DUMMYFUNCTION("""COMPUTED_VALUE"""),1877724.0)</f>
        <v>1877724</v>
      </c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</row>
    <row r="43" ht="17.25" customHeight="1">
      <c r="A43" s="112"/>
      <c r="B43" s="189">
        <f>IFERROR(__xludf.DUMMYFUNCTION("""COMPUTED_VALUE"""),46015.54166666667)</f>
        <v>46015.54167</v>
      </c>
      <c r="C43" s="190">
        <f>IFERROR(__xludf.DUMMYFUNCTION("""COMPUTED_VALUE"""),150.22)</f>
        <v>150.22</v>
      </c>
      <c r="D43" s="190">
        <f>IFERROR(__xludf.DUMMYFUNCTION("""COMPUTED_VALUE"""),150.81)</f>
        <v>150.81</v>
      </c>
      <c r="E43" s="190">
        <f>IFERROR(__xludf.DUMMYFUNCTION("""COMPUTED_VALUE"""),150.19)</f>
        <v>150.19</v>
      </c>
      <c r="F43" s="190">
        <f>IFERROR(__xludf.DUMMYFUNCTION("""COMPUTED_VALUE"""),150.71)</f>
        <v>150.71</v>
      </c>
      <c r="G43" s="191">
        <f>IFERROR(__xludf.DUMMYFUNCTION("""COMPUTED_VALUE"""),1487780.0)</f>
        <v>1487780</v>
      </c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</row>
    <row r="44" ht="17.25" customHeight="1">
      <c r="A44" s="112"/>
      <c r="B44" s="189">
        <f>IFERROR(__xludf.DUMMYFUNCTION("""COMPUTED_VALUE"""),46017.66666666667)</f>
        <v>46017.66667</v>
      </c>
      <c r="C44" s="190">
        <f>IFERROR(__xludf.DUMMYFUNCTION("""COMPUTED_VALUE"""),150.75)</f>
        <v>150.75</v>
      </c>
      <c r="D44" s="190">
        <f>IFERROR(__xludf.DUMMYFUNCTION("""COMPUTED_VALUE"""),150.91)</f>
        <v>150.91</v>
      </c>
      <c r="E44" s="190">
        <f>IFERROR(__xludf.DUMMYFUNCTION("""COMPUTED_VALUE"""),150.42)</f>
        <v>150.42</v>
      </c>
      <c r="F44" s="190">
        <f>IFERROR(__xludf.DUMMYFUNCTION("""COMPUTED_VALUE"""),150.63)</f>
        <v>150.63</v>
      </c>
      <c r="G44" s="191">
        <f>IFERROR(__xludf.DUMMYFUNCTION("""COMPUTED_VALUE"""),1653231.0)</f>
        <v>1653231</v>
      </c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</row>
    <row r="45" ht="17.25" customHeight="1">
      <c r="A45" s="112"/>
      <c r="B45" s="189">
        <f>IFERROR(__xludf.DUMMYFUNCTION("""COMPUTED_VALUE"""),46020.66666666667)</f>
        <v>46020.66667</v>
      </c>
      <c r="C45" s="190">
        <f>IFERROR(__xludf.DUMMYFUNCTION("""COMPUTED_VALUE"""),149.99)</f>
        <v>149.99</v>
      </c>
      <c r="D45" s="190">
        <f>IFERROR(__xludf.DUMMYFUNCTION("""COMPUTED_VALUE"""),150.44)</f>
        <v>150.44</v>
      </c>
      <c r="E45" s="190">
        <f>IFERROR(__xludf.DUMMYFUNCTION("""COMPUTED_VALUE"""),149.7)</f>
        <v>149.7</v>
      </c>
      <c r="F45" s="190">
        <f>IFERROR(__xludf.DUMMYFUNCTION("""COMPUTED_VALUE"""),150.06)</f>
        <v>150.06</v>
      </c>
      <c r="G45" s="191">
        <f>IFERROR(__xludf.DUMMYFUNCTION("""COMPUTED_VALUE"""),1776577.0)</f>
        <v>1776577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</row>
    <row r="46" ht="17.25" customHeight="1">
      <c r="A46" s="112"/>
      <c r="B46" s="189">
        <f>IFERROR(__xludf.DUMMYFUNCTION("""COMPUTED_VALUE"""),46021.66666666667)</f>
        <v>46021.66667</v>
      </c>
      <c r="C46" s="190">
        <f>IFERROR(__xludf.DUMMYFUNCTION("""COMPUTED_VALUE"""),149.97)</f>
        <v>149.97</v>
      </c>
      <c r="D46" s="190">
        <f>IFERROR(__xludf.DUMMYFUNCTION("""COMPUTED_VALUE"""),150.22)</f>
        <v>150.22</v>
      </c>
      <c r="E46" s="190">
        <f>IFERROR(__xludf.DUMMYFUNCTION("""COMPUTED_VALUE"""),149.77)</f>
        <v>149.77</v>
      </c>
      <c r="F46" s="190">
        <f>IFERROR(__xludf.DUMMYFUNCTION("""COMPUTED_VALUE"""),149.8)</f>
        <v>149.8</v>
      </c>
      <c r="G46" s="191">
        <f>IFERROR(__xludf.DUMMYFUNCTION("""COMPUTED_VALUE"""),2039228.0)</f>
        <v>2039228</v>
      </c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</row>
    <row r="47" ht="17.25" customHeight="1">
      <c r="A47" s="112"/>
      <c r="B47" s="189">
        <f>IFERROR(__xludf.DUMMYFUNCTION("""COMPUTED_VALUE"""),46022.66666666667)</f>
        <v>46022.66667</v>
      </c>
      <c r="C47" s="190">
        <f>IFERROR(__xludf.DUMMYFUNCTION("""COMPUTED_VALUE"""),149.84)</f>
        <v>149.84</v>
      </c>
      <c r="D47" s="190">
        <f>IFERROR(__xludf.DUMMYFUNCTION("""COMPUTED_VALUE"""),149.9)</f>
        <v>149.9</v>
      </c>
      <c r="E47" s="190">
        <f>IFERROR(__xludf.DUMMYFUNCTION("""COMPUTED_VALUE"""),148.64)</f>
        <v>148.64</v>
      </c>
      <c r="F47" s="190">
        <f>IFERROR(__xludf.DUMMYFUNCTION("""COMPUTED_VALUE"""),148.69)</f>
        <v>148.69</v>
      </c>
      <c r="G47" s="191">
        <f>IFERROR(__xludf.DUMMYFUNCTION("""COMPUTED_VALUE"""),2006151.0)</f>
        <v>2006151</v>
      </c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</row>
    <row r="48" ht="17.25" customHeight="1">
      <c r="A48" s="112"/>
      <c r="B48" s="189">
        <f>IFERROR(__xludf.DUMMYFUNCTION("""COMPUTED_VALUE"""),46024.66666666667)</f>
        <v>46024.66667</v>
      </c>
      <c r="C48" s="190">
        <f>IFERROR(__xludf.DUMMYFUNCTION("""COMPUTED_VALUE"""),149.57)</f>
        <v>149.57</v>
      </c>
      <c r="D48" s="190">
        <f>IFERROR(__xludf.DUMMYFUNCTION("""COMPUTED_VALUE"""),149.77)</f>
        <v>149.77</v>
      </c>
      <c r="E48" s="190">
        <f>IFERROR(__xludf.DUMMYFUNCTION("""COMPUTED_VALUE"""),148.38)</f>
        <v>148.38</v>
      </c>
      <c r="F48" s="190">
        <f>IFERROR(__xludf.DUMMYFUNCTION("""COMPUTED_VALUE"""),149.16)</f>
        <v>149.16</v>
      </c>
      <c r="G48" s="191">
        <f>IFERROR(__xludf.DUMMYFUNCTION("""COMPUTED_VALUE"""),3449804.0)</f>
        <v>3449804</v>
      </c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</row>
    <row r="49" ht="17.25" customHeight="1">
      <c r="A49" s="112"/>
      <c r="B49" s="189">
        <f>IFERROR(__xludf.DUMMYFUNCTION("""COMPUTED_VALUE"""),46027.66666666667)</f>
        <v>46027.66667</v>
      </c>
      <c r="C49" s="190">
        <f>IFERROR(__xludf.DUMMYFUNCTION("""COMPUTED_VALUE"""),149.85)</f>
        <v>149.85</v>
      </c>
      <c r="D49" s="190">
        <f>IFERROR(__xludf.DUMMYFUNCTION("""COMPUTED_VALUE"""),150.6)</f>
        <v>150.6</v>
      </c>
      <c r="E49" s="190">
        <f>IFERROR(__xludf.DUMMYFUNCTION("""COMPUTED_VALUE"""),149.82)</f>
        <v>149.82</v>
      </c>
      <c r="F49" s="190">
        <f>IFERROR(__xludf.DUMMYFUNCTION("""COMPUTED_VALUE"""),150.25)</f>
        <v>150.25</v>
      </c>
      <c r="G49" s="191">
        <f>IFERROR(__xludf.DUMMYFUNCTION("""COMPUTED_VALUE"""),2681564.0)</f>
        <v>2681564</v>
      </c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</row>
    <row r="50" ht="17.25" customHeight="1">
      <c r="A50" s="112"/>
      <c r="B50" s="189">
        <f>IFERROR(__xludf.DUMMYFUNCTION("""COMPUTED_VALUE"""),46028.66666666667)</f>
        <v>46028.66667</v>
      </c>
      <c r="C50" s="190">
        <f>IFERROR(__xludf.DUMMYFUNCTION("""COMPUTED_VALUE"""),150.34)</f>
        <v>150.34</v>
      </c>
      <c r="D50" s="190">
        <f>IFERROR(__xludf.DUMMYFUNCTION("""COMPUTED_VALUE"""),151.39)</f>
        <v>151.39</v>
      </c>
      <c r="E50" s="190">
        <f>IFERROR(__xludf.DUMMYFUNCTION("""COMPUTED_VALUE"""),150.25)</f>
        <v>150.25</v>
      </c>
      <c r="F50" s="190">
        <f>IFERROR(__xludf.DUMMYFUNCTION("""COMPUTED_VALUE"""),151.29)</f>
        <v>151.29</v>
      </c>
      <c r="G50" s="191">
        <f>IFERROR(__xludf.DUMMYFUNCTION("""COMPUTED_VALUE"""),2963027.0)</f>
        <v>2963027</v>
      </c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 ht="17.25" customHeight="1">
      <c r="A51" s="112"/>
      <c r="B51" s="189">
        <f>IFERROR(__xludf.DUMMYFUNCTION("""COMPUTED_VALUE"""),46029.66666666667)</f>
        <v>46029.66667</v>
      </c>
      <c r="C51" s="190">
        <f>IFERROR(__xludf.DUMMYFUNCTION("""COMPUTED_VALUE"""),151.31)</f>
        <v>151.31</v>
      </c>
      <c r="D51" s="190">
        <f>IFERROR(__xludf.DUMMYFUNCTION("""COMPUTED_VALUE"""),151.69)</f>
        <v>151.69</v>
      </c>
      <c r="E51" s="190">
        <f>IFERROR(__xludf.DUMMYFUNCTION("""COMPUTED_VALUE"""),150.73)</f>
        <v>150.73</v>
      </c>
      <c r="F51" s="190">
        <f>IFERROR(__xludf.DUMMYFUNCTION("""COMPUTED_VALUE"""),150.81)</f>
        <v>150.81</v>
      </c>
      <c r="G51" s="191">
        <f>IFERROR(__xludf.DUMMYFUNCTION("""COMPUTED_VALUE"""),2865061.0)</f>
        <v>2865061</v>
      </c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</row>
    <row r="52" ht="17.25" customHeight="1">
      <c r="A52" s="112"/>
      <c r="B52" s="189">
        <f>IFERROR(__xludf.DUMMYFUNCTION("""COMPUTED_VALUE"""),46030.66666666667)</f>
        <v>46030.66667</v>
      </c>
      <c r="C52" s="190">
        <f>IFERROR(__xludf.DUMMYFUNCTION("""COMPUTED_VALUE"""),150.63)</f>
        <v>150.63</v>
      </c>
      <c r="D52" s="190">
        <f>IFERROR(__xludf.DUMMYFUNCTION("""COMPUTED_VALUE"""),151.09)</f>
        <v>151.09</v>
      </c>
      <c r="E52" s="190">
        <f>IFERROR(__xludf.DUMMYFUNCTION("""COMPUTED_VALUE"""),150.36)</f>
        <v>150.36</v>
      </c>
      <c r="F52" s="190">
        <f>IFERROR(__xludf.DUMMYFUNCTION("""COMPUTED_VALUE"""),150.81)</f>
        <v>150.81</v>
      </c>
      <c r="G52" s="191">
        <f>IFERROR(__xludf.DUMMYFUNCTION("""COMPUTED_VALUE"""),2613758.0)</f>
        <v>2613758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 ht="17.25" customHeight="1">
      <c r="A53" s="112"/>
      <c r="B53" s="189">
        <f>IFERROR(__xludf.DUMMYFUNCTION("""COMPUTED_VALUE"""),46031.66666666667)</f>
        <v>46031.66667</v>
      </c>
      <c r="C53" s="190">
        <f>IFERROR(__xludf.DUMMYFUNCTION("""COMPUTED_VALUE"""),151.15)</f>
        <v>151.15</v>
      </c>
      <c r="D53" s="190">
        <f>IFERROR(__xludf.DUMMYFUNCTION("""COMPUTED_VALUE"""),152.07)</f>
        <v>152.07</v>
      </c>
      <c r="E53" s="190">
        <f>IFERROR(__xludf.DUMMYFUNCTION("""COMPUTED_VALUE"""),150.75)</f>
        <v>150.75</v>
      </c>
      <c r="F53" s="190">
        <f>IFERROR(__xludf.DUMMYFUNCTION("""COMPUTED_VALUE"""),151.83)</f>
        <v>151.83</v>
      </c>
      <c r="G53" s="191">
        <f>IFERROR(__xludf.DUMMYFUNCTION("""COMPUTED_VALUE"""),2770019.0)</f>
        <v>2770019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</row>
    <row r="54" ht="17.25" customHeight="1">
      <c r="A54" s="112"/>
      <c r="B54" s="189">
        <f>IFERROR(__xludf.DUMMYFUNCTION("""COMPUTED_VALUE"""),46034.66666666667)</f>
        <v>46034.66667</v>
      </c>
      <c r="C54" s="190">
        <f>IFERROR(__xludf.DUMMYFUNCTION("""COMPUTED_VALUE"""),151.16)</f>
        <v>151.16</v>
      </c>
      <c r="D54" s="190">
        <f>IFERROR(__xludf.DUMMYFUNCTION("""COMPUTED_VALUE"""),152.26)</f>
        <v>152.26</v>
      </c>
      <c r="E54" s="190">
        <f>IFERROR(__xludf.DUMMYFUNCTION("""COMPUTED_VALUE"""),151.1)</f>
        <v>151.1</v>
      </c>
      <c r="F54" s="190">
        <f>IFERROR(__xludf.DUMMYFUNCTION("""COMPUTED_VALUE"""),152.06)</f>
        <v>152.06</v>
      </c>
      <c r="G54" s="191">
        <f>IFERROR(__xludf.DUMMYFUNCTION("""COMPUTED_VALUE"""),2312088.0)</f>
        <v>2312088</v>
      </c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</row>
    <row r="55" ht="17.25" customHeight="1">
      <c r="A55" s="112"/>
      <c r="B55" s="189">
        <f>IFERROR(__xludf.DUMMYFUNCTION("""COMPUTED_VALUE"""),46035.66666666667)</f>
        <v>46035.66667</v>
      </c>
      <c r="C55" s="190">
        <f>IFERROR(__xludf.DUMMYFUNCTION("""COMPUTED_VALUE"""),152.22)</f>
        <v>152.22</v>
      </c>
      <c r="D55" s="190">
        <f>IFERROR(__xludf.DUMMYFUNCTION("""COMPUTED_VALUE"""),152.32)</f>
        <v>152.32</v>
      </c>
      <c r="E55" s="190">
        <f>IFERROR(__xludf.DUMMYFUNCTION("""COMPUTED_VALUE"""),151.32)</f>
        <v>151.32</v>
      </c>
      <c r="F55" s="190">
        <f>IFERROR(__xludf.DUMMYFUNCTION("""COMPUTED_VALUE"""),151.8)</f>
        <v>151.8</v>
      </c>
      <c r="G55" s="191">
        <f>IFERROR(__xludf.DUMMYFUNCTION("""COMPUTED_VALUE"""),4096841.0)</f>
        <v>4096841</v>
      </c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</row>
    <row r="56" ht="17.25" customHeight="1">
      <c r="A56" s="112"/>
      <c r="B56" s="189">
        <f>IFERROR(__xludf.DUMMYFUNCTION("""COMPUTED_VALUE"""),46036.66666666667)</f>
        <v>46036.66667</v>
      </c>
      <c r="C56" s="190">
        <f>IFERROR(__xludf.DUMMYFUNCTION("""COMPUTED_VALUE"""),151.24)</f>
        <v>151.24</v>
      </c>
      <c r="D56" s="190">
        <f>IFERROR(__xludf.DUMMYFUNCTION("""COMPUTED_VALUE"""),151.41)</f>
        <v>151.41</v>
      </c>
      <c r="E56" s="190">
        <f>IFERROR(__xludf.DUMMYFUNCTION("""COMPUTED_VALUE"""),150.27)</f>
        <v>150.27</v>
      </c>
      <c r="F56" s="190">
        <f>IFERROR(__xludf.DUMMYFUNCTION("""COMPUTED_VALUE"""),151.18)</f>
        <v>151.18</v>
      </c>
      <c r="G56" s="191">
        <f>IFERROR(__xludf.DUMMYFUNCTION("""COMPUTED_VALUE"""),7339860.0)</f>
        <v>7339860</v>
      </c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</row>
    <row r="57" ht="17.25" customHeight="1">
      <c r="A57" s="112"/>
      <c r="B57" s="189">
        <f>IFERROR(__xludf.DUMMYFUNCTION("""COMPUTED_VALUE"""),46037.66666666667)</f>
        <v>46037.66667</v>
      </c>
      <c r="C57" s="190">
        <f>IFERROR(__xludf.DUMMYFUNCTION("""COMPUTED_VALUE"""),152.05)</f>
        <v>152.05</v>
      </c>
      <c r="D57" s="190">
        <f>IFERROR(__xludf.DUMMYFUNCTION("""COMPUTED_VALUE"""),152.38)</f>
        <v>152.38</v>
      </c>
      <c r="E57" s="190">
        <f>IFERROR(__xludf.DUMMYFUNCTION("""COMPUTED_VALUE"""),151.48)</f>
        <v>151.48</v>
      </c>
      <c r="F57" s="190">
        <f>IFERROR(__xludf.DUMMYFUNCTION("""COMPUTED_VALUE"""),151.65)</f>
        <v>151.65</v>
      </c>
      <c r="G57" s="191">
        <f>IFERROR(__xludf.DUMMYFUNCTION("""COMPUTED_VALUE"""),3226684.0)</f>
        <v>3226684</v>
      </c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</row>
    <row r="58" ht="17.25" customHeight="1">
      <c r="A58" s="112"/>
      <c r="B58" s="189">
        <f>IFERROR(__xludf.DUMMYFUNCTION("""COMPUTED_VALUE"""),46038.66666666667)</f>
        <v>46038.66667</v>
      </c>
      <c r="C58" s="190">
        <f>IFERROR(__xludf.DUMMYFUNCTION("""COMPUTED_VALUE"""),152.01)</f>
        <v>152.01</v>
      </c>
      <c r="D58" s="190">
        <f>IFERROR(__xludf.DUMMYFUNCTION("""COMPUTED_VALUE"""),152.1)</f>
        <v>152.1</v>
      </c>
      <c r="E58" s="190">
        <f>IFERROR(__xludf.DUMMYFUNCTION("""COMPUTED_VALUE"""),151.23)</f>
        <v>151.23</v>
      </c>
      <c r="F58" s="190">
        <f>IFERROR(__xludf.DUMMYFUNCTION("""COMPUTED_VALUE"""),151.56)</f>
        <v>151.56</v>
      </c>
      <c r="G58" s="191">
        <f>IFERROR(__xludf.DUMMYFUNCTION("""COMPUTED_VALUE"""),3238416.0)</f>
        <v>3238416</v>
      </c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</row>
    <row r="59" ht="17.25" customHeight="1">
      <c r="A59" s="112"/>
      <c r="B59" s="189">
        <f>IFERROR(__xludf.DUMMYFUNCTION("""COMPUTED_VALUE"""),46042.66666666667)</f>
        <v>46042.66667</v>
      </c>
      <c r="C59" s="190">
        <f>IFERROR(__xludf.DUMMYFUNCTION("""COMPUTED_VALUE"""),149.32)</f>
        <v>149.32</v>
      </c>
      <c r="D59" s="190">
        <f>IFERROR(__xludf.DUMMYFUNCTION("""COMPUTED_VALUE"""),150.12)</f>
        <v>150.12</v>
      </c>
      <c r="E59" s="190">
        <f>IFERROR(__xludf.DUMMYFUNCTION("""COMPUTED_VALUE"""),148.36)</f>
        <v>148.36</v>
      </c>
      <c r="F59" s="190">
        <f>IFERROR(__xludf.DUMMYFUNCTION("""COMPUTED_VALUE"""),148.57)</f>
        <v>148.57</v>
      </c>
      <c r="G59" s="191">
        <f>IFERROR(__xludf.DUMMYFUNCTION("""COMPUTED_VALUE"""),7069175.0)</f>
        <v>7069175</v>
      </c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</row>
    <row r="60" ht="17.25" customHeight="1">
      <c r="A60" s="112"/>
      <c r="B60" s="189">
        <f>IFERROR(__xludf.DUMMYFUNCTION("""COMPUTED_VALUE"""),46043.66666666667)</f>
        <v>46043.66667</v>
      </c>
      <c r="C60" s="190">
        <f>IFERROR(__xludf.DUMMYFUNCTION("""COMPUTED_VALUE"""),149.08)</f>
        <v>149.08</v>
      </c>
      <c r="D60" s="190">
        <f>IFERROR(__xludf.DUMMYFUNCTION("""COMPUTED_VALUE"""),151.05)</f>
        <v>151.05</v>
      </c>
      <c r="E60" s="190">
        <f>IFERROR(__xludf.DUMMYFUNCTION("""COMPUTED_VALUE"""),148.7)</f>
        <v>148.7</v>
      </c>
      <c r="F60" s="190">
        <f>IFERROR(__xludf.DUMMYFUNCTION("""COMPUTED_VALUE"""),150.32)</f>
        <v>150.32</v>
      </c>
      <c r="G60" s="191">
        <f>IFERROR(__xludf.DUMMYFUNCTION("""COMPUTED_VALUE"""),9116635.0)</f>
        <v>9116635</v>
      </c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</row>
    <row r="61" ht="17.25" customHeight="1">
      <c r="A61" s="112"/>
      <c r="B61" s="189">
        <f>IFERROR(__xludf.DUMMYFUNCTION("""COMPUTED_VALUE"""),46044.66666666667)</f>
        <v>46044.66667</v>
      </c>
      <c r="C61" s="190">
        <f>IFERROR(__xludf.DUMMYFUNCTION("""COMPUTED_VALUE"""),151.38)</f>
        <v>151.38</v>
      </c>
      <c r="D61" s="190">
        <f>IFERROR(__xludf.DUMMYFUNCTION("""COMPUTED_VALUE"""),151.63)</f>
        <v>151.63</v>
      </c>
      <c r="E61" s="190">
        <f>IFERROR(__xludf.DUMMYFUNCTION("""COMPUTED_VALUE"""),150.74)</f>
        <v>150.74</v>
      </c>
      <c r="F61" s="190">
        <f>IFERROR(__xludf.DUMMYFUNCTION("""COMPUTED_VALUE"""),151.13)</f>
        <v>151.13</v>
      </c>
      <c r="G61" s="191">
        <f>IFERROR(__xludf.DUMMYFUNCTION("""COMPUTED_VALUE"""),3178441.0)</f>
        <v>3178441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</row>
    <row r="62" ht="17.25" customHeight="1">
      <c r="A62" s="112"/>
      <c r="B62" s="189">
        <f>IFERROR(__xludf.DUMMYFUNCTION("""COMPUTED_VALUE"""),46045.66666666667)</f>
        <v>46045.66667</v>
      </c>
      <c r="C62" s="190">
        <f>IFERROR(__xludf.DUMMYFUNCTION("""COMPUTED_VALUE"""),150.97)</f>
        <v>150.97</v>
      </c>
      <c r="D62" s="190">
        <f>IFERROR(__xludf.DUMMYFUNCTION("""COMPUTED_VALUE"""),151.41)</f>
        <v>151.41</v>
      </c>
      <c r="E62" s="190">
        <f>IFERROR(__xludf.DUMMYFUNCTION("""COMPUTED_VALUE"""),150.67)</f>
        <v>150.67</v>
      </c>
      <c r="F62" s="190">
        <f>IFERROR(__xludf.DUMMYFUNCTION("""COMPUTED_VALUE"""),150.96)</f>
        <v>150.96</v>
      </c>
      <c r="G62" s="191">
        <f>IFERROR(__xludf.DUMMYFUNCTION("""COMPUTED_VALUE"""),5819144.0)</f>
        <v>5819144</v>
      </c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</row>
    <row r="63" ht="17.25" customHeight="1">
      <c r="A63" s="112"/>
      <c r="B63" s="189">
        <f>IFERROR(__xludf.DUMMYFUNCTION("""COMPUTED_VALUE"""),46048.66666666667)</f>
        <v>46048.66667</v>
      </c>
      <c r="C63" s="190">
        <f>IFERROR(__xludf.DUMMYFUNCTION("""COMPUTED_VALUE"""),151.24)</f>
        <v>151.24</v>
      </c>
      <c r="D63" s="190">
        <f>IFERROR(__xludf.DUMMYFUNCTION("""COMPUTED_VALUE"""),151.9)</f>
        <v>151.9</v>
      </c>
      <c r="E63" s="190">
        <f>IFERROR(__xludf.DUMMYFUNCTION("""COMPUTED_VALUE"""),151.09)</f>
        <v>151.09</v>
      </c>
      <c r="F63" s="190">
        <f>IFERROR(__xludf.DUMMYFUNCTION("""COMPUTED_VALUE"""),151.61)</f>
        <v>151.61</v>
      </c>
      <c r="G63" s="191">
        <f>IFERROR(__xludf.DUMMYFUNCTION("""COMPUTED_VALUE"""),1959230.0)</f>
        <v>1959230</v>
      </c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</row>
    <row r="64" ht="17.25" customHeight="1">
      <c r="A64" s="112"/>
      <c r="B64" s="189">
        <f>IFERROR(__xludf.DUMMYFUNCTION("""COMPUTED_VALUE"""),46049.66666666667)</f>
        <v>46049.66667</v>
      </c>
      <c r="C64" s="190">
        <f>IFERROR(__xludf.DUMMYFUNCTION("""COMPUTED_VALUE"""),151.99)</f>
        <v>151.99</v>
      </c>
      <c r="D64" s="190">
        <f>IFERROR(__xludf.DUMMYFUNCTION("""COMPUTED_VALUE"""),152.38)</f>
        <v>152.38</v>
      </c>
      <c r="E64" s="190">
        <f>IFERROR(__xludf.DUMMYFUNCTION("""COMPUTED_VALUE"""),151.72)</f>
        <v>151.72</v>
      </c>
      <c r="F64" s="190">
        <f>IFERROR(__xludf.DUMMYFUNCTION("""COMPUTED_VALUE"""),152.16)</f>
        <v>152.16</v>
      </c>
      <c r="G64" s="191">
        <f>IFERROR(__xludf.DUMMYFUNCTION("""COMPUTED_VALUE"""),1658927.0)</f>
        <v>1658927</v>
      </c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</row>
    <row r="65" ht="17.25" customHeight="1">
      <c r="A65" s="112"/>
      <c r="B65" s="189">
        <f>IFERROR(__xludf.DUMMYFUNCTION("""COMPUTED_VALUE"""),46050.66666666667)</f>
        <v>46050.66667</v>
      </c>
      <c r="C65" s="190">
        <f>IFERROR(__xludf.DUMMYFUNCTION("""COMPUTED_VALUE"""),152.59)</f>
        <v>152.59</v>
      </c>
      <c r="D65" s="190">
        <f>IFERROR(__xludf.DUMMYFUNCTION("""COMPUTED_VALUE"""),152.71)</f>
        <v>152.71</v>
      </c>
      <c r="E65" s="190">
        <f>IFERROR(__xludf.DUMMYFUNCTION("""COMPUTED_VALUE"""),151.75)</f>
        <v>151.75</v>
      </c>
      <c r="F65" s="190">
        <f>IFERROR(__xludf.DUMMYFUNCTION("""COMPUTED_VALUE"""),152.1)</f>
        <v>152.1</v>
      </c>
      <c r="G65" s="191">
        <f>IFERROR(__xludf.DUMMYFUNCTION("""COMPUTED_VALUE"""),3028679.0)</f>
        <v>3028679</v>
      </c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</row>
    <row r="66" ht="17.25" customHeight="1">
      <c r="A66" s="112"/>
      <c r="B66" s="189">
        <f>IFERROR(__xludf.DUMMYFUNCTION("""COMPUTED_VALUE"""),46051.66666666667)</f>
        <v>46051.66667</v>
      </c>
      <c r="C66" s="190">
        <f>IFERROR(__xludf.DUMMYFUNCTION("""COMPUTED_VALUE"""),152.3)</f>
        <v>152.3</v>
      </c>
      <c r="D66" s="190">
        <f>IFERROR(__xludf.DUMMYFUNCTION("""COMPUTED_VALUE"""),152.41)</f>
        <v>152.41</v>
      </c>
      <c r="E66" s="190">
        <f>IFERROR(__xludf.DUMMYFUNCTION("""COMPUTED_VALUE"""),149.71)</f>
        <v>149.71</v>
      </c>
      <c r="F66" s="190">
        <f>IFERROR(__xludf.DUMMYFUNCTION("""COMPUTED_VALUE"""),151.72)</f>
        <v>151.72</v>
      </c>
      <c r="G66" s="191">
        <f>IFERROR(__xludf.DUMMYFUNCTION("""COMPUTED_VALUE"""),4792537.0)</f>
        <v>4792537</v>
      </c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</row>
    <row r="67" ht="17.25" customHeight="1">
      <c r="A67" s="112"/>
      <c r="B67" s="189">
        <f>IFERROR(__xludf.DUMMYFUNCTION("""COMPUTED_VALUE"""),46052.66666666667)</f>
        <v>46052.66667</v>
      </c>
      <c r="C67" s="190">
        <f>IFERROR(__xludf.DUMMYFUNCTION("""COMPUTED_VALUE"""),151.18)</f>
        <v>151.18</v>
      </c>
      <c r="D67" s="190">
        <f>IFERROR(__xludf.DUMMYFUNCTION("""COMPUTED_VALUE"""),151.64)</f>
        <v>151.64</v>
      </c>
      <c r="E67" s="190">
        <f>IFERROR(__xludf.DUMMYFUNCTION("""COMPUTED_VALUE"""),150.02)</f>
        <v>150.02</v>
      </c>
      <c r="F67" s="190">
        <f>IFERROR(__xludf.DUMMYFUNCTION("""COMPUTED_VALUE"""),150.98)</f>
        <v>150.98</v>
      </c>
      <c r="G67" s="191">
        <f>IFERROR(__xludf.DUMMYFUNCTION("""COMPUTED_VALUE"""),9113602.0)</f>
        <v>9113602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</row>
    <row r="68" ht="17.25" customHeight="1">
      <c r="A68" s="112"/>
      <c r="B68" s="189">
        <f>IFERROR(__xludf.DUMMYFUNCTION("""COMPUTED_VALUE"""),46055.66666666667)</f>
        <v>46055.66667</v>
      </c>
      <c r="C68" s="190">
        <f>IFERROR(__xludf.DUMMYFUNCTION("""COMPUTED_VALUE"""),150.53)</f>
        <v>150.53</v>
      </c>
      <c r="D68" s="190">
        <f>IFERROR(__xludf.DUMMYFUNCTION("""COMPUTED_VALUE"""),152.18)</f>
        <v>152.18</v>
      </c>
      <c r="E68" s="190">
        <f>IFERROR(__xludf.DUMMYFUNCTION("""COMPUTED_VALUE"""),150.49)</f>
        <v>150.49</v>
      </c>
      <c r="F68" s="190">
        <f>IFERROR(__xludf.DUMMYFUNCTION("""COMPUTED_VALUE"""),151.8)</f>
        <v>151.8</v>
      </c>
      <c r="G68" s="191">
        <f>IFERROR(__xludf.DUMMYFUNCTION("""COMPUTED_VALUE"""),3591450.0)</f>
        <v>3591450</v>
      </c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</row>
    <row r="69" ht="17.25" customHeight="1">
      <c r="A69" s="112"/>
      <c r="B69" s="189">
        <f>IFERROR(__xludf.DUMMYFUNCTION("""COMPUTED_VALUE"""),46056.66666666667)</f>
        <v>46056.66667</v>
      </c>
      <c r="C69" s="190">
        <f>IFERROR(__xludf.DUMMYFUNCTION("""COMPUTED_VALUE"""),152.02)</f>
        <v>152.02</v>
      </c>
      <c r="D69" s="190">
        <f>IFERROR(__xludf.DUMMYFUNCTION("""COMPUTED_VALUE"""),152.22)</f>
        <v>152.22</v>
      </c>
      <c r="E69" s="190">
        <f>IFERROR(__xludf.DUMMYFUNCTION("""COMPUTED_VALUE"""),149.32)</f>
        <v>149.32</v>
      </c>
      <c r="F69" s="190">
        <f>IFERROR(__xludf.DUMMYFUNCTION("""COMPUTED_VALUE"""),150.61)</f>
        <v>150.61</v>
      </c>
      <c r="G69" s="191">
        <f>IFERROR(__xludf.DUMMYFUNCTION("""COMPUTED_VALUE"""),6891582.0)</f>
        <v>6891582</v>
      </c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</row>
    <row r="70" ht="17.25" customHeight="1">
      <c r="A70" s="112"/>
      <c r="B70" s="189">
        <f>IFERROR(__xludf.DUMMYFUNCTION("""COMPUTED_VALUE"""),46057.66666666667)</f>
        <v>46057.66667</v>
      </c>
      <c r="C70" s="190">
        <f>IFERROR(__xludf.DUMMYFUNCTION("""COMPUTED_VALUE"""),150.83)</f>
        <v>150.83</v>
      </c>
      <c r="D70" s="190">
        <f>IFERROR(__xludf.DUMMYFUNCTION("""COMPUTED_VALUE"""),151.09)</f>
        <v>151.09</v>
      </c>
      <c r="E70" s="190">
        <f>IFERROR(__xludf.DUMMYFUNCTION("""COMPUTED_VALUE"""),148.86)</f>
        <v>148.86</v>
      </c>
      <c r="F70" s="190">
        <f>IFERROR(__xludf.DUMMYFUNCTION("""COMPUTED_VALUE"""),149.89)</f>
        <v>149.89</v>
      </c>
      <c r="G70" s="191">
        <f>IFERROR(__xludf.DUMMYFUNCTION("""COMPUTED_VALUE"""),7814287.0)</f>
        <v>7814287</v>
      </c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</row>
    <row r="71" ht="17.25" customHeight="1">
      <c r="A71" s="112"/>
      <c r="B71" s="189">
        <f>IFERROR(__xludf.DUMMYFUNCTION("""COMPUTED_VALUE"""),46058.66666666667)</f>
        <v>46058.66667</v>
      </c>
      <c r="C71" s="190">
        <f>IFERROR(__xludf.DUMMYFUNCTION("""COMPUTED_VALUE"""),148.81)</f>
        <v>148.81</v>
      </c>
      <c r="D71" s="190">
        <f>IFERROR(__xludf.DUMMYFUNCTION("""COMPUTED_VALUE"""),149.44)</f>
        <v>149.44</v>
      </c>
      <c r="E71" s="190">
        <f>IFERROR(__xludf.DUMMYFUNCTION("""COMPUTED_VALUE"""),147.65)</f>
        <v>147.65</v>
      </c>
      <c r="F71" s="190">
        <f>IFERROR(__xludf.DUMMYFUNCTION("""COMPUTED_VALUE"""),147.98)</f>
        <v>147.98</v>
      </c>
      <c r="G71" s="191">
        <f>IFERROR(__xludf.DUMMYFUNCTION("""COMPUTED_VALUE"""),1.1969966E7)</f>
        <v>11969966</v>
      </c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</row>
    <row r="72" ht="17.25" customHeight="1">
      <c r="A72" s="112"/>
      <c r="B72" s="189">
        <f>IFERROR(__xludf.DUMMYFUNCTION("""COMPUTED_VALUE"""),46059.66666666667)</f>
        <v>46059.66667</v>
      </c>
      <c r="C72" s="190">
        <f>IFERROR(__xludf.DUMMYFUNCTION("""COMPUTED_VALUE"""),148.92)</f>
        <v>148.92</v>
      </c>
      <c r="D72" s="190">
        <f>IFERROR(__xludf.DUMMYFUNCTION("""COMPUTED_VALUE"""),151.45)</f>
        <v>151.45</v>
      </c>
      <c r="E72" s="190">
        <f>IFERROR(__xludf.DUMMYFUNCTION("""COMPUTED_VALUE"""),148.88)</f>
        <v>148.88</v>
      </c>
      <c r="F72" s="190">
        <f>IFERROR(__xludf.DUMMYFUNCTION("""COMPUTED_VALUE"""),151.14)</f>
        <v>151.14</v>
      </c>
      <c r="G72" s="191">
        <f>IFERROR(__xludf.DUMMYFUNCTION("""COMPUTED_VALUE"""),4704508.0)</f>
        <v>4704508</v>
      </c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</row>
    <row r="73" ht="17.25" customHeight="1">
      <c r="A73" s="112"/>
      <c r="B73" s="189">
        <f>IFERROR(__xludf.DUMMYFUNCTION("""COMPUTED_VALUE"""),46062.66666666667)</f>
        <v>46062.66667</v>
      </c>
      <c r="C73" s="190">
        <f>IFERROR(__xludf.DUMMYFUNCTION("""COMPUTED_VALUE"""),150.85)</f>
        <v>150.85</v>
      </c>
      <c r="D73" s="190">
        <f>IFERROR(__xludf.DUMMYFUNCTION("""COMPUTED_VALUE"""),152.28)</f>
        <v>152.28</v>
      </c>
      <c r="E73" s="190">
        <f>IFERROR(__xludf.DUMMYFUNCTION("""COMPUTED_VALUE"""),150.62)</f>
        <v>150.62</v>
      </c>
      <c r="F73" s="190">
        <f>IFERROR(__xludf.DUMMYFUNCTION("""COMPUTED_VALUE"""),151.9)</f>
        <v>151.9</v>
      </c>
      <c r="G73" s="191">
        <f>IFERROR(__xludf.DUMMYFUNCTION("""COMPUTED_VALUE"""),5400953.0)</f>
        <v>5400953</v>
      </c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</row>
    <row r="74" ht="17.25" customHeight="1">
      <c r="A74" s="112"/>
      <c r="B74" s="189">
        <f>IFERROR(__xludf.DUMMYFUNCTION("""COMPUTED_VALUE"""),46063.66666666667)</f>
        <v>46063.66667</v>
      </c>
      <c r="C74" s="190">
        <f>IFERROR(__xludf.DUMMYFUNCTION("""COMPUTED_VALUE"""),152.05)</f>
        <v>152.05</v>
      </c>
      <c r="D74" s="190">
        <f>IFERROR(__xludf.DUMMYFUNCTION("""COMPUTED_VALUE"""),152.47)</f>
        <v>152.47</v>
      </c>
      <c r="E74" s="190">
        <f>IFERROR(__xludf.DUMMYFUNCTION("""COMPUTED_VALUE"""),151.4)</f>
        <v>151.4</v>
      </c>
      <c r="F74" s="190">
        <f>IFERROR(__xludf.DUMMYFUNCTION("""COMPUTED_VALUE"""),151.51)</f>
        <v>151.51</v>
      </c>
      <c r="G74" s="191">
        <f>IFERROR(__xludf.DUMMYFUNCTION("""COMPUTED_VALUE"""),6010566.0)</f>
        <v>6010566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</row>
    <row r="75" ht="17.25" customHeight="1">
      <c r="A75" s="112"/>
      <c r="B75" s="189">
        <f>IFERROR(__xludf.DUMMYFUNCTION("""COMPUTED_VALUE"""),46064.66666666667)</f>
        <v>46064.66667</v>
      </c>
      <c r="C75" s="190">
        <f>IFERROR(__xludf.DUMMYFUNCTION("""COMPUTED_VALUE"""),152.52)</f>
        <v>152.52</v>
      </c>
      <c r="D75" s="190">
        <f>IFERROR(__xludf.DUMMYFUNCTION("""COMPUTED_VALUE"""),152.64)</f>
        <v>152.64</v>
      </c>
      <c r="E75" s="190">
        <f>IFERROR(__xludf.DUMMYFUNCTION("""COMPUTED_VALUE"""),150.69)</f>
        <v>150.69</v>
      </c>
      <c r="F75" s="190">
        <f>IFERROR(__xludf.DUMMYFUNCTION("""COMPUTED_VALUE"""),151.38)</f>
        <v>151.38</v>
      </c>
      <c r="G75" s="191">
        <f>IFERROR(__xludf.DUMMYFUNCTION("""COMPUTED_VALUE"""),8237508.0)</f>
        <v>8237508</v>
      </c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</row>
    <row r="76" ht="17.25" customHeight="1">
      <c r="A76" s="112"/>
      <c r="B76" s="189">
        <f>IFERROR(__xludf.DUMMYFUNCTION("""COMPUTED_VALUE"""),46065.66666666667)</f>
        <v>46065.66667</v>
      </c>
      <c r="C76" s="190">
        <f>IFERROR(__xludf.DUMMYFUNCTION("""COMPUTED_VALUE"""),151.96)</f>
        <v>151.96</v>
      </c>
      <c r="D76" s="190">
        <f>IFERROR(__xludf.DUMMYFUNCTION("""COMPUTED_VALUE"""),152.2)</f>
        <v>152.2</v>
      </c>
      <c r="E76" s="190">
        <f>IFERROR(__xludf.DUMMYFUNCTION("""COMPUTED_VALUE"""),148.78)</f>
        <v>148.78</v>
      </c>
      <c r="F76" s="190">
        <f>IFERROR(__xludf.DUMMYFUNCTION("""COMPUTED_VALUE"""),148.98)</f>
        <v>148.98</v>
      </c>
      <c r="G76" s="191">
        <f>IFERROR(__xludf.DUMMYFUNCTION("""COMPUTED_VALUE"""),8686491.0)</f>
        <v>8686491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</row>
    <row r="77" ht="17.25" customHeight="1">
      <c r="A77" s="112"/>
      <c r="B77" s="189">
        <f>IFERROR(__xludf.DUMMYFUNCTION("""COMPUTED_VALUE"""),46066.66666666667)</f>
        <v>46066.66667</v>
      </c>
      <c r="C77" s="190">
        <f>IFERROR(__xludf.DUMMYFUNCTION("""COMPUTED_VALUE"""),149.13)</f>
        <v>149.13</v>
      </c>
      <c r="D77" s="190">
        <f>IFERROR(__xludf.DUMMYFUNCTION("""COMPUTED_VALUE"""),150.24)</f>
        <v>150.24</v>
      </c>
      <c r="E77" s="190">
        <f>IFERROR(__xludf.DUMMYFUNCTION("""COMPUTED_VALUE"""),148.16)</f>
        <v>148.16</v>
      </c>
      <c r="F77" s="190">
        <f>IFERROR(__xludf.DUMMYFUNCTION("""COMPUTED_VALUE"""),149.23)</f>
        <v>149.23</v>
      </c>
      <c r="G77" s="191">
        <f>IFERROR(__xludf.DUMMYFUNCTION("""COMPUTED_VALUE"""),1.2086963E7)</f>
        <v>12086963</v>
      </c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</row>
    <row r="78" ht="17.25" customHeight="1">
      <c r="A78" s="112"/>
      <c r="B78" s="189">
        <f>IFERROR(__xludf.DUMMYFUNCTION("""COMPUTED_VALUE"""),46070.66666666667)</f>
        <v>46070.66667</v>
      </c>
      <c r="C78" s="190">
        <f>IFERROR(__xludf.DUMMYFUNCTION("""COMPUTED_VALUE"""),148.91)</f>
        <v>148.91</v>
      </c>
      <c r="D78" s="190">
        <f>IFERROR(__xludf.DUMMYFUNCTION("""COMPUTED_VALUE"""),149.91)</f>
        <v>149.91</v>
      </c>
      <c r="E78" s="190">
        <f>IFERROR(__xludf.DUMMYFUNCTION("""COMPUTED_VALUE"""),147.86)</f>
        <v>147.86</v>
      </c>
      <c r="F78" s="190">
        <f>IFERROR(__xludf.DUMMYFUNCTION("""COMPUTED_VALUE"""),149.44)</f>
        <v>149.44</v>
      </c>
      <c r="G78" s="191">
        <f>IFERROR(__xludf.DUMMYFUNCTION("""COMPUTED_VALUE"""),1.0082668E7)</f>
        <v>10082668</v>
      </c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</row>
    <row r="79" ht="17.25" customHeight="1">
      <c r="A79" s="112"/>
      <c r="B79" s="189">
        <f>IFERROR(__xludf.DUMMYFUNCTION("""COMPUTED_VALUE"""),46071.66666666667)</f>
        <v>46071.66667</v>
      </c>
      <c r="C79" s="190">
        <f>IFERROR(__xludf.DUMMYFUNCTION("""COMPUTED_VALUE"""),149.73)</f>
        <v>149.73</v>
      </c>
      <c r="D79" s="190">
        <f>IFERROR(__xludf.DUMMYFUNCTION("""COMPUTED_VALUE"""),150.91)</f>
        <v>150.91</v>
      </c>
      <c r="E79" s="190">
        <f>IFERROR(__xludf.DUMMYFUNCTION("""COMPUTED_VALUE"""),149.44)</f>
        <v>149.44</v>
      </c>
      <c r="F79" s="190">
        <f>IFERROR(__xludf.DUMMYFUNCTION("""COMPUTED_VALUE"""),150.2)</f>
        <v>150.2</v>
      </c>
      <c r="G79" s="191">
        <f>IFERROR(__xludf.DUMMYFUNCTION("""COMPUTED_VALUE"""),5431117.0)</f>
        <v>5431117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</row>
    <row r="80" ht="17.25" customHeight="1">
      <c r="A80" s="112"/>
      <c r="B80" s="189">
        <f>IFERROR(__xludf.DUMMYFUNCTION("""COMPUTED_VALUE"""),46072.66666666667)</f>
        <v>46072.66667</v>
      </c>
      <c r="C80" s="190">
        <f>IFERROR(__xludf.DUMMYFUNCTION("""COMPUTED_VALUE"""),149.67)</f>
        <v>149.67</v>
      </c>
      <c r="D80" s="190">
        <f>IFERROR(__xludf.DUMMYFUNCTION("""COMPUTED_VALUE"""),150.21)</f>
        <v>150.21</v>
      </c>
      <c r="E80" s="190">
        <f>IFERROR(__xludf.DUMMYFUNCTION("""COMPUTED_VALUE"""),149.21)</f>
        <v>149.21</v>
      </c>
      <c r="F80" s="190">
        <f>IFERROR(__xludf.DUMMYFUNCTION("""COMPUTED_VALUE"""),149.91)</f>
        <v>149.91</v>
      </c>
      <c r="G80" s="191">
        <f>IFERROR(__xludf.DUMMYFUNCTION("""COMPUTED_VALUE"""),4377896.0)</f>
        <v>4377896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</row>
    <row r="81" ht="17.25" customHeight="1">
      <c r="A81" s="112"/>
      <c r="B81" s="189">
        <f>IFERROR(__xludf.DUMMYFUNCTION("""COMPUTED_VALUE"""),46073.66666666667)</f>
        <v>46073.66667</v>
      </c>
      <c r="C81" s="190">
        <f>IFERROR(__xludf.DUMMYFUNCTION("""COMPUTED_VALUE"""),149.38)</f>
        <v>149.38</v>
      </c>
      <c r="D81" s="190">
        <f>IFERROR(__xludf.DUMMYFUNCTION("""COMPUTED_VALUE"""),151.06)</f>
        <v>151.06</v>
      </c>
      <c r="E81" s="190">
        <f>IFERROR(__xludf.DUMMYFUNCTION("""COMPUTED_VALUE"""),149.35)</f>
        <v>149.35</v>
      </c>
      <c r="F81" s="190">
        <f>IFERROR(__xludf.DUMMYFUNCTION("""COMPUTED_VALUE"""),150.88)</f>
        <v>150.88</v>
      </c>
      <c r="G81" s="191">
        <f>IFERROR(__xludf.DUMMYFUNCTION("""COMPUTED_VALUE"""),7969091.0)</f>
        <v>7969091</v>
      </c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</row>
    <row r="82" ht="17.25" customHeight="1">
      <c r="A82" s="112"/>
      <c r="B82" s="189">
        <f>IFERROR(__xludf.DUMMYFUNCTION("""COMPUTED_VALUE"""),46076.66666666667)</f>
        <v>46076.66667</v>
      </c>
      <c r="C82" s="190">
        <f>IFERROR(__xludf.DUMMYFUNCTION("""COMPUTED_VALUE"""),150.58)</f>
        <v>150.58</v>
      </c>
      <c r="D82" s="190">
        <f>IFERROR(__xludf.DUMMYFUNCTION("""COMPUTED_VALUE"""),150.93)</f>
        <v>150.93</v>
      </c>
      <c r="E82" s="190">
        <f>IFERROR(__xludf.DUMMYFUNCTION("""COMPUTED_VALUE"""),148.69)</f>
        <v>148.69</v>
      </c>
      <c r="F82" s="190">
        <f>IFERROR(__xludf.DUMMYFUNCTION("""COMPUTED_VALUE"""),149.19)</f>
        <v>149.19</v>
      </c>
      <c r="G82" s="191">
        <f>IFERROR(__xludf.DUMMYFUNCTION("""COMPUTED_VALUE"""),5013860.0)</f>
        <v>5013860</v>
      </c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</row>
    <row r="83" ht="17.25" customHeight="1">
      <c r="A83" s="112"/>
      <c r="B83" s="189">
        <f>IFERROR(__xludf.DUMMYFUNCTION("""COMPUTED_VALUE"""),46077.66666666667)</f>
        <v>46077.66667</v>
      </c>
      <c r="C83" s="190">
        <f>IFERROR(__xludf.DUMMYFUNCTION("""COMPUTED_VALUE"""),149.12)</f>
        <v>149.12</v>
      </c>
      <c r="D83" s="190">
        <f>IFERROR(__xludf.DUMMYFUNCTION("""COMPUTED_VALUE"""),150.56)</f>
        <v>150.56</v>
      </c>
      <c r="E83" s="190">
        <f>IFERROR(__xludf.DUMMYFUNCTION("""COMPUTED_VALUE"""),148.73)</f>
        <v>148.73</v>
      </c>
      <c r="F83" s="190">
        <f>IFERROR(__xludf.DUMMYFUNCTION("""COMPUTED_VALUE"""),150.35)</f>
        <v>150.35</v>
      </c>
      <c r="G83" s="191">
        <f>IFERROR(__xludf.DUMMYFUNCTION("""COMPUTED_VALUE"""),4715809.0)</f>
        <v>4715809</v>
      </c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</row>
    <row r="84" ht="17.25" customHeight="1">
      <c r="A84" s="112"/>
      <c r="B84" s="189">
        <f>IFERROR(__xludf.DUMMYFUNCTION("""COMPUTED_VALUE"""),46078.66666666667)</f>
        <v>46078.66667</v>
      </c>
      <c r="C84" s="190">
        <f>IFERROR(__xludf.DUMMYFUNCTION("""COMPUTED_VALUE"""),151.0)</f>
        <v>151</v>
      </c>
      <c r="D84" s="190">
        <f>IFERROR(__xludf.DUMMYFUNCTION("""COMPUTED_VALUE"""),151.68)</f>
        <v>151.68</v>
      </c>
      <c r="E84" s="190">
        <f>IFERROR(__xludf.DUMMYFUNCTION("""COMPUTED_VALUE"""),150.88)</f>
        <v>150.88</v>
      </c>
      <c r="F84" s="190">
        <f>IFERROR(__xludf.DUMMYFUNCTION("""COMPUTED_VALUE"""),151.54)</f>
        <v>151.54</v>
      </c>
      <c r="G84" s="191">
        <f>IFERROR(__xludf.DUMMYFUNCTION("""COMPUTED_VALUE"""),2717043.0)</f>
        <v>2717043</v>
      </c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</row>
    <row r="85" ht="17.25" customHeight="1">
      <c r="A85" s="112"/>
      <c r="B85" s="189">
        <f>IFERROR(__xludf.DUMMYFUNCTION("""COMPUTED_VALUE"""),46079.66666666667)</f>
        <v>46079.66667</v>
      </c>
      <c r="C85" s="190">
        <f>IFERROR(__xludf.DUMMYFUNCTION("""COMPUTED_VALUE"""),151.62)</f>
        <v>151.62</v>
      </c>
      <c r="D85" s="190">
        <f>IFERROR(__xludf.DUMMYFUNCTION("""COMPUTED_VALUE"""),151.65)</f>
        <v>151.65</v>
      </c>
      <c r="E85" s="190">
        <f>IFERROR(__xludf.DUMMYFUNCTION("""COMPUTED_VALUE"""),149.79)</f>
        <v>149.79</v>
      </c>
      <c r="F85" s="190">
        <f>IFERROR(__xludf.DUMMYFUNCTION("""COMPUTED_VALUE"""),150.97)</f>
        <v>150.97</v>
      </c>
      <c r="G85" s="191">
        <f>IFERROR(__xludf.DUMMYFUNCTION("""COMPUTED_VALUE"""),6542264.0)</f>
        <v>6542264</v>
      </c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</row>
    <row r="86" ht="17.25" customHeight="1">
      <c r="A86" s="112"/>
      <c r="B86" s="189">
        <f>IFERROR(__xludf.DUMMYFUNCTION("""COMPUTED_VALUE"""),46080.66666666667)</f>
        <v>46080.66667</v>
      </c>
      <c r="C86" s="190">
        <f>IFERROR(__xludf.DUMMYFUNCTION("""COMPUTED_VALUE"""),149.45)</f>
        <v>149.45</v>
      </c>
      <c r="D86" s="190">
        <f>IFERROR(__xludf.DUMMYFUNCTION("""COMPUTED_VALUE"""),150.24)</f>
        <v>150.24</v>
      </c>
      <c r="E86" s="190">
        <f>IFERROR(__xludf.DUMMYFUNCTION("""COMPUTED_VALUE"""),149.16)</f>
        <v>149.16</v>
      </c>
      <c r="F86" s="190">
        <f>IFERROR(__xludf.DUMMYFUNCTION("""COMPUTED_VALUE"""),150.13)</f>
        <v>150.13</v>
      </c>
      <c r="G86" s="191">
        <f>IFERROR(__xludf.DUMMYFUNCTION("""COMPUTED_VALUE"""),5846069.0)</f>
        <v>5846069</v>
      </c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</row>
    <row r="87" ht="17.25" customHeight="1">
      <c r="A87" s="112"/>
      <c r="B87" s="189">
        <f>IFERROR(__xludf.DUMMYFUNCTION("""COMPUTED_VALUE"""),46083.66666666667)</f>
        <v>46083.66667</v>
      </c>
      <c r="C87" s="190">
        <f>IFERROR(__xludf.DUMMYFUNCTION("""COMPUTED_VALUE"""),148.52)</f>
        <v>148.52</v>
      </c>
      <c r="D87" s="190">
        <f>IFERROR(__xludf.DUMMYFUNCTION("""COMPUTED_VALUE"""),150.76)</f>
        <v>150.76</v>
      </c>
      <c r="E87" s="190">
        <f>IFERROR(__xludf.DUMMYFUNCTION("""COMPUTED_VALUE"""),148.34)</f>
        <v>148.34</v>
      </c>
      <c r="F87" s="190">
        <f>IFERROR(__xludf.DUMMYFUNCTION("""COMPUTED_VALUE"""),150.29)</f>
        <v>150.29</v>
      </c>
      <c r="G87" s="191">
        <f>IFERROR(__xludf.DUMMYFUNCTION("""COMPUTED_VALUE"""),1.3707324E7)</f>
        <v>13707324</v>
      </c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</row>
    <row r="88" ht="17.25" customHeight="1">
      <c r="A88" s="112"/>
      <c r="B88" s="189">
        <f>IFERROR(__xludf.DUMMYFUNCTION("""COMPUTED_VALUE"""),46084.66666666667)</f>
        <v>46084.66667</v>
      </c>
      <c r="C88" s="190">
        <f>IFERROR(__xludf.DUMMYFUNCTION("""COMPUTED_VALUE"""),147.68)</f>
        <v>147.68</v>
      </c>
      <c r="D88" s="190">
        <f>IFERROR(__xludf.DUMMYFUNCTION("""COMPUTED_VALUE"""),149.37)</f>
        <v>149.37</v>
      </c>
      <c r="E88" s="190">
        <f>IFERROR(__xludf.DUMMYFUNCTION("""COMPUTED_VALUE"""),146.35)</f>
        <v>146.35</v>
      </c>
      <c r="F88" s="190">
        <f>IFERROR(__xludf.DUMMYFUNCTION("""COMPUTED_VALUE"""),148.83)</f>
        <v>148.83</v>
      </c>
      <c r="G88" s="191">
        <f>IFERROR(__xludf.DUMMYFUNCTION("""COMPUTED_VALUE"""),2.0026181E7)</f>
        <v>20026181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</row>
    <row r="89" ht="17.25" customHeight="1">
      <c r="A89" s="112"/>
      <c r="B89" s="189">
        <f>IFERROR(__xludf.DUMMYFUNCTION("""COMPUTED_VALUE"""),46085.66666666667)</f>
        <v>46085.66667</v>
      </c>
      <c r="C89" s="190">
        <f>IFERROR(__xludf.DUMMYFUNCTION("""COMPUTED_VALUE"""),149.22)</f>
        <v>149.22</v>
      </c>
      <c r="D89" s="190">
        <f>IFERROR(__xludf.DUMMYFUNCTION("""COMPUTED_VALUE"""),150.3)</f>
        <v>150.3</v>
      </c>
      <c r="E89" s="190">
        <f>IFERROR(__xludf.DUMMYFUNCTION("""COMPUTED_VALUE"""),148.65)</f>
        <v>148.65</v>
      </c>
      <c r="F89" s="190">
        <f>IFERROR(__xludf.DUMMYFUNCTION("""COMPUTED_VALUE"""),149.9)</f>
        <v>149.9</v>
      </c>
      <c r="G89" s="191">
        <f>IFERROR(__xludf.DUMMYFUNCTION("""COMPUTED_VALUE"""),6775637.0)</f>
        <v>6775637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</row>
    <row r="90" ht="17.25" customHeight="1">
      <c r="A90" s="112"/>
      <c r="B90" s="189">
        <f>IFERROR(__xludf.DUMMYFUNCTION("""COMPUTED_VALUE"""),46086.66666666667)</f>
        <v>46086.66667</v>
      </c>
      <c r="C90" s="190">
        <f>IFERROR(__xludf.DUMMYFUNCTION("""COMPUTED_VALUE"""),149.18)</f>
        <v>149.18</v>
      </c>
      <c r="D90" s="190">
        <f>IFERROR(__xludf.DUMMYFUNCTION("""COMPUTED_VALUE"""),149.99)</f>
        <v>149.99</v>
      </c>
      <c r="E90" s="190">
        <f>IFERROR(__xludf.DUMMYFUNCTION("""COMPUTED_VALUE"""),147.67)</f>
        <v>147.67</v>
      </c>
      <c r="F90" s="190">
        <f>IFERROR(__xludf.DUMMYFUNCTION("""COMPUTED_VALUE"""),148.93)</f>
        <v>148.93</v>
      </c>
      <c r="G90" s="191">
        <f>IFERROR(__xludf.DUMMYFUNCTION("""COMPUTED_VALUE"""),9538290.0)</f>
        <v>9538290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</row>
    <row r="91" ht="17.25" customHeight="1">
      <c r="A91" s="112"/>
      <c r="B91" s="189">
        <f>IFERROR(__xludf.DUMMYFUNCTION("""COMPUTED_VALUE"""),46087.66666666667)</f>
        <v>46087.66667</v>
      </c>
      <c r="C91" s="190">
        <f>IFERROR(__xludf.DUMMYFUNCTION("""COMPUTED_VALUE"""),147.12)</f>
        <v>147.12</v>
      </c>
      <c r="D91" s="190">
        <f>IFERROR(__xludf.DUMMYFUNCTION("""COMPUTED_VALUE"""),147.67)</f>
        <v>147.67</v>
      </c>
      <c r="E91" s="190">
        <f>IFERROR(__xludf.DUMMYFUNCTION("""COMPUTED_VALUE"""),146.26)</f>
        <v>146.26</v>
      </c>
      <c r="F91" s="190">
        <f>IFERROR(__xludf.DUMMYFUNCTION("""COMPUTED_VALUE"""),146.86)</f>
        <v>146.86</v>
      </c>
      <c r="G91" s="191">
        <f>IFERROR(__xludf.DUMMYFUNCTION("""COMPUTED_VALUE"""),1.202078E7)</f>
        <v>12020780</v>
      </c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</row>
    <row r="92" ht="17.25" customHeight="1">
      <c r="A92" s="112"/>
      <c r="B92" s="189">
        <f>IFERROR(__xludf.DUMMYFUNCTION("""COMPUTED_VALUE"""),46090.66666666667)</f>
        <v>46090.66667</v>
      </c>
      <c r="C92" s="190">
        <f>IFERROR(__xludf.DUMMYFUNCTION("""COMPUTED_VALUE"""),145.5)</f>
        <v>145.5</v>
      </c>
      <c r="D92" s="190">
        <f>IFERROR(__xludf.DUMMYFUNCTION("""COMPUTED_VALUE"""),148.53)</f>
        <v>148.53</v>
      </c>
      <c r="E92" s="190">
        <f>IFERROR(__xludf.DUMMYFUNCTION("""COMPUTED_VALUE"""),144.53)</f>
        <v>144.53</v>
      </c>
      <c r="F92" s="190">
        <f>IFERROR(__xludf.DUMMYFUNCTION("""COMPUTED_VALUE"""),148.16)</f>
        <v>148.16</v>
      </c>
      <c r="G92" s="191">
        <f>IFERROR(__xludf.DUMMYFUNCTION("""COMPUTED_VALUE"""),1.4070824E7)</f>
        <v>14070824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ht="17.25" customHeight="1">
      <c r="A93" s="112"/>
      <c r="B93" s="189">
        <f>IFERROR(__xludf.DUMMYFUNCTION("""COMPUTED_VALUE"""),46091.66666666667)</f>
        <v>46091.66667</v>
      </c>
      <c r="C93" s="190">
        <f>IFERROR(__xludf.DUMMYFUNCTION("""COMPUTED_VALUE"""),148.06)</f>
        <v>148.06</v>
      </c>
      <c r="D93" s="190">
        <f>IFERROR(__xludf.DUMMYFUNCTION("""COMPUTED_VALUE"""),149.34)</f>
        <v>149.34</v>
      </c>
      <c r="E93" s="190">
        <f>IFERROR(__xludf.DUMMYFUNCTION("""COMPUTED_VALUE"""),147.39)</f>
        <v>147.39</v>
      </c>
      <c r="F93" s="190">
        <f>IFERROR(__xludf.DUMMYFUNCTION("""COMPUTED_VALUE"""),147.83)</f>
        <v>147.83</v>
      </c>
      <c r="G93" s="191">
        <f>IFERROR(__xludf.DUMMYFUNCTION("""COMPUTED_VALUE"""),9420582.0)</f>
        <v>9420582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ht="17.25" customHeight="1">
      <c r="A94" s="112"/>
      <c r="B94" s="189">
        <f>IFERROR(__xludf.DUMMYFUNCTION("""COMPUTED_VALUE"""),46092.66666666667)</f>
        <v>46092.66667</v>
      </c>
      <c r="C94" s="190">
        <f>IFERROR(__xludf.DUMMYFUNCTION("""COMPUTED_VALUE"""),147.99)</f>
        <v>147.99</v>
      </c>
      <c r="D94" s="190">
        <f>IFERROR(__xludf.DUMMYFUNCTION("""COMPUTED_VALUE"""),148.47)</f>
        <v>148.47</v>
      </c>
      <c r="E94" s="190">
        <f>IFERROR(__xludf.DUMMYFUNCTION("""COMPUTED_VALUE"""),147.01)</f>
        <v>147.01</v>
      </c>
      <c r="F94" s="190">
        <f>IFERROR(__xludf.DUMMYFUNCTION("""COMPUTED_VALUE"""),147.69)</f>
        <v>147.69</v>
      </c>
      <c r="G94" s="191">
        <f>IFERROR(__xludf.DUMMYFUNCTION("""COMPUTED_VALUE"""),7670814.0)</f>
        <v>7670814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</row>
    <row r="95" ht="17.25" customHeight="1">
      <c r="A95" s="112"/>
      <c r="B95" s="189">
        <f>IFERROR(__xludf.DUMMYFUNCTION("""COMPUTED_VALUE"""),46093.66666666667)</f>
        <v>46093.66667</v>
      </c>
      <c r="C95" s="190">
        <f>IFERROR(__xludf.DUMMYFUNCTION("""COMPUTED_VALUE"""),146.49)</f>
        <v>146.49</v>
      </c>
      <c r="D95" s="190">
        <f>IFERROR(__xludf.DUMMYFUNCTION("""COMPUTED_VALUE"""),146.64)</f>
        <v>146.64</v>
      </c>
      <c r="E95" s="190">
        <f>IFERROR(__xludf.DUMMYFUNCTION("""COMPUTED_VALUE"""),145.29)</f>
        <v>145.29</v>
      </c>
      <c r="F95" s="190">
        <f>IFERROR(__xludf.DUMMYFUNCTION("""COMPUTED_VALUE"""),145.34)</f>
        <v>145.34</v>
      </c>
      <c r="G95" s="191">
        <f>IFERROR(__xludf.DUMMYFUNCTION("""COMPUTED_VALUE"""),1.0754952E7)</f>
        <v>10754952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</row>
    <row r="96" ht="17.25" customHeight="1">
      <c r="A96" s="112"/>
      <c r="B96" s="189">
        <f>IFERROR(__xludf.DUMMYFUNCTION("""COMPUTED_VALUE"""),46094.66666666667)</f>
        <v>46094.66667</v>
      </c>
      <c r="C96" s="190">
        <f>IFERROR(__xludf.DUMMYFUNCTION("""COMPUTED_VALUE"""),146.13)</f>
        <v>146.13</v>
      </c>
      <c r="D96" s="190">
        <f>IFERROR(__xludf.DUMMYFUNCTION("""COMPUTED_VALUE"""),146.75)</f>
        <v>146.75</v>
      </c>
      <c r="E96" s="190">
        <f>IFERROR(__xludf.DUMMYFUNCTION("""COMPUTED_VALUE"""),144.35)</f>
        <v>144.35</v>
      </c>
      <c r="F96" s="190">
        <f>IFERROR(__xludf.DUMMYFUNCTION("""COMPUTED_VALUE"""),144.57)</f>
        <v>144.57</v>
      </c>
      <c r="G96" s="191">
        <f>IFERROR(__xludf.DUMMYFUNCTION("""COMPUTED_VALUE"""),1.0433154E7)</f>
        <v>10433154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</row>
    <row r="97" ht="17.25" customHeight="1">
      <c r="A97" s="112"/>
      <c r="B97" s="189">
        <f>IFERROR(__xludf.DUMMYFUNCTION("""COMPUTED_VALUE"""),46097.66666666667)</f>
        <v>46097.66667</v>
      </c>
      <c r="C97" s="190">
        <f>IFERROR(__xludf.DUMMYFUNCTION("""COMPUTED_VALUE"""),145.9)</f>
        <v>145.9</v>
      </c>
      <c r="D97" s="190">
        <f>IFERROR(__xludf.DUMMYFUNCTION("""COMPUTED_VALUE"""),146.71)</f>
        <v>146.71</v>
      </c>
      <c r="E97" s="190">
        <f>IFERROR(__xludf.DUMMYFUNCTION("""COMPUTED_VALUE"""),145.64)</f>
        <v>145.64</v>
      </c>
      <c r="F97" s="190">
        <f>IFERROR(__xludf.DUMMYFUNCTION("""COMPUTED_VALUE"""),146.03)</f>
        <v>146.03</v>
      </c>
      <c r="G97" s="191">
        <f>IFERROR(__xludf.DUMMYFUNCTION("""COMPUTED_VALUE"""),5739928.0)</f>
        <v>5739928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ht="17.25" customHeight="1">
      <c r="A98" s="112"/>
      <c r="B98" s="189">
        <f>IFERROR(__xludf.DUMMYFUNCTION("""COMPUTED_VALUE"""),46098.66666666667)</f>
        <v>46098.66667</v>
      </c>
      <c r="C98" s="190">
        <f>IFERROR(__xludf.DUMMYFUNCTION("""COMPUTED_VALUE"""),146.4)</f>
        <v>146.4</v>
      </c>
      <c r="D98" s="190">
        <f>IFERROR(__xludf.DUMMYFUNCTION("""COMPUTED_VALUE"""),146.98)</f>
        <v>146.98</v>
      </c>
      <c r="E98" s="190">
        <f>IFERROR(__xludf.DUMMYFUNCTION("""COMPUTED_VALUE"""),146.01)</f>
        <v>146.01</v>
      </c>
      <c r="F98" s="190">
        <f>IFERROR(__xludf.DUMMYFUNCTION("""COMPUTED_VALUE"""),146.19)</f>
        <v>146.19</v>
      </c>
      <c r="G98" s="191">
        <f>IFERROR(__xludf.DUMMYFUNCTION("""COMPUTED_VALUE"""),4411635.0)</f>
        <v>4411635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</row>
    <row r="99" ht="17.25" customHeight="1">
      <c r="A99" s="112"/>
      <c r="B99" s="189">
        <f>IFERROR(__xludf.DUMMYFUNCTION("""COMPUTED_VALUE"""),46099.66666666667)</f>
        <v>46099.66667</v>
      </c>
      <c r="C99" s="190">
        <f>IFERROR(__xludf.DUMMYFUNCTION("""COMPUTED_VALUE"""),145.68)</f>
        <v>145.68</v>
      </c>
      <c r="D99" s="190">
        <f>IFERROR(__xludf.DUMMYFUNCTION("""COMPUTED_VALUE"""),145.96)</f>
        <v>145.96</v>
      </c>
      <c r="E99" s="190">
        <f>IFERROR(__xludf.DUMMYFUNCTION("""COMPUTED_VALUE"""),144.15)</f>
        <v>144.15</v>
      </c>
      <c r="F99" s="190">
        <f>IFERROR(__xludf.DUMMYFUNCTION("""COMPUTED_VALUE"""),144.22)</f>
        <v>144.22</v>
      </c>
      <c r="G99" s="191">
        <f>IFERROR(__xludf.DUMMYFUNCTION("""COMPUTED_VALUE"""),5177463.0)</f>
        <v>5177463</v>
      </c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</row>
    <row r="100" ht="17.25" customHeight="1">
      <c r="A100" s="112"/>
      <c r="B100" s="189">
        <f>IFERROR(__xludf.DUMMYFUNCTION("""COMPUTED_VALUE"""),46100.66666666667)</f>
        <v>46100.66667</v>
      </c>
      <c r="C100" s="190">
        <f>IFERROR(__xludf.DUMMYFUNCTION("""COMPUTED_VALUE"""),143.1)</f>
        <v>143.1</v>
      </c>
      <c r="D100" s="190">
        <f>IFERROR(__xludf.DUMMYFUNCTION("""COMPUTED_VALUE"""),144.63)</f>
        <v>144.63</v>
      </c>
      <c r="E100" s="190">
        <f>IFERROR(__xludf.DUMMYFUNCTION("""COMPUTED_VALUE"""),142.72)</f>
        <v>142.72</v>
      </c>
      <c r="F100" s="190">
        <f>IFERROR(__xludf.DUMMYFUNCTION("""COMPUTED_VALUE"""),143.93)</f>
        <v>143.93</v>
      </c>
      <c r="G100" s="191">
        <f>IFERROR(__xludf.DUMMYFUNCTION("""COMPUTED_VALUE"""),1.1261583E7)</f>
        <v>11261583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</row>
    <row r="101" ht="17.25" customHeight="1">
      <c r="A101" s="112"/>
      <c r="B101" s="189">
        <f>IFERROR(__xludf.DUMMYFUNCTION("""COMPUTED_VALUE"""),46101.66666666667)</f>
        <v>46101.66667</v>
      </c>
      <c r="C101" s="190">
        <f>IFERROR(__xludf.DUMMYFUNCTION("""COMPUTED_VALUE"""),143.66)</f>
        <v>143.66</v>
      </c>
      <c r="D101" s="190">
        <f>IFERROR(__xludf.DUMMYFUNCTION("""COMPUTED_VALUE"""),143.66)</f>
        <v>143.66</v>
      </c>
      <c r="E101" s="190">
        <f>IFERROR(__xludf.DUMMYFUNCTION("""COMPUTED_VALUE"""),140.89)</f>
        <v>140.89</v>
      </c>
      <c r="F101" s="190">
        <f>IFERROR(__xludf.DUMMYFUNCTION("""COMPUTED_VALUE"""),141.68)</f>
        <v>141.68</v>
      </c>
      <c r="G101" s="191">
        <f>IFERROR(__xludf.DUMMYFUNCTION("""COMPUTED_VALUE"""),8690050.0)</f>
        <v>8690050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</row>
    <row r="102" ht="17.25" customHeight="1">
      <c r="A102" s="112"/>
      <c r="B102" s="189">
        <f>IFERROR(__xludf.DUMMYFUNCTION("""COMPUTED_VALUE"""),46104.66666666667)</f>
        <v>46104.66667</v>
      </c>
      <c r="C102" s="190">
        <f>IFERROR(__xludf.DUMMYFUNCTION("""COMPUTED_VALUE"""),143.9)</f>
        <v>143.9</v>
      </c>
      <c r="D102" s="190">
        <f>IFERROR(__xludf.DUMMYFUNCTION("""COMPUTED_VALUE"""),145.01)</f>
        <v>145.01</v>
      </c>
      <c r="E102" s="190">
        <f>IFERROR(__xludf.DUMMYFUNCTION("""COMPUTED_VALUE"""),143.07)</f>
        <v>143.07</v>
      </c>
      <c r="F102" s="190">
        <f>IFERROR(__xludf.DUMMYFUNCTION("""COMPUTED_VALUE"""),143.39)</f>
        <v>143.39</v>
      </c>
      <c r="G102" s="191">
        <f>IFERROR(__xludf.DUMMYFUNCTION("""COMPUTED_VALUE"""),9688415.0)</f>
        <v>9688415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</row>
    <row r="103" ht="17.25" customHeight="1">
      <c r="A103" s="112"/>
      <c r="B103" s="189">
        <f>IFERROR(__xludf.DUMMYFUNCTION("""COMPUTED_VALUE"""),46105.66666666667)</f>
        <v>46105.66667</v>
      </c>
      <c r="C103" s="190">
        <f>IFERROR(__xludf.DUMMYFUNCTION("""COMPUTED_VALUE"""),142.51)</f>
        <v>142.51</v>
      </c>
      <c r="D103" s="190">
        <f>IFERROR(__xludf.DUMMYFUNCTION("""COMPUTED_VALUE"""),143.8)</f>
        <v>143.8</v>
      </c>
      <c r="E103" s="190">
        <f>IFERROR(__xludf.DUMMYFUNCTION("""COMPUTED_VALUE"""),142.13)</f>
        <v>142.13</v>
      </c>
      <c r="F103" s="190">
        <f>IFERROR(__xludf.DUMMYFUNCTION("""COMPUTED_VALUE"""),142.97)</f>
        <v>142.97</v>
      </c>
      <c r="G103" s="191">
        <f>IFERROR(__xludf.DUMMYFUNCTION("""COMPUTED_VALUE"""),1.0827327E7)</f>
        <v>10827327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</row>
    <row r="104" ht="17.25" customHeight="1">
      <c r="A104" s="112"/>
      <c r="B104" s="189">
        <f>IFERROR(__xludf.DUMMYFUNCTION("""COMPUTED_VALUE"""),46106.66666666667)</f>
        <v>46106.66667</v>
      </c>
      <c r="C104" s="190">
        <f>IFERROR(__xludf.DUMMYFUNCTION("""COMPUTED_VALUE"""),144.43)</f>
        <v>144.43</v>
      </c>
      <c r="D104" s="190">
        <f>IFERROR(__xludf.DUMMYFUNCTION("""COMPUTED_VALUE"""),144.75)</f>
        <v>144.75</v>
      </c>
      <c r="E104" s="190">
        <f>IFERROR(__xludf.DUMMYFUNCTION("""COMPUTED_VALUE"""),143.21)</f>
        <v>143.21</v>
      </c>
      <c r="F104" s="190">
        <f>IFERROR(__xludf.DUMMYFUNCTION("""COMPUTED_VALUE"""),143.84)</f>
        <v>143.84</v>
      </c>
      <c r="G104" s="191">
        <f>IFERROR(__xludf.DUMMYFUNCTION("""COMPUTED_VALUE"""),4976418.0)</f>
        <v>4976418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</row>
    <row r="105" ht="17.25" customHeight="1">
      <c r="A105" s="112"/>
      <c r="B105" s="189">
        <f>IFERROR(__xludf.DUMMYFUNCTION("""COMPUTED_VALUE"""),46107.66666666667)</f>
        <v>46107.66667</v>
      </c>
      <c r="C105" s="190">
        <f>IFERROR(__xludf.DUMMYFUNCTION("""COMPUTED_VALUE"""),142.79)</f>
        <v>142.79</v>
      </c>
      <c r="D105" s="190">
        <f>IFERROR(__xludf.DUMMYFUNCTION("""COMPUTED_VALUE"""),143.51)</f>
        <v>143.51</v>
      </c>
      <c r="E105" s="190">
        <f>IFERROR(__xludf.DUMMYFUNCTION("""COMPUTED_VALUE"""),141.28)</f>
        <v>141.28</v>
      </c>
      <c r="F105" s="190">
        <f>IFERROR(__xludf.DUMMYFUNCTION("""COMPUTED_VALUE"""),141.36)</f>
        <v>141.36</v>
      </c>
      <c r="G105" s="191">
        <f>IFERROR(__xludf.DUMMYFUNCTION("""COMPUTED_VALUE"""),4825299.0)</f>
        <v>4825299</v>
      </c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</row>
    <row r="106" ht="17.25" customHeight="1">
      <c r="A106" s="112"/>
      <c r="B106" s="189">
        <f>IFERROR(__xludf.DUMMYFUNCTION("""COMPUTED_VALUE"""),46108.66666666667)</f>
        <v>46108.66667</v>
      </c>
      <c r="C106" s="190">
        <f>IFERROR(__xludf.DUMMYFUNCTION("""COMPUTED_VALUE"""),140.78)</f>
        <v>140.78</v>
      </c>
      <c r="D106" s="190">
        <f>IFERROR(__xludf.DUMMYFUNCTION("""COMPUTED_VALUE"""),140.8)</f>
        <v>140.8</v>
      </c>
      <c r="E106" s="190">
        <f>IFERROR(__xludf.DUMMYFUNCTION("""COMPUTED_VALUE"""),138.66)</f>
        <v>138.66</v>
      </c>
      <c r="F106" s="190">
        <f>IFERROR(__xludf.DUMMYFUNCTION("""COMPUTED_VALUE"""),138.94)</f>
        <v>138.94</v>
      </c>
      <c r="G106" s="191">
        <f>IFERROR(__xludf.DUMMYFUNCTION("""COMPUTED_VALUE"""),9858018.0)</f>
        <v>9858018</v>
      </c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</row>
    <row r="107" ht="17.25" customHeight="1">
      <c r="A107" s="112"/>
      <c r="B107" s="189">
        <f>IFERROR(__xludf.DUMMYFUNCTION("""COMPUTED_VALUE"""),46111.66666666667)</f>
        <v>46111.66667</v>
      </c>
      <c r="C107" s="190">
        <f>IFERROR(__xludf.DUMMYFUNCTION("""COMPUTED_VALUE"""),140.18)</f>
        <v>140.18</v>
      </c>
      <c r="D107" s="190">
        <f>IFERROR(__xludf.DUMMYFUNCTION("""COMPUTED_VALUE"""),140.25)</f>
        <v>140.25</v>
      </c>
      <c r="E107" s="190">
        <f>IFERROR(__xludf.DUMMYFUNCTION("""COMPUTED_VALUE"""),137.73)</f>
        <v>137.73</v>
      </c>
      <c r="F107" s="190">
        <f>IFERROR(__xludf.DUMMYFUNCTION("""COMPUTED_VALUE"""),138.31)</f>
        <v>138.31</v>
      </c>
      <c r="G107" s="191">
        <f>IFERROR(__xludf.DUMMYFUNCTION("""COMPUTED_VALUE"""),5803623.0)</f>
        <v>5803623</v>
      </c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</row>
    <row r="108" ht="17.25" customHeight="1">
      <c r="A108" s="112"/>
      <c r="B108" s="189">
        <f>IFERROR(__xludf.DUMMYFUNCTION("""COMPUTED_VALUE"""),46112.66666666667)</f>
        <v>46112.66667</v>
      </c>
      <c r="C108" s="190">
        <f>IFERROR(__xludf.DUMMYFUNCTION("""COMPUTED_VALUE"""),139.86)</f>
        <v>139.86</v>
      </c>
      <c r="D108" s="190">
        <f>IFERROR(__xludf.DUMMYFUNCTION("""COMPUTED_VALUE"""),142.67)</f>
        <v>142.67</v>
      </c>
      <c r="E108" s="190">
        <f>IFERROR(__xludf.DUMMYFUNCTION("""COMPUTED_VALUE"""),139.66)</f>
        <v>139.66</v>
      </c>
      <c r="F108" s="190">
        <f>IFERROR(__xludf.DUMMYFUNCTION("""COMPUTED_VALUE"""),142.43)</f>
        <v>142.43</v>
      </c>
      <c r="G108" s="191">
        <f>IFERROR(__xludf.DUMMYFUNCTION("""COMPUTED_VALUE"""),8175062.0)</f>
        <v>8175062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</row>
    <row r="109" ht="17.25" customHeight="1">
      <c r="A109" s="112"/>
      <c r="B109" s="189">
        <f>IFERROR(__xludf.DUMMYFUNCTION("""COMPUTED_VALUE"""),46113.66666666667)</f>
        <v>46113.66667</v>
      </c>
      <c r="C109" s="190">
        <f>IFERROR(__xludf.DUMMYFUNCTION("""COMPUTED_VALUE"""),143.29)</f>
        <v>143.29</v>
      </c>
      <c r="D109" s="190">
        <f>IFERROR(__xludf.DUMMYFUNCTION("""COMPUTED_VALUE"""),144.26)</f>
        <v>144.26</v>
      </c>
      <c r="E109" s="190">
        <f>IFERROR(__xludf.DUMMYFUNCTION("""COMPUTED_VALUE"""),143.01)</f>
        <v>143.01</v>
      </c>
      <c r="F109" s="190">
        <f>IFERROR(__xludf.DUMMYFUNCTION("""COMPUTED_VALUE"""),143.45)</f>
        <v>143.45</v>
      </c>
      <c r="G109" s="191">
        <f>IFERROR(__xludf.DUMMYFUNCTION("""COMPUTED_VALUE"""),5921702.0)</f>
        <v>5921702</v>
      </c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</row>
    <row r="110" ht="17.25" customHeight="1">
      <c r="A110" s="112"/>
      <c r="B110" s="189">
        <f>IFERROR(__xludf.DUMMYFUNCTION("""COMPUTED_VALUE"""),46114.66666666667)</f>
        <v>46114.66667</v>
      </c>
      <c r="C110" s="190">
        <f>IFERROR(__xludf.DUMMYFUNCTION("""COMPUTED_VALUE"""),141.54)</f>
        <v>141.54</v>
      </c>
      <c r="D110" s="190">
        <f>IFERROR(__xludf.DUMMYFUNCTION("""COMPUTED_VALUE"""),144.17)</f>
        <v>144.17</v>
      </c>
      <c r="E110" s="190">
        <f>IFERROR(__xludf.DUMMYFUNCTION("""COMPUTED_VALUE"""),141.21)</f>
        <v>141.21</v>
      </c>
      <c r="F110" s="190">
        <f>IFERROR(__xludf.DUMMYFUNCTION("""COMPUTED_VALUE"""),143.68)</f>
        <v>143.68</v>
      </c>
      <c r="G110" s="191">
        <f>IFERROR(__xludf.DUMMYFUNCTION("""COMPUTED_VALUE"""),3338814.0)</f>
        <v>3338814</v>
      </c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</row>
    <row r="111" ht="17.25" customHeight="1">
      <c r="A111" s="112"/>
      <c r="B111" s="189">
        <f>IFERROR(__xludf.DUMMYFUNCTION("""COMPUTED_VALUE"""),46118.66666666667)</f>
        <v>46118.66667</v>
      </c>
      <c r="C111" s="190">
        <f>IFERROR(__xludf.DUMMYFUNCTION("""COMPUTED_VALUE"""),143.71)</f>
        <v>143.71</v>
      </c>
      <c r="D111" s="190">
        <f>IFERROR(__xludf.DUMMYFUNCTION("""COMPUTED_VALUE"""),144.5)</f>
        <v>144.5</v>
      </c>
      <c r="E111" s="190">
        <f>IFERROR(__xludf.DUMMYFUNCTION("""COMPUTED_VALUE"""),143.62)</f>
        <v>143.62</v>
      </c>
      <c r="F111" s="190">
        <f>IFERROR(__xludf.DUMMYFUNCTION("""COMPUTED_VALUE"""),144.32)</f>
        <v>144.32</v>
      </c>
      <c r="G111" s="191">
        <f>IFERROR(__xludf.DUMMYFUNCTION("""COMPUTED_VALUE"""),2183675.0)</f>
        <v>2183675</v>
      </c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</row>
    <row r="112" ht="17.25" customHeight="1">
      <c r="A112" s="112"/>
      <c r="B112" s="189">
        <f>IFERROR(__xludf.DUMMYFUNCTION("""COMPUTED_VALUE"""),46119.66666666667)</f>
        <v>46119.66667</v>
      </c>
      <c r="C112" s="190">
        <f>IFERROR(__xludf.DUMMYFUNCTION("""COMPUTED_VALUE"""),143.92)</f>
        <v>143.92</v>
      </c>
      <c r="D112" s="190">
        <f>IFERROR(__xludf.DUMMYFUNCTION("""COMPUTED_VALUE"""),144.48)</f>
        <v>144.48</v>
      </c>
      <c r="E112" s="190">
        <f>IFERROR(__xludf.DUMMYFUNCTION("""COMPUTED_VALUE"""),142.67)</f>
        <v>142.67</v>
      </c>
      <c r="F112" s="190">
        <f>IFERROR(__xludf.DUMMYFUNCTION("""COMPUTED_VALUE"""),144.45)</f>
        <v>144.45</v>
      </c>
      <c r="G112" s="191">
        <f>IFERROR(__xludf.DUMMYFUNCTION("""COMPUTED_VALUE"""),4211222.0)</f>
        <v>4211222</v>
      </c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</row>
    <row r="113" ht="17.25" customHeight="1">
      <c r="A113" s="112"/>
      <c r="B113" s="189">
        <f>IFERROR(__xludf.DUMMYFUNCTION("""COMPUTED_VALUE"""),46120.66666666667)</f>
        <v>46120.66667</v>
      </c>
      <c r="C113" s="190">
        <f>IFERROR(__xludf.DUMMYFUNCTION("""COMPUTED_VALUE"""),148.29)</f>
        <v>148.29</v>
      </c>
      <c r="D113" s="190">
        <f>IFERROR(__xludf.DUMMYFUNCTION("""COMPUTED_VALUE"""),148.48)</f>
        <v>148.48</v>
      </c>
      <c r="E113" s="190">
        <f>IFERROR(__xludf.DUMMYFUNCTION("""COMPUTED_VALUE"""),147.16)</f>
        <v>147.16</v>
      </c>
      <c r="F113" s="190">
        <f>IFERROR(__xludf.DUMMYFUNCTION("""COMPUTED_VALUE"""),148.07)</f>
        <v>148.07</v>
      </c>
      <c r="G113" s="191">
        <f>IFERROR(__xludf.DUMMYFUNCTION("""COMPUTED_VALUE"""),2040017.0)</f>
        <v>2040017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</row>
    <row r="114" ht="17.25" customHeight="1">
      <c r="A114" s="112"/>
      <c r="B114" s="189">
        <f>IFERROR(__xludf.DUMMYFUNCTION("""COMPUTED_VALUE"""),46121.66666666667)</f>
        <v>46121.66667</v>
      </c>
      <c r="C114" s="190">
        <f>IFERROR(__xludf.DUMMYFUNCTION("""COMPUTED_VALUE"""),147.89)</f>
        <v>147.89</v>
      </c>
      <c r="D114" s="190">
        <f>IFERROR(__xludf.DUMMYFUNCTION("""COMPUTED_VALUE"""),149.16)</f>
        <v>149.16</v>
      </c>
      <c r="E114" s="190">
        <f>IFERROR(__xludf.DUMMYFUNCTION("""COMPUTED_VALUE"""),147.57)</f>
        <v>147.57</v>
      </c>
      <c r="F114" s="190">
        <f>IFERROR(__xludf.DUMMYFUNCTION("""COMPUTED_VALUE"""),148.89)</f>
        <v>148.89</v>
      </c>
      <c r="G114" s="191">
        <f>IFERROR(__xludf.DUMMYFUNCTION("""COMPUTED_VALUE"""),1908760.0)</f>
        <v>1908760</v>
      </c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</row>
    <row r="115" ht="17.25" customHeight="1">
      <c r="A115" s="112"/>
      <c r="B115" s="189">
        <f>IFERROR(__xludf.DUMMYFUNCTION("""COMPUTED_VALUE"""),46122.66666666667)</f>
        <v>46122.66667</v>
      </c>
      <c r="C115" s="190">
        <f>IFERROR(__xludf.DUMMYFUNCTION("""COMPUTED_VALUE"""),149.29)</f>
        <v>149.29</v>
      </c>
      <c r="D115" s="190">
        <f>IFERROR(__xludf.DUMMYFUNCTION("""COMPUTED_VALUE"""),149.31)</f>
        <v>149.31</v>
      </c>
      <c r="E115" s="190">
        <f>IFERROR(__xludf.DUMMYFUNCTION("""COMPUTED_VALUE"""),148.49)</f>
        <v>148.49</v>
      </c>
      <c r="F115" s="190">
        <f>IFERROR(__xludf.DUMMYFUNCTION("""COMPUTED_VALUE"""),148.68)</f>
        <v>148.68</v>
      </c>
      <c r="G115" s="191">
        <f>IFERROR(__xludf.DUMMYFUNCTION("""COMPUTED_VALUE"""),1597262.0)</f>
        <v>1597262</v>
      </c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</row>
    <row r="116" ht="17.25" customHeight="1">
      <c r="A116" s="112"/>
      <c r="B116" s="189">
        <f>IFERROR(__xludf.DUMMYFUNCTION("""COMPUTED_VALUE"""),46125.66666666667)</f>
        <v>46125.66667</v>
      </c>
      <c r="C116" s="190">
        <f>IFERROR(__xludf.DUMMYFUNCTION("""COMPUTED_VALUE"""),148.31)</f>
        <v>148.31</v>
      </c>
      <c r="D116" s="190">
        <f>IFERROR(__xludf.DUMMYFUNCTION("""COMPUTED_VALUE"""),150.34)</f>
        <v>150.34</v>
      </c>
      <c r="E116" s="190">
        <f>IFERROR(__xludf.DUMMYFUNCTION("""COMPUTED_VALUE"""),148.15)</f>
        <v>148.15</v>
      </c>
      <c r="F116" s="190">
        <f>IFERROR(__xludf.DUMMYFUNCTION("""COMPUTED_VALUE"""),150.33)</f>
        <v>150.33</v>
      </c>
      <c r="G116" s="191">
        <f>IFERROR(__xludf.DUMMYFUNCTION("""COMPUTED_VALUE"""),1934978.0)</f>
        <v>1934978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</row>
    <row r="117" ht="17.25" customHeight="1">
      <c r="A117" s="112"/>
      <c r="B117" s="189">
        <f>IFERROR(__xludf.DUMMYFUNCTION("""COMPUTED_VALUE"""),46126.66666666667)</f>
        <v>46126.66667</v>
      </c>
      <c r="C117" s="190">
        <f>IFERROR(__xludf.DUMMYFUNCTION("""COMPUTED_VALUE"""),150.81)</f>
        <v>150.81</v>
      </c>
      <c r="D117" s="190">
        <f>IFERROR(__xludf.DUMMYFUNCTION("""COMPUTED_VALUE"""),152.14)</f>
        <v>152.14</v>
      </c>
      <c r="E117" s="190">
        <f>IFERROR(__xludf.DUMMYFUNCTION("""COMPUTED_VALUE"""),150.76)</f>
        <v>150.76</v>
      </c>
      <c r="F117" s="190">
        <f>IFERROR(__xludf.DUMMYFUNCTION("""COMPUTED_VALUE"""),152.08)</f>
        <v>152.08</v>
      </c>
      <c r="G117" s="191">
        <f>IFERROR(__xludf.DUMMYFUNCTION("""COMPUTED_VALUE"""),2152988.0)</f>
        <v>2152988</v>
      </c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</row>
    <row r="118" ht="17.25" customHeight="1">
      <c r="A118" s="112"/>
      <c r="B118" s="189">
        <f>IFERROR(__xludf.DUMMYFUNCTION("""COMPUTED_VALUE"""),46127.66666666667)</f>
        <v>46127.66667</v>
      </c>
      <c r="C118" s="190">
        <f>IFERROR(__xludf.DUMMYFUNCTION("""COMPUTED_VALUE"""),152.35)</f>
        <v>152.35</v>
      </c>
      <c r="D118" s="190">
        <f>IFERROR(__xludf.DUMMYFUNCTION("""COMPUTED_VALUE"""),153.3)</f>
        <v>153.3</v>
      </c>
      <c r="E118" s="190">
        <f>IFERROR(__xludf.DUMMYFUNCTION("""COMPUTED_VALUE"""),152.08)</f>
        <v>152.08</v>
      </c>
      <c r="F118" s="190">
        <f>IFERROR(__xludf.DUMMYFUNCTION("""COMPUTED_VALUE"""),153.21)</f>
        <v>153.21</v>
      </c>
      <c r="G118" s="191">
        <f>IFERROR(__xludf.DUMMYFUNCTION("""COMPUTED_VALUE"""),3343355.0)</f>
        <v>3343355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ht="17.25" customHeight="1">
      <c r="A119" s="112"/>
      <c r="B119" s="189">
        <f>IFERROR(__xludf.DUMMYFUNCTION("""COMPUTED_VALUE"""),46128.66666666667)</f>
        <v>46128.66667</v>
      </c>
      <c r="C119" s="190">
        <f>IFERROR(__xludf.DUMMYFUNCTION("""COMPUTED_VALUE"""),153.53)</f>
        <v>153.53</v>
      </c>
      <c r="D119" s="190">
        <f>IFERROR(__xludf.DUMMYFUNCTION("""COMPUTED_VALUE"""),153.88)</f>
        <v>153.88</v>
      </c>
      <c r="E119" s="190">
        <f>IFERROR(__xludf.DUMMYFUNCTION("""COMPUTED_VALUE"""),152.94)</f>
        <v>152.94</v>
      </c>
      <c r="F119" s="190">
        <f>IFERROR(__xludf.DUMMYFUNCTION("""COMPUTED_VALUE"""),153.59)</f>
        <v>153.59</v>
      </c>
      <c r="G119" s="191">
        <f>IFERROR(__xludf.DUMMYFUNCTION("""COMPUTED_VALUE"""),1704781.0)</f>
        <v>1704781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ht="17.25" customHeight="1">
      <c r="A120" s="112"/>
      <c r="B120" s="189">
        <f>IFERROR(__xludf.DUMMYFUNCTION("""COMPUTED_VALUE"""),46129.66666666667)</f>
        <v>46129.66667</v>
      </c>
      <c r="C120" s="190">
        <f>IFERROR(__xludf.DUMMYFUNCTION("""COMPUTED_VALUE"""),154.72)</f>
        <v>154.72</v>
      </c>
      <c r="D120" s="190">
        <f>IFERROR(__xludf.DUMMYFUNCTION("""COMPUTED_VALUE"""),156.15)</f>
        <v>156.15</v>
      </c>
      <c r="E120" s="190">
        <f>IFERROR(__xludf.DUMMYFUNCTION("""COMPUTED_VALUE"""),154.62)</f>
        <v>154.62</v>
      </c>
      <c r="F120" s="190">
        <f>IFERROR(__xludf.DUMMYFUNCTION("""COMPUTED_VALUE"""),155.59)</f>
        <v>155.59</v>
      </c>
      <c r="G120" s="191">
        <f>IFERROR(__xludf.DUMMYFUNCTION("""COMPUTED_VALUE"""),2837882.0)</f>
        <v>2837882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</row>
    <row r="121" ht="17.25" customHeight="1">
      <c r="A121" s="112"/>
      <c r="B121" s="189">
        <f>IFERROR(__xludf.DUMMYFUNCTION("""COMPUTED_VALUE"""),46132.66666666667)</f>
        <v>46132.66667</v>
      </c>
      <c r="C121" s="190">
        <f>IFERROR(__xludf.DUMMYFUNCTION("""COMPUTED_VALUE"""),155.31)</f>
        <v>155.31</v>
      </c>
      <c r="D121" s="190">
        <f>IFERROR(__xludf.DUMMYFUNCTION("""COMPUTED_VALUE"""),155.63)</f>
        <v>155.63</v>
      </c>
      <c r="E121" s="190">
        <f>IFERROR(__xludf.DUMMYFUNCTION("""COMPUTED_VALUE"""),154.82)</f>
        <v>154.82</v>
      </c>
      <c r="F121" s="190">
        <f>IFERROR(__xludf.DUMMYFUNCTION("""COMPUTED_VALUE"""),155.49)</f>
        <v>155.49</v>
      </c>
      <c r="G121" s="191">
        <f>IFERROR(__xludf.DUMMYFUNCTION("""COMPUTED_VALUE"""),1883844.0)</f>
        <v>1883844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</row>
    <row r="122" ht="17.25" customHeight="1">
      <c r="A122" s="112"/>
      <c r="B122" s="189">
        <f>IFERROR(__xludf.DUMMYFUNCTION("""COMPUTED_VALUE"""),46133.66666666667)</f>
        <v>46133.66667</v>
      </c>
      <c r="C122" s="190">
        <f>IFERROR(__xludf.DUMMYFUNCTION("""COMPUTED_VALUE"""),155.93)</f>
        <v>155.93</v>
      </c>
      <c r="D122" s="190">
        <f>IFERROR(__xludf.DUMMYFUNCTION("""COMPUTED_VALUE"""),156.15)</f>
        <v>156.15</v>
      </c>
      <c r="E122" s="190">
        <f>IFERROR(__xludf.DUMMYFUNCTION("""COMPUTED_VALUE"""),154.12)</f>
        <v>154.12</v>
      </c>
      <c r="F122" s="190">
        <f>IFERROR(__xludf.DUMMYFUNCTION("""COMPUTED_VALUE"""),154.45)</f>
        <v>154.45</v>
      </c>
      <c r="G122" s="191">
        <f>IFERROR(__xludf.DUMMYFUNCTION("""COMPUTED_VALUE"""),2459055.0)</f>
        <v>2459055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</row>
    <row r="123" ht="17.25" customHeight="1">
      <c r="A123" s="112"/>
      <c r="B123" s="189">
        <f>IFERROR(__xludf.DUMMYFUNCTION("""COMPUTED_VALUE"""),46134.66666666667)</f>
        <v>46134.66667</v>
      </c>
      <c r="C123" s="190">
        <f>IFERROR(__xludf.DUMMYFUNCTION("""COMPUTED_VALUE"""),155.67)</f>
        <v>155.67</v>
      </c>
      <c r="D123" s="190">
        <f>IFERROR(__xludf.DUMMYFUNCTION("""COMPUTED_VALUE"""),155.94)</f>
        <v>155.94</v>
      </c>
      <c r="E123" s="190">
        <f>IFERROR(__xludf.DUMMYFUNCTION("""COMPUTED_VALUE"""),155.34)</f>
        <v>155.34</v>
      </c>
      <c r="F123" s="190">
        <f>IFERROR(__xludf.DUMMYFUNCTION("""COMPUTED_VALUE"""),155.91)</f>
        <v>155.91</v>
      </c>
      <c r="G123" s="191">
        <f>IFERROR(__xludf.DUMMYFUNCTION("""COMPUTED_VALUE"""),1231578.0)</f>
        <v>1231578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</row>
    <row r="124" ht="17.25" customHeight="1">
      <c r="A124" s="112"/>
      <c r="B124" s="189">
        <f>IFERROR(__xludf.DUMMYFUNCTION("""COMPUTED_VALUE"""),46135.66666666667)</f>
        <v>46135.66667</v>
      </c>
      <c r="C124" s="190">
        <f>IFERROR(__xludf.DUMMYFUNCTION("""COMPUTED_VALUE"""),155.5)</f>
        <v>155.5</v>
      </c>
      <c r="D124" s="190">
        <f>IFERROR(__xludf.DUMMYFUNCTION("""COMPUTED_VALUE"""),156.1)</f>
        <v>156.1</v>
      </c>
      <c r="E124" s="190">
        <f>IFERROR(__xludf.DUMMYFUNCTION("""COMPUTED_VALUE"""),153.81)</f>
        <v>153.81</v>
      </c>
      <c r="F124" s="190">
        <f>IFERROR(__xludf.DUMMYFUNCTION("""COMPUTED_VALUE"""),155.24)</f>
        <v>155.24</v>
      </c>
      <c r="G124" s="191">
        <f>IFERROR(__xludf.DUMMYFUNCTION("""COMPUTED_VALUE"""),3003685.0)</f>
        <v>3003685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</row>
    <row r="125" ht="17.25" customHeight="1">
      <c r="A125" s="112"/>
      <c r="B125" s="189">
        <f>IFERROR(__xludf.DUMMYFUNCTION("""COMPUTED_VALUE"""),46136.66666666667)</f>
        <v>46136.66667</v>
      </c>
      <c r="C125" s="190">
        <f>IFERROR(__xludf.DUMMYFUNCTION("""COMPUTED_VALUE"""),155.79)</f>
        <v>155.79</v>
      </c>
      <c r="D125" s="190">
        <f>IFERROR(__xludf.DUMMYFUNCTION("""COMPUTED_VALUE"""),156.47)</f>
        <v>156.47</v>
      </c>
      <c r="E125" s="190">
        <f>IFERROR(__xludf.DUMMYFUNCTION("""COMPUTED_VALUE"""),155.25)</f>
        <v>155.25</v>
      </c>
      <c r="F125" s="190">
        <f>IFERROR(__xludf.DUMMYFUNCTION("""COMPUTED_VALUE"""),156.34)</f>
        <v>156.34</v>
      </c>
      <c r="G125" s="191">
        <f>IFERROR(__xludf.DUMMYFUNCTION("""COMPUTED_VALUE"""),1632706.0)</f>
        <v>1632706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</row>
    <row r="126" ht="17.25" customHeight="1">
      <c r="A126" s="112"/>
      <c r="B126" s="189">
        <f>IFERROR(__xludf.DUMMYFUNCTION("""COMPUTED_VALUE"""),46139.66666666667)</f>
        <v>46139.66667</v>
      </c>
      <c r="C126" s="190">
        <f>IFERROR(__xludf.DUMMYFUNCTION("""COMPUTED_VALUE"""),156.12)</f>
        <v>156.12</v>
      </c>
      <c r="D126" s="190">
        <f>IFERROR(__xludf.DUMMYFUNCTION("""COMPUTED_VALUE"""),156.67)</f>
        <v>156.67</v>
      </c>
      <c r="E126" s="190">
        <f>IFERROR(__xludf.DUMMYFUNCTION("""COMPUTED_VALUE"""),155.98)</f>
        <v>155.98</v>
      </c>
      <c r="F126" s="190">
        <f>IFERROR(__xludf.DUMMYFUNCTION("""COMPUTED_VALUE"""),156.55)</f>
        <v>156.55</v>
      </c>
      <c r="G126" s="191">
        <f>IFERROR(__xludf.DUMMYFUNCTION("""COMPUTED_VALUE"""),1556897.0)</f>
        <v>1556897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</row>
    <row r="127" ht="17.25" customHeight="1">
      <c r="A127" s="112"/>
      <c r="B127" s="189">
        <f>IFERROR(__xludf.DUMMYFUNCTION("""COMPUTED_VALUE"""),46140.66666666667)</f>
        <v>46140.66667</v>
      </c>
      <c r="C127" s="190">
        <f>IFERROR(__xludf.DUMMYFUNCTION("""COMPUTED_VALUE"""),155.82)</f>
        <v>155.82</v>
      </c>
      <c r="D127" s="190">
        <f>IFERROR(__xludf.DUMMYFUNCTION("""COMPUTED_VALUE"""),156.14)</f>
        <v>156.14</v>
      </c>
      <c r="E127" s="190">
        <f>IFERROR(__xludf.DUMMYFUNCTION("""COMPUTED_VALUE"""),155.19)</f>
        <v>155.19</v>
      </c>
      <c r="F127" s="190">
        <f>IFERROR(__xludf.DUMMYFUNCTION("""COMPUTED_VALUE"""),155.72)</f>
        <v>155.72</v>
      </c>
      <c r="G127" s="191">
        <f>IFERROR(__xludf.DUMMYFUNCTION("""COMPUTED_VALUE"""),4002861.0)</f>
        <v>4002861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</row>
    <row r="128" ht="17.25" customHeight="1">
      <c r="A128" s="112"/>
      <c r="B128" s="189">
        <f>IFERROR(__xludf.DUMMYFUNCTION("""COMPUTED_VALUE"""),46141.66666666667)</f>
        <v>46141.66667</v>
      </c>
      <c r="C128" s="190">
        <f>IFERROR(__xludf.DUMMYFUNCTION("""COMPUTED_VALUE"""),155.69)</f>
        <v>155.69</v>
      </c>
      <c r="D128" s="190">
        <f>IFERROR(__xludf.DUMMYFUNCTION("""COMPUTED_VALUE"""),155.75)</f>
        <v>155.75</v>
      </c>
      <c r="E128" s="190">
        <f>IFERROR(__xludf.DUMMYFUNCTION("""COMPUTED_VALUE"""),154.87)</f>
        <v>154.87</v>
      </c>
      <c r="F128" s="190">
        <f>IFERROR(__xludf.DUMMYFUNCTION("""COMPUTED_VALUE"""),155.62)</f>
        <v>155.62</v>
      </c>
      <c r="G128" s="191">
        <f>IFERROR(__xludf.DUMMYFUNCTION("""COMPUTED_VALUE"""),2837843.0)</f>
        <v>2837843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</row>
    <row r="129" ht="17.25" customHeight="1">
      <c r="A129" s="112"/>
      <c r="B129" s="189">
        <f>IFERROR(__xludf.DUMMYFUNCTION("""COMPUTED_VALUE"""),46142.66666666667)</f>
        <v>46142.66667</v>
      </c>
      <c r="C129" s="190">
        <f>IFERROR(__xludf.DUMMYFUNCTION("""COMPUTED_VALUE"""),156.21)</f>
        <v>156.21</v>
      </c>
      <c r="D129" s="190">
        <f>IFERROR(__xludf.DUMMYFUNCTION("""COMPUTED_VALUE"""),157.5)</f>
        <v>157.5</v>
      </c>
      <c r="E129" s="190">
        <f>IFERROR(__xludf.DUMMYFUNCTION("""COMPUTED_VALUE"""),155.45)</f>
        <v>155.45</v>
      </c>
      <c r="F129" s="190">
        <f>IFERROR(__xludf.DUMMYFUNCTION("""COMPUTED_VALUE"""),157.29)</f>
        <v>157.29</v>
      </c>
      <c r="G129" s="191">
        <f>IFERROR(__xludf.DUMMYFUNCTION("""COMPUTED_VALUE"""),3175759.0)</f>
        <v>3175759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</row>
    <row r="130" ht="17.25" customHeight="1">
      <c r="A130" s="112"/>
      <c r="B130" s="189">
        <f>IFERROR(__xludf.DUMMYFUNCTION("""COMPUTED_VALUE"""),46143.66666666667)</f>
        <v>46143.66667</v>
      </c>
      <c r="C130" s="190">
        <f>IFERROR(__xludf.DUMMYFUNCTION("""COMPUTED_VALUE"""),157.94)</f>
        <v>157.94</v>
      </c>
      <c r="D130" s="190">
        <f>IFERROR(__xludf.DUMMYFUNCTION("""COMPUTED_VALUE"""),158.59)</f>
        <v>158.59</v>
      </c>
      <c r="E130" s="190">
        <f>IFERROR(__xludf.DUMMYFUNCTION("""COMPUTED_VALUE"""),157.72)</f>
        <v>157.72</v>
      </c>
      <c r="F130" s="190">
        <f>IFERROR(__xludf.DUMMYFUNCTION("""COMPUTED_VALUE"""),157.76)</f>
        <v>157.76</v>
      </c>
      <c r="G130" s="191">
        <f>IFERROR(__xludf.DUMMYFUNCTION("""COMPUTED_VALUE"""),1407753.0)</f>
        <v>1407753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</row>
    <row r="131" ht="17.25" customHeight="1">
      <c r="A131" s="112"/>
      <c r="B131" s="189">
        <f>IFERROR(__xludf.DUMMYFUNCTION("""COMPUTED_VALUE"""),46146.66666666667)</f>
        <v>46146.66667</v>
      </c>
      <c r="C131" s="190">
        <f>IFERROR(__xludf.DUMMYFUNCTION("""COMPUTED_VALUE"""),157.65)</f>
        <v>157.65</v>
      </c>
      <c r="D131" s="190">
        <f>IFERROR(__xludf.DUMMYFUNCTION("""COMPUTED_VALUE"""),158.14)</f>
        <v>158.14</v>
      </c>
      <c r="E131" s="190">
        <f>IFERROR(__xludf.DUMMYFUNCTION("""COMPUTED_VALUE"""),156.51)</f>
        <v>156.51</v>
      </c>
      <c r="F131" s="190">
        <f>IFERROR(__xludf.DUMMYFUNCTION("""COMPUTED_VALUE"""),157.17)</f>
        <v>157.17</v>
      </c>
      <c r="G131" s="191">
        <f>IFERROR(__xludf.DUMMYFUNCTION("""COMPUTED_VALUE"""),1686415.0)</f>
        <v>1686415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</row>
    <row r="132" ht="17.25" customHeight="1">
      <c r="A132" s="112"/>
      <c r="B132" s="189">
        <f>IFERROR(__xludf.DUMMYFUNCTION("""COMPUTED_VALUE"""),46147.66666666667)</f>
        <v>46147.66667</v>
      </c>
      <c r="C132" s="190">
        <f>IFERROR(__xludf.DUMMYFUNCTION("""COMPUTED_VALUE"""),157.96)</f>
        <v>157.96</v>
      </c>
      <c r="D132" s="190">
        <f>IFERROR(__xludf.DUMMYFUNCTION("""COMPUTED_VALUE"""),158.79)</f>
        <v>158.79</v>
      </c>
      <c r="E132" s="190">
        <f>IFERROR(__xludf.DUMMYFUNCTION("""COMPUTED_VALUE"""),157.96)</f>
        <v>157.96</v>
      </c>
      <c r="F132" s="190">
        <f>IFERROR(__xludf.DUMMYFUNCTION("""COMPUTED_VALUE"""),158.49)</f>
        <v>158.49</v>
      </c>
      <c r="G132" s="191">
        <f>IFERROR(__xludf.DUMMYFUNCTION("""COMPUTED_VALUE"""),3075457.0)</f>
        <v>3075457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</row>
    <row r="133" ht="17.25" customHeight="1">
      <c r="A133" s="112"/>
      <c r="B133" s="189">
        <f>IFERROR(__xludf.DUMMYFUNCTION("""COMPUTED_VALUE"""),46148.66666666667)</f>
        <v>46148.66667</v>
      </c>
      <c r="C133" s="190">
        <f>IFERROR(__xludf.DUMMYFUNCTION("""COMPUTED_VALUE"""),159.62)</f>
        <v>159.62</v>
      </c>
      <c r="D133" s="190">
        <f>IFERROR(__xludf.DUMMYFUNCTION("""COMPUTED_VALUE"""),160.88)</f>
        <v>160.88</v>
      </c>
      <c r="E133" s="190">
        <f>IFERROR(__xludf.DUMMYFUNCTION("""COMPUTED_VALUE"""),159.49)</f>
        <v>159.49</v>
      </c>
      <c r="F133" s="190">
        <f>IFERROR(__xludf.DUMMYFUNCTION("""COMPUTED_VALUE"""),160.74)</f>
        <v>160.74</v>
      </c>
      <c r="G133" s="191">
        <f>IFERROR(__xludf.DUMMYFUNCTION("""COMPUTED_VALUE"""),1199601.0)</f>
        <v>1199601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</row>
    <row r="134" ht="17.25" customHeight="1">
      <c r="A134" s="112"/>
      <c r="B134" s="189">
        <f>IFERROR(__xludf.DUMMYFUNCTION("""COMPUTED_VALUE"""),46149.66666666667)</f>
        <v>46149.66667</v>
      </c>
      <c r="C134" s="190">
        <f>IFERROR(__xludf.DUMMYFUNCTION("""COMPUTED_VALUE"""),161.08)</f>
        <v>161.08</v>
      </c>
      <c r="D134" s="190">
        <f>IFERROR(__xludf.DUMMYFUNCTION("""COMPUTED_VALUE"""),161.1)</f>
        <v>161.1</v>
      </c>
      <c r="E134" s="190">
        <f>IFERROR(__xludf.DUMMYFUNCTION("""COMPUTED_VALUE"""),159.61)</f>
        <v>159.61</v>
      </c>
      <c r="F134" s="190">
        <f>IFERROR(__xludf.DUMMYFUNCTION("""COMPUTED_VALUE"""),159.99)</f>
        <v>159.99</v>
      </c>
      <c r="G134" s="191">
        <f>IFERROR(__xludf.DUMMYFUNCTION("""COMPUTED_VALUE"""),2957354.0)</f>
        <v>2957354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</row>
    <row r="135" ht="17.25" customHeight="1">
      <c r="A135" s="112"/>
      <c r="B135" s="189">
        <f>IFERROR(__xludf.DUMMYFUNCTION("""COMPUTED_VALUE"""),46150.66666666667)</f>
        <v>46150.66667</v>
      </c>
      <c r="C135" s="190">
        <f>IFERROR(__xludf.DUMMYFUNCTION("""COMPUTED_VALUE"""),160.63)</f>
        <v>160.63</v>
      </c>
      <c r="D135" s="190">
        <f>IFERROR(__xludf.DUMMYFUNCTION("""COMPUTED_VALUE"""),161.31)</f>
        <v>161.31</v>
      </c>
      <c r="E135" s="190">
        <f>IFERROR(__xludf.DUMMYFUNCTION("""COMPUTED_VALUE"""),160.56)</f>
        <v>160.56</v>
      </c>
      <c r="F135" s="190">
        <f>IFERROR(__xludf.DUMMYFUNCTION("""COMPUTED_VALUE"""),161.18)</f>
        <v>161.18</v>
      </c>
      <c r="G135" s="191">
        <f>IFERROR(__xludf.DUMMYFUNCTION("""COMPUTED_VALUE"""),1271447.0)</f>
        <v>1271447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</row>
    <row r="136" ht="17.25" customHeight="1">
      <c r="A136" s="112"/>
      <c r="B136" s="189">
        <f>IFERROR(__xludf.DUMMYFUNCTION("""COMPUTED_VALUE"""),46153.66666666667)</f>
        <v>46153.66667</v>
      </c>
      <c r="C136" s="190">
        <f>IFERROR(__xludf.DUMMYFUNCTION("""COMPUTED_VALUE"""),161.01)</f>
        <v>161.01</v>
      </c>
      <c r="D136" s="190">
        <f>IFERROR(__xludf.DUMMYFUNCTION("""COMPUTED_VALUE"""),161.92)</f>
        <v>161.92</v>
      </c>
      <c r="E136" s="190">
        <f>IFERROR(__xludf.DUMMYFUNCTION("""COMPUTED_VALUE"""),161.01)</f>
        <v>161.01</v>
      </c>
      <c r="F136" s="190">
        <f>IFERROR(__xludf.DUMMYFUNCTION("""COMPUTED_VALUE"""),161.5)</f>
        <v>161.5</v>
      </c>
      <c r="G136" s="191">
        <f>IFERROR(__xludf.DUMMYFUNCTION("""COMPUTED_VALUE"""),2896292.0)</f>
        <v>2896292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</row>
    <row r="137" ht="17.25" customHeight="1">
      <c r="A137" s="112"/>
      <c r="B137" s="189">
        <f>IFERROR(__xludf.DUMMYFUNCTION("""COMPUTED_VALUE"""),46154.66666666667)</f>
        <v>46154.66667</v>
      </c>
      <c r="C137" s="190">
        <f>IFERROR(__xludf.DUMMYFUNCTION("""COMPUTED_VALUE"""),161.0)</f>
        <v>161</v>
      </c>
      <c r="D137" s="190">
        <f>IFERROR(__xludf.DUMMYFUNCTION("""COMPUTED_VALUE"""),161.29)</f>
        <v>161.29</v>
      </c>
      <c r="E137" s="190">
        <f>IFERROR(__xludf.DUMMYFUNCTION("""COMPUTED_VALUE"""),159.73)</f>
        <v>159.73</v>
      </c>
      <c r="F137" s="190">
        <f>IFERROR(__xludf.DUMMYFUNCTION("""COMPUTED_VALUE"""),161.14)</f>
        <v>161.14</v>
      </c>
      <c r="G137" s="191">
        <f>IFERROR(__xludf.DUMMYFUNCTION("""COMPUTED_VALUE"""),1584433.0)</f>
        <v>1584433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</row>
    <row r="138" ht="17.25" customHeight="1">
      <c r="A138" s="112"/>
      <c r="B138" s="189">
        <f>IFERROR(__xludf.DUMMYFUNCTION("""COMPUTED_VALUE"""),46155.66666666667)</f>
        <v>46155.66667</v>
      </c>
      <c r="C138" s="190">
        <f>IFERROR(__xludf.DUMMYFUNCTION("""COMPUTED_VALUE"""),161.29)</f>
        <v>161.29</v>
      </c>
      <c r="D138" s="190">
        <f>IFERROR(__xludf.DUMMYFUNCTION("""COMPUTED_VALUE"""),162.31)</f>
        <v>162.31</v>
      </c>
      <c r="E138" s="190">
        <f>IFERROR(__xludf.DUMMYFUNCTION("""COMPUTED_VALUE"""),160.52)</f>
        <v>160.52</v>
      </c>
      <c r="F138" s="190">
        <f>IFERROR(__xludf.DUMMYFUNCTION("""COMPUTED_VALUE"""),161.99)</f>
        <v>161.99</v>
      </c>
      <c r="G138" s="191">
        <f>IFERROR(__xludf.DUMMYFUNCTION("""COMPUTED_VALUE"""),1044949.0)</f>
        <v>1044949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</row>
    <row r="139" ht="17.25" customHeight="1">
      <c r="A139" s="112"/>
      <c r="B139" s="189">
        <f>IFERROR(__xludf.DUMMYFUNCTION("""COMPUTED_VALUE"""),46156.66666666667)</f>
        <v>46156.66667</v>
      </c>
      <c r="C139" s="190">
        <f>IFERROR(__xludf.DUMMYFUNCTION("""COMPUTED_VALUE"""),162.29)</f>
        <v>162.29</v>
      </c>
      <c r="D139" s="190">
        <f>IFERROR(__xludf.DUMMYFUNCTION("""COMPUTED_VALUE"""),163.57)</f>
        <v>163.57</v>
      </c>
      <c r="E139" s="190">
        <f>IFERROR(__xludf.DUMMYFUNCTION("""COMPUTED_VALUE"""),162.29)</f>
        <v>162.29</v>
      </c>
      <c r="F139" s="190">
        <f>IFERROR(__xludf.DUMMYFUNCTION("""COMPUTED_VALUE"""),163.2)</f>
        <v>163.2</v>
      </c>
      <c r="G139" s="191">
        <f>IFERROR(__xludf.DUMMYFUNCTION("""COMPUTED_VALUE"""),1199878.0)</f>
        <v>1199878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</row>
    <row r="140" ht="17.25" customHeight="1">
      <c r="A140" s="112"/>
      <c r="B140" s="189">
        <f>IFERROR(__xludf.DUMMYFUNCTION("""COMPUTED_VALUE"""),46157.66666666667)</f>
        <v>46157.66667</v>
      </c>
      <c r="C140" s="190">
        <f>IFERROR(__xludf.DUMMYFUNCTION("""COMPUTED_VALUE"""),161.87)</f>
        <v>161.87</v>
      </c>
      <c r="D140" s="190">
        <f>IFERROR(__xludf.DUMMYFUNCTION("""COMPUTED_VALUE"""),162.06)</f>
        <v>162.06</v>
      </c>
      <c r="E140" s="190">
        <f>IFERROR(__xludf.DUMMYFUNCTION("""COMPUTED_VALUE"""),160.92)</f>
        <v>160.92</v>
      </c>
      <c r="F140" s="190">
        <f>IFERROR(__xludf.DUMMYFUNCTION("""COMPUTED_VALUE"""),161.1)</f>
        <v>161.1</v>
      </c>
      <c r="G140" s="191">
        <f>IFERROR(__xludf.DUMMYFUNCTION("""COMPUTED_VALUE"""),1718426.0)</f>
        <v>1718426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</row>
    <row r="141" ht="17.25" customHeight="1">
      <c r="A141" s="112"/>
      <c r="B141" s="189">
        <f>IFERROR(__xludf.DUMMYFUNCTION("""COMPUTED_VALUE"""),46160.66666666667)</f>
        <v>46160.66667</v>
      </c>
      <c r="C141" s="190">
        <f>IFERROR(__xludf.DUMMYFUNCTION("""COMPUTED_VALUE"""),161.3)</f>
        <v>161.3</v>
      </c>
      <c r="D141" s="190">
        <f>IFERROR(__xludf.DUMMYFUNCTION("""COMPUTED_VALUE"""),161.71)</f>
        <v>161.71</v>
      </c>
      <c r="E141" s="190">
        <f>IFERROR(__xludf.DUMMYFUNCTION("""COMPUTED_VALUE"""),159.88)</f>
        <v>159.88</v>
      </c>
      <c r="F141" s="190">
        <f>IFERROR(__xludf.DUMMYFUNCTION("""COMPUTED_VALUE"""),160.94)</f>
        <v>160.94</v>
      </c>
      <c r="G141" s="191">
        <f>IFERROR(__xludf.DUMMYFUNCTION("""COMPUTED_VALUE"""),1925770.0)</f>
        <v>1925770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</row>
    <row r="142" ht="17.25" customHeight="1">
      <c r="A142" s="112"/>
      <c r="B142" s="189">
        <f>IFERROR(__xludf.DUMMYFUNCTION("""COMPUTED_VALUE"""),46161.66666666667)</f>
        <v>46161.66667</v>
      </c>
      <c r="C142" s="190">
        <f>IFERROR(__xludf.DUMMYFUNCTION("""COMPUTED_VALUE"""),160.08)</f>
        <v>160.08</v>
      </c>
      <c r="D142" s="190">
        <f>IFERROR(__xludf.DUMMYFUNCTION("""COMPUTED_VALUE"""),160.77)</f>
        <v>160.77</v>
      </c>
      <c r="E142" s="190">
        <f>IFERROR(__xludf.DUMMYFUNCTION("""COMPUTED_VALUE"""),159.37)</f>
        <v>159.37</v>
      </c>
      <c r="F142" s="190">
        <f>IFERROR(__xludf.DUMMYFUNCTION("""COMPUTED_VALUE"""),159.9)</f>
        <v>159.9</v>
      </c>
      <c r="G142" s="191">
        <f>IFERROR(__xludf.DUMMYFUNCTION("""COMPUTED_VALUE"""),2073852.0)</f>
        <v>2073852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</row>
    <row r="143" ht="17.25" customHeight="1">
      <c r="A143" s="112"/>
      <c r="B143" s="189">
        <f>IFERROR(__xludf.DUMMYFUNCTION("""COMPUTED_VALUE"""),46162.66666666667)</f>
        <v>46162.66667</v>
      </c>
      <c r="C143" s="190">
        <f>IFERROR(__xludf.DUMMYFUNCTION("""COMPUTED_VALUE"""),160.38)</f>
        <v>160.38</v>
      </c>
      <c r="D143" s="190">
        <f>IFERROR(__xludf.DUMMYFUNCTION("""COMPUTED_VALUE"""),161.83)</f>
        <v>161.83</v>
      </c>
      <c r="E143" s="190">
        <f>IFERROR(__xludf.DUMMYFUNCTION("""COMPUTED_VALUE"""),160.0)</f>
        <v>160</v>
      </c>
      <c r="F143" s="190">
        <f>IFERROR(__xludf.DUMMYFUNCTION("""COMPUTED_VALUE"""),161.72)</f>
        <v>161.72</v>
      </c>
      <c r="G143" s="191">
        <f>IFERROR(__xludf.DUMMYFUNCTION("""COMPUTED_VALUE"""),1784198.0)</f>
        <v>1784198</v>
      </c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</row>
    <row r="144" ht="17.25" customHeight="1">
      <c r="A144" s="112"/>
      <c r="B144" s="189">
        <f>IFERROR(__xludf.DUMMYFUNCTION("""COMPUTED_VALUE"""),46163.66666666667)</f>
        <v>46163.66667</v>
      </c>
      <c r="C144" s="190">
        <f>IFERROR(__xludf.DUMMYFUNCTION("""COMPUTED_VALUE"""),161.1)</f>
        <v>161.1</v>
      </c>
      <c r="D144" s="190">
        <f>IFERROR(__xludf.DUMMYFUNCTION("""COMPUTED_VALUE"""),162.56)</f>
        <v>162.56</v>
      </c>
      <c r="E144" s="190">
        <f>IFERROR(__xludf.DUMMYFUNCTION("""COMPUTED_VALUE"""),160.88)</f>
        <v>160.88</v>
      </c>
      <c r="F144" s="190">
        <f>IFERROR(__xludf.DUMMYFUNCTION("""COMPUTED_VALUE"""),162.15)</f>
        <v>162.15</v>
      </c>
      <c r="G144" s="191">
        <f>IFERROR(__xludf.DUMMYFUNCTION("""COMPUTED_VALUE"""),2163141.0)</f>
        <v>2163141</v>
      </c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</row>
    <row r="145" ht="17.25" customHeight="1">
      <c r="A145" s="112"/>
      <c r="B145" s="189">
        <f>IFERROR(__xludf.DUMMYFUNCTION("""COMPUTED_VALUE"""),46164.66666666667)</f>
        <v>46164.66667</v>
      </c>
      <c r="C145" s="190">
        <f>IFERROR(__xludf.DUMMYFUNCTION("""COMPUTED_VALUE"""),163.02)</f>
        <v>163.02</v>
      </c>
      <c r="D145" s="190">
        <f>IFERROR(__xludf.DUMMYFUNCTION("""COMPUTED_VALUE"""),163.61)</f>
        <v>163.61</v>
      </c>
      <c r="E145" s="190">
        <f>IFERROR(__xludf.DUMMYFUNCTION("""COMPUTED_VALUE"""),162.64)</f>
        <v>162.64</v>
      </c>
      <c r="F145" s="190">
        <f>IFERROR(__xludf.DUMMYFUNCTION("""COMPUTED_VALUE"""),162.93)</f>
        <v>162.93</v>
      </c>
      <c r="G145" s="191">
        <f>IFERROR(__xludf.DUMMYFUNCTION("""COMPUTED_VALUE"""),1247920.0)</f>
        <v>1247920</v>
      </c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ht="17.25" customHeight="1">
      <c r="A146" s="112"/>
      <c r="B146" s="189">
        <f>IFERROR(__xludf.DUMMYFUNCTION("""COMPUTED_VALUE"""),46168.66666666667)</f>
        <v>46168.66667</v>
      </c>
      <c r="C146" s="190">
        <f>IFERROR(__xludf.DUMMYFUNCTION("""COMPUTED_VALUE"""),163.96)</f>
        <v>163.96</v>
      </c>
      <c r="D146" s="190">
        <f>IFERROR(__xludf.DUMMYFUNCTION("""COMPUTED_VALUE"""),164.44)</f>
        <v>164.44</v>
      </c>
      <c r="E146" s="190">
        <f>IFERROR(__xludf.DUMMYFUNCTION("""COMPUTED_VALUE"""),163.64)</f>
        <v>163.64</v>
      </c>
      <c r="F146" s="190">
        <f>IFERROR(__xludf.DUMMYFUNCTION("""COMPUTED_VALUE"""),164.12)</f>
        <v>164.12</v>
      </c>
      <c r="G146" s="191">
        <f>IFERROR(__xludf.DUMMYFUNCTION("""COMPUTED_VALUE"""),1383027.0)</f>
        <v>1383027</v>
      </c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ht="17.25" customHeight="1">
      <c r="A147" s="112"/>
      <c r="B147" s="189">
        <f>IFERROR(__xludf.DUMMYFUNCTION("""COMPUTED_VALUE"""),46169.66666666667)</f>
        <v>46169.66667</v>
      </c>
      <c r="C147" s="190">
        <f>IFERROR(__xludf.DUMMYFUNCTION("""COMPUTED_VALUE"""),164.17)</f>
        <v>164.17</v>
      </c>
      <c r="D147" s="190">
        <f>IFERROR(__xludf.DUMMYFUNCTION("""COMPUTED_VALUE"""),164.36)</f>
        <v>164.36</v>
      </c>
      <c r="E147" s="190">
        <f>IFERROR(__xludf.DUMMYFUNCTION("""COMPUTED_VALUE"""),163.64)</f>
        <v>163.64</v>
      </c>
      <c r="F147" s="190">
        <f>IFERROR(__xludf.DUMMYFUNCTION("""COMPUTED_VALUE"""),164.05)</f>
        <v>164.05</v>
      </c>
      <c r="G147" s="191">
        <f>IFERROR(__xludf.DUMMYFUNCTION("""COMPUTED_VALUE"""),1528213.0)</f>
        <v>1528213</v>
      </c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ht="17.25" customHeight="1">
      <c r="A148" s="112"/>
      <c r="B148" s="189">
        <f>IFERROR(__xludf.DUMMYFUNCTION("""COMPUTED_VALUE"""),46170.66666666667)</f>
        <v>46170.66667</v>
      </c>
      <c r="C148" s="190">
        <f>IFERROR(__xludf.DUMMYFUNCTION("""COMPUTED_VALUE"""),164.02)</f>
        <v>164.02</v>
      </c>
      <c r="D148" s="190">
        <f>IFERROR(__xludf.DUMMYFUNCTION("""COMPUTED_VALUE"""),165.2)</f>
        <v>165.2</v>
      </c>
      <c r="E148" s="190">
        <f>IFERROR(__xludf.DUMMYFUNCTION("""COMPUTED_VALUE"""),163.8)</f>
        <v>163.8</v>
      </c>
      <c r="F148" s="190">
        <f>IFERROR(__xludf.DUMMYFUNCTION("""COMPUTED_VALUE"""),165.04)</f>
        <v>165.04</v>
      </c>
      <c r="G148" s="191">
        <f>IFERROR(__xludf.DUMMYFUNCTION("""COMPUTED_VALUE"""),1889358.0)</f>
        <v>1889358</v>
      </c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</row>
    <row r="149" ht="17.25" customHeight="1">
      <c r="A149" s="112"/>
      <c r="B149" s="189">
        <f>IFERROR(__xludf.DUMMYFUNCTION("""COMPUTED_VALUE"""),46171.66666666667)</f>
        <v>46171.66667</v>
      </c>
      <c r="C149" s="190">
        <f>IFERROR(__xludf.DUMMYFUNCTION("""COMPUTED_VALUE"""),165.37)</f>
        <v>165.37</v>
      </c>
      <c r="D149" s="190">
        <f>IFERROR(__xludf.DUMMYFUNCTION("""COMPUTED_VALUE"""),165.75)</f>
        <v>165.75</v>
      </c>
      <c r="E149" s="190">
        <f>IFERROR(__xludf.DUMMYFUNCTION("""COMPUTED_VALUE"""),164.97)</f>
        <v>164.97</v>
      </c>
      <c r="F149" s="190">
        <f>IFERROR(__xludf.DUMMYFUNCTION("""COMPUTED_VALUE"""),165.48)</f>
        <v>165.48</v>
      </c>
      <c r="G149" s="191">
        <f>IFERROR(__xludf.DUMMYFUNCTION("""COMPUTED_VALUE"""),3549834.0)</f>
        <v>3549834</v>
      </c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ht="17.25" customHeight="1">
      <c r="A150" s="112"/>
      <c r="B150" s="189"/>
      <c r="C150" s="190"/>
      <c r="D150" s="190"/>
      <c r="E150" s="190"/>
      <c r="F150" s="190"/>
      <c r="G150" s="191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ht="17.25" customHeight="1">
      <c r="A151" s="112"/>
      <c r="B151" s="189"/>
      <c r="C151" s="190"/>
      <c r="D151" s="190"/>
      <c r="E151" s="190"/>
      <c r="F151" s="190"/>
      <c r="G151" s="191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ht="17.25" customHeight="1">
      <c r="A152" s="112"/>
      <c r="B152" s="189"/>
      <c r="C152" s="190"/>
      <c r="D152" s="190"/>
      <c r="E152" s="190"/>
      <c r="F152" s="190"/>
      <c r="G152" s="191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</row>
    <row r="153" ht="17.25" customHeight="1">
      <c r="A153" s="112"/>
      <c r="B153" s="189"/>
      <c r="C153" s="190"/>
      <c r="D153" s="190"/>
      <c r="E153" s="190"/>
      <c r="F153" s="190"/>
      <c r="G153" s="191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ht="17.25" customHeight="1">
      <c r="A154" s="112"/>
      <c r="B154" s="189"/>
      <c r="C154" s="190"/>
      <c r="D154" s="190"/>
      <c r="E154" s="190"/>
      <c r="F154" s="190"/>
      <c r="G154" s="191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</row>
    <row r="155" ht="17.25" customHeight="1">
      <c r="A155" s="112"/>
      <c r="B155" s="189"/>
      <c r="C155" s="190"/>
      <c r="D155" s="190"/>
      <c r="E155" s="190"/>
      <c r="F155" s="190"/>
      <c r="G155" s="191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ht="17.25" customHeight="1">
      <c r="A156" s="112"/>
      <c r="B156" s="189"/>
      <c r="C156" s="190"/>
      <c r="D156" s="190"/>
      <c r="E156" s="190"/>
      <c r="F156" s="190"/>
      <c r="G156" s="191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ht="17.25" customHeight="1">
      <c r="A157" s="112"/>
      <c r="B157" s="189"/>
      <c r="C157" s="190"/>
      <c r="D157" s="190"/>
      <c r="E157" s="190"/>
      <c r="F157" s="190"/>
      <c r="G157" s="191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ht="17.25" customHeight="1">
      <c r="A158" s="112"/>
      <c r="B158" s="189"/>
      <c r="C158" s="190"/>
      <c r="D158" s="190"/>
      <c r="E158" s="190"/>
      <c r="F158" s="190"/>
      <c r="G158" s="191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ht="17.25" customHeight="1">
      <c r="A159" s="112"/>
      <c r="B159" s="189"/>
      <c r="C159" s="190"/>
      <c r="D159" s="190"/>
      <c r="E159" s="190"/>
      <c r="F159" s="190"/>
      <c r="G159" s="191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ht="17.25" customHeight="1">
      <c r="A160" s="112"/>
      <c r="B160" s="189"/>
      <c r="C160" s="190"/>
      <c r="D160" s="190"/>
      <c r="E160" s="190"/>
      <c r="F160" s="190"/>
      <c r="G160" s="191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ht="17.25" customHeight="1">
      <c r="A161" s="112"/>
      <c r="B161" s="189"/>
      <c r="C161" s="190"/>
      <c r="D161" s="190"/>
      <c r="E161" s="190"/>
      <c r="F161" s="190"/>
      <c r="G161" s="191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ht="17.25" customHeight="1">
      <c r="A162" s="112"/>
      <c r="B162" s="189"/>
      <c r="C162" s="190"/>
      <c r="D162" s="190"/>
      <c r="E162" s="190"/>
      <c r="F162" s="190"/>
      <c r="G162" s="191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ht="17.25" customHeight="1">
      <c r="A163" s="112"/>
      <c r="B163" s="189"/>
      <c r="C163" s="190"/>
      <c r="D163" s="190"/>
      <c r="E163" s="190"/>
      <c r="F163" s="190"/>
      <c r="G163" s="191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</row>
    <row r="164" ht="17.25" customHeight="1">
      <c r="A164" s="112"/>
      <c r="B164" s="189"/>
      <c r="C164" s="190"/>
      <c r="D164" s="190"/>
      <c r="E164" s="190"/>
      <c r="F164" s="190"/>
      <c r="G164" s="191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ht="17.25" customHeight="1">
      <c r="A165" s="112"/>
      <c r="B165" s="189"/>
      <c r="C165" s="190"/>
      <c r="D165" s="190"/>
      <c r="E165" s="190"/>
      <c r="F165" s="190"/>
      <c r="G165" s="191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ht="17.25" customHeight="1">
      <c r="A166" s="112"/>
      <c r="B166" s="189"/>
      <c r="C166" s="190"/>
      <c r="D166" s="190"/>
      <c r="E166" s="190"/>
      <c r="F166" s="190"/>
      <c r="G166" s="191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ht="17.25" customHeight="1">
      <c r="A167" s="112"/>
      <c r="B167" s="189"/>
      <c r="C167" s="190"/>
      <c r="D167" s="190"/>
      <c r="E167" s="190"/>
      <c r="F167" s="190"/>
      <c r="G167" s="191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</row>
    <row r="168" ht="17.25" customHeight="1">
      <c r="A168" s="112"/>
      <c r="B168" s="189"/>
      <c r="C168" s="190"/>
      <c r="D168" s="190"/>
      <c r="E168" s="190"/>
      <c r="F168" s="190"/>
      <c r="G168" s="191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ht="17.25" customHeight="1">
      <c r="A169" s="112"/>
      <c r="B169" s="189"/>
      <c r="C169" s="190"/>
      <c r="D169" s="190"/>
      <c r="E169" s="190"/>
      <c r="F169" s="190"/>
      <c r="G169" s="191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ht="17.25" customHeight="1">
      <c r="A170" s="112"/>
      <c r="B170" s="189"/>
      <c r="C170" s="190"/>
      <c r="D170" s="190"/>
      <c r="E170" s="190"/>
      <c r="F170" s="190"/>
      <c r="G170" s="191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</row>
    <row r="171" ht="17.25" customHeight="1">
      <c r="A171" s="112"/>
      <c r="B171" s="189"/>
      <c r="C171" s="190"/>
      <c r="D171" s="190"/>
      <c r="E171" s="190"/>
      <c r="F171" s="190"/>
      <c r="G171" s="191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</row>
    <row r="172" ht="17.25" customHeight="1">
      <c r="A172" s="112"/>
      <c r="B172" s="189"/>
      <c r="C172" s="190"/>
      <c r="D172" s="190"/>
      <c r="E172" s="190"/>
      <c r="F172" s="190"/>
      <c r="G172" s="191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ht="17.25" customHeight="1">
      <c r="A173" s="112"/>
      <c r="B173" s="189"/>
      <c r="C173" s="190"/>
      <c r="D173" s="190"/>
      <c r="E173" s="190"/>
      <c r="F173" s="190"/>
      <c r="G173" s="191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</row>
    <row r="174" ht="17.25" customHeight="1">
      <c r="A174" s="112"/>
      <c r="B174" s="189"/>
      <c r="C174" s="190"/>
      <c r="D174" s="190"/>
      <c r="E174" s="190"/>
      <c r="F174" s="190"/>
      <c r="G174" s="191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</row>
    <row r="175" ht="17.25" customHeight="1">
      <c r="A175" s="112"/>
      <c r="B175" s="189"/>
      <c r="C175" s="190"/>
      <c r="D175" s="190"/>
      <c r="E175" s="190"/>
      <c r="F175" s="190"/>
      <c r="G175" s="191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</row>
    <row r="176" ht="17.25" customHeight="1">
      <c r="A176" s="112"/>
      <c r="B176" s="189"/>
      <c r="C176" s="190"/>
      <c r="D176" s="190"/>
      <c r="E176" s="190"/>
      <c r="F176" s="190"/>
      <c r="G176" s="191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</row>
    <row r="177" ht="17.25" customHeight="1">
      <c r="A177" s="112"/>
      <c r="B177" s="189"/>
      <c r="C177" s="190"/>
      <c r="D177" s="190"/>
      <c r="E177" s="190"/>
      <c r="F177" s="190"/>
      <c r="G177" s="191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</row>
    <row r="178" ht="17.25" customHeight="1">
      <c r="A178" s="112"/>
      <c r="B178" s="189"/>
      <c r="C178" s="190"/>
      <c r="D178" s="190"/>
      <c r="E178" s="190"/>
      <c r="F178" s="190"/>
      <c r="G178" s="191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</row>
    <row r="179" ht="17.25" customHeight="1">
      <c r="A179" s="112"/>
      <c r="B179" s="189"/>
      <c r="C179" s="190"/>
      <c r="D179" s="190"/>
      <c r="E179" s="190"/>
      <c r="F179" s="190"/>
      <c r="G179" s="191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</row>
    <row r="180" ht="17.25" customHeight="1">
      <c r="A180" s="112"/>
      <c r="B180" s="189"/>
      <c r="C180" s="190"/>
      <c r="D180" s="190"/>
      <c r="E180" s="190"/>
      <c r="F180" s="190"/>
      <c r="G180" s="191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</row>
    <row r="181" ht="17.25" customHeight="1">
      <c r="A181" s="112"/>
      <c r="B181" s="189"/>
      <c r="C181" s="190"/>
      <c r="D181" s="190"/>
      <c r="E181" s="190"/>
      <c r="F181" s="190"/>
      <c r="G181" s="191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</row>
    <row r="182" ht="17.25" customHeight="1">
      <c r="A182" s="112"/>
      <c r="B182" s="189"/>
      <c r="C182" s="190"/>
      <c r="D182" s="190"/>
      <c r="E182" s="190"/>
      <c r="F182" s="190"/>
      <c r="G182" s="191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</row>
    <row r="183" ht="17.25" customHeight="1">
      <c r="A183" s="112"/>
      <c r="B183" s="189"/>
      <c r="C183" s="190"/>
      <c r="D183" s="190"/>
      <c r="E183" s="190"/>
      <c r="F183" s="190"/>
      <c r="G183" s="191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</row>
    <row r="184" ht="17.25" customHeight="1">
      <c r="A184" s="112"/>
      <c r="B184" s="189"/>
      <c r="C184" s="190"/>
      <c r="D184" s="190"/>
      <c r="E184" s="190"/>
      <c r="F184" s="190"/>
      <c r="G184" s="191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</row>
    <row r="185" ht="17.25" customHeight="1">
      <c r="A185" s="112"/>
      <c r="B185" s="189"/>
      <c r="C185" s="190"/>
      <c r="D185" s="190"/>
      <c r="E185" s="190"/>
      <c r="F185" s="190"/>
      <c r="G185" s="191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</row>
    <row r="186" ht="17.25" customHeight="1">
      <c r="A186" s="112"/>
      <c r="B186" s="189"/>
      <c r="C186" s="190"/>
      <c r="D186" s="190"/>
      <c r="E186" s="190"/>
      <c r="F186" s="190"/>
      <c r="G186" s="191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</row>
    <row r="187" ht="17.25" customHeight="1">
      <c r="A187" s="112"/>
      <c r="B187" s="189"/>
      <c r="C187" s="190"/>
      <c r="D187" s="190"/>
      <c r="E187" s="190"/>
      <c r="F187" s="190"/>
      <c r="G187" s="191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</row>
    <row r="188" ht="17.25" customHeight="1">
      <c r="A188" s="112"/>
      <c r="B188" s="189"/>
      <c r="C188" s="190"/>
      <c r="D188" s="190"/>
      <c r="E188" s="190"/>
      <c r="F188" s="190"/>
      <c r="G188" s="191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</row>
    <row r="189" ht="17.25" customHeight="1">
      <c r="A189" s="112"/>
      <c r="B189" s="189"/>
      <c r="C189" s="190"/>
      <c r="D189" s="190"/>
      <c r="E189" s="190"/>
      <c r="F189" s="190"/>
      <c r="G189" s="191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</row>
    <row r="190" ht="17.25" customHeight="1">
      <c r="A190" s="112"/>
      <c r="B190" s="189"/>
      <c r="C190" s="190"/>
      <c r="D190" s="190"/>
      <c r="E190" s="190"/>
      <c r="F190" s="190"/>
      <c r="G190" s="191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</row>
    <row r="191" ht="17.25" customHeight="1">
      <c r="A191" s="112"/>
      <c r="B191" s="189"/>
      <c r="C191" s="190"/>
      <c r="D191" s="190"/>
      <c r="E191" s="190"/>
      <c r="F191" s="190"/>
      <c r="G191" s="191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</row>
    <row r="192" ht="17.25" customHeight="1">
      <c r="A192" s="112"/>
      <c r="B192" s="189"/>
      <c r="C192" s="190"/>
      <c r="D192" s="190"/>
      <c r="E192" s="190"/>
      <c r="F192" s="190"/>
      <c r="G192" s="191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</row>
    <row r="193" ht="17.25" customHeight="1">
      <c r="A193" s="112"/>
      <c r="B193" s="189"/>
      <c r="C193" s="190"/>
      <c r="D193" s="190"/>
      <c r="E193" s="190"/>
      <c r="F193" s="190"/>
      <c r="G193" s="191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</row>
    <row r="194" ht="17.25" customHeight="1">
      <c r="A194" s="112"/>
      <c r="B194" s="189"/>
      <c r="C194" s="190"/>
      <c r="D194" s="190"/>
      <c r="E194" s="190"/>
      <c r="F194" s="190"/>
      <c r="G194" s="191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</row>
    <row r="195" ht="17.25" customHeight="1">
      <c r="A195" s="112"/>
      <c r="B195" s="189"/>
      <c r="C195" s="190"/>
      <c r="D195" s="190"/>
      <c r="E195" s="190"/>
      <c r="F195" s="190"/>
      <c r="G195" s="191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</row>
    <row r="196" ht="17.25" customHeight="1">
      <c r="A196" s="112"/>
      <c r="B196" s="189"/>
      <c r="C196" s="190"/>
      <c r="D196" s="190"/>
      <c r="E196" s="190"/>
      <c r="F196" s="190"/>
      <c r="G196" s="191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</row>
    <row r="197" ht="17.25" customHeight="1">
      <c r="A197" s="112"/>
      <c r="B197" s="189"/>
      <c r="C197" s="190"/>
      <c r="D197" s="190"/>
      <c r="E197" s="190"/>
      <c r="F197" s="190"/>
      <c r="G197" s="191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</row>
    <row r="198" ht="17.25" customHeight="1">
      <c r="A198" s="112"/>
      <c r="B198" s="189"/>
      <c r="C198" s="190"/>
      <c r="D198" s="190"/>
      <c r="E198" s="190"/>
      <c r="F198" s="190"/>
      <c r="G198" s="191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</row>
    <row r="199" ht="17.25" customHeight="1">
      <c r="A199" s="112"/>
      <c r="B199" s="189"/>
      <c r="C199" s="190"/>
      <c r="D199" s="190"/>
      <c r="E199" s="190"/>
      <c r="F199" s="190"/>
      <c r="G199" s="191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</row>
    <row r="200" ht="17.25" customHeight="1">
      <c r="A200" s="112"/>
      <c r="B200" s="189"/>
      <c r="C200" s="190"/>
      <c r="D200" s="190"/>
      <c r="E200" s="190"/>
      <c r="F200" s="190"/>
      <c r="G200" s="191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</row>
    <row r="201" ht="17.25" customHeight="1">
      <c r="A201" s="112"/>
      <c r="B201" s="189"/>
      <c r="C201" s="190"/>
      <c r="D201" s="190"/>
      <c r="E201" s="190"/>
      <c r="F201" s="190"/>
      <c r="G201" s="191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/>
      <c r="C202" s="190"/>
      <c r="D202" s="190"/>
      <c r="E202" s="190"/>
      <c r="F202" s="190"/>
      <c r="G202" s="191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/>
      <c r="C203" s="190"/>
      <c r="D203" s="190"/>
      <c r="E203" s="190"/>
      <c r="F203" s="190"/>
      <c r="G203" s="191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/>
      <c r="C204" s="190"/>
      <c r="D204" s="190"/>
      <c r="E204" s="190"/>
      <c r="F204" s="190"/>
      <c r="G204" s="191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/>
      <c r="C205" s="190"/>
      <c r="D205" s="190"/>
      <c r="E205" s="190"/>
      <c r="F205" s="190"/>
      <c r="G205" s="191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/>
      <c r="C206" s="190"/>
      <c r="D206" s="190"/>
      <c r="E206" s="190"/>
      <c r="F206" s="190"/>
      <c r="G206" s="191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/>
      <c r="C207" s="190"/>
      <c r="D207" s="190"/>
      <c r="E207" s="190"/>
      <c r="F207" s="190"/>
      <c r="G207" s="191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/>
      <c r="C208" s="190"/>
      <c r="D208" s="190"/>
      <c r="E208" s="190"/>
      <c r="F208" s="190"/>
      <c r="G208" s="191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/>
      <c r="C209" s="190"/>
      <c r="D209" s="190"/>
      <c r="E209" s="190"/>
      <c r="F209" s="190"/>
      <c r="G209" s="191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/>
      <c r="C210" s="190"/>
      <c r="D210" s="190"/>
      <c r="E210" s="190"/>
      <c r="F210" s="190"/>
      <c r="G210" s="191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/>
      <c r="C211" s="190"/>
      <c r="D211" s="190"/>
      <c r="E211" s="190"/>
      <c r="F211" s="190"/>
      <c r="G211" s="191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/>
      <c r="C212" s="190"/>
      <c r="D212" s="190"/>
      <c r="E212" s="190"/>
      <c r="F212" s="190"/>
      <c r="G212" s="191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/>
      <c r="C213" s="190"/>
      <c r="D213" s="190"/>
      <c r="E213" s="190"/>
      <c r="F213" s="190"/>
      <c r="G213" s="191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/>
      <c r="C214" s="190"/>
      <c r="D214" s="190"/>
      <c r="E214" s="190"/>
      <c r="F214" s="190"/>
      <c r="G214" s="191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/>
      <c r="C215" s="190"/>
      <c r="D215" s="190"/>
      <c r="E215" s="190"/>
      <c r="F215" s="190"/>
      <c r="G215" s="191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/>
      <c r="C216" s="190"/>
      <c r="D216" s="190"/>
      <c r="E216" s="190"/>
      <c r="F216" s="190"/>
      <c r="G216" s="191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/>
      <c r="C217" s="190"/>
      <c r="D217" s="190"/>
      <c r="E217" s="190"/>
      <c r="F217" s="190"/>
      <c r="G217" s="191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/>
      <c r="C218" s="190"/>
      <c r="D218" s="190"/>
      <c r="E218" s="190"/>
      <c r="F218" s="190"/>
      <c r="G218" s="191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/>
      <c r="C219" s="190"/>
      <c r="D219" s="190"/>
      <c r="E219" s="190"/>
      <c r="F219" s="190"/>
      <c r="G219" s="191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/>
      <c r="C220" s="190"/>
      <c r="D220" s="190"/>
      <c r="E220" s="190"/>
      <c r="F220" s="190"/>
      <c r="G220" s="191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/>
      <c r="C221" s="190"/>
      <c r="D221" s="190"/>
      <c r="E221" s="190"/>
      <c r="F221" s="190"/>
      <c r="G221" s="191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/>
      <c r="C222" s="190"/>
      <c r="D222" s="190"/>
      <c r="E222" s="190"/>
      <c r="F222" s="190"/>
      <c r="G222" s="191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/>
      <c r="C223" s="190"/>
      <c r="D223" s="190"/>
      <c r="E223" s="190"/>
      <c r="F223" s="190"/>
      <c r="G223" s="191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/>
      <c r="C224" s="190"/>
      <c r="D224" s="190"/>
      <c r="E224" s="190"/>
      <c r="F224" s="190"/>
      <c r="G224" s="191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/>
      <c r="C225" s="190"/>
      <c r="D225" s="190"/>
      <c r="E225" s="190"/>
      <c r="F225" s="190"/>
      <c r="G225" s="191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/>
      <c r="C226" s="190"/>
      <c r="D226" s="190"/>
      <c r="E226" s="190"/>
      <c r="F226" s="190"/>
      <c r="G226" s="191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/>
      <c r="C227" s="190"/>
      <c r="D227" s="190"/>
      <c r="E227" s="190"/>
      <c r="F227" s="190"/>
      <c r="G227" s="191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/>
      <c r="C228" s="190"/>
      <c r="D228" s="190"/>
      <c r="E228" s="190"/>
      <c r="F228" s="190"/>
      <c r="G228" s="191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/>
      <c r="C229" s="190"/>
      <c r="D229" s="190"/>
      <c r="E229" s="190"/>
      <c r="F229" s="190"/>
      <c r="G229" s="191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/>
      <c r="C230" s="190"/>
      <c r="D230" s="190"/>
      <c r="E230" s="190"/>
      <c r="F230" s="190"/>
      <c r="G230" s="191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/>
      <c r="C231" s="190"/>
      <c r="D231" s="190"/>
      <c r="E231" s="190"/>
      <c r="F231" s="190"/>
      <c r="G231" s="191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/>
      <c r="C232" s="190"/>
      <c r="D232" s="190"/>
      <c r="E232" s="190"/>
      <c r="F232" s="190"/>
      <c r="G232" s="19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/>
      <c r="C233" s="190"/>
      <c r="D233" s="190"/>
      <c r="E233" s="190"/>
      <c r="F233" s="190"/>
      <c r="G233" s="191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/>
      <c r="C234" s="190"/>
      <c r="D234" s="190"/>
      <c r="E234" s="190"/>
      <c r="F234" s="190"/>
      <c r="G234" s="191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/>
      <c r="C235" s="190"/>
      <c r="D235" s="190"/>
      <c r="E235" s="190"/>
      <c r="F235" s="190"/>
      <c r="G235" s="191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/>
      <c r="C236" s="190"/>
      <c r="D236" s="190"/>
      <c r="E236" s="190"/>
      <c r="F236" s="190"/>
      <c r="G236" s="191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/>
      <c r="C237" s="190"/>
      <c r="D237" s="190"/>
      <c r="E237" s="190"/>
      <c r="F237" s="190"/>
      <c r="G237" s="191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/>
      <c r="C238" s="190"/>
      <c r="D238" s="190"/>
      <c r="E238" s="190"/>
      <c r="F238" s="190"/>
      <c r="G238" s="191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/>
      <c r="C239" s="190"/>
      <c r="D239" s="190"/>
      <c r="E239" s="190"/>
      <c r="F239" s="190"/>
      <c r="G239" s="19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/>
      <c r="C240" s="190"/>
      <c r="D240" s="190"/>
      <c r="E240" s="190"/>
      <c r="F240" s="190"/>
      <c r="G240" s="191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/>
      <c r="C241" s="190"/>
      <c r="D241" s="190"/>
      <c r="E241" s="190"/>
      <c r="F241" s="190"/>
      <c r="G241" s="191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/>
      <c r="C242" s="190"/>
      <c r="D242" s="190"/>
      <c r="E242" s="190"/>
      <c r="F242" s="190"/>
      <c r="G242" s="191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/>
      <c r="C243" s="190"/>
      <c r="D243" s="190"/>
      <c r="E243" s="190"/>
      <c r="F243" s="190"/>
      <c r="G243" s="191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/>
      <c r="C244" s="190"/>
      <c r="D244" s="190"/>
      <c r="E244" s="190"/>
      <c r="F244" s="190"/>
      <c r="G244" s="191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/>
      <c r="C245" s="190"/>
      <c r="D245" s="190"/>
      <c r="E245" s="190"/>
      <c r="F245" s="190"/>
      <c r="G245" s="191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/>
      <c r="C246" s="190"/>
      <c r="D246" s="190"/>
      <c r="E246" s="190"/>
      <c r="F246" s="190"/>
      <c r="G246" s="191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/>
      <c r="C247" s="190"/>
      <c r="D247" s="190"/>
      <c r="E247" s="190"/>
      <c r="F247" s="190"/>
      <c r="G247" s="191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/>
      <c r="C248" s="190"/>
      <c r="D248" s="190"/>
      <c r="E248" s="190"/>
      <c r="F248" s="190"/>
      <c r="G248" s="191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/>
      <c r="C249" s="190"/>
      <c r="D249" s="190"/>
      <c r="E249" s="190"/>
      <c r="F249" s="190"/>
      <c r="G249" s="191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/>
      <c r="C250" s="190"/>
      <c r="D250" s="190"/>
      <c r="E250" s="190"/>
      <c r="F250" s="190"/>
      <c r="G250" s="191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/>
      <c r="C251" s="190"/>
      <c r="D251" s="190"/>
      <c r="E251" s="190"/>
      <c r="F251" s="190"/>
      <c r="G251" s="191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/>
      <c r="C252" s="190"/>
      <c r="D252" s="190"/>
      <c r="E252" s="190"/>
      <c r="F252" s="190"/>
      <c r="G252" s="191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/>
      <c r="C253" s="190"/>
      <c r="D253" s="190"/>
      <c r="E253" s="190"/>
      <c r="F253" s="190"/>
      <c r="G253" s="191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/>
      <c r="C254" s="190"/>
      <c r="D254" s="190"/>
      <c r="E254" s="190"/>
      <c r="F254" s="190"/>
      <c r="G254" s="191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/>
      <c r="C255" s="190"/>
      <c r="D255" s="190"/>
      <c r="E255" s="190"/>
      <c r="F255" s="190"/>
      <c r="G255" s="191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/>
      <c r="C256" s="190"/>
      <c r="D256" s="190"/>
      <c r="E256" s="190"/>
      <c r="F256" s="190"/>
      <c r="G256" s="191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/>
      <c r="C257" s="190"/>
      <c r="D257" s="190"/>
      <c r="E257" s="190"/>
      <c r="F257" s="190"/>
      <c r="G257" s="191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/>
      <c r="C258" s="190"/>
      <c r="D258" s="190"/>
      <c r="E258" s="190"/>
      <c r="F258" s="190"/>
      <c r="G258" s="191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/>
      <c r="C259" s="190"/>
      <c r="D259" s="190"/>
      <c r="E259" s="190"/>
      <c r="F259" s="190"/>
      <c r="G259" s="191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/>
      <c r="C260" s="190"/>
      <c r="D260" s="190"/>
      <c r="E260" s="190"/>
      <c r="F260" s="190"/>
      <c r="G260" s="191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/>
      <c r="C261" s="190"/>
      <c r="D261" s="190"/>
      <c r="E261" s="190"/>
      <c r="F261" s="190"/>
      <c r="G261" s="191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/>
      <c r="C262" s="190"/>
      <c r="D262" s="190"/>
      <c r="E262" s="190"/>
      <c r="F262" s="190"/>
      <c r="G262" s="191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/>
      <c r="C263" s="190"/>
      <c r="D263" s="190"/>
      <c r="E263" s="190"/>
      <c r="F263" s="190"/>
      <c r="G263" s="191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/>
      <c r="C264" s="190"/>
      <c r="D264" s="190"/>
      <c r="E264" s="190"/>
      <c r="F264" s="190"/>
      <c r="G264" s="191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/>
      <c r="C265" s="190"/>
      <c r="D265" s="190"/>
      <c r="E265" s="190"/>
      <c r="F265" s="190"/>
      <c r="G265" s="191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/>
      <c r="C266" s="190"/>
      <c r="D266" s="190"/>
      <c r="E266" s="190"/>
      <c r="F266" s="190"/>
      <c r="G266" s="191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/>
      <c r="C267" s="190"/>
      <c r="D267" s="190"/>
      <c r="E267" s="190"/>
      <c r="F267" s="190"/>
      <c r="G267" s="191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/>
      <c r="C268" s="190"/>
      <c r="D268" s="190"/>
      <c r="E268" s="190"/>
      <c r="F268" s="190"/>
      <c r="G268" s="191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/>
      <c r="C269" s="190"/>
      <c r="D269" s="190"/>
      <c r="E269" s="190"/>
      <c r="F269" s="190"/>
      <c r="G269" s="191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/>
      <c r="C270" s="190"/>
      <c r="D270" s="190"/>
      <c r="E270" s="190"/>
      <c r="F270" s="190"/>
      <c r="G270" s="191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/>
      <c r="C271" s="190"/>
      <c r="D271" s="190"/>
      <c r="E271" s="190"/>
      <c r="F271" s="190"/>
      <c r="G271" s="191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/>
      <c r="C272" s="190"/>
      <c r="D272" s="190"/>
      <c r="E272" s="190"/>
      <c r="F272" s="190"/>
      <c r="G272" s="191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/>
      <c r="C273" s="190"/>
      <c r="D273" s="190"/>
      <c r="E273" s="190"/>
      <c r="F273" s="190"/>
      <c r="G273" s="191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/>
      <c r="C274" s="190"/>
      <c r="D274" s="190"/>
      <c r="E274" s="190"/>
      <c r="F274" s="190"/>
      <c r="G274" s="191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/>
      <c r="C275" s="190"/>
      <c r="D275" s="190"/>
      <c r="E275" s="190"/>
      <c r="F275" s="190"/>
      <c r="G275" s="191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/>
      <c r="C276" s="190"/>
      <c r="D276" s="190"/>
      <c r="E276" s="190"/>
      <c r="F276" s="190"/>
      <c r="G276" s="191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/>
      <c r="C277" s="190"/>
      <c r="D277" s="190"/>
      <c r="E277" s="190"/>
      <c r="F277" s="190"/>
      <c r="G277" s="191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/>
      <c r="C278" s="190"/>
      <c r="D278" s="190"/>
      <c r="E278" s="190"/>
      <c r="F278" s="190"/>
      <c r="G278" s="191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/>
      <c r="C279" s="190"/>
      <c r="D279" s="190"/>
      <c r="E279" s="190"/>
      <c r="F279" s="190"/>
      <c r="G279" s="191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/>
      <c r="C280" s="190"/>
      <c r="D280" s="190"/>
      <c r="E280" s="190"/>
      <c r="F280" s="190"/>
      <c r="G280" s="191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/>
      <c r="C281" s="190"/>
      <c r="D281" s="190"/>
      <c r="E281" s="190"/>
      <c r="F281" s="190"/>
      <c r="G281" s="191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/>
      <c r="C282" s="190"/>
      <c r="D282" s="190"/>
      <c r="E282" s="190"/>
      <c r="F282" s="190"/>
      <c r="G282" s="191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/>
      <c r="C283" s="190"/>
      <c r="D283" s="190"/>
      <c r="E283" s="190"/>
      <c r="F283" s="190"/>
      <c r="G283" s="191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/>
      <c r="C284" s="190"/>
      <c r="D284" s="190"/>
      <c r="E284" s="190"/>
      <c r="F284" s="190"/>
      <c r="G284" s="191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/>
      <c r="C285" s="190"/>
      <c r="D285" s="190"/>
      <c r="E285" s="190"/>
      <c r="F285" s="190"/>
      <c r="G285" s="191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/>
      <c r="C286" s="190"/>
      <c r="D286" s="190"/>
      <c r="E286" s="190"/>
      <c r="F286" s="190"/>
      <c r="G286" s="191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/>
      <c r="C287" s="190"/>
      <c r="D287" s="190"/>
      <c r="E287" s="190"/>
      <c r="F287" s="190"/>
      <c r="G287" s="191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/>
      <c r="C288" s="190"/>
      <c r="D288" s="190"/>
      <c r="E288" s="190"/>
      <c r="F288" s="190"/>
      <c r="G288" s="191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/>
      <c r="C289" s="190"/>
      <c r="D289" s="190"/>
      <c r="E289" s="190"/>
      <c r="F289" s="190"/>
      <c r="G289" s="19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/>
      <c r="C290" s="190"/>
      <c r="D290" s="190"/>
      <c r="E290" s="190"/>
      <c r="F290" s="190"/>
      <c r="G290" s="191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/>
      <c r="C291" s="190"/>
      <c r="D291" s="190"/>
      <c r="E291" s="190"/>
      <c r="F291" s="190"/>
      <c r="G291" s="191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/>
      <c r="C292" s="190"/>
      <c r="D292" s="190"/>
      <c r="E292" s="190"/>
      <c r="F292" s="190"/>
      <c r="G292" s="191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/>
      <c r="C293" s="190"/>
      <c r="D293" s="190"/>
      <c r="E293" s="190"/>
      <c r="F293" s="190"/>
      <c r="G293" s="191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/>
      <c r="C294" s="190"/>
      <c r="D294" s="190"/>
      <c r="E294" s="190"/>
      <c r="F294" s="190"/>
      <c r="G294" s="191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/>
      <c r="C295" s="190"/>
      <c r="D295" s="190"/>
      <c r="E295" s="190"/>
      <c r="F295" s="190"/>
      <c r="G295" s="191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/>
      <c r="C296" s="190"/>
      <c r="D296" s="190"/>
      <c r="E296" s="190"/>
      <c r="F296" s="190"/>
      <c r="G296" s="19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/>
      <c r="C297" s="190"/>
      <c r="D297" s="190"/>
      <c r="E297" s="190"/>
      <c r="F297" s="190"/>
      <c r="G297" s="191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/>
      <c r="C298" s="190"/>
      <c r="D298" s="190"/>
      <c r="E298" s="190"/>
      <c r="F298" s="190"/>
      <c r="G298" s="191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/>
      <c r="C299" s="190"/>
      <c r="D299" s="190"/>
      <c r="E299" s="190"/>
      <c r="F299" s="190"/>
      <c r="G299" s="191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/>
      <c r="C300" s="190"/>
      <c r="D300" s="190"/>
      <c r="E300" s="190"/>
      <c r="F300" s="190"/>
      <c r="G300" s="191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/>
      <c r="C301" s="190"/>
      <c r="D301" s="190"/>
      <c r="E301" s="190"/>
      <c r="F301" s="190"/>
      <c r="G301" s="191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/>
      <c r="C302" s="190"/>
      <c r="D302" s="190"/>
      <c r="E302" s="190"/>
      <c r="F302" s="190"/>
      <c r="G302" s="191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/>
      <c r="C303" s="190"/>
      <c r="D303" s="190"/>
      <c r="E303" s="190"/>
      <c r="F303" s="190"/>
      <c r="G303" s="191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/>
      <c r="C304" s="190"/>
      <c r="D304" s="190"/>
      <c r="E304" s="190"/>
      <c r="F304" s="190"/>
      <c r="G304" s="19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/>
      <c r="C305" s="190"/>
      <c r="D305" s="190"/>
      <c r="E305" s="190"/>
      <c r="F305" s="190"/>
      <c r="G305" s="191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/>
      <c r="C306" s="190"/>
      <c r="D306" s="190"/>
      <c r="E306" s="190"/>
      <c r="F306" s="190"/>
      <c r="G306" s="191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/>
      <c r="C307" s="190"/>
      <c r="D307" s="190"/>
      <c r="E307" s="190"/>
      <c r="F307" s="190"/>
      <c r="G307" s="191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/>
      <c r="C308" s="190"/>
      <c r="D308" s="190"/>
      <c r="E308" s="190"/>
      <c r="F308" s="190"/>
      <c r="G308" s="191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/>
      <c r="C309" s="190"/>
      <c r="D309" s="190"/>
      <c r="E309" s="190"/>
      <c r="F309" s="190"/>
      <c r="G309" s="191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/>
      <c r="C310" s="190"/>
      <c r="D310" s="190"/>
      <c r="E310" s="190"/>
      <c r="F310" s="190"/>
      <c r="G310" s="191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/>
      <c r="C311" s="190"/>
      <c r="D311" s="190"/>
      <c r="E311" s="190"/>
      <c r="F311" s="190"/>
      <c r="G311" s="191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/>
      <c r="C312" s="190"/>
      <c r="D312" s="190"/>
      <c r="E312" s="190"/>
      <c r="F312" s="190"/>
      <c r="G312" s="191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/>
      <c r="C313" s="190"/>
      <c r="D313" s="190"/>
      <c r="E313" s="190"/>
      <c r="F313" s="190"/>
      <c r="G313" s="191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/>
      <c r="C314" s="190"/>
      <c r="D314" s="190"/>
      <c r="E314" s="190"/>
      <c r="F314" s="190"/>
      <c r="G314" s="191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/>
      <c r="C315" s="190"/>
      <c r="D315" s="190"/>
      <c r="E315" s="190"/>
      <c r="F315" s="190"/>
      <c r="G315" s="191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/>
      <c r="C316" s="190"/>
      <c r="D316" s="190"/>
      <c r="E316" s="190"/>
      <c r="F316" s="190"/>
      <c r="G316" s="191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/>
      <c r="C317" s="190"/>
      <c r="D317" s="190"/>
      <c r="E317" s="190"/>
      <c r="F317" s="190"/>
      <c r="G317" s="191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/>
      <c r="C318" s="190"/>
      <c r="D318" s="190"/>
      <c r="E318" s="190"/>
      <c r="F318" s="190"/>
      <c r="G318" s="191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/>
      <c r="C319" s="190"/>
      <c r="D319" s="190"/>
      <c r="E319" s="190"/>
      <c r="F319" s="190"/>
      <c r="G319" s="191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/>
      <c r="C320" s="190"/>
      <c r="D320" s="190"/>
      <c r="E320" s="190"/>
      <c r="F320" s="190"/>
      <c r="G320" s="191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/>
      <c r="C321" s="190"/>
      <c r="D321" s="190"/>
      <c r="E321" s="190"/>
      <c r="F321" s="190"/>
      <c r="G321" s="191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/>
      <c r="C322" s="190"/>
      <c r="D322" s="190"/>
      <c r="E322" s="190"/>
      <c r="F322" s="190"/>
      <c r="G322" s="191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/>
      <c r="C323" s="190"/>
      <c r="D323" s="190"/>
      <c r="E323" s="190"/>
      <c r="F323" s="190"/>
      <c r="G323" s="191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/>
      <c r="C324" s="190"/>
      <c r="D324" s="190"/>
      <c r="E324" s="190"/>
      <c r="F324" s="190"/>
      <c r="G324" s="191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/>
      <c r="C325" s="190"/>
      <c r="D325" s="190"/>
      <c r="E325" s="190"/>
      <c r="F325" s="190"/>
      <c r="G325" s="191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/>
      <c r="C326" s="190"/>
      <c r="D326" s="190"/>
      <c r="E326" s="190"/>
      <c r="F326" s="190"/>
      <c r="G326" s="191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/>
      <c r="C327" s="190"/>
      <c r="D327" s="190"/>
      <c r="E327" s="190"/>
      <c r="F327" s="190"/>
      <c r="G327" s="191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/>
      <c r="C328" s="190"/>
      <c r="D328" s="190"/>
      <c r="E328" s="190"/>
      <c r="F328" s="190"/>
      <c r="G328" s="191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/>
      <c r="C329" s="190"/>
      <c r="D329" s="190"/>
      <c r="E329" s="190"/>
      <c r="F329" s="190"/>
      <c r="G329" s="191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/>
      <c r="C330" s="190"/>
      <c r="D330" s="190"/>
      <c r="E330" s="190"/>
      <c r="F330" s="190"/>
      <c r="G330" s="191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/>
      <c r="C331" s="190"/>
      <c r="D331" s="190"/>
      <c r="E331" s="190"/>
      <c r="F331" s="190"/>
      <c r="G331" s="191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/>
      <c r="C332" s="190"/>
      <c r="D332" s="190"/>
      <c r="E332" s="190"/>
      <c r="F332" s="190"/>
      <c r="G332" s="191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/>
      <c r="C333" s="190"/>
      <c r="D333" s="190"/>
      <c r="E333" s="190"/>
      <c r="F333" s="190"/>
      <c r="G333" s="191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/>
      <c r="C334" s="190"/>
      <c r="D334" s="190"/>
      <c r="E334" s="190"/>
      <c r="F334" s="190"/>
      <c r="G334" s="191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/>
      <c r="C335" s="190"/>
      <c r="D335" s="190"/>
      <c r="E335" s="190"/>
      <c r="F335" s="190"/>
      <c r="G335" s="191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/>
      <c r="C336" s="190"/>
      <c r="D336" s="190"/>
      <c r="E336" s="190"/>
      <c r="F336" s="190"/>
      <c r="G336" s="191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/>
      <c r="C337" s="190"/>
      <c r="D337" s="190"/>
      <c r="E337" s="190"/>
      <c r="F337" s="190"/>
      <c r="G337" s="191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/>
      <c r="C338" s="190"/>
      <c r="D338" s="190"/>
      <c r="E338" s="190"/>
      <c r="F338" s="190"/>
      <c r="G338" s="191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/>
      <c r="C339" s="190"/>
      <c r="D339" s="190"/>
      <c r="E339" s="190"/>
      <c r="F339" s="190"/>
      <c r="G339" s="191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/>
      <c r="C340" s="190"/>
      <c r="D340" s="190"/>
      <c r="E340" s="190"/>
      <c r="F340" s="190"/>
      <c r="G340" s="191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/>
      <c r="C341" s="190"/>
      <c r="D341" s="190"/>
      <c r="E341" s="190"/>
      <c r="F341" s="190"/>
      <c r="G341" s="191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/>
      <c r="C342" s="190"/>
      <c r="D342" s="190"/>
      <c r="E342" s="190"/>
      <c r="F342" s="190"/>
      <c r="G342" s="191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/>
      <c r="C343" s="190"/>
      <c r="D343" s="190"/>
      <c r="E343" s="190"/>
      <c r="F343" s="190"/>
      <c r="G343" s="191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/>
      <c r="C344" s="190"/>
      <c r="D344" s="190"/>
      <c r="E344" s="190"/>
      <c r="F344" s="190"/>
      <c r="G344" s="191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/>
      <c r="C345" s="190"/>
      <c r="D345" s="190"/>
      <c r="E345" s="190"/>
      <c r="F345" s="190"/>
      <c r="G345" s="191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/>
      <c r="C346" s="190"/>
      <c r="D346" s="190"/>
      <c r="E346" s="190"/>
      <c r="F346" s="190"/>
      <c r="G346" s="191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/>
      <c r="C347" s="190"/>
      <c r="D347" s="190"/>
      <c r="E347" s="190"/>
      <c r="F347" s="190"/>
      <c r="G347" s="191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/>
      <c r="C348" s="190"/>
      <c r="D348" s="190"/>
      <c r="E348" s="190"/>
      <c r="F348" s="190"/>
      <c r="G348" s="191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/>
      <c r="C349" s="190"/>
      <c r="D349" s="190"/>
      <c r="E349" s="190"/>
      <c r="F349" s="190"/>
      <c r="G349" s="191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/>
      <c r="C350" s="190"/>
      <c r="D350" s="190"/>
      <c r="E350" s="190"/>
      <c r="F350" s="190"/>
      <c r="G350" s="191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/>
      <c r="C351" s="190"/>
      <c r="D351" s="190"/>
      <c r="E351" s="190"/>
      <c r="F351" s="190"/>
      <c r="G351" s="191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/>
      <c r="C352" s="190"/>
      <c r="D352" s="190"/>
      <c r="E352" s="190"/>
      <c r="F352" s="190"/>
      <c r="G352" s="191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/>
      <c r="C353" s="190"/>
      <c r="D353" s="190"/>
      <c r="E353" s="190"/>
      <c r="F353" s="190"/>
      <c r="G353" s="191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/>
      <c r="C354" s="190"/>
      <c r="D354" s="190"/>
      <c r="E354" s="190"/>
      <c r="F354" s="190"/>
      <c r="G354" s="191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/>
      <c r="C355" s="190"/>
      <c r="D355" s="190"/>
      <c r="E355" s="190"/>
      <c r="F355" s="190"/>
      <c r="G355" s="191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/>
      <c r="C356" s="190"/>
      <c r="D356" s="190"/>
      <c r="E356" s="190"/>
      <c r="F356" s="190"/>
      <c r="G356" s="191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/>
      <c r="C357" s="190"/>
      <c r="D357" s="190"/>
      <c r="E357" s="190"/>
      <c r="F357" s="190"/>
      <c r="G357" s="191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/>
      <c r="C358" s="190"/>
      <c r="D358" s="190"/>
      <c r="E358" s="190"/>
      <c r="F358" s="190"/>
      <c r="G358" s="191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/>
      <c r="C359" s="190"/>
      <c r="D359" s="190"/>
      <c r="E359" s="190"/>
      <c r="F359" s="190"/>
      <c r="G359" s="191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/>
      <c r="C360" s="190"/>
      <c r="D360" s="190"/>
      <c r="E360" s="190"/>
      <c r="F360" s="190"/>
      <c r="G360" s="191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/>
      <c r="C361" s="190"/>
      <c r="D361" s="190"/>
      <c r="E361" s="190"/>
      <c r="F361" s="190"/>
      <c r="G361" s="191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/>
      <c r="C362" s="190"/>
      <c r="D362" s="190"/>
      <c r="E362" s="190"/>
      <c r="F362" s="190"/>
      <c r="G362" s="191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/>
      <c r="C363" s="190"/>
      <c r="D363" s="190"/>
      <c r="E363" s="190"/>
      <c r="F363" s="190"/>
      <c r="G363" s="191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/>
      <c r="C364" s="190"/>
      <c r="D364" s="190"/>
      <c r="E364" s="190"/>
      <c r="F364" s="190"/>
      <c r="G364" s="191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/>
      <c r="C365" s="190"/>
      <c r="D365" s="190"/>
      <c r="E365" s="190"/>
      <c r="F365" s="190"/>
      <c r="G365" s="191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/>
      <c r="C366" s="190"/>
      <c r="D366" s="190"/>
      <c r="E366" s="190"/>
      <c r="F366" s="190"/>
      <c r="G366" s="191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/>
      <c r="C367" s="190"/>
      <c r="D367" s="190"/>
      <c r="E367" s="190"/>
      <c r="F367" s="190"/>
      <c r="G367" s="191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/>
      <c r="C368" s="190"/>
      <c r="D368" s="190"/>
      <c r="E368" s="190"/>
      <c r="F368" s="190"/>
      <c r="G368" s="191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/>
      <c r="C369" s="190"/>
      <c r="D369" s="190"/>
      <c r="E369" s="190"/>
      <c r="F369" s="190"/>
      <c r="G369" s="191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/>
      <c r="C370" s="190"/>
      <c r="D370" s="190"/>
      <c r="E370" s="190"/>
      <c r="F370" s="190"/>
      <c r="G370" s="191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/>
      <c r="C371" s="190"/>
      <c r="D371" s="190"/>
      <c r="E371" s="190"/>
      <c r="F371" s="190"/>
      <c r="G371" s="191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/>
      <c r="C372" s="190"/>
      <c r="D372" s="190"/>
      <c r="E372" s="190"/>
      <c r="F372" s="190"/>
      <c r="G372" s="191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/>
      <c r="C373" s="190"/>
      <c r="D373" s="190"/>
      <c r="E373" s="190"/>
      <c r="F373" s="190"/>
      <c r="G373" s="191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/>
      <c r="C374" s="190"/>
      <c r="D374" s="190"/>
      <c r="E374" s="190"/>
      <c r="F374" s="190"/>
      <c r="G374" s="191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/>
      <c r="C375" s="190"/>
      <c r="D375" s="190"/>
      <c r="E375" s="190"/>
      <c r="F375" s="190"/>
      <c r="G375" s="191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/>
      <c r="C376" s="190"/>
      <c r="D376" s="190"/>
      <c r="E376" s="190"/>
      <c r="F376" s="190"/>
      <c r="G376" s="191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/>
      <c r="C377" s="190"/>
      <c r="D377" s="190"/>
      <c r="E377" s="190"/>
      <c r="F377" s="190"/>
      <c r="G377" s="191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/>
      <c r="C378" s="190"/>
      <c r="D378" s="190"/>
      <c r="E378" s="190"/>
      <c r="F378" s="190"/>
      <c r="G378" s="19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/>
      <c r="C379" s="190"/>
      <c r="D379" s="190"/>
      <c r="E379" s="190"/>
      <c r="F379" s="190"/>
      <c r="G379" s="191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/>
      <c r="C380" s="190"/>
      <c r="D380" s="190"/>
      <c r="E380" s="190"/>
      <c r="F380" s="190"/>
      <c r="G380" s="191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/>
      <c r="C381" s="190"/>
      <c r="D381" s="190"/>
      <c r="E381" s="190"/>
      <c r="F381" s="190"/>
      <c r="G381" s="191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/>
      <c r="C382" s="190"/>
      <c r="D382" s="190"/>
      <c r="E382" s="190"/>
      <c r="F382" s="190"/>
      <c r="G382" s="191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/>
      <c r="C383" s="190"/>
      <c r="D383" s="190"/>
      <c r="E383" s="190"/>
      <c r="F383" s="190"/>
      <c r="G383" s="191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/>
      <c r="C384" s="190"/>
      <c r="D384" s="190"/>
      <c r="E384" s="190"/>
      <c r="F384" s="190"/>
      <c r="G384" s="191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/>
      <c r="C385" s="190"/>
      <c r="D385" s="190"/>
      <c r="E385" s="190"/>
      <c r="F385" s="190"/>
      <c r="G385" s="191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/>
      <c r="C386" s="190"/>
      <c r="D386" s="190"/>
      <c r="E386" s="190"/>
      <c r="F386" s="190"/>
      <c r="G386" s="191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/>
      <c r="C387" s="190"/>
      <c r="D387" s="190"/>
      <c r="E387" s="190"/>
      <c r="F387" s="190"/>
      <c r="G387" s="191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/>
      <c r="C388" s="190"/>
      <c r="D388" s="190"/>
      <c r="E388" s="190"/>
      <c r="F388" s="190"/>
      <c r="G388" s="191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/>
      <c r="C389" s="190"/>
      <c r="D389" s="190"/>
      <c r="E389" s="190"/>
      <c r="F389" s="190"/>
      <c r="G389" s="191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/>
      <c r="C390" s="190"/>
      <c r="D390" s="190"/>
      <c r="E390" s="190"/>
      <c r="F390" s="190"/>
      <c r="G390" s="191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/>
      <c r="C391" s="190"/>
      <c r="D391" s="190"/>
      <c r="E391" s="190"/>
      <c r="F391" s="190"/>
      <c r="G391" s="191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/>
      <c r="C392" s="190"/>
      <c r="D392" s="190"/>
      <c r="E392" s="190"/>
      <c r="F392" s="190"/>
      <c r="G392" s="191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/>
      <c r="C393" s="190"/>
      <c r="D393" s="190"/>
      <c r="E393" s="190"/>
      <c r="F393" s="190"/>
      <c r="G393" s="191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/>
      <c r="C394" s="190"/>
      <c r="D394" s="190"/>
      <c r="E394" s="190"/>
      <c r="F394" s="190"/>
      <c r="G394" s="191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/>
      <c r="C395" s="190"/>
      <c r="D395" s="190"/>
      <c r="E395" s="190"/>
      <c r="F395" s="190"/>
      <c r="G395" s="191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/>
      <c r="C396" s="190"/>
      <c r="D396" s="190"/>
      <c r="E396" s="190"/>
      <c r="F396" s="190"/>
      <c r="G396" s="191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/>
      <c r="C397" s="190"/>
      <c r="D397" s="190"/>
      <c r="E397" s="190"/>
      <c r="F397" s="190"/>
      <c r="G397" s="191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/>
      <c r="C398" s="190"/>
      <c r="D398" s="190"/>
      <c r="E398" s="190"/>
      <c r="F398" s="190"/>
      <c r="G398" s="191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/>
      <c r="C399" s="190"/>
      <c r="D399" s="190"/>
      <c r="E399" s="190"/>
      <c r="F399" s="190"/>
      <c r="G399" s="191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/>
      <c r="C400" s="190"/>
      <c r="D400" s="190"/>
      <c r="E400" s="190"/>
      <c r="F400" s="190"/>
      <c r="G400" s="191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/>
      <c r="C401" s="190"/>
      <c r="D401" s="190"/>
      <c r="E401" s="190"/>
      <c r="F401" s="190"/>
      <c r="G401" s="191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/>
      <c r="C402" s="190"/>
      <c r="D402" s="190"/>
      <c r="E402" s="190"/>
      <c r="F402" s="190"/>
      <c r="G402" s="191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/>
      <c r="C403" s="190"/>
      <c r="D403" s="190"/>
      <c r="E403" s="190"/>
      <c r="F403" s="190"/>
      <c r="G403" s="191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/>
      <c r="C404" s="190"/>
      <c r="D404" s="190"/>
      <c r="E404" s="190"/>
      <c r="F404" s="190"/>
      <c r="G404" s="191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/>
      <c r="C405" s="190"/>
      <c r="D405" s="190"/>
      <c r="E405" s="190"/>
      <c r="F405" s="190"/>
      <c r="G405" s="191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/>
      <c r="C406" s="190"/>
      <c r="D406" s="190"/>
      <c r="E406" s="190"/>
      <c r="F406" s="190"/>
      <c r="G406" s="191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/>
      <c r="C407" s="190"/>
      <c r="D407" s="190"/>
      <c r="E407" s="190"/>
      <c r="F407" s="190"/>
      <c r="G407" s="191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/>
      <c r="C408" s="190"/>
      <c r="D408" s="190"/>
      <c r="E408" s="190"/>
      <c r="F408" s="190"/>
      <c r="G408" s="191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/>
      <c r="C409" s="190"/>
      <c r="D409" s="190"/>
      <c r="E409" s="190"/>
      <c r="F409" s="190"/>
      <c r="G409" s="191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/>
      <c r="C410" s="190"/>
      <c r="D410" s="190"/>
      <c r="E410" s="190"/>
      <c r="F410" s="190"/>
      <c r="G410" s="191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/>
      <c r="C411" s="190"/>
      <c r="D411" s="190"/>
      <c r="E411" s="190"/>
      <c r="F411" s="190"/>
      <c r="G411" s="191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/>
      <c r="C412" s="190"/>
      <c r="D412" s="190"/>
      <c r="E412" s="190"/>
      <c r="F412" s="190"/>
      <c r="G412" s="191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/>
      <c r="C413" s="190"/>
      <c r="D413" s="190"/>
      <c r="E413" s="190"/>
      <c r="F413" s="190"/>
      <c r="G413" s="191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/>
      <c r="C414" s="190"/>
      <c r="D414" s="190"/>
      <c r="E414" s="190"/>
      <c r="F414" s="190"/>
      <c r="G414" s="191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/>
      <c r="C415" s="190"/>
      <c r="D415" s="190"/>
      <c r="E415" s="190"/>
      <c r="F415" s="190"/>
      <c r="G415" s="191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/>
      <c r="C416" s="190"/>
      <c r="D416" s="190"/>
      <c r="E416" s="190"/>
      <c r="F416" s="190"/>
      <c r="G416" s="191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/>
      <c r="C417" s="190"/>
      <c r="D417" s="190"/>
      <c r="E417" s="190"/>
      <c r="F417" s="190"/>
      <c r="G417" s="191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/>
      <c r="C418" s="190"/>
      <c r="D418" s="190"/>
      <c r="E418" s="190"/>
      <c r="F418" s="190"/>
      <c r="G418" s="191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/>
      <c r="C419" s="190"/>
      <c r="D419" s="190"/>
      <c r="E419" s="190"/>
      <c r="F419" s="190"/>
      <c r="G419" s="191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/>
      <c r="C420" s="190"/>
      <c r="D420" s="190"/>
      <c r="E420" s="190"/>
      <c r="F420" s="190"/>
      <c r="G420" s="191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/>
      <c r="C421" s="190"/>
      <c r="D421" s="190"/>
      <c r="E421" s="190"/>
      <c r="F421" s="190"/>
      <c r="G421" s="191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/>
      <c r="C422" s="190"/>
      <c r="D422" s="190"/>
      <c r="E422" s="190"/>
      <c r="F422" s="190"/>
      <c r="G422" s="191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/>
      <c r="C423" s="190"/>
      <c r="D423" s="190"/>
      <c r="E423" s="190"/>
      <c r="F423" s="190"/>
      <c r="G423" s="191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/>
      <c r="C424" s="190"/>
      <c r="D424" s="190"/>
      <c r="E424" s="190"/>
      <c r="F424" s="190"/>
      <c r="G424" s="191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/>
      <c r="C425" s="190"/>
      <c r="D425" s="190"/>
      <c r="E425" s="190"/>
      <c r="F425" s="190"/>
      <c r="G425" s="191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/>
      <c r="C426" s="190"/>
      <c r="D426" s="190"/>
      <c r="E426" s="190"/>
      <c r="F426" s="190"/>
      <c r="G426" s="191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/>
      <c r="C427" s="190"/>
      <c r="D427" s="190"/>
      <c r="E427" s="190"/>
      <c r="F427" s="190"/>
      <c r="G427" s="191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/>
      <c r="C428" s="190"/>
      <c r="D428" s="190"/>
      <c r="E428" s="190"/>
      <c r="F428" s="190"/>
      <c r="G428" s="191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/>
      <c r="C429" s="190"/>
      <c r="D429" s="190"/>
      <c r="E429" s="190"/>
      <c r="F429" s="190"/>
      <c r="G429" s="191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/>
      <c r="C430" s="190"/>
      <c r="D430" s="190"/>
      <c r="E430" s="190"/>
      <c r="F430" s="190"/>
      <c r="G430" s="191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/>
      <c r="C431" s="190"/>
      <c r="D431" s="190"/>
      <c r="E431" s="190"/>
      <c r="F431" s="190"/>
      <c r="G431" s="191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/>
      <c r="C432" s="190"/>
      <c r="D432" s="190"/>
      <c r="E432" s="190"/>
      <c r="F432" s="190"/>
      <c r="G432" s="191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/>
      <c r="C433" s="190"/>
      <c r="D433" s="190"/>
      <c r="E433" s="190"/>
      <c r="F433" s="190"/>
      <c r="G433" s="191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/>
      <c r="C434" s="190"/>
      <c r="D434" s="190"/>
      <c r="E434" s="190"/>
      <c r="F434" s="190"/>
      <c r="G434" s="191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/>
      <c r="C435" s="190"/>
      <c r="D435" s="190"/>
      <c r="E435" s="190"/>
      <c r="F435" s="190"/>
      <c r="G435" s="191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/>
      <c r="C436" s="190"/>
      <c r="D436" s="190"/>
      <c r="E436" s="190"/>
      <c r="F436" s="190"/>
      <c r="G436" s="191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/>
      <c r="C437" s="190"/>
      <c r="D437" s="190"/>
      <c r="E437" s="190"/>
      <c r="F437" s="190"/>
      <c r="G437" s="191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/>
      <c r="C438" s="190"/>
      <c r="D438" s="190"/>
      <c r="E438" s="190"/>
      <c r="F438" s="190"/>
      <c r="G438" s="191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/>
      <c r="C439" s="190"/>
      <c r="D439" s="190"/>
      <c r="E439" s="190"/>
      <c r="F439" s="190"/>
      <c r="G439" s="191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/>
      <c r="C440" s="190"/>
      <c r="D440" s="190"/>
      <c r="E440" s="190"/>
      <c r="F440" s="190"/>
      <c r="G440" s="191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/>
      <c r="C441" s="190"/>
      <c r="D441" s="190"/>
      <c r="E441" s="190"/>
      <c r="F441" s="190"/>
      <c r="G441" s="191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/>
      <c r="C442" s="190"/>
      <c r="D442" s="190"/>
      <c r="E442" s="190"/>
      <c r="F442" s="190"/>
      <c r="G442" s="191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/>
      <c r="C443" s="190"/>
      <c r="D443" s="190"/>
      <c r="E443" s="190"/>
      <c r="F443" s="190"/>
      <c r="G443" s="191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/>
      <c r="C444" s="190"/>
      <c r="D444" s="190"/>
      <c r="E444" s="190"/>
      <c r="F444" s="190"/>
      <c r="G444" s="191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/>
      <c r="C445" s="190"/>
      <c r="D445" s="190"/>
      <c r="E445" s="190"/>
      <c r="F445" s="190"/>
      <c r="G445" s="191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/>
      <c r="C446" s="190"/>
      <c r="D446" s="190"/>
      <c r="E446" s="190"/>
      <c r="F446" s="190"/>
      <c r="G446" s="191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/>
      <c r="C447" s="190"/>
      <c r="D447" s="190"/>
      <c r="E447" s="190"/>
      <c r="F447" s="190"/>
      <c r="G447" s="191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/>
      <c r="C448" s="190"/>
      <c r="D448" s="190"/>
      <c r="E448" s="190"/>
      <c r="F448" s="190"/>
      <c r="G448" s="191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/>
      <c r="C449" s="190"/>
      <c r="D449" s="190"/>
      <c r="E449" s="190"/>
      <c r="F449" s="190"/>
      <c r="G449" s="191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/>
      <c r="C450" s="190"/>
      <c r="D450" s="190"/>
      <c r="E450" s="190"/>
      <c r="F450" s="190"/>
      <c r="G450" s="191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/>
      <c r="C451" s="190"/>
      <c r="D451" s="190"/>
      <c r="E451" s="190"/>
      <c r="F451" s="190"/>
      <c r="G451" s="191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/>
      <c r="C452" s="190"/>
      <c r="D452" s="190"/>
      <c r="E452" s="190"/>
      <c r="F452" s="190"/>
      <c r="G452" s="191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/>
      <c r="C453" s="190"/>
      <c r="D453" s="190"/>
      <c r="E453" s="190"/>
      <c r="F453" s="190"/>
      <c r="G453" s="191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/>
      <c r="C454" s="190"/>
      <c r="D454" s="190"/>
      <c r="E454" s="190"/>
      <c r="F454" s="190"/>
      <c r="G454" s="191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/>
      <c r="C455" s="190"/>
      <c r="D455" s="190"/>
      <c r="E455" s="190"/>
      <c r="F455" s="190"/>
      <c r="G455" s="191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/>
      <c r="C456" s="190"/>
      <c r="D456" s="190"/>
      <c r="E456" s="190"/>
      <c r="F456" s="190"/>
      <c r="G456" s="191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/>
      <c r="C457" s="190"/>
      <c r="D457" s="190"/>
      <c r="E457" s="190"/>
      <c r="F457" s="190"/>
      <c r="G457" s="191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/>
      <c r="C458" s="190"/>
      <c r="D458" s="190"/>
      <c r="E458" s="190"/>
      <c r="F458" s="190"/>
      <c r="G458" s="191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/>
      <c r="C459" s="190"/>
      <c r="D459" s="190"/>
      <c r="E459" s="190"/>
      <c r="F459" s="190"/>
      <c r="G459" s="191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/>
      <c r="C460" s="190"/>
      <c r="D460" s="190"/>
      <c r="E460" s="190"/>
      <c r="F460" s="190"/>
      <c r="G460" s="191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/>
      <c r="C461" s="190"/>
      <c r="D461" s="190"/>
      <c r="E461" s="190"/>
      <c r="F461" s="190"/>
      <c r="G461" s="191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/>
      <c r="C462" s="190"/>
      <c r="D462" s="190"/>
      <c r="E462" s="190"/>
      <c r="F462" s="190"/>
      <c r="G462" s="191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/>
      <c r="C463" s="190"/>
      <c r="D463" s="190"/>
      <c r="E463" s="190"/>
      <c r="F463" s="190"/>
      <c r="G463" s="191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/>
      <c r="C464" s="190"/>
      <c r="D464" s="190"/>
      <c r="E464" s="190"/>
      <c r="F464" s="190"/>
      <c r="G464" s="191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/>
      <c r="C465" s="190"/>
      <c r="D465" s="190"/>
      <c r="E465" s="190"/>
      <c r="F465" s="190"/>
      <c r="G465" s="191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/>
      <c r="C466" s="190"/>
      <c r="D466" s="190"/>
      <c r="E466" s="190"/>
      <c r="F466" s="190"/>
      <c r="G466" s="191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/>
      <c r="C467" s="190"/>
      <c r="D467" s="190"/>
      <c r="E467" s="190"/>
      <c r="F467" s="190"/>
      <c r="G467" s="191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/>
      <c r="C468" s="190"/>
      <c r="D468" s="190"/>
      <c r="E468" s="190"/>
      <c r="F468" s="190"/>
      <c r="G468" s="191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/>
      <c r="C469" s="190"/>
      <c r="D469" s="190"/>
      <c r="E469" s="190"/>
      <c r="F469" s="190"/>
      <c r="G469" s="191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/>
      <c r="C470" s="190"/>
      <c r="D470" s="190"/>
      <c r="E470" s="190"/>
      <c r="F470" s="190"/>
      <c r="G470" s="191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/>
      <c r="C471" s="190"/>
      <c r="D471" s="190"/>
      <c r="E471" s="190"/>
      <c r="F471" s="190"/>
      <c r="G471" s="191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/>
      <c r="C472" s="190"/>
      <c r="D472" s="190"/>
      <c r="E472" s="190"/>
      <c r="F472" s="190"/>
      <c r="G472" s="191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/>
      <c r="C473" s="190"/>
      <c r="D473" s="190"/>
      <c r="E473" s="190"/>
      <c r="F473" s="190"/>
      <c r="G473" s="191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/>
      <c r="C474" s="190"/>
      <c r="D474" s="190"/>
      <c r="E474" s="190"/>
      <c r="F474" s="190"/>
      <c r="G474" s="191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/>
      <c r="C475" s="190"/>
      <c r="D475" s="190"/>
      <c r="E475" s="190"/>
      <c r="F475" s="190"/>
      <c r="G475" s="191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/>
      <c r="C476" s="190"/>
      <c r="D476" s="190"/>
      <c r="E476" s="190"/>
      <c r="F476" s="190"/>
      <c r="G476" s="191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/>
      <c r="C477" s="190"/>
      <c r="D477" s="190"/>
      <c r="E477" s="190"/>
      <c r="F477" s="190"/>
      <c r="G477" s="191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/>
      <c r="C478" s="190"/>
      <c r="D478" s="190"/>
      <c r="E478" s="190"/>
      <c r="F478" s="190"/>
      <c r="G478" s="191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/>
      <c r="C479" s="190"/>
      <c r="D479" s="190"/>
      <c r="E479" s="190"/>
      <c r="F479" s="190"/>
      <c r="G479" s="191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/>
      <c r="C480" s="190"/>
      <c r="D480" s="190"/>
      <c r="E480" s="190"/>
      <c r="F480" s="190"/>
      <c r="G480" s="191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/>
      <c r="C481" s="190"/>
      <c r="D481" s="190"/>
      <c r="E481" s="190"/>
      <c r="F481" s="190"/>
      <c r="G481" s="191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/>
      <c r="C482" s="190"/>
      <c r="D482" s="190"/>
      <c r="E482" s="190"/>
      <c r="F482" s="190"/>
      <c r="G482" s="191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/>
      <c r="C483" s="190"/>
      <c r="D483" s="190"/>
      <c r="E483" s="190"/>
      <c r="F483" s="190"/>
      <c r="G483" s="191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/>
      <c r="C484" s="190"/>
      <c r="D484" s="190"/>
      <c r="E484" s="190"/>
      <c r="F484" s="190"/>
      <c r="G484" s="191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/>
      <c r="C485" s="190"/>
      <c r="D485" s="190"/>
      <c r="E485" s="190"/>
      <c r="F485" s="190"/>
      <c r="G485" s="191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/>
      <c r="C486" s="190"/>
      <c r="D486" s="190"/>
      <c r="E486" s="190"/>
      <c r="F486" s="190"/>
      <c r="G486" s="191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/>
      <c r="C487" s="190"/>
      <c r="D487" s="190"/>
      <c r="E487" s="190"/>
      <c r="F487" s="190"/>
      <c r="G487" s="191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/>
      <c r="C488" s="190"/>
      <c r="D488" s="190"/>
      <c r="E488" s="190"/>
      <c r="F488" s="190"/>
      <c r="G488" s="191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/>
      <c r="C489" s="190"/>
      <c r="D489" s="190"/>
      <c r="E489" s="190"/>
      <c r="F489" s="190"/>
      <c r="G489" s="191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/>
      <c r="C490" s="190"/>
      <c r="D490" s="190"/>
      <c r="E490" s="190"/>
      <c r="F490" s="190"/>
      <c r="G490" s="191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/>
      <c r="C491" s="190"/>
      <c r="D491" s="190"/>
      <c r="E491" s="190"/>
      <c r="F491" s="190"/>
      <c r="G491" s="191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/>
      <c r="C492" s="190"/>
      <c r="D492" s="190"/>
      <c r="E492" s="190"/>
      <c r="F492" s="190"/>
      <c r="G492" s="191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/>
      <c r="C493" s="190"/>
      <c r="D493" s="190"/>
      <c r="E493" s="190"/>
      <c r="F493" s="190"/>
      <c r="G493" s="191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/>
      <c r="C494" s="190"/>
      <c r="D494" s="190"/>
      <c r="E494" s="190"/>
      <c r="F494" s="190"/>
      <c r="G494" s="191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/>
      <c r="C495" s="190"/>
      <c r="D495" s="190"/>
      <c r="E495" s="190"/>
      <c r="F495" s="190"/>
      <c r="G495" s="191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/>
      <c r="C496" s="190"/>
      <c r="D496" s="190"/>
      <c r="E496" s="190"/>
      <c r="F496" s="190"/>
      <c r="G496" s="191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/>
      <c r="C497" s="190"/>
      <c r="D497" s="190"/>
      <c r="E497" s="190"/>
      <c r="F497" s="190"/>
      <c r="G497" s="191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/>
      <c r="C498" s="190"/>
      <c r="D498" s="190"/>
      <c r="E498" s="190"/>
      <c r="F498" s="190"/>
      <c r="G498" s="191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/>
      <c r="C499" s="190"/>
      <c r="D499" s="190"/>
      <c r="E499" s="190"/>
      <c r="F499" s="190"/>
      <c r="G499" s="191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/>
      <c r="C500" s="190"/>
      <c r="D500" s="190"/>
      <c r="E500" s="190"/>
      <c r="F500" s="190"/>
      <c r="G500" s="191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/>
      <c r="C501" s="190"/>
      <c r="D501" s="190"/>
      <c r="E501" s="190"/>
      <c r="F501" s="190"/>
      <c r="G501" s="191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/>
      <c r="C502" s="190"/>
      <c r="D502" s="190"/>
      <c r="E502" s="190"/>
      <c r="F502" s="190"/>
      <c r="G502" s="191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/>
      <c r="C503" s="190"/>
      <c r="D503" s="190"/>
      <c r="E503" s="190"/>
      <c r="F503" s="190"/>
      <c r="G503" s="191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/>
      <c r="C504" s="190"/>
      <c r="D504" s="190"/>
      <c r="E504" s="190"/>
      <c r="F504" s="190"/>
      <c r="G504" s="191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/>
      <c r="C505" s="190"/>
      <c r="D505" s="190"/>
      <c r="E505" s="190"/>
      <c r="F505" s="190"/>
      <c r="G505" s="191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/>
      <c r="C506" s="190"/>
      <c r="D506" s="190"/>
      <c r="E506" s="190"/>
      <c r="F506" s="190"/>
      <c r="G506" s="191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/>
      <c r="C507" s="190"/>
      <c r="D507" s="190"/>
      <c r="E507" s="190"/>
      <c r="F507" s="190"/>
      <c r="G507" s="191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/>
      <c r="C508" s="190"/>
      <c r="D508" s="190"/>
      <c r="E508" s="190"/>
      <c r="F508" s="190"/>
      <c r="G508" s="191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/>
      <c r="C509" s="190"/>
      <c r="D509" s="190"/>
      <c r="E509" s="190"/>
      <c r="F509" s="190"/>
      <c r="G509" s="191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/>
      <c r="C510" s="190"/>
      <c r="D510" s="190"/>
      <c r="E510" s="190"/>
      <c r="F510" s="190"/>
      <c r="G510" s="191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/>
      <c r="C511" s="190"/>
      <c r="D511" s="190"/>
      <c r="E511" s="190"/>
      <c r="F511" s="190"/>
      <c r="G511" s="191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/>
      <c r="C512" s="190"/>
      <c r="D512" s="190"/>
      <c r="E512" s="190"/>
      <c r="F512" s="190"/>
      <c r="G512" s="191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/>
      <c r="C513" s="190"/>
      <c r="D513" s="190"/>
      <c r="E513" s="190"/>
      <c r="F513" s="190"/>
      <c r="G513" s="191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/>
      <c r="C514" s="190"/>
      <c r="D514" s="190"/>
      <c r="E514" s="190"/>
      <c r="F514" s="190"/>
      <c r="G514" s="191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/>
      <c r="C515" s="190"/>
      <c r="D515" s="190"/>
      <c r="E515" s="190"/>
      <c r="F515" s="190"/>
      <c r="G515" s="191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/>
      <c r="C516" s="190"/>
      <c r="D516" s="190"/>
      <c r="E516" s="190"/>
      <c r="F516" s="190"/>
      <c r="G516" s="191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/>
      <c r="C517" s="190"/>
      <c r="D517" s="190"/>
      <c r="E517" s="190"/>
      <c r="F517" s="190"/>
      <c r="G517" s="191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/>
      <c r="C518" s="190"/>
      <c r="D518" s="190"/>
      <c r="E518" s="190"/>
      <c r="F518" s="190"/>
      <c r="G518" s="191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/>
      <c r="C519" s="190"/>
      <c r="D519" s="190"/>
      <c r="E519" s="190"/>
      <c r="F519" s="190"/>
      <c r="G519" s="191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/>
      <c r="C520" s="190"/>
      <c r="D520" s="190"/>
      <c r="E520" s="190"/>
      <c r="F520" s="190"/>
      <c r="G520" s="191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/>
      <c r="C521" s="190"/>
      <c r="D521" s="190"/>
      <c r="E521" s="190"/>
      <c r="F521" s="190"/>
      <c r="G521" s="191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/>
      <c r="C522" s="190"/>
      <c r="D522" s="190"/>
      <c r="E522" s="190"/>
      <c r="F522" s="190"/>
      <c r="G522" s="191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/>
      <c r="C523" s="190"/>
      <c r="D523" s="190"/>
      <c r="E523" s="190"/>
      <c r="F523" s="190"/>
      <c r="G523" s="191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/>
      <c r="C524" s="190"/>
      <c r="D524" s="190"/>
      <c r="E524" s="190"/>
      <c r="F524" s="190"/>
      <c r="G524" s="191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/>
      <c r="C525" s="190"/>
      <c r="D525" s="190"/>
      <c r="E525" s="190"/>
      <c r="F525" s="190"/>
      <c r="G525" s="191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/>
      <c r="C526" s="190"/>
      <c r="D526" s="190"/>
      <c r="E526" s="190"/>
      <c r="F526" s="190"/>
      <c r="G526" s="191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/>
      <c r="C527" s="190"/>
      <c r="D527" s="190"/>
      <c r="E527" s="190"/>
      <c r="F527" s="190"/>
      <c r="G527" s="191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/>
      <c r="C528" s="190"/>
      <c r="D528" s="190"/>
      <c r="E528" s="190"/>
      <c r="F528" s="190"/>
      <c r="G528" s="191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/>
      <c r="C529" s="190"/>
      <c r="D529" s="190"/>
      <c r="E529" s="190"/>
      <c r="F529" s="190"/>
      <c r="G529" s="191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/>
      <c r="C530" s="190"/>
      <c r="D530" s="190"/>
      <c r="E530" s="190"/>
      <c r="F530" s="190"/>
      <c r="G530" s="191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/>
      <c r="C531" s="190"/>
      <c r="D531" s="190"/>
      <c r="E531" s="190"/>
      <c r="F531" s="190"/>
      <c r="G531" s="191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/>
      <c r="C532" s="190"/>
      <c r="D532" s="190"/>
      <c r="E532" s="190"/>
      <c r="F532" s="190"/>
      <c r="G532" s="191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/>
      <c r="C533" s="190"/>
      <c r="D533" s="190"/>
      <c r="E533" s="190"/>
      <c r="F533" s="190"/>
      <c r="G533" s="191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/>
      <c r="C534" s="190"/>
      <c r="D534" s="190"/>
      <c r="E534" s="190"/>
      <c r="F534" s="190"/>
      <c r="G534" s="191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/>
      <c r="C535" s="190"/>
      <c r="D535" s="190"/>
      <c r="E535" s="190"/>
      <c r="F535" s="190"/>
      <c r="G535" s="191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/>
      <c r="C536" s="190"/>
      <c r="D536" s="190"/>
      <c r="E536" s="190"/>
      <c r="F536" s="190"/>
      <c r="G536" s="191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/>
      <c r="C537" s="190"/>
      <c r="D537" s="190"/>
      <c r="E537" s="190"/>
      <c r="F537" s="190"/>
      <c r="G537" s="191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/>
      <c r="C538" s="190"/>
      <c r="D538" s="190"/>
      <c r="E538" s="190"/>
      <c r="F538" s="190"/>
      <c r="G538" s="191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/>
      <c r="C539" s="190"/>
      <c r="D539" s="190"/>
      <c r="E539" s="190"/>
      <c r="F539" s="190"/>
      <c r="G539" s="191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/>
      <c r="C540" s="190"/>
      <c r="D540" s="190"/>
      <c r="E540" s="190"/>
      <c r="F540" s="190"/>
      <c r="G540" s="191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/>
      <c r="C541" s="190"/>
      <c r="D541" s="190"/>
      <c r="E541" s="190"/>
      <c r="F541" s="190"/>
      <c r="G541" s="191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/>
      <c r="C542" s="190"/>
      <c r="D542" s="190"/>
      <c r="E542" s="190"/>
      <c r="F542" s="190"/>
      <c r="G542" s="191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/>
      <c r="C543" s="190"/>
      <c r="D543" s="190"/>
      <c r="E543" s="190"/>
      <c r="F543" s="190"/>
      <c r="G543" s="191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/>
      <c r="C544" s="190"/>
      <c r="D544" s="190"/>
      <c r="E544" s="190"/>
      <c r="F544" s="190"/>
      <c r="G544" s="191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/>
      <c r="C545" s="190"/>
      <c r="D545" s="190"/>
      <c r="E545" s="190"/>
      <c r="F545" s="190"/>
      <c r="G545" s="191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/>
      <c r="C546" s="190"/>
      <c r="D546" s="190"/>
      <c r="E546" s="190"/>
      <c r="F546" s="190"/>
      <c r="G546" s="191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/>
      <c r="C547" s="190"/>
      <c r="D547" s="190"/>
      <c r="E547" s="190"/>
      <c r="F547" s="190"/>
      <c r="G547" s="191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/>
      <c r="C548" s="190"/>
      <c r="D548" s="190"/>
      <c r="E548" s="190"/>
      <c r="F548" s="190"/>
      <c r="G548" s="191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/>
      <c r="C549" s="190"/>
      <c r="D549" s="190"/>
      <c r="E549" s="190"/>
      <c r="F549" s="190"/>
      <c r="G549" s="191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/>
      <c r="C550" s="190"/>
      <c r="D550" s="190"/>
      <c r="E550" s="190"/>
      <c r="F550" s="190"/>
      <c r="G550" s="191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/>
      <c r="C551" s="190"/>
      <c r="D551" s="190"/>
      <c r="E551" s="190"/>
      <c r="F551" s="190"/>
      <c r="G551" s="191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/>
      <c r="C552" s="190"/>
      <c r="D552" s="190"/>
      <c r="E552" s="190"/>
      <c r="F552" s="190"/>
      <c r="G552" s="191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/>
      <c r="C553" s="190"/>
      <c r="D553" s="190"/>
      <c r="E553" s="190"/>
      <c r="F553" s="190"/>
      <c r="G553" s="191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/>
      <c r="C554" s="190"/>
      <c r="D554" s="190"/>
      <c r="E554" s="190"/>
      <c r="F554" s="190"/>
      <c r="G554" s="191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/>
      <c r="C555" s="190"/>
      <c r="D555" s="190"/>
      <c r="E555" s="190"/>
      <c r="F555" s="190"/>
      <c r="G555" s="191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/>
      <c r="C556" s="190"/>
      <c r="D556" s="190"/>
      <c r="E556" s="190"/>
      <c r="F556" s="190"/>
      <c r="G556" s="191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/>
      <c r="C557" s="190"/>
      <c r="D557" s="190"/>
      <c r="E557" s="190"/>
      <c r="F557" s="190"/>
      <c r="G557" s="191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/>
      <c r="C558" s="190"/>
      <c r="D558" s="190"/>
      <c r="E558" s="190"/>
      <c r="F558" s="190"/>
      <c r="G558" s="191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/>
      <c r="C559" s="190"/>
      <c r="D559" s="190"/>
      <c r="E559" s="190"/>
      <c r="F559" s="190"/>
      <c r="G559" s="191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/>
      <c r="C560" s="190"/>
      <c r="D560" s="190"/>
      <c r="E560" s="190"/>
      <c r="F560" s="190"/>
      <c r="G560" s="191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/>
      <c r="C561" s="190"/>
      <c r="D561" s="190"/>
      <c r="E561" s="190"/>
      <c r="F561" s="190"/>
      <c r="G561" s="191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/>
      <c r="C562" s="190"/>
      <c r="D562" s="190"/>
      <c r="E562" s="190"/>
      <c r="F562" s="190"/>
      <c r="G562" s="191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/>
      <c r="C563" s="190"/>
      <c r="D563" s="190"/>
      <c r="E563" s="190"/>
      <c r="F563" s="190"/>
      <c r="G563" s="191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/>
      <c r="C564" s="190"/>
      <c r="D564" s="190"/>
      <c r="E564" s="190"/>
      <c r="F564" s="190"/>
      <c r="G564" s="191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/>
      <c r="C565" s="190"/>
      <c r="D565" s="190"/>
      <c r="E565" s="190"/>
      <c r="F565" s="190"/>
      <c r="G565" s="191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/>
      <c r="C566" s="190"/>
      <c r="D566" s="190"/>
      <c r="E566" s="190"/>
      <c r="F566" s="190"/>
      <c r="G566" s="191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/>
      <c r="C567" s="190"/>
      <c r="D567" s="190"/>
      <c r="E567" s="190"/>
      <c r="F567" s="190"/>
      <c r="G567" s="191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/>
      <c r="C568" s="190"/>
      <c r="D568" s="190"/>
      <c r="E568" s="190"/>
      <c r="F568" s="190"/>
      <c r="G568" s="191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/>
      <c r="C569" s="190"/>
      <c r="D569" s="190"/>
      <c r="E569" s="190"/>
      <c r="F569" s="190"/>
      <c r="G569" s="191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/>
      <c r="C570" s="190"/>
      <c r="D570" s="190"/>
      <c r="E570" s="190"/>
      <c r="F570" s="190"/>
      <c r="G570" s="191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/>
      <c r="C571" s="190"/>
      <c r="D571" s="190"/>
      <c r="E571" s="190"/>
      <c r="F571" s="190"/>
      <c r="G571" s="191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/>
      <c r="C572" s="190"/>
      <c r="D572" s="190"/>
      <c r="E572" s="190"/>
      <c r="F572" s="190"/>
      <c r="G572" s="191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/>
      <c r="C573" s="190"/>
      <c r="D573" s="190"/>
      <c r="E573" s="190"/>
      <c r="F573" s="190"/>
      <c r="G573" s="191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/>
      <c r="C574" s="190"/>
      <c r="D574" s="190"/>
      <c r="E574" s="190"/>
      <c r="F574" s="190"/>
      <c r="G574" s="191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/>
      <c r="C575" s="190"/>
      <c r="D575" s="190"/>
      <c r="E575" s="190"/>
      <c r="F575" s="190"/>
      <c r="G575" s="191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/>
      <c r="C576" s="190"/>
      <c r="D576" s="190"/>
      <c r="E576" s="190"/>
      <c r="F576" s="190"/>
      <c r="G576" s="191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/>
      <c r="C577" s="190"/>
      <c r="D577" s="190"/>
      <c r="E577" s="190"/>
      <c r="F577" s="190"/>
      <c r="G577" s="191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/>
      <c r="C578" s="190"/>
      <c r="D578" s="190"/>
      <c r="E578" s="190"/>
      <c r="F578" s="190"/>
      <c r="G578" s="191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/>
      <c r="C579" s="190"/>
      <c r="D579" s="190"/>
      <c r="E579" s="190"/>
      <c r="F579" s="190"/>
      <c r="G579" s="191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/>
      <c r="C580" s="190"/>
      <c r="D580" s="190"/>
      <c r="E580" s="190"/>
      <c r="F580" s="190"/>
      <c r="G580" s="191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/>
      <c r="C581" s="190"/>
      <c r="D581" s="190"/>
      <c r="E581" s="190"/>
      <c r="F581" s="190"/>
      <c r="G581" s="191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/>
      <c r="C582" s="190"/>
      <c r="D582" s="190"/>
      <c r="E582" s="190"/>
      <c r="F582" s="190"/>
      <c r="G582" s="191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/>
      <c r="C583" s="190"/>
      <c r="D583" s="190"/>
      <c r="E583" s="190"/>
      <c r="F583" s="190"/>
      <c r="G583" s="191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/>
      <c r="C584" s="190"/>
      <c r="D584" s="190"/>
      <c r="E584" s="190"/>
      <c r="F584" s="190"/>
      <c r="G584" s="191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/>
      <c r="C585" s="190"/>
      <c r="D585" s="190"/>
      <c r="E585" s="190"/>
      <c r="F585" s="190"/>
      <c r="G585" s="191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/>
      <c r="C586" s="190"/>
      <c r="D586" s="190"/>
      <c r="E586" s="190"/>
      <c r="F586" s="190"/>
      <c r="G586" s="191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/>
      <c r="C587" s="190"/>
      <c r="D587" s="190"/>
      <c r="E587" s="190"/>
      <c r="F587" s="190"/>
      <c r="G587" s="191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/>
      <c r="C588" s="190"/>
      <c r="D588" s="190"/>
      <c r="E588" s="190"/>
      <c r="F588" s="190"/>
      <c r="G588" s="191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/>
      <c r="C589" s="190"/>
      <c r="D589" s="190"/>
      <c r="E589" s="190"/>
      <c r="F589" s="190"/>
      <c r="G589" s="191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/>
      <c r="C590" s="190"/>
      <c r="D590" s="190"/>
      <c r="E590" s="190"/>
      <c r="F590" s="190"/>
      <c r="G590" s="191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/>
      <c r="C591" s="190"/>
      <c r="D591" s="190"/>
      <c r="E591" s="190"/>
      <c r="F591" s="190"/>
      <c r="G591" s="191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/>
      <c r="C592" s="190"/>
      <c r="D592" s="190"/>
      <c r="E592" s="190"/>
      <c r="F592" s="190"/>
      <c r="G592" s="191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/>
      <c r="C593" s="190"/>
      <c r="D593" s="190"/>
      <c r="E593" s="190"/>
      <c r="F593" s="190"/>
      <c r="G593" s="191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/>
      <c r="C594" s="190"/>
      <c r="D594" s="190"/>
      <c r="E594" s="190"/>
      <c r="F594" s="190"/>
      <c r="G594" s="191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/>
      <c r="C595" s="190"/>
      <c r="D595" s="190"/>
      <c r="E595" s="190"/>
      <c r="F595" s="190"/>
      <c r="G595" s="191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/>
      <c r="C596" s="190"/>
      <c r="D596" s="190"/>
      <c r="E596" s="190"/>
      <c r="F596" s="190"/>
      <c r="G596" s="191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/>
      <c r="C597" s="190"/>
      <c r="D597" s="190"/>
      <c r="E597" s="190"/>
      <c r="F597" s="190"/>
      <c r="G597" s="191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/>
      <c r="C598" s="190"/>
      <c r="D598" s="190"/>
      <c r="E598" s="190"/>
      <c r="F598" s="190"/>
      <c r="G598" s="191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/>
      <c r="C599" s="190"/>
      <c r="D599" s="190"/>
      <c r="E599" s="190"/>
      <c r="F599" s="190"/>
      <c r="G599" s="191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/>
      <c r="C600" s="190"/>
      <c r="D600" s="190"/>
      <c r="E600" s="190"/>
      <c r="F600" s="190"/>
      <c r="G600" s="191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/>
      <c r="C601" s="190"/>
      <c r="D601" s="190"/>
      <c r="E601" s="190"/>
      <c r="F601" s="190"/>
      <c r="G601" s="191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/>
      <c r="C602" s="190"/>
      <c r="D602" s="190"/>
      <c r="E602" s="190"/>
      <c r="F602" s="190"/>
      <c r="G602" s="191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/>
      <c r="C603" s="190"/>
      <c r="D603" s="190"/>
      <c r="E603" s="190"/>
      <c r="F603" s="190"/>
      <c r="G603" s="191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/>
      <c r="C604" s="190"/>
      <c r="D604" s="190"/>
      <c r="E604" s="190"/>
      <c r="F604" s="190"/>
      <c r="G604" s="191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/>
      <c r="C605" s="190"/>
      <c r="D605" s="190"/>
      <c r="E605" s="190"/>
      <c r="F605" s="190"/>
      <c r="G605" s="191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/>
      <c r="C606" s="190"/>
      <c r="D606" s="190"/>
      <c r="E606" s="190"/>
      <c r="F606" s="190"/>
      <c r="G606" s="191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/>
      <c r="C607" s="190"/>
      <c r="D607" s="190"/>
      <c r="E607" s="190"/>
      <c r="F607" s="190"/>
      <c r="G607" s="191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/>
      <c r="C608" s="190"/>
      <c r="D608" s="190"/>
      <c r="E608" s="190"/>
      <c r="F608" s="190"/>
      <c r="G608" s="191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/>
      <c r="C609" s="190"/>
      <c r="D609" s="190"/>
      <c r="E609" s="190"/>
      <c r="F609" s="190"/>
      <c r="G609" s="191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/>
      <c r="C610" s="190"/>
      <c r="D610" s="190"/>
      <c r="E610" s="190"/>
      <c r="F610" s="190"/>
      <c r="G610" s="191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/>
      <c r="C611" s="190"/>
      <c r="D611" s="190"/>
      <c r="E611" s="190"/>
      <c r="F611" s="190"/>
      <c r="G611" s="191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/>
      <c r="C612" s="190"/>
      <c r="D612" s="190"/>
      <c r="E612" s="190"/>
      <c r="F612" s="190"/>
      <c r="G612" s="191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/>
      <c r="C613" s="190"/>
      <c r="D613" s="190"/>
      <c r="E613" s="190"/>
      <c r="F613" s="190"/>
      <c r="G613" s="191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/>
      <c r="C614" s="190"/>
      <c r="D614" s="190"/>
      <c r="E614" s="190"/>
      <c r="F614" s="190"/>
      <c r="G614" s="191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/>
      <c r="C615" s="190"/>
      <c r="D615" s="190"/>
      <c r="E615" s="190"/>
      <c r="F615" s="190"/>
      <c r="G615" s="191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/>
      <c r="C616" s="190"/>
      <c r="D616" s="190"/>
      <c r="E616" s="190"/>
      <c r="F616" s="190"/>
      <c r="G616" s="191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/>
      <c r="C617" s="190"/>
      <c r="D617" s="190"/>
      <c r="E617" s="190"/>
      <c r="F617" s="190"/>
      <c r="G617" s="191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/>
      <c r="C618" s="190"/>
      <c r="D618" s="190"/>
      <c r="E618" s="190"/>
      <c r="F618" s="190"/>
      <c r="G618" s="191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/>
      <c r="C619" s="190"/>
      <c r="D619" s="190"/>
      <c r="E619" s="190"/>
      <c r="F619" s="190"/>
      <c r="G619" s="191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/>
      <c r="C620" s="190"/>
      <c r="D620" s="190"/>
      <c r="E620" s="190"/>
      <c r="F620" s="190"/>
      <c r="G620" s="191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/>
      <c r="C621" s="190"/>
      <c r="D621" s="190"/>
      <c r="E621" s="190"/>
      <c r="F621" s="190"/>
      <c r="G621" s="191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/>
      <c r="C622" s="190"/>
      <c r="D622" s="190"/>
      <c r="E622" s="190"/>
      <c r="F622" s="190"/>
      <c r="G622" s="191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/>
      <c r="C623" s="190"/>
      <c r="D623" s="190"/>
      <c r="E623" s="190"/>
      <c r="F623" s="190"/>
      <c r="G623" s="191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/>
      <c r="C624" s="190"/>
      <c r="D624" s="190"/>
      <c r="E624" s="190"/>
      <c r="F624" s="190"/>
      <c r="G624" s="191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/>
      <c r="C625" s="190"/>
      <c r="D625" s="190"/>
      <c r="E625" s="190"/>
      <c r="F625" s="190"/>
      <c r="G625" s="191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/>
      <c r="C626" s="190"/>
      <c r="D626" s="190"/>
      <c r="E626" s="190"/>
      <c r="F626" s="190"/>
      <c r="G626" s="191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/>
      <c r="C627" s="190"/>
      <c r="D627" s="190"/>
      <c r="E627" s="190"/>
      <c r="F627" s="190"/>
      <c r="G627" s="191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/>
      <c r="C628" s="190"/>
      <c r="D628" s="190"/>
      <c r="E628" s="190"/>
      <c r="F628" s="190"/>
      <c r="G628" s="191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/>
      <c r="C629" s="190"/>
      <c r="D629" s="190"/>
      <c r="E629" s="190"/>
      <c r="F629" s="190"/>
      <c r="G629" s="191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/>
      <c r="C630" s="190"/>
      <c r="D630" s="190"/>
      <c r="E630" s="190"/>
      <c r="F630" s="190"/>
      <c r="G630" s="191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/>
      <c r="C631" s="190"/>
      <c r="D631" s="190"/>
      <c r="E631" s="190"/>
      <c r="F631" s="190"/>
      <c r="G631" s="191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/>
      <c r="C632" s="190"/>
      <c r="D632" s="190"/>
      <c r="E632" s="190"/>
      <c r="F632" s="190"/>
      <c r="G632" s="191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/>
      <c r="C633" s="190"/>
      <c r="D633" s="190"/>
      <c r="E633" s="190"/>
      <c r="F633" s="190"/>
      <c r="G633" s="191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/>
      <c r="C634" s="190"/>
      <c r="D634" s="190"/>
      <c r="E634" s="190"/>
      <c r="F634" s="190"/>
      <c r="G634" s="191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/>
      <c r="C635" s="190"/>
      <c r="D635" s="190"/>
      <c r="E635" s="190"/>
      <c r="F635" s="190"/>
      <c r="G635" s="191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/>
      <c r="C636" s="190"/>
      <c r="D636" s="190"/>
      <c r="E636" s="190"/>
      <c r="F636" s="190"/>
      <c r="G636" s="191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/>
      <c r="C637" s="190"/>
      <c r="D637" s="190"/>
      <c r="E637" s="190"/>
      <c r="F637" s="190"/>
      <c r="G637" s="191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/>
      <c r="C638" s="190"/>
      <c r="D638" s="190"/>
      <c r="E638" s="190"/>
      <c r="F638" s="190"/>
      <c r="G638" s="191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/>
      <c r="C639" s="190"/>
      <c r="D639" s="190"/>
      <c r="E639" s="190"/>
      <c r="F639" s="190"/>
      <c r="G639" s="191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/>
      <c r="C640" s="190"/>
      <c r="D640" s="190"/>
      <c r="E640" s="190"/>
      <c r="F640" s="190"/>
      <c r="G640" s="191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/>
      <c r="C641" s="190"/>
      <c r="D641" s="190"/>
      <c r="E641" s="190"/>
      <c r="F641" s="190"/>
      <c r="G641" s="191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/>
      <c r="C642" s="190"/>
      <c r="D642" s="190"/>
      <c r="E642" s="190"/>
      <c r="F642" s="190"/>
      <c r="G642" s="191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/>
      <c r="C643" s="190"/>
      <c r="D643" s="190"/>
      <c r="E643" s="190"/>
      <c r="F643" s="190"/>
      <c r="G643" s="191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/>
      <c r="C644" s="190"/>
      <c r="D644" s="190"/>
      <c r="E644" s="190"/>
      <c r="F644" s="190"/>
      <c r="G644" s="191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/>
      <c r="C645" s="190"/>
      <c r="D645" s="190"/>
      <c r="E645" s="190"/>
      <c r="F645" s="190"/>
      <c r="G645" s="191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/>
      <c r="C646" s="190"/>
      <c r="D646" s="190"/>
      <c r="E646" s="190"/>
      <c r="F646" s="190"/>
      <c r="G646" s="191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/>
      <c r="C647" s="190"/>
      <c r="D647" s="190"/>
      <c r="E647" s="190"/>
      <c r="F647" s="190"/>
      <c r="G647" s="191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/>
      <c r="C648" s="190"/>
      <c r="D648" s="190"/>
      <c r="E648" s="190"/>
      <c r="F648" s="190"/>
      <c r="G648" s="191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/>
      <c r="C649" s="190"/>
      <c r="D649" s="190"/>
      <c r="E649" s="190"/>
      <c r="F649" s="190"/>
      <c r="G649" s="191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/>
      <c r="C650" s="190"/>
      <c r="D650" s="190"/>
      <c r="E650" s="190"/>
      <c r="F650" s="190"/>
      <c r="G650" s="191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/>
      <c r="C651" s="190"/>
      <c r="D651" s="190"/>
      <c r="E651" s="190"/>
      <c r="F651" s="190"/>
      <c r="G651" s="191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/>
      <c r="C652" s="190"/>
      <c r="D652" s="190"/>
      <c r="E652" s="190"/>
      <c r="F652" s="190"/>
      <c r="G652" s="191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/>
      <c r="C653" s="190"/>
      <c r="D653" s="190"/>
      <c r="E653" s="190"/>
      <c r="F653" s="190"/>
      <c r="G653" s="191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/>
      <c r="C654" s="190"/>
      <c r="D654" s="190"/>
      <c r="E654" s="190"/>
      <c r="F654" s="190"/>
      <c r="G654" s="191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/>
      <c r="C655" s="190"/>
      <c r="D655" s="190"/>
      <c r="E655" s="190"/>
      <c r="F655" s="190"/>
      <c r="G655" s="191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/>
      <c r="C656" s="190"/>
      <c r="D656" s="190"/>
      <c r="E656" s="190"/>
      <c r="F656" s="190"/>
      <c r="G656" s="191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/>
      <c r="C657" s="190"/>
      <c r="D657" s="190"/>
      <c r="E657" s="190"/>
      <c r="F657" s="190"/>
      <c r="G657" s="191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/>
      <c r="C658" s="190"/>
      <c r="D658" s="190"/>
      <c r="E658" s="190"/>
      <c r="F658" s="190"/>
      <c r="G658" s="191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/>
      <c r="C659" s="190"/>
      <c r="D659" s="190"/>
      <c r="E659" s="190"/>
      <c r="F659" s="190"/>
      <c r="G659" s="191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/>
      <c r="C660" s="190"/>
      <c r="D660" s="190"/>
      <c r="E660" s="190"/>
      <c r="F660" s="190"/>
      <c r="G660" s="191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/>
      <c r="C661" s="190"/>
      <c r="D661" s="190"/>
      <c r="E661" s="190"/>
      <c r="F661" s="190"/>
      <c r="G661" s="191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/>
      <c r="C662" s="190"/>
      <c r="D662" s="190"/>
      <c r="E662" s="190"/>
      <c r="F662" s="190"/>
      <c r="G662" s="191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/>
      <c r="C663" s="190"/>
      <c r="D663" s="190"/>
      <c r="E663" s="190"/>
      <c r="F663" s="190"/>
      <c r="G663" s="191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/>
      <c r="C664" s="190"/>
      <c r="D664" s="190"/>
      <c r="E664" s="190"/>
      <c r="F664" s="190"/>
      <c r="G664" s="191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/>
      <c r="C665" s="190"/>
      <c r="D665" s="190"/>
      <c r="E665" s="190"/>
      <c r="F665" s="190"/>
      <c r="G665" s="191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/>
      <c r="C666" s="190"/>
      <c r="D666" s="190"/>
      <c r="E666" s="190"/>
      <c r="F666" s="190"/>
      <c r="G666" s="191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/>
      <c r="C667" s="190"/>
      <c r="D667" s="190"/>
      <c r="E667" s="190"/>
      <c r="F667" s="190"/>
      <c r="G667" s="191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/>
      <c r="C668" s="190"/>
      <c r="D668" s="190"/>
      <c r="E668" s="190"/>
      <c r="F668" s="190"/>
      <c r="G668" s="191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/>
      <c r="C669" s="190"/>
      <c r="D669" s="190"/>
      <c r="E669" s="190"/>
      <c r="F669" s="190"/>
      <c r="G669" s="191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/>
      <c r="C670" s="190"/>
      <c r="D670" s="190"/>
      <c r="E670" s="190"/>
      <c r="F670" s="190"/>
      <c r="G670" s="191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/>
      <c r="C671" s="190"/>
      <c r="D671" s="190"/>
      <c r="E671" s="190"/>
      <c r="F671" s="190"/>
      <c r="G671" s="191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/>
      <c r="C672" s="190"/>
      <c r="D672" s="190"/>
      <c r="E672" s="190"/>
      <c r="F672" s="190"/>
      <c r="G672" s="191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/>
      <c r="C673" s="190"/>
      <c r="D673" s="190"/>
      <c r="E673" s="190"/>
      <c r="F673" s="190"/>
      <c r="G673" s="191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/>
      <c r="C674" s="190"/>
      <c r="D674" s="190"/>
      <c r="E674" s="190"/>
      <c r="F674" s="190"/>
      <c r="G674" s="191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/>
      <c r="C675" s="190"/>
      <c r="D675" s="190"/>
      <c r="E675" s="190"/>
      <c r="F675" s="190"/>
      <c r="G675" s="191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/>
      <c r="C676" s="190"/>
      <c r="D676" s="190"/>
      <c r="E676" s="190"/>
      <c r="F676" s="190"/>
      <c r="G676" s="191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/>
      <c r="C678" s="190"/>
      <c r="D678" s="190"/>
      <c r="E678" s="190"/>
      <c r="F678" s="190"/>
      <c r="G678" s="191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/>
      <c r="C679" s="190"/>
      <c r="D679" s="190"/>
      <c r="E679" s="190"/>
      <c r="F679" s="190"/>
      <c r="G679" s="191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/>
      <c r="C680" s="190"/>
      <c r="D680" s="190"/>
      <c r="E680" s="190"/>
      <c r="F680" s="190"/>
      <c r="G680" s="191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/>
      <c r="C681" s="190"/>
      <c r="D681" s="190"/>
      <c r="E681" s="190"/>
      <c r="F681" s="190"/>
      <c r="G681" s="191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/>
      <c r="C682" s="190"/>
      <c r="D682" s="190"/>
      <c r="E682" s="190"/>
      <c r="F682" s="190"/>
      <c r="G682" s="191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/>
      <c r="C683" s="190"/>
      <c r="D683" s="190"/>
      <c r="E683" s="190"/>
      <c r="F683" s="190"/>
      <c r="G683" s="191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/>
      <c r="C684" s="190"/>
      <c r="D684" s="190"/>
      <c r="E684" s="190"/>
      <c r="F684" s="190"/>
      <c r="G684" s="191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/>
      <c r="C685" s="190"/>
      <c r="D685" s="190"/>
      <c r="E685" s="190"/>
      <c r="F685" s="190"/>
      <c r="G685" s="191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/>
      <c r="C686" s="190"/>
      <c r="D686" s="190"/>
      <c r="E686" s="190"/>
      <c r="F686" s="190"/>
      <c r="G686" s="191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/>
      <c r="C687" s="190"/>
      <c r="D687" s="190"/>
      <c r="E687" s="190"/>
      <c r="F687" s="190"/>
      <c r="G687" s="191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/>
      <c r="C688" s="190"/>
      <c r="D688" s="190"/>
      <c r="E688" s="190"/>
      <c r="F688" s="190"/>
      <c r="G688" s="191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/>
      <c r="C689" s="190"/>
      <c r="D689" s="190"/>
      <c r="E689" s="190"/>
      <c r="F689" s="190"/>
      <c r="G689" s="191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/>
      <c r="C690" s="190"/>
      <c r="D690" s="190"/>
      <c r="E690" s="190"/>
      <c r="F690" s="190"/>
      <c r="G690" s="191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/>
      <c r="C691" s="190"/>
      <c r="D691" s="190"/>
      <c r="E691" s="190"/>
      <c r="F691" s="190"/>
      <c r="G691" s="191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/>
      <c r="C692" s="190"/>
      <c r="D692" s="190"/>
      <c r="E692" s="190"/>
      <c r="F692" s="190"/>
      <c r="G692" s="191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/>
      <c r="C693" s="190"/>
      <c r="D693" s="190"/>
      <c r="E693" s="190"/>
      <c r="F693" s="190"/>
      <c r="G693" s="191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/>
      <c r="C694" s="190"/>
      <c r="D694" s="190"/>
      <c r="E694" s="190"/>
      <c r="F694" s="190"/>
      <c r="G694" s="191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/>
      <c r="C695" s="190"/>
      <c r="D695" s="190"/>
      <c r="E695" s="190"/>
      <c r="F695" s="190"/>
      <c r="G695" s="191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/>
      <c r="C696" s="190"/>
      <c r="D696" s="190"/>
      <c r="E696" s="190"/>
      <c r="F696" s="190"/>
      <c r="G696" s="191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/>
      <c r="C697" s="190"/>
      <c r="D697" s="190"/>
      <c r="E697" s="190"/>
      <c r="F697" s="190"/>
      <c r="G697" s="191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/>
      <c r="C698" s="190"/>
      <c r="D698" s="190"/>
      <c r="E698" s="190"/>
      <c r="F698" s="190"/>
      <c r="G698" s="191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/>
      <c r="C699" s="190"/>
      <c r="D699" s="190"/>
      <c r="E699" s="190"/>
      <c r="F699" s="190"/>
      <c r="G699" s="191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/>
      <c r="C700" s="190"/>
      <c r="D700" s="190"/>
      <c r="E700" s="190"/>
      <c r="F700" s="190"/>
      <c r="G700" s="191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/>
      <c r="C701" s="190"/>
      <c r="D701" s="190"/>
      <c r="E701" s="190"/>
      <c r="F701" s="190"/>
      <c r="G701" s="191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/>
      <c r="C702" s="190"/>
      <c r="D702" s="190"/>
      <c r="E702" s="190"/>
      <c r="F702" s="190"/>
      <c r="G702" s="191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/>
      <c r="C703" s="190"/>
      <c r="D703" s="190"/>
      <c r="E703" s="190"/>
      <c r="F703" s="190"/>
      <c r="G703" s="191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/>
      <c r="C704" s="190"/>
      <c r="D704" s="190"/>
      <c r="E704" s="190"/>
      <c r="F704" s="190"/>
      <c r="G704" s="191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/>
      <c r="C705" s="190"/>
      <c r="D705" s="190"/>
      <c r="E705" s="190"/>
      <c r="F705" s="190"/>
      <c r="G705" s="191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/>
      <c r="C706" s="190"/>
      <c r="D706" s="190"/>
      <c r="E706" s="190"/>
      <c r="F706" s="190"/>
      <c r="G706" s="191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/>
      <c r="C707" s="190"/>
      <c r="D707" s="190"/>
      <c r="E707" s="190"/>
      <c r="F707" s="190"/>
      <c r="G707" s="191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/>
      <c r="C708" s="190"/>
      <c r="D708" s="190"/>
      <c r="E708" s="190"/>
      <c r="F708" s="190"/>
      <c r="G708" s="191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/>
      <c r="C709" s="190"/>
      <c r="D709" s="190"/>
      <c r="E709" s="190"/>
      <c r="F709" s="190"/>
      <c r="G709" s="191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/>
      <c r="C710" s="190"/>
      <c r="D710" s="190"/>
      <c r="E710" s="190"/>
      <c r="F710" s="190"/>
      <c r="G710" s="191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/>
      <c r="C711" s="190"/>
      <c r="D711" s="190"/>
      <c r="E711" s="190"/>
      <c r="F711" s="190"/>
      <c r="G711" s="191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/>
      <c r="C712" s="190"/>
      <c r="D712" s="190"/>
      <c r="E712" s="190"/>
      <c r="F712" s="190"/>
      <c r="G712" s="191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/>
      <c r="C713" s="190"/>
      <c r="D713" s="190"/>
      <c r="E713" s="190"/>
      <c r="F713" s="190"/>
      <c r="G713" s="191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/>
      <c r="C714" s="190"/>
      <c r="D714" s="190"/>
      <c r="E714" s="190"/>
      <c r="F714" s="190"/>
      <c r="G714" s="191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/>
      <c r="C715" s="190"/>
      <c r="D715" s="190"/>
      <c r="E715" s="190"/>
      <c r="F715" s="190"/>
      <c r="G715" s="191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/>
      <c r="C716" s="190"/>
      <c r="D716" s="190"/>
      <c r="E716" s="190"/>
      <c r="F716" s="190"/>
      <c r="G716" s="191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/>
      <c r="C717" s="190"/>
      <c r="D717" s="190"/>
      <c r="E717" s="190"/>
      <c r="F717" s="190"/>
      <c r="G717" s="191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/>
      <c r="C718" s="190"/>
      <c r="D718" s="190"/>
      <c r="E718" s="190"/>
      <c r="F718" s="190"/>
      <c r="G718" s="191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/>
      <c r="C719" s="190"/>
      <c r="D719" s="190"/>
      <c r="E719" s="190"/>
      <c r="F719" s="190"/>
      <c r="G719" s="191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/>
      <c r="C720" s="190"/>
      <c r="D720" s="190"/>
      <c r="E720" s="190"/>
      <c r="F720" s="190"/>
      <c r="G720" s="191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/>
      <c r="C721" s="190"/>
      <c r="D721" s="190"/>
      <c r="E721" s="190"/>
      <c r="F721" s="190"/>
      <c r="G721" s="191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/>
      <c r="C722" s="190"/>
      <c r="D722" s="190"/>
      <c r="E722" s="190"/>
      <c r="F722" s="190"/>
      <c r="G722" s="191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/>
      <c r="C723" s="190"/>
      <c r="D723" s="190"/>
      <c r="E723" s="190"/>
      <c r="F723" s="190"/>
      <c r="G723" s="191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/>
      <c r="C724" s="190"/>
      <c r="D724" s="190"/>
      <c r="E724" s="190"/>
      <c r="F724" s="190"/>
      <c r="G724" s="191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/>
      <c r="C725" s="190"/>
      <c r="D725" s="190"/>
      <c r="E725" s="190"/>
      <c r="F725" s="190"/>
      <c r="G725" s="191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/>
      <c r="C726" s="190"/>
      <c r="D726" s="190"/>
      <c r="E726" s="190"/>
      <c r="F726" s="190"/>
      <c r="G726" s="191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/>
      <c r="C727" s="190"/>
      <c r="D727" s="190"/>
      <c r="E727" s="190"/>
      <c r="F727" s="190"/>
      <c r="G727" s="191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/>
      <c r="C728" s="190"/>
      <c r="D728" s="190"/>
      <c r="E728" s="190"/>
      <c r="F728" s="190"/>
      <c r="G728" s="191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/>
      <c r="C729" s="190"/>
      <c r="D729" s="190"/>
      <c r="E729" s="190"/>
      <c r="F729" s="190"/>
      <c r="G729" s="191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/>
      <c r="C730" s="190"/>
      <c r="D730" s="190"/>
      <c r="E730" s="190"/>
      <c r="F730" s="190"/>
      <c r="G730" s="191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/>
      <c r="C731" s="190"/>
      <c r="D731" s="190"/>
      <c r="E731" s="190"/>
      <c r="F731" s="190"/>
      <c r="G731" s="191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/>
      <c r="C732" s="190"/>
      <c r="D732" s="190"/>
      <c r="E732" s="190"/>
      <c r="F732" s="190"/>
      <c r="G732" s="191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/>
      <c r="C733" s="190"/>
      <c r="D733" s="190"/>
      <c r="E733" s="190"/>
      <c r="F733" s="190"/>
      <c r="G733" s="191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/>
      <c r="C734" s="190"/>
      <c r="D734" s="190"/>
      <c r="E734" s="190"/>
      <c r="F734" s="190"/>
      <c r="G734" s="191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/>
      <c r="C735" s="190"/>
      <c r="D735" s="190"/>
      <c r="E735" s="190"/>
      <c r="F735" s="190"/>
      <c r="G735" s="191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/>
      <c r="C736" s="190"/>
      <c r="D736" s="190"/>
      <c r="E736" s="190"/>
      <c r="F736" s="190"/>
      <c r="G736" s="191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/>
      <c r="C737" s="190"/>
      <c r="D737" s="190"/>
      <c r="E737" s="190"/>
      <c r="F737" s="190"/>
      <c r="G737" s="191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/>
      <c r="C738" s="190"/>
      <c r="D738" s="190"/>
      <c r="E738" s="190"/>
      <c r="F738" s="190"/>
      <c r="G738" s="191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/>
      <c r="C739" s="190"/>
      <c r="D739" s="190"/>
      <c r="E739" s="190"/>
      <c r="F739" s="190"/>
      <c r="G739" s="191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/>
      <c r="C740" s="190"/>
      <c r="D740" s="190"/>
      <c r="E740" s="190"/>
      <c r="F740" s="190"/>
      <c r="G740" s="191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/>
      <c r="C741" s="190"/>
      <c r="D741" s="190"/>
      <c r="E741" s="190"/>
      <c r="F741" s="190"/>
      <c r="G741" s="191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/>
      <c r="C742" s="190"/>
      <c r="D742" s="190"/>
      <c r="E742" s="190"/>
      <c r="F742" s="190"/>
      <c r="G742" s="191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/>
      <c r="C743" s="190"/>
      <c r="D743" s="190"/>
      <c r="E743" s="190"/>
      <c r="F743" s="190"/>
      <c r="G743" s="191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/>
      <c r="C744" s="190"/>
      <c r="D744" s="190"/>
      <c r="E744" s="190"/>
      <c r="F744" s="190"/>
      <c r="G744" s="191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/>
      <c r="C745" s="190"/>
      <c r="D745" s="190"/>
      <c r="E745" s="190"/>
      <c r="F745" s="190"/>
      <c r="G745" s="191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/>
      <c r="C746" s="190"/>
      <c r="D746" s="190"/>
      <c r="E746" s="190"/>
      <c r="F746" s="190"/>
      <c r="G746" s="191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/>
      <c r="C747" s="190"/>
      <c r="D747" s="190"/>
      <c r="E747" s="190"/>
      <c r="F747" s="190"/>
      <c r="G747" s="191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/>
      <c r="C748" s="190"/>
      <c r="D748" s="190"/>
      <c r="E748" s="190"/>
      <c r="F748" s="190"/>
      <c r="G748" s="191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/>
      <c r="C749" s="190"/>
      <c r="D749" s="190"/>
      <c r="E749" s="190"/>
      <c r="F749" s="190"/>
      <c r="G749" s="191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/>
      <c r="C750" s="190"/>
      <c r="D750" s="190"/>
      <c r="E750" s="190"/>
      <c r="F750" s="190"/>
      <c r="G750" s="191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/>
      <c r="C751" s="190"/>
      <c r="D751" s="190"/>
      <c r="E751" s="190"/>
      <c r="F751" s="190"/>
      <c r="G751" s="191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/>
      <c r="C752" s="190"/>
      <c r="D752" s="190"/>
      <c r="E752" s="190"/>
      <c r="F752" s="190"/>
      <c r="G752" s="191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/>
      <c r="C753" s="190"/>
      <c r="D753" s="190"/>
      <c r="E753" s="190"/>
      <c r="F753" s="190"/>
      <c r="G753" s="191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156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160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IFERROR(__xludf.DUMMYFUNCTION("GOOGLEFINANCE(B16,""name"")"),"Global X NASDAQ 100 Covered Call ETF")</f>
        <v>Global X NASDAQ 100 Covered Call ETF</v>
      </c>
      <c r="H5" s="64"/>
      <c r="I5" s="64"/>
      <c r="J5" s="157"/>
      <c r="K5" s="64"/>
      <c r="L5" s="64"/>
      <c r="M5" s="64"/>
      <c r="N5" s="64"/>
      <c r="O5" s="264" t="s">
        <v>317</v>
      </c>
      <c r="P5" s="164" t="s">
        <v>337</v>
      </c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IFERROR(__xludf.DUMMYFUNCTION("GOOGLEFINANCE(B16,""price"")"),18.08)</f>
        <v>18.08</v>
      </c>
      <c r="D8" s="171">
        <f>IFERROR(__xludf.DUMMYFUNCTION("IFERROR(GOOGLEFINANCE(B16,""change""),""-"")"),0.03)</f>
        <v>0.03</v>
      </c>
      <c r="E8" s="172">
        <f>IFERROR(__xludf.DUMMYFUNCTION("IFERROR(GOOGLEFINANCE(B16,""changepct"")/100,""-"")"),0.0017000000000000001)</f>
        <v>0.0017</v>
      </c>
      <c r="F8" s="64"/>
      <c r="G8" s="64"/>
      <c r="H8" s="64"/>
      <c r="I8" s="64"/>
      <c r="J8" s="202">
        <f>SUM(K26:K100)</f>
        <v>0</v>
      </c>
      <c r="K8" s="203">
        <f>SUM(N26:N100)</f>
        <v>26.55</v>
      </c>
      <c r="L8" s="269">
        <v>17.68</v>
      </c>
      <c r="M8" s="64"/>
      <c r="N8" s="176" t="s">
        <v>156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 t="str">
        <f>IFERROR(__xludf.DUMMYFUNCTION("IFERROR(GOOGLEFINANCE(B16,""marketcap""),""-"")"),"-")</f>
        <v>-</v>
      </c>
      <c r="C12" s="181" t="str">
        <f>IFERROR(__xludf.DUMMYFUNCTION("IFERROR(GOOGLEFINANCE(B16,""pe""),""-"")"),"-")</f>
        <v>-</v>
      </c>
      <c r="D12" s="181">
        <f>IFERROR(__xludf.DUMMYFUNCTION("IFERROR(GOOGLEFINANCE(B16,""beta""),""-"")"),0.61)</f>
        <v>0.61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338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QYLD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IFERROR(__xludf.DUMMYFUNCTION("""COMPUTED_VALUE"""),45807.66666666667)</f>
        <v>45807.66667</v>
      </c>
      <c r="C26" s="190">
        <f>IFERROR(__xludf.DUMMYFUNCTION("""COMPUTED_VALUE"""),16.34)</f>
        <v>16.34</v>
      </c>
      <c r="D26" s="190">
        <f>IFERROR(__xludf.DUMMYFUNCTION("""COMPUTED_VALUE"""),16.38)</f>
        <v>16.38</v>
      </c>
      <c r="E26" s="190">
        <f>IFERROR(__xludf.DUMMYFUNCTION("""COMPUTED_VALUE"""),16.22)</f>
        <v>16.22</v>
      </c>
      <c r="F26" s="190">
        <f>IFERROR(__xludf.DUMMYFUNCTION("""COMPUTED_VALUE"""),16.37)</f>
        <v>16.37</v>
      </c>
      <c r="G26" s="191">
        <f>IFERROR(__xludf.DUMMYFUNCTION("""COMPUTED_VALUE"""),5384734.0)</f>
        <v>5384734</v>
      </c>
      <c r="H26" s="112"/>
      <c r="I26" s="112"/>
      <c r="J26" s="192">
        <v>44729.0</v>
      </c>
      <c r="K26" s="204">
        <v>10.0</v>
      </c>
      <c r="L26" s="194">
        <v>17.35</v>
      </c>
      <c r="M26" s="94"/>
      <c r="N26" s="112">
        <f t="shared" ref="N26:N31" si="1">K26*L26+M26</f>
        <v>173.5</v>
      </c>
      <c r="O26" s="112">
        <f>N26/K26</f>
        <v>17.35</v>
      </c>
      <c r="P26" s="112"/>
      <c r="Q26" s="112"/>
      <c r="R26" s="112"/>
    </row>
    <row r="27" ht="17.25" customHeight="1">
      <c r="A27" s="112"/>
      <c r="B27" s="189">
        <f>IFERROR(__xludf.DUMMYFUNCTION("""COMPUTED_VALUE"""),45810.66666666667)</f>
        <v>45810.66667</v>
      </c>
      <c r="C27" s="190">
        <f>IFERROR(__xludf.DUMMYFUNCTION("""COMPUTED_VALUE"""),16.32)</f>
        <v>16.32</v>
      </c>
      <c r="D27" s="190">
        <f>IFERROR(__xludf.DUMMYFUNCTION("""COMPUTED_VALUE"""),16.44)</f>
        <v>16.44</v>
      </c>
      <c r="E27" s="190">
        <f>IFERROR(__xludf.DUMMYFUNCTION("""COMPUTED_VALUE"""),16.32)</f>
        <v>16.32</v>
      </c>
      <c r="F27" s="190">
        <f>IFERROR(__xludf.DUMMYFUNCTION("""COMPUTED_VALUE"""),16.44)</f>
        <v>16.44</v>
      </c>
      <c r="G27" s="191">
        <f>IFERROR(__xludf.DUMMYFUNCTION("""COMPUTED_VALUE"""),3300002.0)</f>
        <v>3300002</v>
      </c>
      <c r="H27" s="112"/>
      <c r="I27" s="112"/>
      <c r="J27" s="197">
        <v>44764.0</v>
      </c>
      <c r="K27" s="204">
        <v>5.0</v>
      </c>
      <c r="L27" s="195">
        <f>18.2</f>
        <v>18.2</v>
      </c>
      <c r="M27" s="94"/>
      <c r="N27" s="112">
        <f t="shared" si="1"/>
        <v>91</v>
      </c>
      <c r="O27" s="196">
        <f t="shared" ref="O27:O41" si="2">SUM($N$26:N27)/SUM($K$26:K27)</f>
        <v>17.63333333</v>
      </c>
      <c r="P27" s="112"/>
      <c r="Q27" s="112"/>
      <c r="R27" s="112"/>
    </row>
    <row r="28" ht="17.25" customHeight="1">
      <c r="A28" s="112"/>
      <c r="B28" s="189">
        <f>IFERROR(__xludf.DUMMYFUNCTION("""COMPUTED_VALUE"""),45811.66666666667)</f>
        <v>45811.66667</v>
      </c>
      <c r="C28" s="190">
        <f>IFERROR(__xludf.DUMMYFUNCTION("""COMPUTED_VALUE"""),16.44)</f>
        <v>16.44</v>
      </c>
      <c r="D28" s="190">
        <f>IFERROR(__xludf.DUMMYFUNCTION("""COMPUTED_VALUE"""),16.5)</f>
        <v>16.5</v>
      </c>
      <c r="E28" s="190">
        <f>IFERROR(__xludf.DUMMYFUNCTION("""COMPUTED_VALUE"""),16.43)</f>
        <v>16.43</v>
      </c>
      <c r="F28" s="190">
        <f>IFERROR(__xludf.DUMMYFUNCTION("""COMPUTED_VALUE"""),16.5)</f>
        <v>16.5</v>
      </c>
      <c r="G28" s="191">
        <f>IFERROR(__xludf.DUMMYFUNCTION("""COMPUTED_VALUE"""),3122474.0)</f>
        <v>3122474</v>
      </c>
      <c r="H28" s="112"/>
      <c r="I28" s="112"/>
      <c r="J28" s="192">
        <v>44790.0</v>
      </c>
      <c r="K28" s="194">
        <v>10.0</v>
      </c>
      <c r="L28" s="194">
        <v>18.5</v>
      </c>
      <c r="M28" s="94"/>
      <c r="N28" s="112">
        <f t="shared" si="1"/>
        <v>185</v>
      </c>
      <c r="O28" s="196">
        <f t="shared" si="2"/>
        <v>17.98</v>
      </c>
      <c r="P28" s="198"/>
      <c r="Q28" s="112"/>
      <c r="R28" s="112"/>
    </row>
    <row r="29" ht="17.25" customHeight="1">
      <c r="A29" s="112"/>
      <c r="B29" s="189">
        <f>IFERROR(__xludf.DUMMYFUNCTION("""COMPUTED_VALUE"""),45812.66666666667)</f>
        <v>45812.66667</v>
      </c>
      <c r="C29" s="190">
        <f>IFERROR(__xludf.DUMMYFUNCTION("""COMPUTED_VALUE"""),16.51)</f>
        <v>16.51</v>
      </c>
      <c r="D29" s="190">
        <f>IFERROR(__xludf.DUMMYFUNCTION("""COMPUTED_VALUE"""),16.53)</f>
        <v>16.53</v>
      </c>
      <c r="E29" s="190">
        <f>IFERROR(__xludf.DUMMYFUNCTION("""COMPUTED_VALUE"""),16.48)</f>
        <v>16.48</v>
      </c>
      <c r="F29" s="190">
        <f>IFERROR(__xludf.DUMMYFUNCTION("""COMPUTED_VALUE"""),16.53)</f>
        <v>16.53</v>
      </c>
      <c r="G29" s="191">
        <f>IFERROR(__xludf.DUMMYFUNCTION("""COMPUTED_VALUE"""),3079671.0)</f>
        <v>3079671</v>
      </c>
      <c r="H29" s="112"/>
      <c r="I29" s="112"/>
      <c r="J29" s="192">
        <v>44798.0</v>
      </c>
      <c r="K29" s="204">
        <v>5.0</v>
      </c>
      <c r="L29" s="194">
        <v>17.87</v>
      </c>
      <c r="M29" s="94"/>
      <c r="N29" s="112">
        <f t="shared" si="1"/>
        <v>89.35</v>
      </c>
      <c r="O29" s="196">
        <f t="shared" si="2"/>
        <v>17.96166667</v>
      </c>
      <c r="P29" s="199"/>
      <c r="Q29" s="112"/>
      <c r="R29" s="112"/>
    </row>
    <row r="30" ht="17.25" customHeight="1">
      <c r="A30" s="112"/>
      <c r="B30" s="189">
        <f>IFERROR(__xludf.DUMMYFUNCTION("""COMPUTED_VALUE"""),45813.66666666667)</f>
        <v>45813.66667</v>
      </c>
      <c r="C30" s="190">
        <f>IFERROR(__xludf.DUMMYFUNCTION("""COMPUTED_VALUE"""),16.54)</f>
        <v>16.54</v>
      </c>
      <c r="D30" s="190">
        <f>IFERROR(__xludf.DUMMYFUNCTION("""COMPUTED_VALUE"""),16.57)</f>
        <v>16.57</v>
      </c>
      <c r="E30" s="190">
        <f>IFERROR(__xludf.DUMMYFUNCTION("""COMPUTED_VALUE"""),16.45)</f>
        <v>16.45</v>
      </c>
      <c r="F30" s="190">
        <f>IFERROR(__xludf.DUMMYFUNCTION("""COMPUTED_VALUE"""),16.48)</f>
        <v>16.48</v>
      </c>
      <c r="G30" s="191">
        <f>IFERROR(__xludf.DUMMYFUNCTION("""COMPUTED_VALUE"""),5882546.0)</f>
        <v>5882546</v>
      </c>
      <c r="H30" s="112"/>
      <c r="I30" s="112"/>
      <c r="J30" s="192">
        <v>44805.0</v>
      </c>
      <c r="K30" s="204">
        <v>10.0</v>
      </c>
      <c r="L30" s="194">
        <v>16.85</v>
      </c>
      <c r="M30" s="94"/>
      <c r="N30" s="112">
        <f t="shared" si="1"/>
        <v>168.5</v>
      </c>
      <c r="O30" s="196">
        <f t="shared" si="2"/>
        <v>17.68375</v>
      </c>
      <c r="P30" s="200"/>
      <c r="Q30" s="112"/>
      <c r="R30" s="112"/>
    </row>
    <row r="31" ht="17.25" customHeight="1">
      <c r="A31" s="112"/>
      <c r="B31" s="189">
        <f>IFERROR(__xludf.DUMMYFUNCTION("""COMPUTED_VALUE"""),45814.66666666667)</f>
        <v>45814.66667</v>
      </c>
      <c r="C31" s="190">
        <f>IFERROR(__xludf.DUMMYFUNCTION("""COMPUTED_VALUE"""),16.55)</f>
        <v>16.55</v>
      </c>
      <c r="D31" s="190">
        <f>IFERROR(__xludf.DUMMYFUNCTION("""COMPUTED_VALUE"""),16.58)</f>
        <v>16.58</v>
      </c>
      <c r="E31" s="190">
        <f>IFERROR(__xludf.DUMMYFUNCTION("""COMPUTED_VALUE"""),16.54)</f>
        <v>16.54</v>
      </c>
      <c r="F31" s="190">
        <f>IFERROR(__xludf.DUMMYFUNCTION("""COMPUTED_VALUE"""),16.57)</f>
        <v>16.57</v>
      </c>
      <c r="G31" s="191">
        <f>IFERROR(__xludf.DUMMYFUNCTION("""COMPUTED_VALUE"""),3985942.0)</f>
        <v>3985942</v>
      </c>
      <c r="H31" s="112"/>
      <c r="I31" s="112"/>
      <c r="J31" s="192">
        <v>45014.0</v>
      </c>
      <c r="K31" s="204">
        <v>-40.0</v>
      </c>
      <c r="L31" s="194">
        <v>17.02</v>
      </c>
      <c r="M31" s="94"/>
      <c r="N31" s="112">
        <f t="shared" si="1"/>
        <v>-680.8</v>
      </c>
      <c r="O31" s="196" t="str">
        <f t="shared" si="2"/>
        <v>#DIV/0!</v>
      </c>
      <c r="P31" s="198" t="s">
        <v>339</v>
      </c>
      <c r="Q31" s="112"/>
      <c r="R31" s="112"/>
    </row>
    <row r="32" ht="17.25" customHeight="1">
      <c r="A32" s="112"/>
      <c r="B32" s="189">
        <f>IFERROR(__xludf.DUMMYFUNCTION("""COMPUTED_VALUE"""),45817.66666666667)</f>
        <v>45817.66667</v>
      </c>
      <c r="C32" s="190">
        <f>IFERROR(__xludf.DUMMYFUNCTION("""COMPUTED_VALUE"""),16.57)</f>
        <v>16.57</v>
      </c>
      <c r="D32" s="190">
        <f>IFERROR(__xludf.DUMMYFUNCTION("""COMPUTED_VALUE"""),16.6)</f>
        <v>16.6</v>
      </c>
      <c r="E32" s="190">
        <f>IFERROR(__xludf.DUMMYFUNCTION("""COMPUTED_VALUE"""),16.57)</f>
        <v>16.57</v>
      </c>
      <c r="F32" s="190">
        <f>IFERROR(__xludf.DUMMYFUNCTION("""COMPUTED_VALUE"""),16.6)</f>
        <v>16.6</v>
      </c>
      <c r="G32" s="191">
        <f>IFERROR(__xludf.DUMMYFUNCTION("""COMPUTED_VALUE"""),2760315.0)</f>
        <v>2760315</v>
      </c>
      <c r="H32" s="112"/>
      <c r="I32" s="112"/>
      <c r="J32" s="192"/>
      <c r="K32" s="204"/>
      <c r="L32" s="194"/>
      <c r="M32" s="94"/>
      <c r="N32" s="94"/>
      <c r="O32" s="196" t="str">
        <f t="shared" si="2"/>
        <v>#DIV/0!</v>
      </c>
      <c r="P32" s="198"/>
      <c r="Q32" s="112"/>
      <c r="R32" s="112"/>
    </row>
    <row r="33" ht="17.25" customHeight="1">
      <c r="A33" s="112"/>
      <c r="B33" s="189">
        <f>IFERROR(__xludf.DUMMYFUNCTION("""COMPUTED_VALUE"""),45818.66666666667)</f>
        <v>45818.66667</v>
      </c>
      <c r="C33" s="190">
        <f>IFERROR(__xludf.DUMMYFUNCTION("""COMPUTED_VALUE"""),16.61)</f>
        <v>16.61</v>
      </c>
      <c r="D33" s="190">
        <f>IFERROR(__xludf.DUMMYFUNCTION("""COMPUTED_VALUE"""),16.62)</f>
        <v>16.62</v>
      </c>
      <c r="E33" s="190">
        <f>IFERROR(__xludf.DUMMYFUNCTION("""COMPUTED_VALUE"""),16.59)</f>
        <v>16.59</v>
      </c>
      <c r="F33" s="190">
        <f>IFERROR(__xludf.DUMMYFUNCTION("""COMPUTED_VALUE"""),16.62)</f>
        <v>16.62</v>
      </c>
      <c r="G33" s="191">
        <f>IFERROR(__xludf.DUMMYFUNCTION("""COMPUTED_VALUE"""),2387010.0)</f>
        <v>2387010</v>
      </c>
      <c r="H33" s="112"/>
      <c r="I33" s="112"/>
      <c r="J33" s="197"/>
      <c r="K33" s="204"/>
      <c r="L33" s="194"/>
      <c r="M33" s="94"/>
      <c r="N33" s="112">
        <f t="shared" ref="N33:N41" si="3">K33*L33+M33</f>
        <v>0</v>
      </c>
      <c r="O33" s="196" t="str">
        <f t="shared" si="2"/>
        <v>#DIV/0!</v>
      </c>
      <c r="P33" s="112"/>
      <c r="Q33" s="112"/>
      <c r="R33" s="112"/>
    </row>
    <row r="34" ht="17.25" customHeight="1">
      <c r="A34" s="112"/>
      <c r="B34" s="189">
        <f>IFERROR(__xludf.DUMMYFUNCTION("""COMPUTED_VALUE"""),45819.66666666667)</f>
        <v>45819.66667</v>
      </c>
      <c r="C34" s="190">
        <f>IFERROR(__xludf.DUMMYFUNCTION("""COMPUTED_VALUE"""),16.63)</f>
        <v>16.63</v>
      </c>
      <c r="D34" s="190">
        <f>IFERROR(__xludf.DUMMYFUNCTION("""COMPUTED_VALUE"""),16.64)</f>
        <v>16.64</v>
      </c>
      <c r="E34" s="190">
        <f>IFERROR(__xludf.DUMMYFUNCTION("""COMPUTED_VALUE"""),16.59)</f>
        <v>16.59</v>
      </c>
      <c r="F34" s="190">
        <f>IFERROR(__xludf.DUMMYFUNCTION("""COMPUTED_VALUE"""),16.61)</f>
        <v>16.61</v>
      </c>
      <c r="G34" s="191">
        <f>IFERROR(__xludf.DUMMYFUNCTION("""COMPUTED_VALUE"""),3512136.0)</f>
        <v>3512136</v>
      </c>
      <c r="H34" s="112"/>
      <c r="I34" s="112"/>
      <c r="J34" s="197"/>
      <c r="K34" s="204"/>
      <c r="L34" s="194"/>
      <c r="M34" s="94"/>
      <c r="N34" s="112">
        <f t="shared" si="3"/>
        <v>0</v>
      </c>
      <c r="O34" s="196" t="str">
        <f t="shared" si="2"/>
        <v>#DIV/0!</v>
      </c>
      <c r="P34" s="112"/>
      <c r="Q34" s="112"/>
      <c r="R34" s="112"/>
    </row>
    <row r="35" ht="17.25" customHeight="1">
      <c r="A35" s="112"/>
      <c r="B35" s="189">
        <f>IFERROR(__xludf.DUMMYFUNCTION("""COMPUTED_VALUE"""),45820.66666666667)</f>
        <v>45820.66667</v>
      </c>
      <c r="C35" s="190">
        <f>IFERROR(__xludf.DUMMYFUNCTION("""COMPUTED_VALUE"""),16.6)</f>
        <v>16.6</v>
      </c>
      <c r="D35" s="190">
        <f>IFERROR(__xludf.DUMMYFUNCTION("""COMPUTED_VALUE"""),16.63)</f>
        <v>16.63</v>
      </c>
      <c r="E35" s="190">
        <f>IFERROR(__xludf.DUMMYFUNCTION("""COMPUTED_VALUE"""),16.59)</f>
        <v>16.59</v>
      </c>
      <c r="F35" s="190">
        <f>IFERROR(__xludf.DUMMYFUNCTION("""COMPUTED_VALUE"""),16.63)</f>
        <v>16.63</v>
      </c>
      <c r="G35" s="191">
        <f>IFERROR(__xludf.DUMMYFUNCTION("""COMPUTED_VALUE"""),2597861.0)</f>
        <v>2597861</v>
      </c>
      <c r="H35" s="112"/>
      <c r="I35" s="112"/>
      <c r="J35" s="197"/>
      <c r="K35" s="204"/>
      <c r="L35" s="194"/>
      <c r="M35" s="94"/>
      <c r="N35" s="112">
        <f t="shared" si="3"/>
        <v>0</v>
      </c>
      <c r="O35" s="196" t="str">
        <f t="shared" si="2"/>
        <v>#DIV/0!</v>
      </c>
      <c r="P35" s="112"/>
      <c r="Q35" s="112"/>
      <c r="R35" s="112"/>
    </row>
    <row r="36" ht="17.25" customHeight="1">
      <c r="A36" s="112"/>
      <c r="B36" s="189">
        <f>IFERROR(__xludf.DUMMYFUNCTION("""COMPUTED_VALUE"""),45821.66666666667)</f>
        <v>45821.66667</v>
      </c>
      <c r="C36" s="190">
        <f>IFERROR(__xludf.DUMMYFUNCTION("""COMPUTED_VALUE"""),16.58)</f>
        <v>16.58</v>
      </c>
      <c r="D36" s="190">
        <f>IFERROR(__xludf.DUMMYFUNCTION("""COMPUTED_VALUE"""),16.63)</f>
        <v>16.63</v>
      </c>
      <c r="E36" s="190">
        <f>IFERROR(__xludf.DUMMYFUNCTION("""COMPUTED_VALUE"""),16.57)</f>
        <v>16.57</v>
      </c>
      <c r="F36" s="190">
        <f>IFERROR(__xludf.DUMMYFUNCTION("""COMPUTED_VALUE"""),16.59)</f>
        <v>16.59</v>
      </c>
      <c r="G36" s="191">
        <f>IFERROR(__xludf.DUMMYFUNCTION("""COMPUTED_VALUE"""),4748247.0)</f>
        <v>4748247</v>
      </c>
      <c r="H36" s="112"/>
      <c r="I36" s="112"/>
      <c r="J36" s="197"/>
      <c r="K36" s="194"/>
      <c r="L36" s="194"/>
      <c r="M36" s="94"/>
      <c r="N36" s="112">
        <f t="shared" si="3"/>
        <v>0</v>
      </c>
      <c r="O36" s="196" t="str">
        <f t="shared" si="2"/>
        <v>#DIV/0!</v>
      </c>
      <c r="P36" s="112"/>
      <c r="Q36" s="112"/>
      <c r="R36" s="112"/>
    </row>
    <row r="37" ht="17.25" customHeight="1">
      <c r="A37" s="112"/>
      <c r="B37" s="189">
        <f>IFERROR(__xludf.DUMMYFUNCTION("""COMPUTED_VALUE"""),45824.66666666667)</f>
        <v>45824.66667</v>
      </c>
      <c r="C37" s="190">
        <f>IFERROR(__xludf.DUMMYFUNCTION("""COMPUTED_VALUE"""),16.62)</f>
        <v>16.62</v>
      </c>
      <c r="D37" s="190">
        <f>IFERROR(__xludf.DUMMYFUNCTION("""COMPUTED_VALUE"""),16.66)</f>
        <v>16.66</v>
      </c>
      <c r="E37" s="190">
        <f>IFERROR(__xludf.DUMMYFUNCTION("""COMPUTED_VALUE"""),16.62)</f>
        <v>16.62</v>
      </c>
      <c r="F37" s="190">
        <f>IFERROR(__xludf.DUMMYFUNCTION("""COMPUTED_VALUE"""),16.66)</f>
        <v>16.66</v>
      </c>
      <c r="G37" s="191">
        <f>IFERROR(__xludf.DUMMYFUNCTION("""COMPUTED_VALUE"""),2897758.0)</f>
        <v>2897758</v>
      </c>
      <c r="H37" s="112"/>
      <c r="I37" s="112"/>
      <c r="J37" s="192"/>
      <c r="K37" s="194"/>
      <c r="L37" s="194"/>
      <c r="M37" s="94"/>
      <c r="N37" s="112">
        <f t="shared" si="3"/>
        <v>0</v>
      </c>
      <c r="O37" s="196" t="str">
        <f t="shared" si="2"/>
        <v>#DIV/0!</v>
      </c>
      <c r="P37" s="112"/>
      <c r="Q37" s="112"/>
      <c r="R37" s="112"/>
    </row>
    <row r="38" ht="17.25" customHeight="1">
      <c r="A38" s="112"/>
      <c r="B38" s="189">
        <f>IFERROR(__xludf.DUMMYFUNCTION("""COMPUTED_VALUE"""),45825.66666666667)</f>
        <v>45825.66667</v>
      </c>
      <c r="C38" s="190">
        <f>IFERROR(__xludf.DUMMYFUNCTION("""COMPUTED_VALUE"""),16.65)</f>
        <v>16.65</v>
      </c>
      <c r="D38" s="190">
        <f>IFERROR(__xludf.DUMMYFUNCTION("""COMPUTED_VALUE"""),16.67)</f>
        <v>16.67</v>
      </c>
      <c r="E38" s="190">
        <f>IFERROR(__xludf.DUMMYFUNCTION("""COMPUTED_VALUE"""),16.62)</f>
        <v>16.62</v>
      </c>
      <c r="F38" s="190">
        <f>IFERROR(__xludf.DUMMYFUNCTION("""COMPUTED_VALUE"""),16.64)</f>
        <v>16.64</v>
      </c>
      <c r="G38" s="191">
        <f>IFERROR(__xludf.DUMMYFUNCTION("""COMPUTED_VALUE"""),3622577.0)</f>
        <v>3622577</v>
      </c>
      <c r="H38" s="112"/>
      <c r="I38" s="112"/>
      <c r="J38" s="192"/>
      <c r="K38" s="204"/>
      <c r="L38" s="194"/>
      <c r="M38" s="94"/>
      <c r="N38" s="112">
        <f t="shared" si="3"/>
        <v>0</v>
      </c>
      <c r="O38" s="196" t="str">
        <f t="shared" si="2"/>
        <v>#DIV/0!</v>
      </c>
      <c r="P38" s="112"/>
      <c r="Q38" s="112"/>
      <c r="R38" s="112"/>
    </row>
    <row r="39" ht="17.25" customHeight="1">
      <c r="A39" s="112"/>
      <c r="B39" s="189">
        <f>IFERROR(__xludf.DUMMYFUNCTION("""COMPUTED_VALUE"""),45826.66666666667)</f>
        <v>45826.66667</v>
      </c>
      <c r="C39" s="190">
        <f>IFERROR(__xludf.DUMMYFUNCTION("""COMPUTED_VALUE"""),16.65)</f>
        <v>16.65</v>
      </c>
      <c r="D39" s="190">
        <f>IFERROR(__xludf.DUMMYFUNCTION("""COMPUTED_VALUE"""),16.68)</f>
        <v>16.68</v>
      </c>
      <c r="E39" s="190">
        <f>IFERROR(__xludf.DUMMYFUNCTION("""COMPUTED_VALUE"""),16.63)</f>
        <v>16.63</v>
      </c>
      <c r="F39" s="190">
        <f>IFERROR(__xludf.DUMMYFUNCTION("""COMPUTED_VALUE"""),16.64)</f>
        <v>16.64</v>
      </c>
      <c r="G39" s="191">
        <f>IFERROR(__xludf.DUMMYFUNCTION("""COMPUTED_VALUE"""),4213609.0)</f>
        <v>4213609</v>
      </c>
      <c r="H39" s="112"/>
      <c r="I39" s="112"/>
      <c r="J39" s="192"/>
      <c r="K39" s="204"/>
      <c r="L39" s="194"/>
      <c r="M39" s="94"/>
      <c r="N39" s="112">
        <f t="shared" si="3"/>
        <v>0</v>
      </c>
      <c r="O39" s="196" t="str">
        <f t="shared" si="2"/>
        <v>#DIV/0!</v>
      </c>
      <c r="P39" s="112"/>
      <c r="Q39" s="112"/>
      <c r="R39" s="112"/>
    </row>
    <row r="40" ht="17.25" customHeight="1">
      <c r="A40" s="112"/>
      <c r="B40" s="189">
        <f>IFERROR(__xludf.DUMMYFUNCTION("""COMPUTED_VALUE"""),45828.66666666667)</f>
        <v>45828.66667</v>
      </c>
      <c r="C40" s="190">
        <f>IFERROR(__xludf.DUMMYFUNCTION("""COMPUTED_VALUE"""),16.72)</f>
        <v>16.72</v>
      </c>
      <c r="D40" s="190">
        <f>IFERROR(__xludf.DUMMYFUNCTION("""COMPUTED_VALUE"""),16.78)</f>
        <v>16.78</v>
      </c>
      <c r="E40" s="190">
        <f>IFERROR(__xludf.DUMMYFUNCTION("""COMPUTED_VALUE"""),16.52)</f>
        <v>16.52</v>
      </c>
      <c r="F40" s="190">
        <f>IFERROR(__xludf.DUMMYFUNCTION("""COMPUTED_VALUE"""),16.58)</f>
        <v>16.58</v>
      </c>
      <c r="G40" s="191">
        <f>IFERROR(__xludf.DUMMYFUNCTION("""COMPUTED_VALUE"""),7041096.0)</f>
        <v>7041096</v>
      </c>
      <c r="H40" s="112"/>
      <c r="I40" s="112"/>
      <c r="J40" s="192"/>
      <c r="K40" s="204"/>
      <c r="L40" s="194"/>
      <c r="M40" s="94"/>
      <c r="N40" s="112">
        <f t="shared" si="3"/>
        <v>0</v>
      </c>
      <c r="O40" s="196" t="str">
        <f t="shared" si="2"/>
        <v>#DIV/0!</v>
      </c>
      <c r="P40" s="112"/>
      <c r="Q40" s="112"/>
      <c r="R40" s="112"/>
    </row>
    <row r="41" ht="17.25" customHeight="1">
      <c r="A41" s="112"/>
      <c r="B41" s="189">
        <f>IFERROR(__xludf.DUMMYFUNCTION("""COMPUTED_VALUE"""),45831.66666666667)</f>
        <v>45831.66667</v>
      </c>
      <c r="C41" s="190">
        <f>IFERROR(__xludf.DUMMYFUNCTION("""COMPUTED_VALUE"""),16.43)</f>
        <v>16.43</v>
      </c>
      <c r="D41" s="190">
        <f>IFERROR(__xludf.DUMMYFUNCTION("""COMPUTED_VALUE"""),16.52)</f>
        <v>16.52</v>
      </c>
      <c r="E41" s="190">
        <f>IFERROR(__xludf.DUMMYFUNCTION("""COMPUTED_VALUE"""),16.39)</f>
        <v>16.39</v>
      </c>
      <c r="F41" s="190">
        <f>IFERROR(__xludf.DUMMYFUNCTION("""COMPUTED_VALUE"""),16.52)</f>
        <v>16.52</v>
      </c>
      <c r="G41" s="191">
        <f>IFERROR(__xludf.DUMMYFUNCTION("""COMPUTED_VALUE"""),5637523.0)</f>
        <v>5637523</v>
      </c>
      <c r="H41" s="112"/>
      <c r="I41" s="112"/>
      <c r="J41" s="192"/>
      <c r="K41" s="194"/>
      <c r="L41" s="194"/>
      <c r="M41" s="94"/>
      <c r="N41" s="112">
        <f t="shared" si="3"/>
        <v>0</v>
      </c>
      <c r="O41" s="196" t="str">
        <f t="shared" si="2"/>
        <v>#DIV/0!</v>
      </c>
      <c r="P41" s="112"/>
      <c r="Q41" s="112"/>
      <c r="R41" s="112"/>
    </row>
    <row r="42" ht="17.25" customHeight="1">
      <c r="A42" s="112"/>
      <c r="B42" s="189">
        <f>IFERROR(__xludf.DUMMYFUNCTION("""COMPUTED_VALUE"""),45832.66666666667)</f>
        <v>45832.66667</v>
      </c>
      <c r="C42" s="190">
        <f>IFERROR(__xludf.DUMMYFUNCTION("""COMPUTED_VALUE"""),16.58)</f>
        <v>16.58</v>
      </c>
      <c r="D42" s="190">
        <f>IFERROR(__xludf.DUMMYFUNCTION("""COMPUTED_VALUE"""),16.62)</f>
        <v>16.62</v>
      </c>
      <c r="E42" s="190">
        <f>IFERROR(__xludf.DUMMYFUNCTION("""COMPUTED_VALUE"""),16.57)</f>
        <v>16.57</v>
      </c>
      <c r="F42" s="190">
        <f>IFERROR(__xludf.DUMMYFUNCTION("""COMPUTED_VALUE"""),16.61)</f>
        <v>16.61</v>
      </c>
      <c r="G42" s="191">
        <f>IFERROR(__xludf.DUMMYFUNCTION("""COMPUTED_VALUE"""),4876258.0)</f>
        <v>4876258</v>
      </c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</row>
    <row r="43" ht="17.25" customHeight="1">
      <c r="A43" s="112"/>
      <c r="B43" s="189">
        <f>IFERROR(__xludf.DUMMYFUNCTION("""COMPUTED_VALUE"""),45833.66666666667)</f>
        <v>45833.66667</v>
      </c>
      <c r="C43" s="190">
        <f>IFERROR(__xludf.DUMMYFUNCTION("""COMPUTED_VALUE"""),16.63)</f>
        <v>16.63</v>
      </c>
      <c r="D43" s="190">
        <f>IFERROR(__xludf.DUMMYFUNCTION("""COMPUTED_VALUE"""),16.64)</f>
        <v>16.64</v>
      </c>
      <c r="E43" s="190">
        <f>IFERROR(__xludf.DUMMYFUNCTION("""COMPUTED_VALUE"""),16.61)</f>
        <v>16.61</v>
      </c>
      <c r="F43" s="190">
        <f>IFERROR(__xludf.DUMMYFUNCTION("""COMPUTED_VALUE"""),16.64)</f>
        <v>16.64</v>
      </c>
      <c r="G43" s="191">
        <f>IFERROR(__xludf.DUMMYFUNCTION("""COMPUTED_VALUE"""),3495793.0)</f>
        <v>3495793</v>
      </c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</row>
    <row r="44" ht="17.25" customHeight="1">
      <c r="A44" s="112"/>
      <c r="B44" s="189">
        <f>IFERROR(__xludf.DUMMYFUNCTION("""COMPUTED_VALUE"""),45834.66666666667)</f>
        <v>45834.66667</v>
      </c>
      <c r="C44" s="190">
        <f>IFERROR(__xludf.DUMMYFUNCTION("""COMPUTED_VALUE"""),16.66)</f>
        <v>16.66</v>
      </c>
      <c r="D44" s="190">
        <f>IFERROR(__xludf.DUMMYFUNCTION("""COMPUTED_VALUE"""),16.68)</f>
        <v>16.68</v>
      </c>
      <c r="E44" s="190">
        <f>IFERROR(__xludf.DUMMYFUNCTION("""COMPUTED_VALUE"""),16.64)</f>
        <v>16.64</v>
      </c>
      <c r="F44" s="190">
        <f>IFERROR(__xludf.DUMMYFUNCTION("""COMPUTED_VALUE"""),16.67)</f>
        <v>16.67</v>
      </c>
      <c r="G44" s="191">
        <f>IFERROR(__xludf.DUMMYFUNCTION("""COMPUTED_VALUE"""),3925973.0)</f>
        <v>3925973</v>
      </c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</row>
    <row r="45" ht="17.25" customHeight="1">
      <c r="A45" s="112"/>
      <c r="B45" s="189">
        <f>IFERROR(__xludf.DUMMYFUNCTION("""COMPUTED_VALUE"""),45835.66666666667)</f>
        <v>45835.66667</v>
      </c>
      <c r="C45" s="190">
        <f>IFERROR(__xludf.DUMMYFUNCTION("""COMPUTED_VALUE"""),16.68)</f>
        <v>16.68</v>
      </c>
      <c r="D45" s="190">
        <f>IFERROR(__xludf.DUMMYFUNCTION("""COMPUTED_VALUE"""),16.7)</f>
        <v>16.7</v>
      </c>
      <c r="E45" s="190">
        <f>IFERROR(__xludf.DUMMYFUNCTION("""COMPUTED_VALUE"""),16.66)</f>
        <v>16.66</v>
      </c>
      <c r="F45" s="190">
        <f>IFERROR(__xludf.DUMMYFUNCTION("""COMPUTED_VALUE"""),16.7)</f>
        <v>16.7</v>
      </c>
      <c r="G45" s="191">
        <f>IFERROR(__xludf.DUMMYFUNCTION("""COMPUTED_VALUE"""),3864333.0)</f>
        <v>3864333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</row>
    <row r="46" ht="17.25" customHeight="1">
      <c r="A46" s="112"/>
      <c r="B46" s="189">
        <f>IFERROR(__xludf.DUMMYFUNCTION("""COMPUTED_VALUE"""),45838.66666666667)</f>
        <v>45838.66667</v>
      </c>
      <c r="C46" s="190">
        <f>IFERROR(__xludf.DUMMYFUNCTION("""COMPUTED_VALUE"""),16.71)</f>
        <v>16.71</v>
      </c>
      <c r="D46" s="190">
        <f>IFERROR(__xludf.DUMMYFUNCTION("""COMPUTED_VALUE"""),16.73)</f>
        <v>16.73</v>
      </c>
      <c r="E46" s="190">
        <f>IFERROR(__xludf.DUMMYFUNCTION("""COMPUTED_VALUE"""),16.7)</f>
        <v>16.7</v>
      </c>
      <c r="F46" s="190">
        <f>IFERROR(__xludf.DUMMYFUNCTION("""COMPUTED_VALUE"""),16.72)</f>
        <v>16.72</v>
      </c>
      <c r="G46" s="191">
        <f>IFERROR(__xludf.DUMMYFUNCTION("""COMPUTED_VALUE"""),3728882.0)</f>
        <v>3728882</v>
      </c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</row>
    <row r="47" ht="17.25" customHeight="1">
      <c r="A47" s="112"/>
      <c r="B47" s="189">
        <f>IFERROR(__xludf.DUMMYFUNCTION("""COMPUTED_VALUE"""),45839.66666666667)</f>
        <v>45839.66667</v>
      </c>
      <c r="C47" s="190">
        <f>IFERROR(__xludf.DUMMYFUNCTION("""COMPUTED_VALUE"""),16.7)</f>
        <v>16.7</v>
      </c>
      <c r="D47" s="190">
        <f>IFERROR(__xludf.DUMMYFUNCTION("""COMPUTED_VALUE"""),16.72)</f>
        <v>16.72</v>
      </c>
      <c r="E47" s="190">
        <f>IFERROR(__xludf.DUMMYFUNCTION("""COMPUTED_VALUE"""),16.68)</f>
        <v>16.68</v>
      </c>
      <c r="F47" s="190">
        <f>IFERROR(__xludf.DUMMYFUNCTION("""COMPUTED_VALUE"""),16.71)</f>
        <v>16.71</v>
      </c>
      <c r="G47" s="191">
        <f>IFERROR(__xludf.DUMMYFUNCTION("""COMPUTED_VALUE"""),4138101.0)</f>
        <v>4138101</v>
      </c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</row>
    <row r="48" ht="17.25" customHeight="1">
      <c r="A48" s="112"/>
      <c r="B48" s="189">
        <f>IFERROR(__xludf.DUMMYFUNCTION("""COMPUTED_VALUE"""),45840.66666666667)</f>
        <v>45840.66667</v>
      </c>
      <c r="C48" s="190">
        <f>IFERROR(__xludf.DUMMYFUNCTION("""COMPUTED_VALUE"""),16.7)</f>
        <v>16.7</v>
      </c>
      <c r="D48" s="190">
        <f>IFERROR(__xludf.DUMMYFUNCTION("""COMPUTED_VALUE"""),16.72)</f>
        <v>16.72</v>
      </c>
      <c r="E48" s="190">
        <f>IFERROR(__xludf.DUMMYFUNCTION("""COMPUTED_VALUE"""),16.69)</f>
        <v>16.69</v>
      </c>
      <c r="F48" s="190">
        <f>IFERROR(__xludf.DUMMYFUNCTION("""COMPUTED_VALUE"""),16.72)</f>
        <v>16.72</v>
      </c>
      <c r="G48" s="191">
        <f>IFERROR(__xludf.DUMMYFUNCTION("""COMPUTED_VALUE"""),2405135.0)</f>
        <v>2405135</v>
      </c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</row>
    <row r="49" ht="17.25" customHeight="1">
      <c r="A49" s="112"/>
      <c r="B49" s="189">
        <f>IFERROR(__xludf.DUMMYFUNCTION("""COMPUTED_VALUE"""),45841.54513888889)</f>
        <v>45841.54514</v>
      </c>
      <c r="C49" s="190">
        <f>IFERROR(__xludf.DUMMYFUNCTION("""COMPUTED_VALUE"""),16.74)</f>
        <v>16.74</v>
      </c>
      <c r="D49" s="190">
        <f>IFERROR(__xludf.DUMMYFUNCTION("""COMPUTED_VALUE"""),16.75)</f>
        <v>16.75</v>
      </c>
      <c r="E49" s="190">
        <f>IFERROR(__xludf.DUMMYFUNCTION("""COMPUTED_VALUE"""),16.73)</f>
        <v>16.73</v>
      </c>
      <c r="F49" s="190">
        <f>IFERROR(__xludf.DUMMYFUNCTION("""COMPUTED_VALUE"""),16.75)</f>
        <v>16.75</v>
      </c>
      <c r="G49" s="191">
        <f>IFERROR(__xludf.DUMMYFUNCTION("""COMPUTED_VALUE"""),1628394.0)</f>
        <v>1628394</v>
      </c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</row>
    <row r="50" ht="17.25" customHeight="1">
      <c r="A50" s="112"/>
      <c r="B50" s="189">
        <f>IFERROR(__xludf.DUMMYFUNCTION("""COMPUTED_VALUE"""),45845.66666666667)</f>
        <v>45845.66667</v>
      </c>
      <c r="C50" s="190">
        <f>IFERROR(__xludf.DUMMYFUNCTION("""COMPUTED_VALUE"""),16.75)</f>
        <v>16.75</v>
      </c>
      <c r="D50" s="190">
        <f>IFERROR(__xludf.DUMMYFUNCTION("""COMPUTED_VALUE"""),16.75)</f>
        <v>16.75</v>
      </c>
      <c r="E50" s="190">
        <f>IFERROR(__xludf.DUMMYFUNCTION("""COMPUTED_VALUE"""),16.73)</f>
        <v>16.73</v>
      </c>
      <c r="F50" s="190">
        <f>IFERROR(__xludf.DUMMYFUNCTION("""COMPUTED_VALUE"""),16.75)</f>
        <v>16.75</v>
      </c>
      <c r="G50" s="191">
        <f>IFERROR(__xludf.DUMMYFUNCTION("""COMPUTED_VALUE"""),4055298.0)</f>
        <v>4055298</v>
      </c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 ht="17.25" customHeight="1">
      <c r="A51" s="112"/>
      <c r="B51" s="189">
        <f>IFERROR(__xludf.DUMMYFUNCTION("""COMPUTED_VALUE"""),45846.66666666667)</f>
        <v>45846.66667</v>
      </c>
      <c r="C51" s="190">
        <f>IFERROR(__xludf.DUMMYFUNCTION("""COMPUTED_VALUE"""),16.76)</f>
        <v>16.76</v>
      </c>
      <c r="D51" s="190">
        <f>IFERROR(__xludf.DUMMYFUNCTION("""COMPUTED_VALUE"""),16.77)</f>
        <v>16.77</v>
      </c>
      <c r="E51" s="190">
        <f>IFERROR(__xludf.DUMMYFUNCTION("""COMPUTED_VALUE"""),16.75)</f>
        <v>16.75</v>
      </c>
      <c r="F51" s="190">
        <f>IFERROR(__xludf.DUMMYFUNCTION("""COMPUTED_VALUE"""),16.77)</f>
        <v>16.77</v>
      </c>
      <c r="G51" s="191">
        <f>IFERROR(__xludf.DUMMYFUNCTION("""COMPUTED_VALUE"""),3556218.0)</f>
        <v>3556218</v>
      </c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</row>
    <row r="52" ht="17.25" customHeight="1">
      <c r="A52" s="112"/>
      <c r="B52" s="189">
        <f>IFERROR(__xludf.DUMMYFUNCTION("""COMPUTED_VALUE"""),45847.66666666667)</f>
        <v>45847.66667</v>
      </c>
      <c r="C52" s="190">
        <f>IFERROR(__xludf.DUMMYFUNCTION("""COMPUTED_VALUE"""),16.78)</f>
        <v>16.78</v>
      </c>
      <c r="D52" s="190">
        <f>IFERROR(__xludf.DUMMYFUNCTION("""COMPUTED_VALUE"""),16.79)</f>
        <v>16.79</v>
      </c>
      <c r="E52" s="190">
        <f>IFERROR(__xludf.DUMMYFUNCTION("""COMPUTED_VALUE"""),16.77)</f>
        <v>16.77</v>
      </c>
      <c r="F52" s="190">
        <f>IFERROR(__xludf.DUMMYFUNCTION("""COMPUTED_VALUE"""),16.77)</f>
        <v>16.77</v>
      </c>
      <c r="G52" s="191">
        <f>IFERROR(__xludf.DUMMYFUNCTION("""COMPUTED_VALUE"""),2660342.0)</f>
        <v>2660342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 ht="17.25" customHeight="1">
      <c r="A53" s="112"/>
      <c r="B53" s="189">
        <f>IFERROR(__xludf.DUMMYFUNCTION("""COMPUTED_VALUE"""),45848.66666666667)</f>
        <v>45848.66667</v>
      </c>
      <c r="C53" s="190">
        <f>IFERROR(__xludf.DUMMYFUNCTION("""COMPUTED_VALUE"""),16.78)</f>
        <v>16.78</v>
      </c>
      <c r="D53" s="190">
        <f>IFERROR(__xludf.DUMMYFUNCTION("""COMPUTED_VALUE"""),16.79)</f>
        <v>16.79</v>
      </c>
      <c r="E53" s="190">
        <f>IFERROR(__xludf.DUMMYFUNCTION("""COMPUTED_VALUE"""),16.77)</f>
        <v>16.77</v>
      </c>
      <c r="F53" s="190">
        <f>IFERROR(__xludf.DUMMYFUNCTION("""COMPUTED_VALUE"""),16.77)</f>
        <v>16.77</v>
      </c>
      <c r="G53" s="191">
        <f>IFERROR(__xludf.DUMMYFUNCTION("""COMPUTED_VALUE"""),2095496.0)</f>
        <v>2095496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</row>
    <row r="54" ht="17.25" customHeight="1">
      <c r="A54" s="112"/>
      <c r="B54" s="189">
        <f>IFERROR(__xludf.DUMMYFUNCTION("""COMPUTED_VALUE"""),45849.66666666667)</f>
        <v>45849.66667</v>
      </c>
      <c r="C54" s="190">
        <f>IFERROR(__xludf.DUMMYFUNCTION("""COMPUTED_VALUE"""),16.78)</f>
        <v>16.78</v>
      </c>
      <c r="D54" s="190">
        <f>IFERROR(__xludf.DUMMYFUNCTION("""COMPUTED_VALUE"""),16.79)</f>
        <v>16.79</v>
      </c>
      <c r="E54" s="190">
        <f>IFERROR(__xludf.DUMMYFUNCTION("""COMPUTED_VALUE"""),16.78)</f>
        <v>16.78</v>
      </c>
      <c r="F54" s="190">
        <f>IFERROR(__xludf.DUMMYFUNCTION("""COMPUTED_VALUE"""),16.78)</f>
        <v>16.78</v>
      </c>
      <c r="G54" s="191">
        <f>IFERROR(__xludf.DUMMYFUNCTION("""COMPUTED_VALUE"""),1776449.0)</f>
        <v>1776449</v>
      </c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</row>
    <row r="55" ht="17.25" customHeight="1">
      <c r="A55" s="112"/>
      <c r="B55" s="189">
        <f>IFERROR(__xludf.DUMMYFUNCTION("""COMPUTED_VALUE"""),45852.66666666667)</f>
        <v>45852.66667</v>
      </c>
      <c r="C55" s="190">
        <f>IFERROR(__xludf.DUMMYFUNCTION("""COMPUTED_VALUE"""),16.79)</f>
        <v>16.79</v>
      </c>
      <c r="D55" s="190">
        <f>IFERROR(__xludf.DUMMYFUNCTION("""COMPUTED_VALUE"""),16.8)</f>
        <v>16.8</v>
      </c>
      <c r="E55" s="190">
        <f>IFERROR(__xludf.DUMMYFUNCTION("""COMPUTED_VALUE"""),16.79)</f>
        <v>16.79</v>
      </c>
      <c r="F55" s="190">
        <f>IFERROR(__xludf.DUMMYFUNCTION("""COMPUTED_VALUE"""),16.79)</f>
        <v>16.79</v>
      </c>
      <c r="G55" s="191">
        <f>IFERROR(__xludf.DUMMYFUNCTION("""COMPUTED_VALUE"""),2788809.0)</f>
        <v>2788809</v>
      </c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</row>
    <row r="56" ht="17.25" customHeight="1">
      <c r="A56" s="112"/>
      <c r="B56" s="189">
        <f>IFERROR(__xludf.DUMMYFUNCTION("""COMPUTED_VALUE"""),45853.66666666667)</f>
        <v>45853.66667</v>
      </c>
      <c r="C56" s="190">
        <f>IFERROR(__xludf.DUMMYFUNCTION("""COMPUTED_VALUE"""),16.8)</f>
        <v>16.8</v>
      </c>
      <c r="D56" s="190">
        <f>IFERROR(__xludf.DUMMYFUNCTION("""COMPUTED_VALUE"""),16.8)</f>
        <v>16.8</v>
      </c>
      <c r="E56" s="190">
        <f>IFERROR(__xludf.DUMMYFUNCTION("""COMPUTED_VALUE"""),16.79)</f>
        <v>16.79</v>
      </c>
      <c r="F56" s="190">
        <f>IFERROR(__xludf.DUMMYFUNCTION("""COMPUTED_VALUE"""),16.8)</f>
        <v>16.8</v>
      </c>
      <c r="G56" s="191">
        <f>IFERROR(__xludf.DUMMYFUNCTION("""COMPUTED_VALUE"""),2771837.0)</f>
        <v>2771837</v>
      </c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</row>
    <row r="57" ht="17.25" customHeight="1">
      <c r="A57" s="112"/>
      <c r="B57" s="189">
        <f>IFERROR(__xludf.DUMMYFUNCTION("""COMPUTED_VALUE"""),45854.66666666667)</f>
        <v>45854.66667</v>
      </c>
      <c r="C57" s="190">
        <f>IFERROR(__xludf.DUMMYFUNCTION("""COMPUTED_VALUE"""),16.8)</f>
        <v>16.8</v>
      </c>
      <c r="D57" s="190">
        <f>IFERROR(__xludf.DUMMYFUNCTION("""COMPUTED_VALUE"""),16.8)</f>
        <v>16.8</v>
      </c>
      <c r="E57" s="190">
        <f>IFERROR(__xludf.DUMMYFUNCTION("""COMPUTED_VALUE"""),16.79)</f>
        <v>16.79</v>
      </c>
      <c r="F57" s="190">
        <f>IFERROR(__xludf.DUMMYFUNCTION("""COMPUTED_VALUE"""),16.8)</f>
        <v>16.8</v>
      </c>
      <c r="G57" s="191">
        <f>IFERROR(__xludf.DUMMYFUNCTION("""COMPUTED_VALUE"""),2107004.0)</f>
        <v>2107004</v>
      </c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</row>
    <row r="58" ht="17.25" customHeight="1">
      <c r="A58" s="112"/>
      <c r="B58" s="189">
        <f>IFERROR(__xludf.DUMMYFUNCTION("""COMPUTED_VALUE"""),45855.66666666667)</f>
        <v>45855.66667</v>
      </c>
      <c r="C58" s="190">
        <f>IFERROR(__xludf.DUMMYFUNCTION("""COMPUTED_VALUE"""),16.8)</f>
        <v>16.8</v>
      </c>
      <c r="D58" s="190">
        <f>IFERROR(__xludf.DUMMYFUNCTION("""COMPUTED_VALUE"""),16.81)</f>
        <v>16.81</v>
      </c>
      <c r="E58" s="190">
        <f>IFERROR(__xludf.DUMMYFUNCTION("""COMPUTED_VALUE"""),16.78)</f>
        <v>16.78</v>
      </c>
      <c r="F58" s="190">
        <f>IFERROR(__xludf.DUMMYFUNCTION("""COMPUTED_VALUE"""),16.79)</f>
        <v>16.79</v>
      </c>
      <c r="G58" s="191">
        <f>IFERROR(__xludf.DUMMYFUNCTION("""COMPUTED_VALUE"""),4092088.0)</f>
        <v>4092088</v>
      </c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</row>
    <row r="59" ht="17.25" customHeight="1">
      <c r="A59" s="112"/>
      <c r="B59" s="189">
        <f>IFERROR(__xludf.DUMMYFUNCTION("""COMPUTED_VALUE"""),45856.66666666667)</f>
        <v>45856.66667</v>
      </c>
      <c r="C59" s="190">
        <f>IFERROR(__xludf.DUMMYFUNCTION("""COMPUTED_VALUE"""),16.8)</f>
        <v>16.8</v>
      </c>
      <c r="D59" s="190">
        <f>IFERROR(__xludf.DUMMYFUNCTION("""COMPUTED_VALUE"""),16.83)</f>
        <v>16.83</v>
      </c>
      <c r="E59" s="190">
        <f>IFERROR(__xludf.DUMMYFUNCTION("""COMPUTED_VALUE"""),16.75)</f>
        <v>16.75</v>
      </c>
      <c r="F59" s="190">
        <f>IFERROR(__xludf.DUMMYFUNCTION("""COMPUTED_VALUE"""),16.77)</f>
        <v>16.77</v>
      </c>
      <c r="G59" s="191">
        <f>IFERROR(__xludf.DUMMYFUNCTION("""COMPUTED_VALUE"""),4751938.0)</f>
        <v>4751938</v>
      </c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</row>
    <row r="60" ht="17.25" customHeight="1">
      <c r="A60" s="112"/>
      <c r="B60" s="189">
        <f>IFERROR(__xludf.DUMMYFUNCTION("""COMPUTED_VALUE"""),45859.66666666667)</f>
        <v>45859.66667</v>
      </c>
      <c r="C60" s="190">
        <f>IFERROR(__xludf.DUMMYFUNCTION("""COMPUTED_VALUE"""),16.67)</f>
        <v>16.67</v>
      </c>
      <c r="D60" s="190">
        <f>IFERROR(__xludf.DUMMYFUNCTION("""COMPUTED_VALUE"""),16.68)</f>
        <v>16.68</v>
      </c>
      <c r="E60" s="190">
        <f>IFERROR(__xludf.DUMMYFUNCTION("""COMPUTED_VALUE"""),16.64)</f>
        <v>16.64</v>
      </c>
      <c r="F60" s="190">
        <f>IFERROR(__xludf.DUMMYFUNCTION("""COMPUTED_VALUE"""),16.66)</f>
        <v>16.66</v>
      </c>
      <c r="G60" s="191">
        <f>IFERROR(__xludf.DUMMYFUNCTION("""COMPUTED_VALUE"""),4746018.0)</f>
        <v>4746018</v>
      </c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</row>
    <row r="61" ht="17.25" customHeight="1">
      <c r="A61" s="112"/>
      <c r="B61" s="189">
        <f>IFERROR(__xludf.DUMMYFUNCTION("""COMPUTED_VALUE"""),45860.66666666667)</f>
        <v>45860.66667</v>
      </c>
      <c r="C61" s="190">
        <f>IFERROR(__xludf.DUMMYFUNCTION("""COMPUTED_VALUE"""),16.66)</f>
        <v>16.66</v>
      </c>
      <c r="D61" s="190">
        <f>IFERROR(__xludf.DUMMYFUNCTION("""COMPUTED_VALUE"""),16.67)</f>
        <v>16.67</v>
      </c>
      <c r="E61" s="190">
        <f>IFERROR(__xludf.DUMMYFUNCTION("""COMPUTED_VALUE"""),16.58)</f>
        <v>16.58</v>
      </c>
      <c r="F61" s="190">
        <f>IFERROR(__xludf.DUMMYFUNCTION("""COMPUTED_VALUE"""),16.64)</f>
        <v>16.64</v>
      </c>
      <c r="G61" s="191">
        <f>IFERROR(__xludf.DUMMYFUNCTION("""COMPUTED_VALUE"""),5458709.0)</f>
        <v>5458709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</row>
    <row r="62" ht="17.25" customHeight="1">
      <c r="A62" s="112"/>
      <c r="B62" s="189">
        <f>IFERROR(__xludf.DUMMYFUNCTION("""COMPUTED_VALUE"""),45861.66666666667)</f>
        <v>45861.66667</v>
      </c>
      <c r="C62" s="190">
        <f>IFERROR(__xludf.DUMMYFUNCTION("""COMPUTED_VALUE"""),16.65)</f>
        <v>16.65</v>
      </c>
      <c r="D62" s="190">
        <f>IFERROR(__xludf.DUMMYFUNCTION("""COMPUTED_VALUE"""),16.68)</f>
        <v>16.68</v>
      </c>
      <c r="E62" s="190">
        <f>IFERROR(__xludf.DUMMYFUNCTION("""COMPUTED_VALUE"""),16.61)</f>
        <v>16.61</v>
      </c>
      <c r="F62" s="190">
        <f>IFERROR(__xludf.DUMMYFUNCTION("""COMPUTED_VALUE"""),16.68)</f>
        <v>16.68</v>
      </c>
      <c r="G62" s="191">
        <f>IFERROR(__xludf.DUMMYFUNCTION("""COMPUTED_VALUE"""),4381320.0)</f>
        <v>4381320</v>
      </c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</row>
    <row r="63" ht="17.25" customHeight="1">
      <c r="A63" s="112"/>
      <c r="B63" s="189">
        <f>IFERROR(__xludf.DUMMYFUNCTION("""COMPUTED_VALUE"""),45862.66666666667)</f>
        <v>45862.66667</v>
      </c>
      <c r="C63" s="190">
        <f>IFERROR(__xludf.DUMMYFUNCTION("""COMPUTED_VALUE"""),16.71)</f>
        <v>16.71</v>
      </c>
      <c r="D63" s="190">
        <f>IFERROR(__xludf.DUMMYFUNCTION("""COMPUTED_VALUE"""),16.72)</f>
        <v>16.72</v>
      </c>
      <c r="E63" s="190">
        <f>IFERROR(__xludf.DUMMYFUNCTION("""COMPUTED_VALUE"""),16.68)</f>
        <v>16.68</v>
      </c>
      <c r="F63" s="190">
        <f>IFERROR(__xludf.DUMMYFUNCTION("""COMPUTED_VALUE"""),16.71)</f>
        <v>16.71</v>
      </c>
      <c r="G63" s="191">
        <f>IFERROR(__xludf.DUMMYFUNCTION("""COMPUTED_VALUE"""),4412680.0)</f>
        <v>4412680</v>
      </c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</row>
    <row r="64" ht="17.25" customHeight="1">
      <c r="A64" s="112"/>
      <c r="B64" s="189">
        <f>IFERROR(__xludf.DUMMYFUNCTION("""COMPUTED_VALUE"""),45863.66666666667)</f>
        <v>45863.66667</v>
      </c>
      <c r="C64" s="190">
        <f>IFERROR(__xludf.DUMMYFUNCTION("""COMPUTED_VALUE"""),16.71)</f>
        <v>16.71</v>
      </c>
      <c r="D64" s="190">
        <f>IFERROR(__xludf.DUMMYFUNCTION("""COMPUTED_VALUE"""),16.75)</f>
        <v>16.75</v>
      </c>
      <c r="E64" s="190">
        <f>IFERROR(__xludf.DUMMYFUNCTION("""COMPUTED_VALUE"""),16.71)</f>
        <v>16.71</v>
      </c>
      <c r="F64" s="190">
        <f>IFERROR(__xludf.DUMMYFUNCTION("""COMPUTED_VALUE"""),16.75)</f>
        <v>16.75</v>
      </c>
      <c r="G64" s="191">
        <f>IFERROR(__xludf.DUMMYFUNCTION("""COMPUTED_VALUE"""),2948986.0)</f>
        <v>2948986</v>
      </c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</row>
    <row r="65" ht="17.25" customHeight="1">
      <c r="A65" s="112"/>
      <c r="B65" s="189">
        <f>IFERROR(__xludf.DUMMYFUNCTION("""COMPUTED_VALUE"""),45866.66666666667)</f>
        <v>45866.66667</v>
      </c>
      <c r="C65" s="190">
        <f>IFERROR(__xludf.DUMMYFUNCTION("""COMPUTED_VALUE"""),16.77)</f>
        <v>16.77</v>
      </c>
      <c r="D65" s="190">
        <f>IFERROR(__xludf.DUMMYFUNCTION("""COMPUTED_VALUE"""),16.78)</f>
        <v>16.78</v>
      </c>
      <c r="E65" s="190">
        <f>IFERROR(__xludf.DUMMYFUNCTION("""COMPUTED_VALUE"""),16.76)</f>
        <v>16.76</v>
      </c>
      <c r="F65" s="190">
        <f>IFERROR(__xludf.DUMMYFUNCTION("""COMPUTED_VALUE"""),16.77)</f>
        <v>16.77</v>
      </c>
      <c r="G65" s="191">
        <f>IFERROR(__xludf.DUMMYFUNCTION("""COMPUTED_VALUE"""),5893977.0)</f>
        <v>5893977</v>
      </c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</row>
    <row r="66" ht="17.25" customHeight="1">
      <c r="A66" s="112"/>
      <c r="B66" s="189">
        <f>IFERROR(__xludf.DUMMYFUNCTION("""COMPUTED_VALUE"""),45867.66666666667)</f>
        <v>45867.66667</v>
      </c>
      <c r="C66" s="190">
        <f>IFERROR(__xludf.DUMMYFUNCTION("""COMPUTED_VALUE"""),16.8)</f>
        <v>16.8</v>
      </c>
      <c r="D66" s="190">
        <f>IFERROR(__xludf.DUMMYFUNCTION("""COMPUTED_VALUE"""),16.81)</f>
        <v>16.81</v>
      </c>
      <c r="E66" s="190">
        <f>IFERROR(__xludf.DUMMYFUNCTION("""COMPUTED_VALUE"""),16.75)</f>
        <v>16.75</v>
      </c>
      <c r="F66" s="190">
        <f>IFERROR(__xludf.DUMMYFUNCTION("""COMPUTED_VALUE"""),16.77)</f>
        <v>16.77</v>
      </c>
      <c r="G66" s="191">
        <f>IFERROR(__xludf.DUMMYFUNCTION("""COMPUTED_VALUE"""),3841293.0)</f>
        <v>3841293</v>
      </c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</row>
    <row r="67" ht="17.25" customHeight="1">
      <c r="A67" s="112"/>
      <c r="B67" s="189">
        <f>IFERROR(__xludf.DUMMYFUNCTION("""COMPUTED_VALUE"""),45868.66666666667)</f>
        <v>45868.66667</v>
      </c>
      <c r="C67" s="190">
        <f>IFERROR(__xludf.DUMMYFUNCTION("""COMPUTED_VALUE"""),16.77)</f>
        <v>16.77</v>
      </c>
      <c r="D67" s="190">
        <f>IFERROR(__xludf.DUMMYFUNCTION("""COMPUTED_VALUE"""),16.8)</f>
        <v>16.8</v>
      </c>
      <c r="E67" s="190">
        <f>IFERROR(__xludf.DUMMYFUNCTION("""COMPUTED_VALUE"""),16.73)</f>
        <v>16.73</v>
      </c>
      <c r="F67" s="190">
        <f>IFERROR(__xludf.DUMMYFUNCTION("""COMPUTED_VALUE"""),16.78)</f>
        <v>16.78</v>
      </c>
      <c r="G67" s="191">
        <f>IFERROR(__xludf.DUMMYFUNCTION("""COMPUTED_VALUE"""),4795573.0)</f>
        <v>4795573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</row>
    <row r="68" ht="17.25" customHeight="1">
      <c r="A68" s="112"/>
      <c r="B68" s="189">
        <f>IFERROR(__xludf.DUMMYFUNCTION("""COMPUTED_VALUE"""),45869.66666666667)</f>
        <v>45869.66667</v>
      </c>
      <c r="C68" s="190">
        <f>IFERROR(__xludf.DUMMYFUNCTION("""COMPUTED_VALUE"""),16.84)</f>
        <v>16.84</v>
      </c>
      <c r="D68" s="190">
        <f>IFERROR(__xludf.DUMMYFUNCTION("""COMPUTED_VALUE"""),16.84)</f>
        <v>16.84</v>
      </c>
      <c r="E68" s="190">
        <f>IFERROR(__xludf.DUMMYFUNCTION("""COMPUTED_VALUE"""),16.72)</f>
        <v>16.72</v>
      </c>
      <c r="F68" s="190">
        <f>IFERROR(__xludf.DUMMYFUNCTION("""COMPUTED_VALUE"""),16.75)</f>
        <v>16.75</v>
      </c>
      <c r="G68" s="191">
        <f>IFERROR(__xludf.DUMMYFUNCTION("""COMPUTED_VALUE"""),7219651.0)</f>
        <v>7219651</v>
      </c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</row>
    <row r="69" ht="17.25" customHeight="1">
      <c r="A69" s="112"/>
      <c r="B69" s="189">
        <f>IFERROR(__xludf.DUMMYFUNCTION("""COMPUTED_VALUE"""),45870.66666666667)</f>
        <v>45870.66667</v>
      </c>
      <c r="C69" s="190">
        <f>IFERROR(__xludf.DUMMYFUNCTION("""COMPUTED_VALUE"""),16.67)</f>
        <v>16.67</v>
      </c>
      <c r="D69" s="190">
        <f>IFERROR(__xludf.DUMMYFUNCTION("""COMPUTED_VALUE"""),16.67)</f>
        <v>16.67</v>
      </c>
      <c r="E69" s="190">
        <f>IFERROR(__xludf.DUMMYFUNCTION("""COMPUTED_VALUE"""),16.51)</f>
        <v>16.51</v>
      </c>
      <c r="F69" s="190">
        <f>IFERROR(__xludf.DUMMYFUNCTION("""COMPUTED_VALUE"""),16.58)</f>
        <v>16.58</v>
      </c>
      <c r="G69" s="191">
        <f>IFERROR(__xludf.DUMMYFUNCTION("""COMPUTED_VALUE"""),9725932.0)</f>
        <v>9725932</v>
      </c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</row>
    <row r="70" ht="17.25" customHeight="1">
      <c r="A70" s="112"/>
      <c r="B70" s="189">
        <f>IFERROR(__xludf.DUMMYFUNCTION("""COMPUTED_VALUE"""),45873.66666666667)</f>
        <v>45873.66667</v>
      </c>
      <c r="C70" s="190">
        <f>IFERROR(__xludf.DUMMYFUNCTION("""COMPUTED_VALUE"""),16.68)</f>
        <v>16.68</v>
      </c>
      <c r="D70" s="190">
        <f>IFERROR(__xludf.DUMMYFUNCTION("""COMPUTED_VALUE"""),16.77)</f>
        <v>16.77</v>
      </c>
      <c r="E70" s="190">
        <f>IFERROR(__xludf.DUMMYFUNCTION("""COMPUTED_VALUE"""),16.67)</f>
        <v>16.67</v>
      </c>
      <c r="F70" s="190">
        <f>IFERROR(__xludf.DUMMYFUNCTION("""COMPUTED_VALUE"""),16.77)</f>
        <v>16.77</v>
      </c>
      <c r="G70" s="191">
        <f>IFERROR(__xludf.DUMMYFUNCTION("""COMPUTED_VALUE"""),5301546.0)</f>
        <v>5301546</v>
      </c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</row>
    <row r="71" ht="17.25" customHeight="1">
      <c r="A71" s="112"/>
      <c r="B71" s="189">
        <f>IFERROR(__xludf.DUMMYFUNCTION("""COMPUTED_VALUE"""),45874.66666666667)</f>
        <v>45874.66667</v>
      </c>
      <c r="C71" s="190">
        <f>IFERROR(__xludf.DUMMYFUNCTION("""COMPUTED_VALUE"""),16.78)</f>
        <v>16.78</v>
      </c>
      <c r="D71" s="190">
        <f>IFERROR(__xludf.DUMMYFUNCTION("""COMPUTED_VALUE"""),16.8)</f>
        <v>16.8</v>
      </c>
      <c r="E71" s="190">
        <f>IFERROR(__xludf.DUMMYFUNCTION("""COMPUTED_VALUE"""),16.71)</f>
        <v>16.71</v>
      </c>
      <c r="F71" s="190">
        <f>IFERROR(__xludf.DUMMYFUNCTION("""COMPUTED_VALUE"""),16.73)</f>
        <v>16.73</v>
      </c>
      <c r="G71" s="191">
        <f>IFERROR(__xludf.DUMMYFUNCTION("""COMPUTED_VALUE"""),5328074.0)</f>
        <v>5328074</v>
      </c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</row>
    <row r="72" ht="17.25" customHeight="1">
      <c r="A72" s="112"/>
      <c r="B72" s="189">
        <f>IFERROR(__xludf.DUMMYFUNCTION("""COMPUTED_VALUE"""),45875.66666666667)</f>
        <v>45875.66667</v>
      </c>
      <c r="C72" s="190">
        <f>IFERROR(__xludf.DUMMYFUNCTION("""COMPUTED_VALUE"""),16.74)</f>
        <v>16.74</v>
      </c>
      <c r="D72" s="190">
        <f>IFERROR(__xludf.DUMMYFUNCTION("""COMPUTED_VALUE"""),16.83)</f>
        <v>16.83</v>
      </c>
      <c r="E72" s="190">
        <f>IFERROR(__xludf.DUMMYFUNCTION("""COMPUTED_VALUE"""),16.74)</f>
        <v>16.74</v>
      </c>
      <c r="F72" s="190">
        <f>IFERROR(__xludf.DUMMYFUNCTION("""COMPUTED_VALUE"""),16.83)</f>
        <v>16.83</v>
      </c>
      <c r="G72" s="191">
        <f>IFERROR(__xludf.DUMMYFUNCTION("""COMPUTED_VALUE"""),4658153.0)</f>
        <v>4658153</v>
      </c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</row>
    <row r="73" ht="17.25" customHeight="1">
      <c r="A73" s="112"/>
      <c r="B73" s="189">
        <f>IFERROR(__xludf.DUMMYFUNCTION("""COMPUTED_VALUE"""),45876.66666666667)</f>
        <v>45876.66667</v>
      </c>
      <c r="C73" s="190">
        <f>IFERROR(__xludf.DUMMYFUNCTION("""COMPUTED_VALUE"""),16.86)</f>
        <v>16.86</v>
      </c>
      <c r="D73" s="190">
        <f>IFERROR(__xludf.DUMMYFUNCTION("""COMPUTED_VALUE"""),16.87)</f>
        <v>16.87</v>
      </c>
      <c r="E73" s="190">
        <f>IFERROR(__xludf.DUMMYFUNCTION("""COMPUTED_VALUE"""),16.8)</f>
        <v>16.8</v>
      </c>
      <c r="F73" s="190">
        <f>IFERROR(__xludf.DUMMYFUNCTION("""COMPUTED_VALUE"""),16.84)</f>
        <v>16.84</v>
      </c>
      <c r="G73" s="191">
        <f>IFERROR(__xludf.DUMMYFUNCTION("""COMPUTED_VALUE"""),5399801.0)</f>
        <v>5399801</v>
      </c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</row>
    <row r="74" ht="17.25" customHeight="1">
      <c r="A74" s="112"/>
      <c r="B74" s="189">
        <f>IFERROR(__xludf.DUMMYFUNCTION("""COMPUTED_VALUE"""),45877.66666666667)</f>
        <v>45877.66667</v>
      </c>
      <c r="C74" s="190">
        <f>IFERROR(__xludf.DUMMYFUNCTION("""COMPUTED_VALUE"""),16.87)</f>
        <v>16.87</v>
      </c>
      <c r="D74" s="190">
        <f>IFERROR(__xludf.DUMMYFUNCTION("""COMPUTED_VALUE"""),16.9)</f>
        <v>16.9</v>
      </c>
      <c r="E74" s="190">
        <f>IFERROR(__xludf.DUMMYFUNCTION("""COMPUTED_VALUE"""),16.86)</f>
        <v>16.86</v>
      </c>
      <c r="F74" s="190">
        <f>IFERROR(__xludf.DUMMYFUNCTION("""COMPUTED_VALUE"""),16.89)</f>
        <v>16.89</v>
      </c>
      <c r="G74" s="191">
        <f>IFERROR(__xludf.DUMMYFUNCTION("""COMPUTED_VALUE"""),2870871.0)</f>
        <v>2870871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</row>
    <row r="75" ht="17.25" customHeight="1">
      <c r="A75" s="112"/>
      <c r="B75" s="189">
        <f>IFERROR(__xludf.DUMMYFUNCTION("""COMPUTED_VALUE"""),45880.66666666667)</f>
        <v>45880.66667</v>
      </c>
      <c r="C75" s="190">
        <f>IFERROR(__xludf.DUMMYFUNCTION("""COMPUTED_VALUE"""),16.9)</f>
        <v>16.9</v>
      </c>
      <c r="D75" s="190">
        <f>IFERROR(__xludf.DUMMYFUNCTION("""COMPUTED_VALUE"""),16.92)</f>
        <v>16.92</v>
      </c>
      <c r="E75" s="190">
        <f>IFERROR(__xludf.DUMMYFUNCTION("""COMPUTED_VALUE"""),16.89)</f>
        <v>16.89</v>
      </c>
      <c r="F75" s="190">
        <f>IFERROR(__xludf.DUMMYFUNCTION("""COMPUTED_VALUE"""),16.9)</f>
        <v>16.9</v>
      </c>
      <c r="G75" s="191">
        <f>IFERROR(__xludf.DUMMYFUNCTION("""COMPUTED_VALUE"""),3939495.0)</f>
        <v>3939495</v>
      </c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</row>
    <row r="76" ht="17.25" customHeight="1">
      <c r="A76" s="112"/>
      <c r="B76" s="189">
        <f>IFERROR(__xludf.DUMMYFUNCTION("""COMPUTED_VALUE"""),45881.66666666667)</f>
        <v>45881.66667</v>
      </c>
      <c r="C76" s="190">
        <f>IFERROR(__xludf.DUMMYFUNCTION("""COMPUTED_VALUE"""),16.92)</f>
        <v>16.92</v>
      </c>
      <c r="D76" s="190">
        <f>IFERROR(__xludf.DUMMYFUNCTION("""COMPUTED_VALUE"""),16.93)</f>
        <v>16.93</v>
      </c>
      <c r="E76" s="190">
        <f>IFERROR(__xludf.DUMMYFUNCTION("""COMPUTED_VALUE"""),16.91)</f>
        <v>16.91</v>
      </c>
      <c r="F76" s="190">
        <f>IFERROR(__xludf.DUMMYFUNCTION("""COMPUTED_VALUE"""),16.92)</f>
        <v>16.92</v>
      </c>
      <c r="G76" s="191">
        <f>IFERROR(__xludf.DUMMYFUNCTION("""COMPUTED_VALUE"""),4288313.0)</f>
        <v>4288313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</row>
    <row r="77" ht="17.25" customHeight="1">
      <c r="A77" s="112"/>
      <c r="B77" s="189">
        <f>IFERROR(__xludf.DUMMYFUNCTION("""COMPUTED_VALUE"""),45882.66666666667)</f>
        <v>45882.66667</v>
      </c>
      <c r="C77" s="190">
        <f>IFERROR(__xludf.DUMMYFUNCTION("""COMPUTED_VALUE"""),16.94)</f>
        <v>16.94</v>
      </c>
      <c r="D77" s="190">
        <f>IFERROR(__xludf.DUMMYFUNCTION("""COMPUTED_VALUE"""),16.94)</f>
        <v>16.94</v>
      </c>
      <c r="E77" s="190">
        <f>IFERROR(__xludf.DUMMYFUNCTION("""COMPUTED_VALUE"""),16.92)</f>
        <v>16.92</v>
      </c>
      <c r="F77" s="190">
        <f>IFERROR(__xludf.DUMMYFUNCTION("""COMPUTED_VALUE"""),16.93)</f>
        <v>16.93</v>
      </c>
      <c r="G77" s="191">
        <f>IFERROR(__xludf.DUMMYFUNCTION("""COMPUTED_VALUE"""),2849647.0)</f>
        <v>2849647</v>
      </c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</row>
    <row r="78" ht="17.25" customHeight="1">
      <c r="A78" s="112"/>
      <c r="B78" s="189">
        <f>IFERROR(__xludf.DUMMYFUNCTION("""COMPUTED_VALUE"""),45883.66666666667)</f>
        <v>45883.66667</v>
      </c>
      <c r="C78" s="190">
        <f>IFERROR(__xludf.DUMMYFUNCTION("""COMPUTED_VALUE"""),16.93)</f>
        <v>16.93</v>
      </c>
      <c r="D78" s="190">
        <f>IFERROR(__xludf.DUMMYFUNCTION("""COMPUTED_VALUE"""),16.95)</f>
        <v>16.95</v>
      </c>
      <c r="E78" s="190">
        <f>IFERROR(__xludf.DUMMYFUNCTION("""COMPUTED_VALUE"""),16.92)</f>
        <v>16.92</v>
      </c>
      <c r="F78" s="190">
        <f>IFERROR(__xludf.DUMMYFUNCTION("""COMPUTED_VALUE"""),16.93)</f>
        <v>16.93</v>
      </c>
      <c r="G78" s="191">
        <f>IFERROR(__xludf.DUMMYFUNCTION("""COMPUTED_VALUE"""),3408658.0)</f>
        <v>3408658</v>
      </c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</row>
    <row r="79" ht="17.25" customHeight="1">
      <c r="A79" s="112"/>
      <c r="B79" s="189">
        <f>IFERROR(__xludf.DUMMYFUNCTION("""COMPUTED_VALUE"""),45884.66666666667)</f>
        <v>45884.66667</v>
      </c>
      <c r="C79" s="190">
        <f>IFERROR(__xludf.DUMMYFUNCTION("""COMPUTED_VALUE"""),16.93)</f>
        <v>16.93</v>
      </c>
      <c r="D79" s="190">
        <f>IFERROR(__xludf.DUMMYFUNCTION("""COMPUTED_VALUE"""),16.93)</f>
        <v>16.93</v>
      </c>
      <c r="E79" s="190">
        <f>IFERROR(__xludf.DUMMYFUNCTION("""COMPUTED_VALUE"""),16.8)</f>
        <v>16.8</v>
      </c>
      <c r="F79" s="190">
        <f>IFERROR(__xludf.DUMMYFUNCTION("""COMPUTED_VALUE"""),16.84)</f>
        <v>16.84</v>
      </c>
      <c r="G79" s="191">
        <f>IFERROR(__xludf.DUMMYFUNCTION("""COMPUTED_VALUE"""),7303499.0)</f>
        <v>7303499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</row>
    <row r="80" ht="17.25" customHeight="1">
      <c r="A80" s="112"/>
      <c r="B80" s="189">
        <f>IFERROR(__xludf.DUMMYFUNCTION("""COMPUTED_VALUE"""),45887.66666666667)</f>
        <v>45887.66667</v>
      </c>
      <c r="C80" s="190">
        <f>IFERROR(__xludf.DUMMYFUNCTION("""COMPUTED_VALUE"""),16.69)</f>
        <v>16.69</v>
      </c>
      <c r="D80" s="190">
        <f>IFERROR(__xludf.DUMMYFUNCTION("""COMPUTED_VALUE"""),16.7)</f>
        <v>16.7</v>
      </c>
      <c r="E80" s="190">
        <f>IFERROR(__xludf.DUMMYFUNCTION("""COMPUTED_VALUE"""),16.65)</f>
        <v>16.65</v>
      </c>
      <c r="F80" s="190">
        <f>IFERROR(__xludf.DUMMYFUNCTION("""COMPUTED_VALUE"""),16.69)</f>
        <v>16.69</v>
      </c>
      <c r="G80" s="191">
        <f>IFERROR(__xludf.DUMMYFUNCTION("""COMPUTED_VALUE"""),4945199.0)</f>
        <v>4945199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</row>
    <row r="81" ht="17.25" customHeight="1">
      <c r="A81" s="112"/>
      <c r="B81" s="189">
        <f>IFERROR(__xludf.DUMMYFUNCTION("""COMPUTED_VALUE"""),45888.66666666667)</f>
        <v>45888.66667</v>
      </c>
      <c r="C81" s="190">
        <f>IFERROR(__xludf.DUMMYFUNCTION("""COMPUTED_VALUE"""),16.68)</f>
        <v>16.68</v>
      </c>
      <c r="D81" s="190">
        <f>IFERROR(__xludf.DUMMYFUNCTION("""COMPUTED_VALUE"""),16.69)</f>
        <v>16.69</v>
      </c>
      <c r="E81" s="190">
        <f>IFERROR(__xludf.DUMMYFUNCTION("""COMPUTED_VALUE"""),16.55)</f>
        <v>16.55</v>
      </c>
      <c r="F81" s="190">
        <f>IFERROR(__xludf.DUMMYFUNCTION("""COMPUTED_VALUE"""),16.57)</f>
        <v>16.57</v>
      </c>
      <c r="G81" s="191">
        <f>IFERROR(__xludf.DUMMYFUNCTION("""COMPUTED_VALUE"""),6538526.0)</f>
        <v>6538526</v>
      </c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</row>
    <row r="82" ht="17.25" customHeight="1">
      <c r="A82" s="112"/>
      <c r="B82" s="189">
        <f>IFERROR(__xludf.DUMMYFUNCTION("""COMPUTED_VALUE"""),45889.66666666667)</f>
        <v>45889.66667</v>
      </c>
      <c r="C82" s="190">
        <f>IFERROR(__xludf.DUMMYFUNCTION("""COMPUTED_VALUE"""),16.55)</f>
        <v>16.55</v>
      </c>
      <c r="D82" s="190">
        <f>IFERROR(__xludf.DUMMYFUNCTION("""COMPUTED_VALUE"""),16.56)</f>
        <v>16.56</v>
      </c>
      <c r="E82" s="190">
        <f>IFERROR(__xludf.DUMMYFUNCTION("""COMPUTED_VALUE"""),16.35)</f>
        <v>16.35</v>
      </c>
      <c r="F82" s="190">
        <f>IFERROR(__xludf.DUMMYFUNCTION("""COMPUTED_VALUE"""),16.52)</f>
        <v>16.52</v>
      </c>
      <c r="G82" s="191">
        <f>IFERROR(__xludf.DUMMYFUNCTION("""COMPUTED_VALUE"""),8881340.0)</f>
        <v>8881340</v>
      </c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</row>
    <row r="83" ht="17.25" customHeight="1">
      <c r="A83" s="112"/>
      <c r="B83" s="189">
        <f>IFERROR(__xludf.DUMMYFUNCTION("""COMPUTED_VALUE"""),45890.66666666667)</f>
        <v>45890.66667</v>
      </c>
      <c r="C83" s="190">
        <f>IFERROR(__xludf.DUMMYFUNCTION("""COMPUTED_VALUE"""),16.47)</f>
        <v>16.47</v>
      </c>
      <c r="D83" s="190">
        <f>IFERROR(__xludf.DUMMYFUNCTION("""COMPUTED_VALUE"""),16.52)</f>
        <v>16.52</v>
      </c>
      <c r="E83" s="190">
        <f>IFERROR(__xludf.DUMMYFUNCTION("""COMPUTED_VALUE"""),16.4)</f>
        <v>16.4</v>
      </c>
      <c r="F83" s="190">
        <f>IFERROR(__xludf.DUMMYFUNCTION("""COMPUTED_VALUE"""),16.46)</f>
        <v>16.46</v>
      </c>
      <c r="G83" s="191">
        <f>IFERROR(__xludf.DUMMYFUNCTION("""COMPUTED_VALUE"""),5729203.0)</f>
        <v>5729203</v>
      </c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</row>
    <row r="84" ht="17.25" customHeight="1">
      <c r="A84" s="112"/>
      <c r="B84" s="189">
        <f>IFERROR(__xludf.DUMMYFUNCTION("""COMPUTED_VALUE"""),45891.66666666667)</f>
        <v>45891.66667</v>
      </c>
      <c r="C84" s="190">
        <f>IFERROR(__xludf.DUMMYFUNCTION("""COMPUTED_VALUE"""),16.48)</f>
        <v>16.48</v>
      </c>
      <c r="D84" s="190">
        <f>IFERROR(__xludf.DUMMYFUNCTION("""COMPUTED_VALUE"""),16.67)</f>
        <v>16.67</v>
      </c>
      <c r="E84" s="190">
        <f>IFERROR(__xludf.DUMMYFUNCTION("""COMPUTED_VALUE"""),16.45)</f>
        <v>16.45</v>
      </c>
      <c r="F84" s="190">
        <f>IFERROR(__xludf.DUMMYFUNCTION("""COMPUTED_VALUE"""),16.65)</f>
        <v>16.65</v>
      </c>
      <c r="G84" s="191">
        <f>IFERROR(__xludf.DUMMYFUNCTION("""COMPUTED_VALUE"""),6261549.0)</f>
        <v>6261549</v>
      </c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</row>
    <row r="85" ht="17.25" customHeight="1">
      <c r="A85" s="112"/>
      <c r="B85" s="189">
        <f>IFERROR(__xludf.DUMMYFUNCTION("""COMPUTED_VALUE"""),45894.66666666667)</f>
        <v>45894.66667</v>
      </c>
      <c r="C85" s="190">
        <f>IFERROR(__xludf.DUMMYFUNCTION("""COMPUTED_VALUE"""),16.64)</f>
        <v>16.64</v>
      </c>
      <c r="D85" s="190">
        <f>IFERROR(__xludf.DUMMYFUNCTION("""COMPUTED_VALUE"""),16.67)</f>
        <v>16.67</v>
      </c>
      <c r="E85" s="190">
        <f>IFERROR(__xludf.DUMMYFUNCTION("""COMPUTED_VALUE"""),16.6)</f>
        <v>16.6</v>
      </c>
      <c r="F85" s="190">
        <f>IFERROR(__xludf.DUMMYFUNCTION("""COMPUTED_VALUE"""),16.63)</f>
        <v>16.63</v>
      </c>
      <c r="G85" s="191">
        <f>IFERROR(__xludf.DUMMYFUNCTION("""COMPUTED_VALUE"""),5019158.0)</f>
        <v>5019158</v>
      </c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</row>
    <row r="86" ht="17.25" customHeight="1">
      <c r="A86" s="112"/>
      <c r="B86" s="189">
        <f>IFERROR(__xludf.DUMMYFUNCTION("""COMPUTED_VALUE"""),45895.66666666667)</f>
        <v>45895.66667</v>
      </c>
      <c r="C86" s="190">
        <f>IFERROR(__xludf.DUMMYFUNCTION("""COMPUTED_VALUE"""),16.62)</f>
        <v>16.62</v>
      </c>
      <c r="D86" s="190">
        <f>IFERROR(__xludf.DUMMYFUNCTION("""COMPUTED_VALUE"""),16.67)</f>
        <v>16.67</v>
      </c>
      <c r="E86" s="190">
        <f>IFERROR(__xludf.DUMMYFUNCTION("""COMPUTED_VALUE"""),16.59)</f>
        <v>16.59</v>
      </c>
      <c r="F86" s="190">
        <f>IFERROR(__xludf.DUMMYFUNCTION("""COMPUTED_VALUE"""),16.66)</f>
        <v>16.66</v>
      </c>
      <c r="G86" s="191">
        <f>IFERROR(__xludf.DUMMYFUNCTION("""COMPUTED_VALUE"""),4687072.0)</f>
        <v>4687072</v>
      </c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</row>
    <row r="87" ht="17.25" customHeight="1">
      <c r="A87" s="112"/>
      <c r="B87" s="189">
        <f>IFERROR(__xludf.DUMMYFUNCTION("""COMPUTED_VALUE"""),45896.66666666667)</f>
        <v>45896.66667</v>
      </c>
      <c r="C87" s="190">
        <f>IFERROR(__xludf.DUMMYFUNCTION("""COMPUTED_VALUE"""),16.66)</f>
        <v>16.66</v>
      </c>
      <c r="D87" s="190">
        <f>IFERROR(__xludf.DUMMYFUNCTION("""COMPUTED_VALUE"""),16.69)</f>
        <v>16.69</v>
      </c>
      <c r="E87" s="190">
        <f>IFERROR(__xludf.DUMMYFUNCTION("""COMPUTED_VALUE"""),16.63)</f>
        <v>16.63</v>
      </c>
      <c r="F87" s="190">
        <f>IFERROR(__xludf.DUMMYFUNCTION("""COMPUTED_VALUE"""),16.69)</f>
        <v>16.69</v>
      </c>
      <c r="G87" s="191">
        <f>IFERROR(__xludf.DUMMYFUNCTION("""COMPUTED_VALUE"""),5688943.0)</f>
        <v>5688943</v>
      </c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</row>
    <row r="88" ht="17.25" customHeight="1">
      <c r="A88" s="112"/>
      <c r="B88" s="189">
        <f>IFERROR(__xludf.DUMMYFUNCTION("""COMPUTED_VALUE"""),45897.66666666667)</f>
        <v>45897.66667</v>
      </c>
      <c r="C88" s="190">
        <f>IFERROR(__xludf.DUMMYFUNCTION("""COMPUTED_VALUE"""),16.67)</f>
        <v>16.67</v>
      </c>
      <c r="D88" s="190">
        <f>IFERROR(__xludf.DUMMYFUNCTION("""COMPUTED_VALUE"""),16.77)</f>
        <v>16.77</v>
      </c>
      <c r="E88" s="190">
        <f>IFERROR(__xludf.DUMMYFUNCTION("""COMPUTED_VALUE"""),16.67)</f>
        <v>16.67</v>
      </c>
      <c r="F88" s="190">
        <f>IFERROR(__xludf.DUMMYFUNCTION("""COMPUTED_VALUE"""),16.76)</f>
        <v>16.76</v>
      </c>
      <c r="G88" s="191">
        <f>IFERROR(__xludf.DUMMYFUNCTION("""COMPUTED_VALUE"""),4868484.0)</f>
        <v>4868484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</row>
    <row r="89" ht="17.25" customHeight="1">
      <c r="A89" s="112"/>
      <c r="B89" s="189">
        <f>IFERROR(__xludf.DUMMYFUNCTION("""COMPUTED_VALUE"""),45898.66666666667)</f>
        <v>45898.66667</v>
      </c>
      <c r="C89" s="190">
        <f>IFERROR(__xludf.DUMMYFUNCTION("""COMPUTED_VALUE"""),16.74)</f>
        <v>16.74</v>
      </c>
      <c r="D89" s="190">
        <f>IFERROR(__xludf.DUMMYFUNCTION("""COMPUTED_VALUE"""),16.74)</f>
        <v>16.74</v>
      </c>
      <c r="E89" s="190">
        <f>IFERROR(__xludf.DUMMYFUNCTION("""COMPUTED_VALUE"""),16.61)</f>
        <v>16.61</v>
      </c>
      <c r="F89" s="190">
        <f>IFERROR(__xludf.DUMMYFUNCTION("""COMPUTED_VALUE"""),16.64)</f>
        <v>16.64</v>
      </c>
      <c r="G89" s="191">
        <f>IFERROR(__xludf.DUMMYFUNCTION("""COMPUTED_VALUE"""),5249924.0)</f>
        <v>5249924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</row>
    <row r="90" ht="17.25" customHeight="1">
      <c r="A90" s="112"/>
      <c r="B90" s="189">
        <f>IFERROR(__xludf.DUMMYFUNCTION("""COMPUTED_VALUE"""),45902.66666666667)</f>
        <v>45902.66667</v>
      </c>
      <c r="C90" s="190">
        <f>IFERROR(__xludf.DUMMYFUNCTION("""COMPUTED_VALUE"""),16.51)</f>
        <v>16.51</v>
      </c>
      <c r="D90" s="190">
        <f>IFERROR(__xludf.DUMMYFUNCTION("""COMPUTED_VALUE"""),16.57)</f>
        <v>16.57</v>
      </c>
      <c r="E90" s="190">
        <f>IFERROR(__xludf.DUMMYFUNCTION("""COMPUTED_VALUE"""),16.42)</f>
        <v>16.42</v>
      </c>
      <c r="F90" s="190">
        <f>IFERROR(__xludf.DUMMYFUNCTION("""COMPUTED_VALUE"""),16.57)</f>
        <v>16.57</v>
      </c>
      <c r="G90" s="191">
        <f>IFERROR(__xludf.DUMMYFUNCTION("""COMPUTED_VALUE"""),6409238.0)</f>
        <v>6409238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</row>
    <row r="91" ht="17.25" customHeight="1">
      <c r="A91" s="112"/>
      <c r="B91" s="189">
        <f>IFERROR(__xludf.DUMMYFUNCTION("""COMPUTED_VALUE"""),45903.66666666667)</f>
        <v>45903.66667</v>
      </c>
      <c r="C91" s="190">
        <f>IFERROR(__xludf.DUMMYFUNCTION("""COMPUTED_VALUE"""),16.63)</f>
        <v>16.63</v>
      </c>
      <c r="D91" s="190">
        <f>IFERROR(__xludf.DUMMYFUNCTION("""COMPUTED_VALUE"""),16.69)</f>
        <v>16.69</v>
      </c>
      <c r="E91" s="190">
        <f>IFERROR(__xludf.DUMMYFUNCTION("""COMPUTED_VALUE"""),16.6)</f>
        <v>16.6</v>
      </c>
      <c r="F91" s="190">
        <f>IFERROR(__xludf.DUMMYFUNCTION("""COMPUTED_VALUE"""),16.66)</f>
        <v>16.66</v>
      </c>
      <c r="G91" s="191">
        <f>IFERROR(__xludf.DUMMYFUNCTION("""COMPUTED_VALUE"""),5241755.0)</f>
        <v>5241755</v>
      </c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</row>
    <row r="92" ht="17.25" customHeight="1">
      <c r="A92" s="112"/>
      <c r="B92" s="189">
        <f>IFERROR(__xludf.DUMMYFUNCTION("""COMPUTED_VALUE"""),45904.66666666667)</f>
        <v>45904.66667</v>
      </c>
      <c r="C92" s="190">
        <f>IFERROR(__xludf.DUMMYFUNCTION("""COMPUTED_VALUE"""),16.68)</f>
        <v>16.68</v>
      </c>
      <c r="D92" s="190">
        <f>IFERROR(__xludf.DUMMYFUNCTION("""COMPUTED_VALUE"""),16.77)</f>
        <v>16.77</v>
      </c>
      <c r="E92" s="190">
        <f>IFERROR(__xludf.DUMMYFUNCTION("""COMPUTED_VALUE"""),16.65)</f>
        <v>16.65</v>
      </c>
      <c r="F92" s="190">
        <f>IFERROR(__xludf.DUMMYFUNCTION("""COMPUTED_VALUE"""),16.77)</f>
        <v>16.77</v>
      </c>
      <c r="G92" s="191">
        <f>IFERROR(__xludf.DUMMYFUNCTION("""COMPUTED_VALUE"""),5175046.0)</f>
        <v>5175046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ht="17.25" customHeight="1">
      <c r="A93" s="112"/>
      <c r="B93" s="189">
        <f>IFERROR(__xludf.DUMMYFUNCTION("""COMPUTED_VALUE"""),45905.66666666667)</f>
        <v>45905.66667</v>
      </c>
      <c r="C93" s="190">
        <f>IFERROR(__xludf.DUMMYFUNCTION("""COMPUTED_VALUE"""),16.83)</f>
        <v>16.83</v>
      </c>
      <c r="D93" s="190">
        <f>IFERROR(__xludf.DUMMYFUNCTION("""COMPUTED_VALUE"""),16.85)</f>
        <v>16.85</v>
      </c>
      <c r="E93" s="190">
        <f>IFERROR(__xludf.DUMMYFUNCTION("""COMPUTED_VALUE"""),16.7)</f>
        <v>16.7</v>
      </c>
      <c r="F93" s="190">
        <f>IFERROR(__xludf.DUMMYFUNCTION("""COMPUTED_VALUE"""),16.79)</f>
        <v>16.79</v>
      </c>
      <c r="G93" s="191">
        <f>IFERROR(__xludf.DUMMYFUNCTION("""COMPUTED_VALUE"""),7101052.0)</f>
        <v>7101052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ht="17.25" customHeight="1">
      <c r="A94" s="112"/>
      <c r="B94" s="189">
        <f>IFERROR(__xludf.DUMMYFUNCTION("""COMPUTED_VALUE"""),45908.66666666667)</f>
        <v>45908.66667</v>
      </c>
      <c r="C94" s="190">
        <f>IFERROR(__xludf.DUMMYFUNCTION("""COMPUTED_VALUE"""),16.83)</f>
        <v>16.83</v>
      </c>
      <c r="D94" s="190">
        <f>IFERROR(__xludf.DUMMYFUNCTION("""COMPUTED_VALUE"""),16.87)</f>
        <v>16.87</v>
      </c>
      <c r="E94" s="190">
        <f>IFERROR(__xludf.DUMMYFUNCTION("""COMPUTED_VALUE"""),16.83)</f>
        <v>16.83</v>
      </c>
      <c r="F94" s="190">
        <f>IFERROR(__xludf.DUMMYFUNCTION("""COMPUTED_VALUE"""),16.86)</f>
        <v>16.86</v>
      </c>
      <c r="G94" s="191">
        <f>IFERROR(__xludf.DUMMYFUNCTION("""COMPUTED_VALUE"""),5416610.0)</f>
        <v>5416610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</row>
    <row r="95" ht="17.25" customHeight="1">
      <c r="A95" s="112"/>
      <c r="B95" s="189">
        <f>IFERROR(__xludf.DUMMYFUNCTION("""COMPUTED_VALUE"""),45909.66666666667)</f>
        <v>45909.66667</v>
      </c>
      <c r="C95" s="190">
        <f>IFERROR(__xludf.DUMMYFUNCTION("""COMPUTED_VALUE"""),16.87)</f>
        <v>16.87</v>
      </c>
      <c r="D95" s="190">
        <f>IFERROR(__xludf.DUMMYFUNCTION("""COMPUTED_VALUE"""),16.88)</f>
        <v>16.88</v>
      </c>
      <c r="E95" s="190">
        <f>IFERROR(__xludf.DUMMYFUNCTION("""COMPUTED_VALUE"""),16.82)</f>
        <v>16.82</v>
      </c>
      <c r="F95" s="190">
        <f>IFERROR(__xludf.DUMMYFUNCTION("""COMPUTED_VALUE"""),16.88)</f>
        <v>16.88</v>
      </c>
      <c r="G95" s="191">
        <f>IFERROR(__xludf.DUMMYFUNCTION("""COMPUTED_VALUE"""),3886073.0)</f>
        <v>3886073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</row>
    <row r="96" ht="17.25" customHeight="1">
      <c r="A96" s="112"/>
      <c r="B96" s="189">
        <f>IFERROR(__xludf.DUMMYFUNCTION("""COMPUTED_VALUE"""),45910.66666666667)</f>
        <v>45910.66667</v>
      </c>
      <c r="C96" s="190">
        <f>IFERROR(__xludf.DUMMYFUNCTION("""COMPUTED_VALUE"""),16.92)</f>
        <v>16.92</v>
      </c>
      <c r="D96" s="190">
        <f>IFERROR(__xludf.DUMMYFUNCTION("""COMPUTED_VALUE"""),16.92)</f>
        <v>16.92</v>
      </c>
      <c r="E96" s="190">
        <f>IFERROR(__xludf.DUMMYFUNCTION("""COMPUTED_VALUE"""),16.86)</f>
        <v>16.86</v>
      </c>
      <c r="F96" s="190">
        <f>IFERROR(__xludf.DUMMYFUNCTION("""COMPUTED_VALUE"""),16.88)</f>
        <v>16.88</v>
      </c>
      <c r="G96" s="191">
        <f>IFERROR(__xludf.DUMMYFUNCTION("""COMPUTED_VALUE"""),4154034.0)</f>
        <v>4154034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</row>
    <row r="97" ht="17.25" customHeight="1">
      <c r="A97" s="112"/>
      <c r="B97" s="189">
        <f>IFERROR(__xludf.DUMMYFUNCTION("""COMPUTED_VALUE"""),45911.66666666667)</f>
        <v>45911.66667</v>
      </c>
      <c r="C97" s="190">
        <f>IFERROR(__xludf.DUMMYFUNCTION("""COMPUTED_VALUE"""),16.91)</f>
        <v>16.91</v>
      </c>
      <c r="D97" s="190">
        <f>IFERROR(__xludf.DUMMYFUNCTION("""COMPUTED_VALUE"""),16.95)</f>
        <v>16.95</v>
      </c>
      <c r="E97" s="190">
        <f>IFERROR(__xludf.DUMMYFUNCTION("""COMPUTED_VALUE"""),16.91)</f>
        <v>16.91</v>
      </c>
      <c r="F97" s="190">
        <f>IFERROR(__xludf.DUMMYFUNCTION("""COMPUTED_VALUE"""),16.95)</f>
        <v>16.95</v>
      </c>
      <c r="G97" s="191">
        <f>IFERROR(__xludf.DUMMYFUNCTION("""COMPUTED_VALUE"""),3790006.0)</f>
        <v>3790006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ht="17.25" customHeight="1">
      <c r="A98" s="112"/>
      <c r="B98" s="189">
        <f>IFERROR(__xludf.DUMMYFUNCTION("""COMPUTED_VALUE"""),45912.66666666667)</f>
        <v>45912.66667</v>
      </c>
      <c r="C98" s="190">
        <f>IFERROR(__xludf.DUMMYFUNCTION("""COMPUTED_VALUE"""),16.95)</f>
        <v>16.95</v>
      </c>
      <c r="D98" s="190">
        <f>IFERROR(__xludf.DUMMYFUNCTION("""COMPUTED_VALUE"""),16.98)</f>
        <v>16.98</v>
      </c>
      <c r="E98" s="190">
        <f>IFERROR(__xludf.DUMMYFUNCTION("""COMPUTED_VALUE"""),16.95)</f>
        <v>16.95</v>
      </c>
      <c r="F98" s="190">
        <f>IFERROR(__xludf.DUMMYFUNCTION("""COMPUTED_VALUE"""),16.97)</f>
        <v>16.97</v>
      </c>
      <c r="G98" s="191">
        <f>IFERROR(__xludf.DUMMYFUNCTION("""COMPUTED_VALUE"""),4264847.0)</f>
        <v>4264847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</row>
    <row r="99" ht="17.25" customHeight="1">
      <c r="A99" s="112"/>
      <c r="B99" s="189">
        <f>IFERROR(__xludf.DUMMYFUNCTION("""COMPUTED_VALUE"""),45915.66666666667)</f>
        <v>45915.66667</v>
      </c>
      <c r="C99" s="190">
        <f>IFERROR(__xludf.DUMMYFUNCTION("""COMPUTED_VALUE"""),16.98)</f>
        <v>16.98</v>
      </c>
      <c r="D99" s="190">
        <f>IFERROR(__xludf.DUMMYFUNCTION("""COMPUTED_VALUE"""),16.99)</f>
        <v>16.99</v>
      </c>
      <c r="E99" s="190">
        <f>IFERROR(__xludf.DUMMYFUNCTION("""COMPUTED_VALUE"""),16.98)</f>
        <v>16.98</v>
      </c>
      <c r="F99" s="190">
        <f>IFERROR(__xludf.DUMMYFUNCTION("""COMPUTED_VALUE"""),16.98)</f>
        <v>16.98</v>
      </c>
      <c r="G99" s="191">
        <f>IFERROR(__xludf.DUMMYFUNCTION("""COMPUTED_VALUE"""),4169567.0)</f>
        <v>4169567</v>
      </c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</row>
    <row r="100" ht="17.25" customHeight="1">
      <c r="A100" s="112"/>
      <c r="B100" s="189">
        <f>IFERROR(__xludf.DUMMYFUNCTION("""COMPUTED_VALUE"""),45916.66666666667)</f>
        <v>45916.66667</v>
      </c>
      <c r="C100" s="190">
        <f>IFERROR(__xludf.DUMMYFUNCTION("""COMPUTED_VALUE"""),17.0)</f>
        <v>17</v>
      </c>
      <c r="D100" s="190">
        <f>IFERROR(__xludf.DUMMYFUNCTION("""COMPUTED_VALUE"""),17.01)</f>
        <v>17.01</v>
      </c>
      <c r="E100" s="190">
        <f>IFERROR(__xludf.DUMMYFUNCTION("""COMPUTED_VALUE"""),16.99)</f>
        <v>16.99</v>
      </c>
      <c r="F100" s="190">
        <f>IFERROR(__xludf.DUMMYFUNCTION("""COMPUTED_VALUE"""),17.01)</f>
        <v>17.01</v>
      </c>
      <c r="G100" s="191">
        <f>IFERROR(__xludf.DUMMYFUNCTION("""COMPUTED_VALUE"""),4770671.0)</f>
        <v>4770671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</row>
    <row r="101" ht="17.25" customHeight="1">
      <c r="A101" s="112"/>
      <c r="B101" s="189">
        <f>IFERROR(__xludf.DUMMYFUNCTION("""COMPUTED_VALUE"""),45917.66666666667)</f>
        <v>45917.66667</v>
      </c>
      <c r="C101" s="190">
        <f>IFERROR(__xludf.DUMMYFUNCTION("""COMPUTED_VALUE"""),17.01)</f>
        <v>17.01</v>
      </c>
      <c r="D101" s="190">
        <f>IFERROR(__xludf.DUMMYFUNCTION("""COMPUTED_VALUE"""),17.02)</f>
        <v>17.02</v>
      </c>
      <c r="E101" s="190">
        <f>IFERROR(__xludf.DUMMYFUNCTION("""COMPUTED_VALUE"""),16.97)</f>
        <v>16.97</v>
      </c>
      <c r="F101" s="190">
        <f>IFERROR(__xludf.DUMMYFUNCTION("""COMPUTED_VALUE"""),17.02)</f>
        <v>17.02</v>
      </c>
      <c r="G101" s="191">
        <f>IFERROR(__xludf.DUMMYFUNCTION("""COMPUTED_VALUE"""),7979267.0)</f>
        <v>7979267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</row>
    <row r="102" ht="17.25" customHeight="1">
      <c r="A102" s="112"/>
      <c r="B102" s="189">
        <f>IFERROR(__xludf.DUMMYFUNCTION("""COMPUTED_VALUE"""),45918.66666666667)</f>
        <v>45918.66667</v>
      </c>
      <c r="C102" s="190">
        <f>IFERROR(__xludf.DUMMYFUNCTION("""COMPUTED_VALUE"""),17.02)</f>
        <v>17.02</v>
      </c>
      <c r="D102" s="190">
        <f>IFERROR(__xludf.DUMMYFUNCTION("""COMPUTED_VALUE"""),17.03)</f>
        <v>17.03</v>
      </c>
      <c r="E102" s="190">
        <f>IFERROR(__xludf.DUMMYFUNCTION("""COMPUTED_VALUE"""),16.99)</f>
        <v>16.99</v>
      </c>
      <c r="F102" s="190">
        <f>IFERROR(__xludf.DUMMYFUNCTION("""COMPUTED_VALUE"""),17.01)</f>
        <v>17.01</v>
      </c>
      <c r="G102" s="191">
        <f>IFERROR(__xludf.DUMMYFUNCTION("""COMPUTED_VALUE"""),4635754.0)</f>
        <v>4635754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</row>
    <row r="103" ht="17.25" customHeight="1">
      <c r="A103" s="112"/>
      <c r="B103" s="189">
        <f>IFERROR(__xludf.DUMMYFUNCTION("""COMPUTED_VALUE"""),45919.66666666667)</f>
        <v>45919.66667</v>
      </c>
      <c r="C103" s="190">
        <f>IFERROR(__xludf.DUMMYFUNCTION("""COMPUTED_VALUE"""),17.05)</f>
        <v>17.05</v>
      </c>
      <c r="D103" s="190">
        <f>IFERROR(__xludf.DUMMYFUNCTION("""COMPUTED_VALUE"""),17.1)</f>
        <v>17.1</v>
      </c>
      <c r="E103" s="190">
        <f>IFERROR(__xludf.DUMMYFUNCTION("""COMPUTED_VALUE"""),17.01)</f>
        <v>17.01</v>
      </c>
      <c r="F103" s="190">
        <f>IFERROR(__xludf.DUMMYFUNCTION("""COMPUTED_VALUE"""),17.1)</f>
        <v>17.1</v>
      </c>
      <c r="G103" s="191">
        <f>IFERROR(__xludf.DUMMYFUNCTION("""COMPUTED_VALUE"""),6380339.0)</f>
        <v>6380339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</row>
    <row r="104" ht="17.25" customHeight="1">
      <c r="A104" s="112"/>
      <c r="B104" s="189">
        <f>IFERROR(__xludf.DUMMYFUNCTION("""COMPUTED_VALUE"""),45922.66666666667)</f>
        <v>45922.66667</v>
      </c>
      <c r="C104" s="190">
        <f>IFERROR(__xludf.DUMMYFUNCTION("""COMPUTED_VALUE"""),16.92)</f>
        <v>16.92</v>
      </c>
      <c r="D104" s="190">
        <f>IFERROR(__xludf.DUMMYFUNCTION("""COMPUTED_VALUE"""),16.97)</f>
        <v>16.97</v>
      </c>
      <c r="E104" s="190">
        <f>IFERROR(__xludf.DUMMYFUNCTION("""COMPUTED_VALUE"""),16.91)</f>
        <v>16.91</v>
      </c>
      <c r="F104" s="190">
        <f>IFERROR(__xludf.DUMMYFUNCTION("""COMPUTED_VALUE"""),16.95)</f>
        <v>16.95</v>
      </c>
      <c r="G104" s="191">
        <f>IFERROR(__xludf.DUMMYFUNCTION("""COMPUTED_VALUE"""),6376135.0)</f>
        <v>6376135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</row>
    <row r="105" ht="17.25" customHeight="1">
      <c r="A105" s="112"/>
      <c r="B105" s="189">
        <f>IFERROR(__xludf.DUMMYFUNCTION("""COMPUTED_VALUE"""),45923.66666666667)</f>
        <v>45923.66667</v>
      </c>
      <c r="C105" s="190">
        <f>IFERROR(__xludf.DUMMYFUNCTION("""COMPUTED_VALUE"""),16.97)</f>
        <v>16.97</v>
      </c>
      <c r="D105" s="190">
        <f>IFERROR(__xludf.DUMMYFUNCTION("""COMPUTED_VALUE"""),16.97)</f>
        <v>16.97</v>
      </c>
      <c r="E105" s="190">
        <f>IFERROR(__xludf.DUMMYFUNCTION("""COMPUTED_VALUE"""),16.89)</f>
        <v>16.89</v>
      </c>
      <c r="F105" s="190">
        <f>IFERROR(__xludf.DUMMYFUNCTION("""COMPUTED_VALUE"""),16.9)</f>
        <v>16.9</v>
      </c>
      <c r="G105" s="191">
        <f>IFERROR(__xludf.DUMMYFUNCTION("""COMPUTED_VALUE"""),5941187.0)</f>
        <v>5941187</v>
      </c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</row>
    <row r="106" ht="17.25" customHeight="1">
      <c r="A106" s="112"/>
      <c r="B106" s="189">
        <f>IFERROR(__xludf.DUMMYFUNCTION("""COMPUTED_VALUE"""),45924.66666666667)</f>
        <v>45924.66667</v>
      </c>
      <c r="C106" s="190">
        <f>IFERROR(__xludf.DUMMYFUNCTION("""COMPUTED_VALUE"""),16.94)</f>
        <v>16.94</v>
      </c>
      <c r="D106" s="190">
        <f>IFERROR(__xludf.DUMMYFUNCTION("""COMPUTED_VALUE"""),16.94)</f>
        <v>16.94</v>
      </c>
      <c r="E106" s="190">
        <f>IFERROR(__xludf.DUMMYFUNCTION("""COMPUTED_VALUE"""),16.85)</f>
        <v>16.85</v>
      </c>
      <c r="F106" s="190">
        <f>IFERROR(__xludf.DUMMYFUNCTION("""COMPUTED_VALUE"""),16.88)</f>
        <v>16.88</v>
      </c>
      <c r="G106" s="191">
        <f>IFERROR(__xludf.DUMMYFUNCTION("""COMPUTED_VALUE"""),6643069.0)</f>
        <v>6643069</v>
      </c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</row>
    <row r="107" ht="17.25" customHeight="1">
      <c r="A107" s="112"/>
      <c r="B107" s="189">
        <f>IFERROR(__xludf.DUMMYFUNCTION("""COMPUTED_VALUE"""),45925.66666666667)</f>
        <v>45925.66667</v>
      </c>
      <c r="C107" s="190">
        <f>IFERROR(__xludf.DUMMYFUNCTION("""COMPUTED_VALUE"""),16.84)</f>
        <v>16.84</v>
      </c>
      <c r="D107" s="190">
        <f>IFERROR(__xludf.DUMMYFUNCTION("""COMPUTED_VALUE"""),16.89)</f>
        <v>16.89</v>
      </c>
      <c r="E107" s="190">
        <f>IFERROR(__xludf.DUMMYFUNCTION("""COMPUTED_VALUE"""),16.78)</f>
        <v>16.78</v>
      </c>
      <c r="F107" s="190">
        <f>IFERROR(__xludf.DUMMYFUNCTION("""COMPUTED_VALUE"""),16.86)</f>
        <v>16.86</v>
      </c>
      <c r="G107" s="191">
        <f>IFERROR(__xludf.DUMMYFUNCTION("""COMPUTED_VALUE"""),6373234.0)</f>
        <v>6373234</v>
      </c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</row>
    <row r="108" ht="17.25" customHeight="1">
      <c r="A108" s="112"/>
      <c r="B108" s="189">
        <f>IFERROR(__xludf.DUMMYFUNCTION("""COMPUTED_VALUE"""),45926.66666666667)</f>
        <v>45926.66667</v>
      </c>
      <c r="C108" s="190">
        <f>IFERROR(__xludf.DUMMYFUNCTION("""COMPUTED_VALUE"""),16.9)</f>
        <v>16.9</v>
      </c>
      <c r="D108" s="190">
        <f>IFERROR(__xludf.DUMMYFUNCTION("""COMPUTED_VALUE"""),16.93)</f>
        <v>16.93</v>
      </c>
      <c r="E108" s="190">
        <f>IFERROR(__xludf.DUMMYFUNCTION("""COMPUTED_VALUE"""),16.84)</f>
        <v>16.84</v>
      </c>
      <c r="F108" s="190">
        <f>IFERROR(__xludf.DUMMYFUNCTION("""COMPUTED_VALUE"""),16.92)</f>
        <v>16.92</v>
      </c>
      <c r="G108" s="191">
        <f>IFERROR(__xludf.DUMMYFUNCTION("""COMPUTED_VALUE"""),5315365.0)</f>
        <v>5315365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</row>
    <row r="109" ht="17.25" customHeight="1">
      <c r="A109" s="112"/>
      <c r="B109" s="189">
        <f>IFERROR(__xludf.DUMMYFUNCTION("""COMPUTED_VALUE"""),45929.66666666667)</f>
        <v>45929.66667</v>
      </c>
      <c r="C109" s="190">
        <f>IFERROR(__xludf.DUMMYFUNCTION("""COMPUTED_VALUE"""),16.98)</f>
        <v>16.98</v>
      </c>
      <c r="D109" s="190">
        <f>IFERROR(__xludf.DUMMYFUNCTION("""COMPUTED_VALUE"""),17.01)</f>
        <v>17.01</v>
      </c>
      <c r="E109" s="190">
        <f>IFERROR(__xludf.DUMMYFUNCTION("""COMPUTED_VALUE"""),16.96)</f>
        <v>16.96</v>
      </c>
      <c r="F109" s="190">
        <f>IFERROR(__xludf.DUMMYFUNCTION("""COMPUTED_VALUE"""),16.99)</f>
        <v>16.99</v>
      </c>
      <c r="G109" s="191">
        <f>IFERROR(__xludf.DUMMYFUNCTION("""COMPUTED_VALUE"""),5770001.0)</f>
        <v>5770001</v>
      </c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</row>
    <row r="110" ht="17.25" customHeight="1">
      <c r="A110" s="112"/>
      <c r="B110" s="189">
        <f>IFERROR(__xludf.DUMMYFUNCTION("""COMPUTED_VALUE"""),45930.66666666667)</f>
        <v>45930.66667</v>
      </c>
      <c r="C110" s="190">
        <f>IFERROR(__xludf.DUMMYFUNCTION("""COMPUTED_VALUE"""),16.98)</f>
        <v>16.98</v>
      </c>
      <c r="D110" s="190">
        <f>IFERROR(__xludf.DUMMYFUNCTION("""COMPUTED_VALUE"""),17.01)</f>
        <v>17.01</v>
      </c>
      <c r="E110" s="190">
        <f>IFERROR(__xludf.DUMMYFUNCTION("""COMPUTED_VALUE"""),16.95)</f>
        <v>16.95</v>
      </c>
      <c r="F110" s="190">
        <f>IFERROR(__xludf.DUMMYFUNCTION("""COMPUTED_VALUE"""),17.01)</f>
        <v>17.01</v>
      </c>
      <c r="G110" s="191">
        <f>IFERROR(__xludf.DUMMYFUNCTION("""COMPUTED_VALUE"""),6773142.0)</f>
        <v>6773142</v>
      </c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</row>
    <row r="111" ht="17.25" customHeight="1">
      <c r="A111" s="112"/>
      <c r="B111" s="189">
        <f>IFERROR(__xludf.DUMMYFUNCTION("""COMPUTED_VALUE"""),45931.66666666667)</f>
        <v>45931.66667</v>
      </c>
      <c r="C111" s="190">
        <f>IFERROR(__xludf.DUMMYFUNCTION("""COMPUTED_VALUE"""),16.97)</f>
        <v>16.97</v>
      </c>
      <c r="D111" s="190">
        <f>IFERROR(__xludf.DUMMYFUNCTION("""COMPUTED_VALUE"""),17.05)</f>
        <v>17.05</v>
      </c>
      <c r="E111" s="190">
        <f>IFERROR(__xludf.DUMMYFUNCTION("""COMPUTED_VALUE"""),16.96)</f>
        <v>16.96</v>
      </c>
      <c r="F111" s="190">
        <f>IFERROR(__xludf.DUMMYFUNCTION("""COMPUTED_VALUE"""),17.05)</f>
        <v>17.05</v>
      </c>
      <c r="G111" s="191">
        <f>IFERROR(__xludf.DUMMYFUNCTION("""COMPUTED_VALUE"""),4207369.0)</f>
        <v>4207369</v>
      </c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</row>
    <row r="112" ht="17.25" customHeight="1">
      <c r="A112" s="112"/>
      <c r="B112" s="189">
        <f>IFERROR(__xludf.DUMMYFUNCTION("""COMPUTED_VALUE"""),45932.66666666667)</f>
        <v>45932.66667</v>
      </c>
      <c r="C112" s="190">
        <f>IFERROR(__xludf.DUMMYFUNCTION("""COMPUTED_VALUE"""),17.08)</f>
        <v>17.08</v>
      </c>
      <c r="D112" s="190">
        <f>IFERROR(__xludf.DUMMYFUNCTION("""COMPUTED_VALUE"""),17.09)</f>
        <v>17.09</v>
      </c>
      <c r="E112" s="190">
        <f>IFERROR(__xludf.DUMMYFUNCTION("""COMPUTED_VALUE"""),17.04)</f>
        <v>17.04</v>
      </c>
      <c r="F112" s="190">
        <f>IFERROR(__xludf.DUMMYFUNCTION("""COMPUTED_VALUE"""),17.07)</f>
        <v>17.07</v>
      </c>
      <c r="G112" s="191">
        <f>IFERROR(__xludf.DUMMYFUNCTION("""COMPUTED_VALUE"""),3401027.0)</f>
        <v>3401027</v>
      </c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</row>
    <row r="113" ht="17.25" customHeight="1">
      <c r="A113" s="112"/>
      <c r="B113" s="189">
        <f>IFERROR(__xludf.DUMMYFUNCTION("""COMPUTED_VALUE"""),45933.66666666667)</f>
        <v>45933.66667</v>
      </c>
      <c r="C113" s="190">
        <f>IFERROR(__xludf.DUMMYFUNCTION("""COMPUTED_VALUE"""),17.08)</f>
        <v>17.08</v>
      </c>
      <c r="D113" s="190">
        <f>IFERROR(__xludf.DUMMYFUNCTION("""COMPUTED_VALUE"""),17.1)</f>
        <v>17.1</v>
      </c>
      <c r="E113" s="190">
        <f>IFERROR(__xludf.DUMMYFUNCTION("""COMPUTED_VALUE"""),17.04)</f>
        <v>17.04</v>
      </c>
      <c r="F113" s="190">
        <f>IFERROR(__xludf.DUMMYFUNCTION("""COMPUTED_VALUE"""),17.07)</f>
        <v>17.07</v>
      </c>
      <c r="G113" s="191">
        <f>IFERROR(__xludf.DUMMYFUNCTION("""COMPUTED_VALUE"""),5151934.0)</f>
        <v>5151934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</row>
    <row r="114" ht="17.25" customHeight="1">
      <c r="A114" s="112"/>
      <c r="B114" s="189">
        <f>IFERROR(__xludf.DUMMYFUNCTION("""COMPUTED_VALUE"""),45936.66666666667)</f>
        <v>45936.66667</v>
      </c>
      <c r="C114" s="190">
        <f>IFERROR(__xludf.DUMMYFUNCTION("""COMPUTED_VALUE"""),17.1)</f>
        <v>17.1</v>
      </c>
      <c r="D114" s="190">
        <f>IFERROR(__xludf.DUMMYFUNCTION("""COMPUTED_VALUE"""),17.13)</f>
        <v>17.13</v>
      </c>
      <c r="E114" s="190">
        <f>IFERROR(__xludf.DUMMYFUNCTION("""COMPUTED_VALUE"""),17.1)</f>
        <v>17.1</v>
      </c>
      <c r="F114" s="190">
        <f>IFERROR(__xludf.DUMMYFUNCTION("""COMPUTED_VALUE"""),17.12)</f>
        <v>17.12</v>
      </c>
      <c r="G114" s="191">
        <f>IFERROR(__xludf.DUMMYFUNCTION("""COMPUTED_VALUE"""),4813830.0)</f>
        <v>4813830</v>
      </c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</row>
    <row r="115" ht="17.25" customHeight="1">
      <c r="A115" s="112"/>
      <c r="B115" s="189">
        <f>IFERROR(__xludf.DUMMYFUNCTION("""COMPUTED_VALUE"""),45937.66666666667)</f>
        <v>45937.66667</v>
      </c>
      <c r="C115" s="190">
        <f>IFERROR(__xludf.DUMMYFUNCTION("""COMPUTED_VALUE"""),17.13)</f>
        <v>17.13</v>
      </c>
      <c r="D115" s="190">
        <f>IFERROR(__xludf.DUMMYFUNCTION("""COMPUTED_VALUE"""),17.14)</f>
        <v>17.14</v>
      </c>
      <c r="E115" s="190">
        <f>IFERROR(__xludf.DUMMYFUNCTION("""COMPUTED_VALUE"""),17.07)</f>
        <v>17.07</v>
      </c>
      <c r="F115" s="190">
        <f>IFERROR(__xludf.DUMMYFUNCTION("""COMPUTED_VALUE"""),17.1)</f>
        <v>17.1</v>
      </c>
      <c r="G115" s="191">
        <f>IFERROR(__xludf.DUMMYFUNCTION("""COMPUTED_VALUE"""),5728917.0)</f>
        <v>5728917</v>
      </c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</row>
    <row r="116" ht="17.25" customHeight="1">
      <c r="A116" s="112"/>
      <c r="B116" s="189">
        <f>IFERROR(__xludf.DUMMYFUNCTION("""COMPUTED_VALUE"""),45938.66666666667)</f>
        <v>45938.66667</v>
      </c>
      <c r="C116" s="190">
        <f>IFERROR(__xludf.DUMMYFUNCTION("""COMPUTED_VALUE"""),17.12)</f>
        <v>17.12</v>
      </c>
      <c r="D116" s="190">
        <f>IFERROR(__xludf.DUMMYFUNCTION("""COMPUTED_VALUE"""),17.16)</f>
        <v>17.16</v>
      </c>
      <c r="E116" s="190">
        <f>IFERROR(__xludf.DUMMYFUNCTION("""COMPUTED_VALUE"""),17.11)</f>
        <v>17.11</v>
      </c>
      <c r="F116" s="190">
        <f>IFERROR(__xludf.DUMMYFUNCTION("""COMPUTED_VALUE"""),17.16)</f>
        <v>17.16</v>
      </c>
      <c r="G116" s="191">
        <f>IFERROR(__xludf.DUMMYFUNCTION("""COMPUTED_VALUE"""),3762554.0)</f>
        <v>3762554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</row>
    <row r="117" ht="17.25" customHeight="1">
      <c r="A117" s="112"/>
      <c r="B117" s="189">
        <f>IFERROR(__xludf.DUMMYFUNCTION("""COMPUTED_VALUE"""),45939.66666666667)</f>
        <v>45939.66667</v>
      </c>
      <c r="C117" s="190">
        <f>IFERROR(__xludf.DUMMYFUNCTION("""COMPUTED_VALUE"""),17.16)</f>
        <v>17.16</v>
      </c>
      <c r="D117" s="190">
        <f>IFERROR(__xludf.DUMMYFUNCTION("""COMPUTED_VALUE"""),17.17)</f>
        <v>17.17</v>
      </c>
      <c r="E117" s="190">
        <f>IFERROR(__xludf.DUMMYFUNCTION("""COMPUTED_VALUE"""),17.14)</f>
        <v>17.14</v>
      </c>
      <c r="F117" s="190">
        <f>IFERROR(__xludf.DUMMYFUNCTION("""COMPUTED_VALUE"""),17.15)</f>
        <v>17.15</v>
      </c>
      <c r="G117" s="191">
        <f>IFERROR(__xludf.DUMMYFUNCTION("""COMPUTED_VALUE"""),5035049.0)</f>
        <v>5035049</v>
      </c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</row>
    <row r="118" ht="17.25" customHeight="1">
      <c r="A118" s="112"/>
      <c r="B118" s="189">
        <f>IFERROR(__xludf.DUMMYFUNCTION("""COMPUTED_VALUE"""),45940.66666666667)</f>
        <v>45940.66667</v>
      </c>
      <c r="C118" s="190">
        <f>IFERROR(__xludf.DUMMYFUNCTION("""COMPUTED_VALUE"""),17.17)</f>
        <v>17.17</v>
      </c>
      <c r="D118" s="190">
        <f>IFERROR(__xludf.DUMMYFUNCTION("""COMPUTED_VALUE"""),17.18)</f>
        <v>17.18</v>
      </c>
      <c r="E118" s="190">
        <f>IFERROR(__xludf.DUMMYFUNCTION("""COMPUTED_VALUE"""),16.88)</f>
        <v>16.88</v>
      </c>
      <c r="F118" s="190">
        <f>IFERROR(__xludf.DUMMYFUNCTION("""COMPUTED_VALUE"""),16.88)</f>
        <v>16.88</v>
      </c>
      <c r="G118" s="191">
        <f>IFERROR(__xludf.DUMMYFUNCTION("""COMPUTED_VALUE"""),1.3728413E7)</f>
        <v>13728413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ht="17.25" customHeight="1">
      <c r="A119" s="112"/>
      <c r="B119" s="189">
        <f>IFERROR(__xludf.DUMMYFUNCTION("""COMPUTED_VALUE"""),45943.66666666667)</f>
        <v>45943.66667</v>
      </c>
      <c r="C119" s="190">
        <f>IFERROR(__xludf.DUMMYFUNCTION("""COMPUTED_VALUE"""),17.07)</f>
        <v>17.07</v>
      </c>
      <c r="D119" s="190">
        <f>IFERROR(__xludf.DUMMYFUNCTION("""COMPUTED_VALUE"""),17.14)</f>
        <v>17.14</v>
      </c>
      <c r="E119" s="190">
        <f>IFERROR(__xludf.DUMMYFUNCTION("""COMPUTED_VALUE"""),17.04)</f>
        <v>17.04</v>
      </c>
      <c r="F119" s="190">
        <f>IFERROR(__xludf.DUMMYFUNCTION("""COMPUTED_VALUE"""),17.13)</f>
        <v>17.13</v>
      </c>
      <c r="G119" s="191">
        <f>IFERROR(__xludf.DUMMYFUNCTION("""COMPUTED_VALUE"""),7562240.0)</f>
        <v>7562240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ht="17.25" customHeight="1">
      <c r="A120" s="112"/>
      <c r="B120" s="189">
        <f>IFERROR(__xludf.DUMMYFUNCTION("""COMPUTED_VALUE"""),45944.66666666667)</f>
        <v>45944.66667</v>
      </c>
      <c r="C120" s="190">
        <f>IFERROR(__xludf.DUMMYFUNCTION("""COMPUTED_VALUE"""),17.04)</f>
        <v>17.04</v>
      </c>
      <c r="D120" s="190">
        <f>IFERROR(__xludf.DUMMYFUNCTION("""COMPUTED_VALUE"""),17.15)</f>
        <v>17.15</v>
      </c>
      <c r="E120" s="190">
        <f>IFERROR(__xludf.DUMMYFUNCTION("""COMPUTED_VALUE"""),16.94)</f>
        <v>16.94</v>
      </c>
      <c r="F120" s="190">
        <f>IFERROR(__xludf.DUMMYFUNCTION("""COMPUTED_VALUE"""),17.1)</f>
        <v>17.1</v>
      </c>
      <c r="G120" s="191">
        <f>IFERROR(__xludf.DUMMYFUNCTION("""COMPUTED_VALUE"""),9377152.0)</f>
        <v>9377152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</row>
    <row r="121" ht="17.25" customHeight="1">
      <c r="A121" s="112"/>
      <c r="B121" s="189">
        <f>IFERROR(__xludf.DUMMYFUNCTION("""COMPUTED_VALUE"""),45945.66666666667)</f>
        <v>45945.66667</v>
      </c>
      <c r="C121" s="190">
        <f>IFERROR(__xludf.DUMMYFUNCTION("""COMPUTED_VALUE"""),17.17)</f>
        <v>17.17</v>
      </c>
      <c r="D121" s="190">
        <f>IFERROR(__xludf.DUMMYFUNCTION("""COMPUTED_VALUE"""),17.19)</f>
        <v>17.19</v>
      </c>
      <c r="E121" s="190">
        <f>IFERROR(__xludf.DUMMYFUNCTION("""COMPUTED_VALUE"""),17.07)</f>
        <v>17.07</v>
      </c>
      <c r="F121" s="190">
        <f>IFERROR(__xludf.DUMMYFUNCTION("""COMPUTED_VALUE"""),17.16)</f>
        <v>17.16</v>
      </c>
      <c r="G121" s="191">
        <f>IFERROR(__xludf.DUMMYFUNCTION("""COMPUTED_VALUE"""),5937444.0)</f>
        <v>5937444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</row>
    <row r="122" ht="17.25" customHeight="1">
      <c r="A122" s="112"/>
      <c r="B122" s="189">
        <f>IFERROR(__xludf.DUMMYFUNCTION("""COMPUTED_VALUE"""),45946.66666666667)</f>
        <v>45946.66667</v>
      </c>
      <c r="C122" s="190">
        <f>IFERROR(__xludf.DUMMYFUNCTION("""COMPUTED_VALUE"""),17.2)</f>
        <v>17.2</v>
      </c>
      <c r="D122" s="190">
        <f>IFERROR(__xludf.DUMMYFUNCTION("""COMPUTED_VALUE"""),17.2)</f>
        <v>17.2</v>
      </c>
      <c r="E122" s="190">
        <f>IFERROR(__xludf.DUMMYFUNCTION("""COMPUTED_VALUE"""),17.1)</f>
        <v>17.1</v>
      </c>
      <c r="F122" s="190">
        <f>IFERROR(__xludf.DUMMYFUNCTION("""COMPUTED_VALUE"""),17.2)</f>
        <v>17.2</v>
      </c>
      <c r="G122" s="191">
        <f>IFERROR(__xludf.DUMMYFUNCTION("""COMPUTED_VALUE"""),1.0773874E7)</f>
        <v>10773874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</row>
    <row r="123" ht="17.25" customHeight="1">
      <c r="A123" s="112"/>
      <c r="B123" s="189">
        <f>IFERROR(__xludf.DUMMYFUNCTION("""COMPUTED_VALUE"""),45947.66666666667)</f>
        <v>45947.66667</v>
      </c>
      <c r="C123" s="190">
        <f>IFERROR(__xludf.DUMMYFUNCTION("""COMPUTED_VALUE"""),17.15)</f>
        <v>17.15</v>
      </c>
      <c r="D123" s="190">
        <f>IFERROR(__xludf.DUMMYFUNCTION("""COMPUTED_VALUE"""),17.31)</f>
        <v>17.31</v>
      </c>
      <c r="E123" s="190">
        <f>IFERROR(__xludf.DUMMYFUNCTION("""COMPUTED_VALUE"""),17.1)</f>
        <v>17.1</v>
      </c>
      <c r="F123" s="190">
        <f>IFERROR(__xludf.DUMMYFUNCTION("""COMPUTED_VALUE"""),17.28)</f>
        <v>17.28</v>
      </c>
      <c r="G123" s="191">
        <f>IFERROR(__xludf.DUMMYFUNCTION("""COMPUTED_VALUE"""),1.4097068E7)</f>
        <v>14097068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</row>
    <row r="124" ht="17.25" customHeight="1">
      <c r="A124" s="112"/>
      <c r="B124" s="189">
        <f>IFERROR(__xludf.DUMMYFUNCTION("""COMPUTED_VALUE"""),45950.66666666667)</f>
        <v>45950.66667</v>
      </c>
      <c r="C124" s="190">
        <f>IFERROR(__xludf.DUMMYFUNCTION("""COMPUTED_VALUE"""),17.17)</f>
        <v>17.17</v>
      </c>
      <c r="D124" s="190">
        <f>IFERROR(__xludf.DUMMYFUNCTION("""COMPUTED_VALUE"""),17.26)</f>
        <v>17.26</v>
      </c>
      <c r="E124" s="190">
        <f>IFERROR(__xludf.DUMMYFUNCTION("""COMPUTED_VALUE"""),17.16)</f>
        <v>17.16</v>
      </c>
      <c r="F124" s="190">
        <f>IFERROR(__xludf.DUMMYFUNCTION("""COMPUTED_VALUE"""),17.26)</f>
        <v>17.26</v>
      </c>
      <c r="G124" s="191">
        <f>IFERROR(__xludf.DUMMYFUNCTION("""COMPUTED_VALUE"""),6780119.0)</f>
        <v>6780119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</row>
    <row r="125" ht="17.25" customHeight="1">
      <c r="A125" s="112"/>
      <c r="B125" s="189">
        <f>IFERROR(__xludf.DUMMYFUNCTION("""COMPUTED_VALUE"""),45951.66666666667)</f>
        <v>45951.66667</v>
      </c>
      <c r="C125" s="190">
        <f>IFERROR(__xludf.DUMMYFUNCTION("""COMPUTED_VALUE"""),17.25)</f>
        <v>17.25</v>
      </c>
      <c r="D125" s="190">
        <f>IFERROR(__xludf.DUMMYFUNCTION("""COMPUTED_VALUE"""),17.28)</f>
        <v>17.28</v>
      </c>
      <c r="E125" s="190">
        <f>IFERROR(__xludf.DUMMYFUNCTION("""COMPUTED_VALUE"""),17.23)</f>
        <v>17.23</v>
      </c>
      <c r="F125" s="190">
        <f>IFERROR(__xludf.DUMMYFUNCTION("""COMPUTED_VALUE"""),17.27)</f>
        <v>17.27</v>
      </c>
      <c r="G125" s="191">
        <f>IFERROR(__xludf.DUMMYFUNCTION("""COMPUTED_VALUE"""),6335339.0)</f>
        <v>6335339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</row>
    <row r="126" ht="17.25" customHeight="1">
      <c r="A126" s="112"/>
      <c r="B126" s="189">
        <f>IFERROR(__xludf.DUMMYFUNCTION("""COMPUTED_VALUE"""),45952.66666666667)</f>
        <v>45952.66667</v>
      </c>
      <c r="C126" s="190">
        <f>IFERROR(__xludf.DUMMYFUNCTION("""COMPUTED_VALUE"""),17.26)</f>
        <v>17.26</v>
      </c>
      <c r="D126" s="190">
        <f>IFERROR(__xludf.DUMMYFUNCTION("""COMPUTED_VALUE"""),17.27)</f>
        <v>17.27</v>
      </c>
      <c r="E126" s="190">
        <f>IFERROR(__xludf.DUMMYFUNCTION("""COMPUTED_VALUE"""),17.11)</f>
        <v>17.11</v>
      </c>
      <c r="F126" s="190">
        <f>IFERROR(__xludf.DUMMYFUNCTION("""COMPUTED_VALUE"""),17.21)</f>
        <v>17.21</v>
      </c>
      <c r="G126" s="191">
        <f>IFERROR(__xludf.DUMMYFUNCTION("""COMPUTED_VALUE"""),9528602.0)</f>
        <v>9528602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</row>
    <row r="127" ht="17.25" customHeight="1">
      <c r="A127" s="112"/>
      <c r="B127" s="189">
        <f>IFERROR(__xludf.DUMMYFUNCTION("""COMPUTED_VALUE"""),45953.66666666667)</f>
        <v>45953.66667</v>
      </c>
      <c r="C127" s="190">
        <f>IFERROR(__xludf.DUMMYFUNCTION("""COMPUTED_VALUE"""),17.21)</f>
        <v>17.21</v>
      </c>
      <c r="D127" s="190">
        <f>IFERROR(__xludf.DUMMYFUNCTION("""COMPUTED_VALUE"""),17.29)</f>
        <v>17.29</v>
      </c>
      <c r="E127" s="190">
        <f>IFERROR(__xludf.DUMMYFUNCTION("""COMPUTED_VALUE"""),17.2)</f>
        <v>17.2</v>
      </c>
      <c r="F127" s="190">
        <f>IFERROR(__xludf.DUMMYFUNCTION("""COMPUTED_VALUE"""),17.29)</f>
        <v>17.29</v>
      </c>
      <c r="G127" s="191">
        <f>IFERROR(__xludf.DUMMYFUNCTION("""COMPUTED_VALUE"""),6638149.0)</f>
        <v>6638149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</row>
    <row r="128" ht="17.25" customHeight="1">
      <c r="A128" s="112"/>
      <c r="B128" s="189">
        <f>IFERROR(__xludf.DUMMYFUNCTION("""COMPUTED_VALUE"""),45954.66666666667)</f>
        <v>45954.66667</v>
      </c>
      <c r="C128" s="190">
        <f>IFERROR(__xludf.DUMMYFUNCTION("""COMPUTED_VALUE"""),17.35)</f>
        <v>17.35</v>
      </c>
      <c r="D128" s="190">
        <f>IFERROR(__xludf.DUMMYFUNCTION("""COMPUTED_VALUE"""),17.36)</f>
        <v>17.36</v>
      </c>
      <c r="E128" s="190">
        <f>IFERROR(__xludf.DUMMYFUNCTION("""COMPUTED_VALUE"""),17.33)</f>
        <v>17.33</v>
      </c>
      <c r="F128" s="190">
        <f>IFERROR(__xludf.DUMMYFUNCTION("""COMPUTED_VALUE"""),17.35)</f>
        <v>17.35</v>
      </c>
      <c r="G128" s="191">
        <f>IFERROR(__xludf.DUMMYFUNCTION("""COMPUTED_VALUE"""),7353029.0)</f>
        <v>7353029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</row>
    <row r="129" ht="17.25" customHeight="1">
      <c r="A129" s="112"/>
      <c r="B129" s="189">
        <f>IFERROR(__xludf.DUMMYFUNCTION("""COMPUTED_VALUE"""),45957.66666666667)</f>
        <v>45957.66667</v>
      </c>
      <c r="C129" s="190">
        <f>IFERROR(__xludf.DUMMYFUNCTION("""COMPUTED_VALUE"""),17.41)</f>
        <v>17.41</v>
      </c>
      <c r="D129" s="190">
        <f>IFERROR(__xludf.DUMMYFUNCTION("""COMPUTED_VALUE"""),17.42)</f>
        <v>17.42</v>
      </c>
      <c r="E129" s="190">
        <f>IFERROR(__xludf.DUMMYFUNCTION("""COMPUTED_VALUE"""),17.4)</f>
        <v>17.4</v>
      </c>
      <c r="F129" s="190">
        <f>IFERROR(__xludf.DUMMYFUNCTION("""COMPUTED_VALUE"""),17.42)</f>
        <v>17.42</v>
      </c>
      <c r="G129" s="191">
        <f>IFERROR(__xludf.DUMMYFUNCTION("""COMPUTED_VALUE"""),7398336.0)</f>
        <v>7398336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</row>
    <row r="130" ht="17.25" customHeight="1">
      <c r="A130" s="112"/>
      <c r="B130" s="189">
        <f>IFERROR(__xludf.DUMMYFUNCTION("""COMPUTED_VALUE"""),45958.66666666667)</f>
        <v>45958.66667</v>
      </c>
      <c r="C130" s="190">
        <f>IFERROR(__xludf.DUMMYFUNCTION("""COMPUTED_VALUE"""),17.43)</f>
        <v>17.43</v>
      </c>
      <c r="D130" s="190">
        <f>IFERROR(__xludf.DUMMYFUNCTION("""COMPUTED_VALUE"""),17.44)</f>
        <v>17.44</v>
      </c>
      <c r="E130" s="190">
        <f>IFERROR(__xludf.DUMMYFUNCTION("""COMPUTED_VALUE"""),17.42)</f>
        <v>17.42</v>
      </c>
      <c r="F130" s="190">
        <f>IFERROR(__xludf.DUMMYFUNCTION("""COMPUTED_VALUE"""),17.44)</f>
        <v>17.44</v>
      </c>
      <c r="G130" s="191">
        <f>IFERROR(__xludf.DUMMYFUNCTION("""COMPUTED_VALUE"""),4022914.0)</f>
        <v>4022914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</row>
    <row r="131" ht="17.25" customHeight="1">
      <c r="A131" s="112"/>
      <c r="B131" s="189">
        <f>IFERROR(__xludf.DUMMYFUNCTION("""COMPUTED_VALUE"""),45959.66666666667)</f>
        <v>45959.66667</v>
      </c>
      <c r="C131" s="190">
        <f>IFERROR(__xludf.DUMMYFUNCTION("""COMPUTED_VALUE"""),17.44)</f>
        <v>17.44</v>
      </c>
      <c r="D131" s="190">
        <f>IFERROR(__xludf.DUMMYFUNCTION("""COMPUTED_VALUE"""),17.45)</f>
        <v>17.45</v>
      </c>
      <c r="E131" s="190">
        <f>IFERROR(__xludf.DUMMYFUNCTION("""COMPUTED_VALUE"""),17.41)</f>
        <v>17.41</v>
      </c>
      <c r="F131" s="190">
        <f>IFERROR(__xludf.DUMMYFUNCTION("""COMPUTED_VALUE"""),17.44)</f>
        <v>17.44</v>
      </c>
      <c r="G131" s="191">
        <f>IFERROR(__xludf.DUMMYFUNCTION("""COMPUTED_VALUE"""),8573854.0)</f>
        <v>8573854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</row>
    <row r="132" ht="17.25" customHeight="1">
      <c r="A132" s="112"/>
      <c r="B132" s="189">
        <f>IFERROR(__xludf.DUMMYFUNCTION("""COMPUTED_VALUE"""),45960.66666666667)</f>
        <v>45960.66667</v>
      </c>
      <c r="C132" s="190">
        <f>IFERROR(__xludf.DUMMYFUNCTION("""COMPUTED_VALUE"""),17.43)</f>
        <v>17.43</v>
      </c>
      <c r="D132" s="190">
        <f>IFERROR(__xludf.DUMMYFUNCTION("""COMPUTED_VALUE"""),17.45)</f>
        <v>17.45</v>
      </c>
      <c r="E132" s="190">
        <f>IFERROR(__xludf.DUMMYFUNCTION("""COMPUTED_VALUE"""),17.41)</f>
        <v>17.41</v>
      </c>
      <c r="F132" s="190">
        <f>IFERROR(__xludf.DUMMYFUNCTION("""COMPUTED_VALUE"""),17.42)</f>
        <v>17.42</v>
      </c>
      <c r="G132" s="191">
        <f>IFERROR(__xludf.DUMMYFUNCTION("""COMPUTED_VALUE"""),6954140.0)</f>
        <v>6954140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</row>
    <row r="133" ht="17.25" customHeight="1">
      <c r="A133" s="112"/>
      <c r="B133" s="189">
        <f>IFERROR(__xludf.DUMMYFUNCTION("""COMPUTED_VALUE"""),45961.66666666667)</f>
        <v>45961.66667</v>
      </c>
      <c r="C133" s="190">
        <f>IFERROR(__xludf.DUMMYFUNCTION("""COMPUTED_VALUE"""),17.46)</f>
        <v>17.46</v>
      </c>
      <c r="D133" s="190">
        <f>IFERROR(__xludf.DUMMYFUNCTION("""COMPUTED_VALUE"""),17.47)</f>
        <v>17.47</v>
      </c>
      <c r="E133" s="190">
        <f>IFERROR(__xludf.DUMMYFUNCTION("""COMPUTED_VALUE"""),17.4)</f>
        <v>17.4</v>
      </c>
      <c r="F133" s="190">
        <f>IFERROR(__xludf.DUMMYFUNCTION("""COMPUTED_VALUE"""),17.43)</f>
        <v>17.43</v>
      </c>
      <c r="G133" s="191">
        <f>IFERROR(__xludf.DUMMYFUNCTION("""COMPUTED_VALUE"""),8369351.0)</f>
        <v>8369351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</row>
    <row r="134" ht="17.25" customHeight="1">
      <c r="A134" s="112"/>
      <c r="B134" s="189">
        <f>IFERROR(__xludf.DUMMYFUNCTION("""COMPUTED_VALUE"""),45964.66666666667)</f>
        <v>45964.66667</v>
      </c>
      <c r="C134" s="190">
        <f>IFERROR(__xludf.DUMMYFUNCTION("""COMPUTED_VALUE"""),17.46)</f>
        <v>17.46</v>
      </c>
      <c r="D134" s="190">
        <f>IFERROR(__xludf.DUMMYFUNCTION("""COMPUTED_VALUE"""),17.48)</f>
        <v>17.48</v>
      </c>
      <c r="E134" s="190">
        <f>IFERROR(__xludf.DUMMYFUNCTION("""COMPUTED_VALUE"""),17.44)</f>
        <v>17.44</v>
      </c>
      <c r="F134" s="190">
        <f>IFERROR(__xludf.DUMMYFUNCTION("""COMPUTED_VALUE"""),17.46)</f>
        <v>17.46</v>
      </c>
      <c r="G134" s="191">
        <f>IFERROR(__xludf.DUMMYFUNCTION("""COMPUTED_VALUE"""),6089238.0)</f>
        <v>6089238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</row>
    <row r="135" ht="17.25" customHeight="1">
      <c r="A135" s="112"/>
      <c r="B135" s="189">
        <f>IFERROR(__xludf.DUMMYFUNCTION("""COMPUTED_VALUE"""),45965.66666666667)</f>
        <v>45965.66667</v>
      </c>
      <c r="C135" s="190">
        <f>IFERROR(__xludf.DUMMYFUNCTION("""COMPUTED_VALUE"""),17.41)</f>
        <v>17.41</v>
      </c>
      <c r="D135" s="190">
        <f>IFERROR(__xludf.DUMMYFUNCTION("""COMPUTED_VALUE"""),17.45)</f>
        <v>17.45</v>
      </c>
      <c r="E135" s="190">
        <f>IFERROR(__xludf.DUMMYFUNCTION("""COMPUTED_VALUE"""),17.39)</f>
        <v>17.39</v>
      </c>
      <c r="F135" s="190">
        <f>IFERROR(__xludf.DUMMYFUNCTION("""COMPUTED_VALUE"""),17.4)</f>
        <v>17.4</v>
      </c>
      <c r="G135" s="191">
        <f>IFERROR(__xludf.DUMMYFUNCTION("""COMPUTED_VALUE"""),7618415.0)</f>
        <v>7618415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</row>
    <row r="136" ht="17.25" customHeight="1">
      <c r="A136" s="112"/>
      <c r="B136" s="189">
        <f>IFERROR(__xludf.DUMMYFUNCTION("""COMPUTED_VALUE"""),45966.66666666667)</f>
        <v>45966.66667</v>
      </c>
      <c r="C136" s="190">
        <f>IFERROR(__xludf.DUMMYFUNCTION("""COMPUTED_VALUE"""),17.41)</f>
        <v>17.41</v>
      </c>
      <c r="D136" s="190">
        <f>IFERROR(__xludf.DUMMYFUNCTION("""COMPUTED_VALUE"""),17.47)</f>
        <v>17.47</v>
      </c>
      <c r="E136" s="190">
        <f>IFERROR(__xludf.DUMMYFUNCTION("""COMPUTED_VALUE"""),17.39)</f>
        <v>17.39</v>
      </c>
      <c r="F136" s="190">
        <f>IFERROR(__xludf.DUMMYFUNCTION("""COMPUTED_VALUE"""),17.45)</f>
        <v>17.45</v>
      </c>
      <c r="G136" s="191">
        <f>IFERROR(__xludf.DUMMYFUNCTION("""COMPUTED_VALUE"""),4692230.0)</f>
        <v>4692230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</row>
    <row r="137" ht="17.25" customHeight="1">
      <c r="A137" s="112"/>
      <c r="B137" s="189">
        <f>IFERROR(__xludf.DUMMYFUNCTION("""COMPUTED_VALUE"""),45967.66666666667)</f>
        <v>45967.66667</v>
      </c>
      <c r="C137" s="190">
        <f>IFERROR(__xludf.DUMMYFUNCTION("""COMPUTED_VALUE"""),17.45)</f>
        <v>17.45</v>
      </c>
      <c r="D137" s="190">
        <f>IFERROR(__xludf.DUMMYFUNCTION("""COMPUTED_VALUE"""),17.45)</f>
        <v>17.45</v>
      </c>
      <c r="E137" s="190">
        <f>IFERROR(__xludf.DUMMYFUNCTION("""COMPUTED_VALUE"""),17.34)</f>
        <v>17.34</v>
      </c>
      <c r="F137" s="190">
        <f>IFERROR(__xludf.DUMMYFUNCTION("""COMPUTED_VALUE"""),17.35)</f>
        <v>17.35</v>
      </c>
      <c r="G137" s="191">
        <f>IFERROR(__xludf.DUMMYFUNCTION("""COMPUTED_VALUE"""),9579277.0)</f>
        <v>9579277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</row>
    <row r="138" ht="17.25" customHeight="1">
      <c r="A138" s="112"/>
      <c r="B138" s="189">
        <f>IFERROR(__xludf.DUMMYFUNCTION("""COMPUTED_VALUE"""),45968.66666666667)</f>
        <v>45968.66667</v>
      </c>
      <c r="C138" s="190">
        <f>IFERROR(__xludf.DUMMYFUNCTION("""COMPUTED_VALUE"""),17.32)</f>
        <v>17.32</v>
      </c>
      <c r="D138" s="190">
        <f>IFERROR(__xludf.DUMMYFUNCTION("""COMPUTED_VALUE"""),17.36)</f>
        <v>17.36</v>
      </c>
      <c r="E138" s="190">
        <f>IFERROR(__xludf.DUMMYFUNCTION("""COMPUTED_VALUE"""),17.2)</f>
        <v>17.2</v>
      </c>
      <c r="F138" s="190">
        <f>IFERROR(__xludf.DUMMYFUNCTION("""COMPUTED_VALUE"""),17.36)</f>
        <v>17.36</v>
      </c>
      <c r="G138" s="191">
        <f>IFERROR(__xludf.DUMMYFUNCTION("""COMPUTED_VALUE"""),1.20688E7)</f>
        <v>12068800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</row>
    <row r="139" ht="17.25" customHeight="1">
      <c r="A139" s="112"/>
      <c r="B139" s="189">
        <f>IFERROR(__xludf.DUMMYFUNCTION("""COMPUTED_VALUE"""),45971.66666666667)</f>
        <v>45971.66667</v>
      </c>
      <c r="C139" s="190">
        <f>IFERROR(__xludf.DUMMYFUNCTION("""COMPUTED_VALUE"""),17.42)</f>
        <v>17.42</v>
      </c>
      <c r="D139" s="190">
        <f>IFERROR(__xludf.DUMMYFUNCTION("""COMPUTED_VALUE"""),17.5)</f>
        <v>17.5</v>
      </c>
      <c r="E139" s="190">
        <f>IFERROR(__xludf.DUMMYFUNCTION("""COMPUTED_VALUE"""),17.42)</f>
        <v>17.42</v>
      </c>
      <c r="F139" s="190">
        <f>IFERROR(__xludf.DUMMYFUNCTION("""COMPUTED_VALUE"""),17.5)</f>
        <v>17.5</v>
      </c>
      <c r="G139" s="191">
        <f>IFERROR(__xludf.DUMMYFUNCTION("""COMPUTED_VALUE"""),7746397.0)</f>
        <v>7746397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</row>
    <row r="140" ht="17.25" customHeight="1">
      <c r="A140" s="112"/>
      <c r="B140" s="189">
        <f>IFERROR(__xludf.DUMMYFUNCTION("""COMPUTED_VALUE"""),45972.66666666667)</f>
        <v>45972.66667</v>
      </c>
      <c r="C140" s="190">
        <f>IFERROR(__xludf.DUMMYFUNCTION("""COMPUTED_VALUE"""),17.48)</f>
        <v>17.48</v>
      </c>
      <c r="D140" s="190">
        <f>IFERROR(__xludf.DUMMYFUNCTION("""COMPUTED_VALUE"""),17.5)</f>
        <v>17.5</v>
      </c>
      <c r="E140" s="190">
        <f>IFERROR(__xludf.DUMMYFUNCTION("""COMPUTED_VALUE"""),17.47)</f>
        <v>17.47</v>
      </c>
      <c r="F140" s="190">
        <f>IFERROR(__xludf.DUMMYFUNCTION("""COMPUTED_VALUE"""),17.5)</f>
        <v>17.5</v>
      </c>
      <c r="G140" s="191">
        <f>IFERROR(__xludf.DUMMYFUNCTION("""COMPUTED_VALUE"""),4523452.0)</f>
        <v>4523452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</row>
    <row r="141" ht="17.25" customHeight="1">
      <c r="A141" s="112"/>
      <c r="B141" s="189">
        <f>IFERROR(__xludf.DUMMYFUNCTION("""COMPUTED_VALUE"""),45973.66666666667)</f>
        <v>45973.66667</v>
      </c>
      <c r="C141" s="190">
        <f>IFERROR(__xludf.DUMMYFUNCTION("""COMPUTED_VALUE"""),17.51)</f>
        <v>17.51</v>
      </c>
      <c r="D141" s="190">
        <f>IFERROR(__xludf.DUMMYFUNCTION("""COMPUTED_VALUE"""),17.52)</f>
        <v>17.52</v>
      </c>
      <c r="E141" s="190">
        <f>IFERROR(__xludf.DUMMYFUNCTION("""COMPUTED_VALUE"""),17.47)</f>
        <v>17.47</v>
      </c>
      <c r="F141" s="190">
        <f>IFERROR(__xludf.DUMMYFUNCTION("""COMPUTED_VALUE"""),17.5)</f>
        <v>17.5</v>
      </c>
      <c r="G141" s="191">
        <f>IFERROR(__xludf.DUMMYFUNCTION("""COMPUTED_VALUE"""),5334901.0)</f>
        <v>5334901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</row>
    <row r="142" ht="17.25" customHeight="1">
      <c r="A142" s="112"/>
      <c r="B142" s="189">
        <f>IFERROR(__xludf.DUMMYFUNCTION("""COMPUTED_VALUE"""),45974.66666666667)</f>
        <v>45974.66667</v>
      </c>
      <c r="C142" s="190">
        <f>IFERROR(__xludf.DUMMYFUNCTION("""COMPUTED_VALUE"""),17.49)</f>
        <v>17.49</v>
      </c>
      <c r="D142" s="190">
        <f>IFERROR(__xludf.DUMMYFUNCTION("""COMPUTED_VALUE"""),17.49)</f>
        <v>17.49</v>
      </c>
      <c r="E142" s="190">
        <f>IFERROR(__xludf.DUMMYFUNCTION("""COMPUTED_VALUE"""),17.36)</f>
        <v>17.36</v>
      </c>
      <c r="F142" s="190">
        <f>IFERROR(__xludf.DUMMYFUNCTION("""COMPUTED_VALUE"""),17.4)</f>
        <v>17.4</v>
      </c>
      <c r="G142" s="191">
        <f>IFERROR(__xludf.DUMMYFUNCTION("""COMPUTED_VALUE"""),7258757.0)</f>
        <v>7258757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</row>
    <row r="143" ht="17.25" customHeight="1">
      <c r="A143" s="112"/>
      <c r="B143" s="189">
        <f>IFERROR(__xludf.DUMMYFUNCTION("""COMPUTED_VALUE"""),45975.66666666667)</f>
        <v>45975.66667</v>
      </c>
      <c r="C143" s="190">
        <f>IFERROR(__xludf.DUMMYFUNCTION("""COMPUTED_VALUE"""),17.28)</f>
        <v>17.28</v>
      </c>
      <c r="D143" s="190">
        <f>IFERROR(__xludf.DUMMYFUNCTION("""COMPUTED_VALUE"""),17.47)</f>
        <v>17.47</v>
      </c>
      <c r="E143" s="190">
        <f>IFERROR(__xludf.DUMMYFUNCTION("""COMPUTED_VALUE"""),17.24)</f>
        <v>17.24</v>
      </c>
      <c r="F143" s="190">
        <f>IFERROR(__xludf.DUMMYFUNCTION("""COMPUTED_VALUE"""),17.43)</f>
        <v>17.43</v>
      </c>
      <c r="G143" s="191">
        <f>IFERROR(__xludf.DUMMYFUNCTION("""COMPUTED_VALUE"""),7237597.0)</f>
        <v>7237597</v>
      </c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</row>
    <row r="144" ht="17.25" customHeight="1">
      <c r="A144" s="112"/>
      <c r="B144" s="189">
        <f>IFERROR(__xludf.DUMMYFUNCTION("""COMPUTED_VALUE"""),45978.66666666667)</f>
        <v>45978.66667</v>
      </c>
      <c r="C144" s="190">
        <f>IFERROR(__xludf.DUMMYFUNCTION("""COMPUTED_VALUE"""),17.4)</f>
        <v>17.4</v>
      </c>
      <c r="D144" s="190">
        <f>IFERROR(__xludf.DUMMYFUNCTION("""COMPUTED_VALUE"""),17.48)</f>
        <v>17.48</v>
      </c>
      <c r="E144" s="190">
        <f>IFERROR(__xludf.DUMMYFUNCTION("""COMPUTED_VALUE"""),17.35)</f>
        <v>17.35</v>
      </c>
      <c r="F144" s="190">
        <f>IFERROR(__xludf.DUMMYFUNCTION("""COMPUTED_VALUE"""),17.39)</f>
        <v>17.39</v>
      </c>
      <c r="G144" s="191">
        <f>IFERROR(__xludf.DUMMYFUNCTION("""COMPUTED_VALUE"""),7872726.0)</f>
        <v>7872726</v>
      </c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</row>
    <row r="145" ht="17.25" customHeight="1">
      <c r="A145" s="112"/>
      <c r="B145" s="189">
        <f>IFERROR(__xludf.DUMMYFUNCTION("""COMPUTED_VALUE"""),45979.66666666667)</f>
        <v>45979.66667</v>
      </c>
      <c r="C145" s="190">
        <f>IFERROR(__xludf.DUMMYFUNCTION("""COMPUTED_VALUE"""),17.34)</f>
        <v>17.34</v>
      </c>
      <c r="D145" s="190">
        <f>IFERROR(__xludf.DUMMYFUNCTION("""COMPUTED_VALUE"""),17.4)</f>
        <v>17.4</v>
      </c>
      <c r="E145" s="190">
        <f>IFERROR(__xludf.DUMMYFUNCTION("""COMPUTED_VALUE"""),17.21)</f>
        <v>17.21</v>
      </c>
      <c r="F145" s="190">
        <f>IFERROR(__xludf.DUMMYFUNCTION("""COMPUTED_VALUE"""),17.32)</f>
        <v>17.32</v>
      </c>
      <c r="G145" s="191">
        <f>IFERROR(__xludf.DUMMYFUNCTION("""COMPUTED_VALUE"""),9339810.0)</f>
        <v>9339810</v>
      </c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ht="17.25" customHeight="1">
      <c r="A146" s="112"/>
      <c r="B146" s="189">
        <f>IFERROR(__xludf.DUMMYFUNCTION("""COMPUTED_VALUE"""),45980.66666666667)</f>
        <v>45980.66667</v>
      </c>
      <c r="C146" s="190">
        <f>IFERROR(__xludf.DUMMYFUNCTION("""COMPUTED_VALUE"""),17.35)</f>
        <v>17.35</v>
      </c>
      <c r="D146" s="190">
        <f>IFERROR(__xludf.DUMMYFUNCTION("""COMPUTED_VALUE"""),17.48)</f>
        <v>17.48</v>
      </c>
      <c r="E146" s="190">
        <f>IFERROR(__xludf.DUMMYFUNCTION("""COMPUTED_VALUE"""),17.32)</f>
        <v>17.32</v>
      </c>
      <c r="F146" s="190">
        <f>IFERROR(__xludf.DUMMYFUNCTION("""COMPUTED_VALUE"""),17.41)</f>
        <v>17.41</v>
      </c>
      <c r="G146" s="191">
        <f>IFERROR(__xludf.DUMMYFUNCTION("""COMPUTED_VALUE"""),8171825.0)</f>
        <v>8171825</v>
      </c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ht="17.25" customHeight="1">
      <c r="A147" s="112"/>
      <c r="B147" s="189">
        <f>IFERROR(__xludf.DUMMYFUNCTION("""COMPUTED_VALUE"""),45981.66666666667)</f>
        <v>45981.66667</v>
      </c>
      <c r="C147" s="190">
        <f>IFERROR(__xludf.DUMMYFUNCTION("""COMPUTED_VALUE"""),17.55)</f>
        <v>17.55</v>
      </c>
      <c r="D147" s="190">
        <f>IFERROR(__xludf.DUMMYFUNCTION("""COMPUTED_VALUE"""),17.57)</f>
        <v>17.57</v>
      </c>
      <c r="E147" s="190">
        <f>IFERROR(__xludf.DUMMYFUNCTION("""COMPUTED_VALUE"""),17.14)</f>
        <v>17.14</v>
      </c>
      <c r="F147" s="190">
        <f>IFERROR(__xludf.DUMMYFUNCTION("""COMPUTED_VALUE"""),17.14)</f>
        <v>17.14</v>
      </c>
      <c r="G147" s="191">
        <f>IFERROR(__xludf.DUMMYFUNCTION("""COMPUTED_VALUE"""),1.2468209E7)</f>
        <v>12468209</v>
      </c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ht="17.25" customHeight="1">
      <c r="A148" s="112"/>
      <c r="B148" s="189">
        <f>IFERROR(__xludf.DUMMYFUNCTION("""COMPUTED_VALUE"""),45982.66666666667)</f>
        <v>45982.66667</v>
      </c>
      <c r="C148" s="190">
        <f>IFERROR(__xludf.DUMMYFUNCTION("""COMPUTED_VALUE"""),17.2)</f>
        <v>17.2</v>
      </c>
      <c r="D148" s="190">
        <f>IFERROR(__xludf.DUMMYFUNCTION("""COMPUTED_VALUE"""),17.39)</f>
        <v>17.39</v>
      </c>
      <c r="E148" s="190">
        <f>IFERROR(__xludf.DUMMYFUNCTION("""COMPUTED_VALUE"""),17.02)</f>
        <v>17.02</v>
      </c>
      <c r="F148" s="190">
        <f>IFERROR(__xludf.DUMMYFUNCTION("""COMPUTED_VALUE"""),17.31)</f>
        <v>17.31</v>
      </c>
      <c r="G148" s="191">
        <f>IFERROR(__xludf.DUMMYFUNCTION("""COMPUTED_VALUE"""),1.0438443E7)</f>
        <v>10438443</v>
      </c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</row>
    <row r="149" ht="17.25" customHeight="1">
      <c r="A149" s="112"/>
      <c r="B149" s="189">
        <f>IFERROR(__xludf.DUMMYFUNCTION("""COMPUTED_VALUE"""),45985.66666666667)</f>
        <v>45985.66667</v>
      </c>
      <c r="C149" s="190">
        <f>IFERROR(__xludf.DUMMYFUNCTION("""COMPUTED_VALUE"""),17.21)</f>
        <v>17.21</v>
      </c>
      <c r="D149" s="190">
        <f>IFERROR(__xludf.DUMMYFUNCTION("""COMPUTED_VALUE"""),17.34)</f>
        <v>17.34</v>
      </c>
      <c r="E149" s="190">
        <f>IFERROR(__xludf.DUMMYFUNCTION("""COMPUTED_VALUE"""),17.2)</f>
        <v>17.2</v>
      </c>
      <c r="F149" s="190">
        <f>IFERROR(__xludf.DUMMYFUNCTION("""COMPUTED_VALUE"""),17.33)</f>
        <v>17.33</v>
      </c>
      <c r="G149" s="191">
        <f>IFERROR(__xludf.DUMMYFUNCTION("""COMPUTED_VALUE"""),8463152.0)</f>
        <v>8463152</v>
      </c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ht="17.25" customHeight="1">
      <c r="A150" s="112"/>
      <c r="B150" s="189">
        <f>IFERROR(__xludf.DUMMYFUNCTION("""COMPUTED_VALUE"""),45986.66666666667)</f>
        <v>45986.66667</v>
      </c>
      <c r="C150" s="190">
        <f>IFERROR(__xludf.DUMMYFUNCTION("""COMPUTED_VALUE"""),17.32)</f>
        <v>17.32</v>
      </c>
      <c r="D150" s="190">
        <f>IFERROR(__xludf.DUMMYFUNCTION("""COMPUTED_VALUE"""),17.39)</f>
        <v>17.39</v>
      </c>
      <c r="E150" s="190">
        <f>IFERROR(__xludf.DUMMYFUNCTION("""COMPUTED_VALUE"""),17.25)</f>
        <v>17.25</v>
      </c>
      <c r="F150" s="190">
        <f>IFERROR(__xludf.DUMMYFUNCTION("""COMPUTED_VALUE"""),17.38)</f>
        <v>17.38</v>
      </c>
      <c r="G150" s="191">
        <f>IFERROR(__xludf.DUMMYFUNCTION("""COMPUTED_VALUE"""),9176226.0)</f>
        <v>9176226</v>
      </c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ht="17.25" customHeight="1">
      <c r="A151" s="112"/>
      <c r="B151" s="189">
        <f>IFERROR(__xludf.DUMMYFUNCTION("""COMPUTED_VALUE"""),45987.66666666667)</f>
        <v>45987.66667</v>
      </c>
      <c r="C151" s="190">
        <f>IFERROR(__xludf.DUMMYFUNCTION("""COMPUTED_VALUE"""),17.41)</f>
        <v>17.41</v>
      </c>
      <c r="D151" s="190">
        <f>IFERROR(__xludf.DUMMYFUNCTION("""COMPUTED_VALUE"""),17.44)</f>
        <v>17.44</v>
      </c>
      <c r="E151" s="190">
        <f>IFERROR(__xludf.DUMMYFUNCTION("""COMPUTED_VALUE"""),17.4)</f>
        <v>17.4</v>
      </c>
      <c r="F151" s="190">
        <f>IFERROR(__xludf.DUMMYFUNCTION("""COMPUTED_VALUE"""),17.42)</f>
        <v>17.42</v>
      </c>
      <c r="G151" s="191">
        <f>IFERROR(__xludf.DUMMYFUNCTION("""COMPUTED_VALUE"""),6902967.0)</f>
        <v>6902967</v>
      </c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ht="17.25" customHeight="1">
      <c r="A152" s="112"/>
      <c r="B152" s="189">
        <f>IFERROR(__xludf.DUMMYFUNCTION("""COMPUTED_VALUE"""),45989.54513888889)</f>
        <v>45989.54514</v>
      </c>
      <c r="C152" s="190">
        <f>IFERROR(__xludf.DUMMYFUNCTION("""COMPUTED_VALUE"""),17.44)</f>
        <v>17.44</v>
      </c>
      <c r="D152" s="190">
        <f>IFERROR(__xludf.DUMMYFUNCTION("""COMPUTED_VALUE"""),17.47)</f>
        <v>17.47</v>
      </c>
      <c r="E152" s="190">
        <f>IFERROR(__xludf.DUMMYFUNCTION("""COMPUTED_VALUE"""),17.43)</f>
        <v>17.43</v>
      </c>
      <c r="F152" s="190">
        <f>IFERROR(__xludf.DUMMYFUNCTION("""COMPUTED_VALUE"""),17.47)</f>
        <v>17.47</v>
      </c>
      <c r="G152" s="191">
        <f>IFERROR(__xludf.DUMMYFUNCTION("""COMPUTED_VALUE"""),3076829.0)</f>
        <v>3076829</v>
      </c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</row>
    <row r="153" ht="17.25" customHeight="1">
      <c r="A153" s="112"/>
      <c r="B153" s="189">
        <f>IFERROR(__xludf.DUMMYFUNCTION("""COMPUTED_VALUE"""),45992.66666666667)</f>
        <v>45992.66667</v>
      </c>
      <c r="C153" s="190">
        <f>IFERROR(__xludf.DUMMYFUNCTION("""COMPUTED_VALUE"""),17.44)</f>
        <v>17.44</v>
      </c>
      <c r="D153" s="190">
        <f>IFERROR(__xludf.DUMMYFUNCTION("""COMPUTED_VALUE"""),17.48)</f>
        <v>17.48</v>
      </c>
      <c r="E153" s="190">
        <f>IFERROR(__xludf.DUMMYFUNCTION("""COMPUTED_VALUE"""),17.43)</f>
        <v>17.43</v>
      </c>
      <c r="F153" s="190">
        <f>IFERROR(__xludf.DUMMYFUNCTION("""COMPUTED_VALUE"""),17.47)</f>
        <v>17.47</v>
      </c>
      <c r="G153" s="191">
        <f>IFERROR(__xludf.DUMMYFUNCTION("""COMPUTED_VALUE"""),3155016.0)</f>
        <v>3155016</v>
      </c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ht="17.25" customHeight="1">
      <c r="A154" s="112"/>
      <c r="B154" s="189">
        <f>IFERROR(__xludf.DUMMYFUNCTION("""COMPUTED_VALUE"""),45993.66666666667)</f>
        <v>45993.66667</v>
      </c>
      <c r="C154" s="190">
        <f>IFERROR(__xludf.DUMMYFUNCTION("""COMPUTED_VALUE"""),17.49)</f>
        <v>17.49</v>
      </c>
      <c r="D154" s="190">
        <f>IFERROR(__xludf.DUMMYFUNCTION("""COMPUTED_VALUE"""),17.5)</f>
        <v>17.5</v>
      </c>
      <c r="E154" s="190">
        <f>IFERROR(__xludf.DUMMYFUNCTION("""COMPUTED_VALUE"""),17.47)</f>
        <v>17.47</v>
      </c>
      <c r="F154" s="190">
        <f>IFERROR(__xludf.DUMMYFUNCTION("""COMPUTED_VALUE"""),17.5)</f>
        <v>17.5</v>
      </c>
      <c r="G154" s="191">
        <f>IFERROR(__xludf.DUMMYFUNCTION("""COMPUTED_VALUE"""),4498452.0)</f>
        <v>4498452</v>
      </c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</row>
    <row r="155" ht="17.25" customHeight="1">
      <c r="A155" s="112"/>
      <c r="B155" s="189">
        <f>IFERROR(__xludf.DUMMYFUNCTION("""COMPUTED_VALUE"""),45994.66666666667)</f>
        <v>45994.66667</v>
      </c>
      <c r="C155" s="190">
        <f>IFERROR(__xludf.DUMMYFUNCTION("""COMPUTED_VALUE"""),17.49)</f>
        <v>17.49</v>
      </c>
      <c r="D155" s="190">
        <f>IFERROR(__xludf.DUMMYFUNCTION("""COMPUTED_VALUE"""),17.51)</f>
        <v>17.51</v>
      </c>
      <c r="E155" s="190">
        <f>IFERROR(__xludf.DUMMYFUNCTION("""COMPUTED_VALUE"""),17.48)</f>
        <v>17.48</v>
      </c>
      <c r="F155" s="190">
        <f>IFERROR(__xludf.DUMMYFUNCTION("""COMPUTED_VALUE"""),17.51)</f>
        <v>17.51</v>
      </c>
      <c r="G155" s="191">
        <f>IFERROR(__xludf.DUMMYFUNCTION("""COMPUTED_VALUE"""),3885297.0)</f>
        <v>3885297</v>
      </c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ht="17.25" customHeight="1">
      <c r="A156" s="112"/>
      <c r="B156" s="189">
        <f>IFERROR(__xludf.DUMMYFUNCTION("""COMPUTED_VALUE"""),45995.66666666667)</f>
        <v>45995.66667</v>
      </c>
      <c r="C156" s="190">
        <f>IFERROR(__xludf.DUMMYFUNCTION("""COMPUTED_VALUE"""),17.51)</f>
        <v>17.51</v>
      </c>
      <c r="D156" s="190">
        <f>IFERROR(__xludf.DUMMYFUNCTION("""COMPUTED_VALUE"""),17.52)</f>
        <v>17.52</v>
      </c>
      <c r="E156" s="190">
        <f>IFERROR(__xludf.DUMMYFUNCTION("""COMPUTED_VALUE"""),17.5)</f>
        <v>17.5</v>
      </c>
      <c r="F156" s="190">
        <f>IFERROR(__xludf.DUMMYFUNCTION("""COMPUTED_VALUE"""),17.52)</f>
        <v>17.52</v>
      </c>
      <c r="G156" s="191">
        <f>IFERROR(__xludf.DUMMYFUNCTION("""COMPUTED_VALUE"""),3425688.0)</f>
        <v>3425688</v>
      </c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ht="17.25" customHeight="1">
      <c r="A157" s="112"/>
      <c r="B157" s="189">
        <f>IFERROR(__xludf.DUMMYFUNCTION("""COMPUTED_VALUE"""),45996.66666666667)</f>
        <v>45996.66667</v>
      </c>
      <c r="C157" s="190">
        <f>IFERROR(__xludf.DUMMYFUNCTION("""COMPUTED_VALUE"""),17.52)</f>
        <v>17.52</v>
      </c>
      <c r="D157" s="190">
        <f>IFERROR(__xludf.DUMMYFUNCTION("""COMPUTED_VALUE"""),17.54)</f>
        <v>17.54</v>
      </c>
      <c r="E157" s="190">
        <f>IFERROR(__xludf.DUMMYFUNCTION("""COMPUTED_VALUE"""),17.52)</f>
        <v>17.52</v>
      </c>
      <c r="F157" s="190">
        <f>IFERROR(__xludf.DUMMYFUNCTION("""COMPUTED_VALUE"""),17.54)</f>
        <v>17.54</v>
      </c>
      <c r="G157" s="191">
        <f>IFERROR(__xludf.DUMMYFUNCTION("""COMPUTED_VALUE"""),2462049.0)</f>
        <v>2462049</v>
      </c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ht="17.25" customHeight="1">
      <c r="A158" s="112"/>
      <c r="B158" s="189">
        <f>IFERROR(__xludf.DUMMYFUNCTION("""COMPUTED_VALUE"""),45999.66666666667)</f>
        <v>45999.66667</v>
      </c>
      <c r="C158" s="190">
        <f>IFERROR(__xludf.DUMMYFUNCTION("""COMPUTED_VALUE"""),17.55)</f>
        <v>17.55</v>
      </c>
      <c r="D158" s="190">
        <f>IFERROR(__xludf.DUMMYFUNCTION("""COMPUTED_VALUE"""),17.55)</f>
        <v>17.55</v>
      </c>
      <c r="E158" s="190">
        <f>IFERROR(__xludf.DUMMYFUNCTION("""COMPUTED_VALUE"""),17.53)</f>
        <v>17.53</v>
      </c>
      <c r="F158" s="190">
        <f>IFERROR(__xludf.DUMMYFUNCTION("""COMPUTED_VALUE"""),17.55)</f>
        <v>17.55</v>
      </c>
      <c r="G158" s="191">
        <f>IFERROR(__xludf.DUMMYFUNCTION("""COMPUTED_VALUE"""),2972732.0)</f>
        <v>2972732</v>
      </c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ht="17.25" customHeight="1">
      <c r="A159" s="112"/>
      <c r="B159" s="189">
        <f>IFERROR(__xludf.DUMMYFUNCTION("""COMPUTED_VALUE"""),46000.66666666667)</f>
        <v>46000.66667</v>
      </c>
      <c r="C159" s="190">
        <f>IFERROR(__xludf.DUMMYFUNCTION("""COMPUTED_VALUE"""),17.54)</f>
        <v>17.54</v>
      </c>
      <c r="D159" s="190">
        <f>IFERROR(__xludf.DUMMYFUNCTION("""COMPUTED_VALUE"""),17.55)</f>
        <v>17.55</v>
      </c>
      <c r="E159" s="190">
        <f>IFERROR(__xludf.DUMMYFUNCTION("""COMPUTED_VALUE"""),17.53)</f>
        <v>17.53</v>
      </c>
      <c r="F159" s="190">
        <f>IFERROR(__xludf.DUMMYFUNCTION("""COMPUTED_VALUE"""),17.54)</f>
        <v>17.54</v>
      </c>
      <c r="G159" s="191">
        <f>IFERROR(__xludf.DUMMYFUNCTION("""COMPUTED_VALUE"""),2175972.0)</f>
        <v>2175972</v>
      </c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ht="17.25" customHeight="1">
      <c r="A160" s="112"/>
      <c r="B160" s="189">
        <f>IFERROR(__xludf.DUMMYFUNCTION("""COMPUTED_VALUE"""),46001.66666666667)</f>
        <v>46001.66667</v>
      </c>
      <c r="C160" s="190">
        <f>IFERROR(__xludf.DUMMYFUNCTION("""COMPUTED_VALUE"""),17.54)</f>
        <v>17.54</v>
      </c>
      <c r="D160" s="190">
        <f>IFERROR(__xludf.DUMMYFUNCTION("""COMPUTED_VALUE"""),17.56)</f>
        <v>17.56</v>
      </c>
      <c r="E160" s="190">
        <f>IFERROR(__xludf.DUMMYFUNCTION("""COMPUTED_VALUE"""),17.54)</f>
        <v>17.54</v>
      </c>
      <c r="F160" s="190">
        <f>IFERROR(__xludf.DUMMYFUNCTION("""COMPUTED_VALUE"""),17.55)</f>
        <v>17.55</v>
      </c>
      <c r="G160" s="191">
        <f>IFERROR(__xludf.DUMMYFUNCTION("""COMPUTED_VALUE"""),3911142.0)</f>
        <v>3911142</v>
      </c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ht="17.25" customHeight="1">
      <c r="A161" s="112"/>
      <c r="B161" s="189">
        <f>IFERROR(__xludf.DUMMYFUNCTION("""COMPUTED_VALUE"""),46002.66666666667)</f>
        <v>46002.66667</v>
      </c>
      <c r="C161" s="190">
        <f>IFERROR(__xludf.DUMMYFUNCTION("""COMPUTED_VALUE"""),17.56)</f>
        <v>17.56</v>
      </c>
      <c r="D161" s="190">
        <f>IFERROR(__xludf.DUMMYFUNCTION("""COMPUTED_VALUE"""),17.57)</f>
        <v>17.57</v>
      </c>
      <c r="E161" s="190">
        <f>IFERROR(__xludf.DUMMYFUNCTION("""COMPUTED_VALUE"""),17.55)</f>
        <v>17.55</v>
      </c>
      <c r="F161" s="190">
        <f>IFERROR(__xludf.DUMMYFUNCTION("""COMPUTED_VALUE"""),17.57)</f>
        <v>17.57</v>
      </c>
      <c r="G161" s="191">
        <f>IFERROR(__xludf.DUMMYFUNCTION("""COMPUTED_VALUE"""),3843927.0)</f>
        <v>3843927</v>
      </c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ht="17.25" customHeight="1">
      <c r="A162" s="112"/>
      <c r="B162" s="189">
        <f>IFERROR(__xludf.DUMMYFUNCTION("""COMPUTED_VALUE"""),46003.66666666667)</f>
        <v>46003.66667</v>
      </c>
      <c r="C162" s="190">
        <f>IFERROR(__xludf.DUMMYFUNCTION("""COMPUTED_VALUE"""),17.57)</f>
        <v>17.57</v>
      </c>
      <c r="D162" s="190">
        <f>IFERROR(__xludf.DUMMYFUNCTION("""COMPUTED_VALUE"""),17.58)</f>
        <v>17.58</v>
      </c>
      <c r="E162" s="190">
        <f>IFERROR(__xludf.DUMMYFUNCTION("""COMPUTED_VALUE"""),17.54)</f>
        <v>17.54</v>
      </c>
      <c r="F162" s="190">
        <f>IFERROR(__xludf.DUMMYFUNCTION("""COMPUTED_VALUE"""),17.56)</f>
        <v>17.56</v>
      </c>
      <c r="G162" s="191">
        <f>IFERROR(__xludf.DUMMYFUNCTION("""COMPUTED_VALUE"""),4040654.0)</f>
        <v>4040654</v>
      </c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ht="17.25" customHeight="1">
      <c r="A163" s="112"/>
      <c r="B163" s="189">
        <f>IFERROR(__xludf.DUMMYFUNCTION("""COMPUTED_VALUE"""),46006.66666666667)</f>
        <v>46006.66667</v>
      </c>
      <c r="C163" s="190">
        <f>IFERROR(__xludf.DUMMYFUNCTION("""COMPUTED_VALUE"""),17.56)</f>
        <v>17.56</v>
      </c>
      <c r="D163" s="190">
        <f>IFERROR(__xludf.DUMMYFUNCTION("""COMPUTED_VALUE"""),17.57)</f>
        <v>17.57</v>
      </c>
      <c r="E163" s="190">
        <f>IFERROR(__xludf.DUMMYFUNCTION("""COMPUTED_VALUE"""),17.56)</f>
        <v>17.56</v>
      </c>
      <c r="F163" s="190">
        <f>IFERROR(__xludf.DUMMYFUNCTION("""COMPUTED_VALUE"""),17.56)</f>
        <v>17.56</v>
      </c>
      <c r="G163" s="191">
        <f>IFERROR(__xludf.DUMMYFUNCTION("""COMPUTED_VALUE"""),3492623.0)</f>
        <v>3492623</v>
      </c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</row>
    <row r="164" ht="17.25" customHeight="1">
      <c r="A164" s="112"/>
      <c r="B164" s="189">
        <f>IFERROR(__xludf.DUMMYFUNCTION("""COMPUTED_VALUE"""),46007.66666666667)</f>
        <v>46007.66667</v>
      </c>
      <c r="C164" s="190">
        <f>IFERROR(__xludf.DUMMYFUNCTION("""COMPUTED_VALUE"""),17.56)</f>
        <v>17.56</v>
      </c>
      <c r="D164" s="190">
        <f>IFERROR(__xludf.DUMMYFUNCTION("""COMPUTED_VALUE"""),17.58)</f>
        <v>17.58</v>
      </c>
      <c r="E164" s="190">
        <f>IFERROR(__xludf.DUMMYFUNCTION("""COMPUTED_VALUE"""),17.56)</f>
        <v>17.56</v>
      </c>
      <c r="F164" s="190">
        <f>IFERROR(__xludf.DUMMYFUNCTION("""COMPUTED_VALUE"""),17.57)</f>
        <v>17.57</v>
      </c>
      <c r="G164" s="191">
        <f>IFERROR(__xludf.DUMMYFUNCTION("""COMPUTED_VALUE"""),3211793.0)</f>
        <v>3211793</v>
      </c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ht="17.25" customHeight="1">
      <c r="A165" s="112"/>
      <c r="B165" s="189">
        <f>IFERROR(__xludf.DUMMYFUNCTION("""COMPUTED_VALUE"""),46008.66666666667)</f>
        <v>46008.66667</v>
      </c>
      <c r="C165" s="190">
        <f>IFERROR(__xludf.DUMMYFUNCTION("""COMPUTED_VALUE"""),17.57)</f>
        <v>17.57</v>
      </c>
      <c r="D165" s="190">
        <f>IFERROR(__xludf.DUMMYFUNCTION("""COMPUTED_VALUE"""),17.58)</f>
        <v>17.58</v>
      </c>
      <c r="E165" s="190">
        <f>IFERROR(__xludf.DUMMYFUNCTION("""COMPUTED_VALUE"""),17.56)</f>
        <v>17.56</v>
      </c>
      <c r="F165" s="190">
        <f>IFERROR(__xludf.DUMMYFUNCTION("""COMPUTED_VALUE"""),17.57)</f>
        <v>17.57</v>
      </c>
      <c r="G165" s="191">
        <f>IFERROR(__xludf.DUMMYFUNCTION("""COMPUTED_VALUE"""),3888566.0)</f>
        <v>3888566</v>
      </c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ht="17.25" customHeight="1">
      <c r="A166" s="112"/>
      <c r="B166" s="189">
        <f>IFERROR(__xludf.DUMMYFUNCTION("""COMPUTED_VALUE"""),46009.66666666667)</f>
        <v>46009.66667</v>
      </c>
      <c r="C166" s="190">
        <f>IFERROR(__xludf.DUMMYFUNCTION("""COMPUTED_VALUE"""),17.59)</f>
        <v>17.59</v>
      </c>
      <c r="D166" s="190">
        <f>IFERROR(__xludf.DUMMYFUNCTION("""COMPUTED_VALUE"""),17.62)</f>
        <v>17.62</v>
      </c>
      <c r="E166" s="190">
        <f>IFERROR(__xludf.DUMMYFUNCTION("""COMPUTED_VALUE"""),17.56)</f>
        <v>17.56</v>
      </c>
      <c r="F166" s="190">
        <f>IFERROR(__xludf.DUMMYFUNCTION("""COMPUTED_VALUE"""),17.58)</f>
        <v>17.58</v>
      </c>
      <c r="G166" s="191">
        <f>IFERROR(__xludf.DUMMYFUNCTION("""COMPUTED_VALUE"""),4286043.0)</f>
        <v>4286043</v>
      </c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ht="17.25" customHeight="1">
      <c r="A167" s="112"/>
      <c r="B167" s="189">
        <f>IFERROR(__xludf.DUMMYFUNCTION("""COMPUTED_VALUE"""),46010.66666666667)</f>
        <v>46010.66667</v>
      </c>
      <c r="C167" s="190">
        <f>IFERROR(__xludf.DUMMYFUNCTION("""COMPUTED_VALUE"""),17.63)</f>
        <v>17.63</v>
      </c>
      <c r="D167" s="190">
        <f>IFERROR(__xludf.DUMMYFUNCTION("""COMPUTED_VALUE"""),17.8)</f>
        <v>17.8</v>
      </c>
      <c r="E167" s="190">
        <f>IFERROR(__xludf.DUMMYFUNCTION("""COMPUTED_VALUE"""),17.63)</f>
        <v>17.63</v>
      </c>
      <c r="F167" s="190">
        <f>IFERROR(__xludf.DUMMYFUNCTION("""COMPUTED_VALUE"""),17.76)</f>
        <v>17.76</v>
      </c>
      <c r="G167" s="191">
        <f>IFERROR(__xludf.DUMMYFUNCTION("""COMPUTED_VALUE"""),9385722.0)</f>
        <v>9385722</v>
      </c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</row>
    <row r="168" ht="17.25" customHeight="1">
      <c r="A168" s="112"/>
      <c r="B168" s="189">
        <f>IFERROR(__xludf.DUMMYFUNCTION("""COMPUTED_VALUE"""),46013.66666666667)</f>
        <v>46013.66667</v>
      </c>
      <c r="C168" s="190">
        <f>IFERROR(__xludf.DUMMYFUNCTION("""COMPUTED_VALUE"""),17.67)</f>
        <v>17.67</v>
      </c>
      <c r="D168" s="190">
        <f>IFERROR(__xludf.DUMMYFUNCTION("""COMPUTED_VALUE"""),17.69)</f>
        <v>17.69</v>
      </c>
      <c r="E168" s="190">
        <f>IFERROR(__xludf.DUMMYFUNCTION("""COMPUTED_VALUE"""),17.66)</f>
        <v>17.66</v>
      </c>
      <c r="F168" s="190">
        <f>IFERROR(__xludf.DUMMYFUNCTION("""COMPUTED_VALUE"""),17.66)</f>
        <v>17.66</v>
      </c>
      <c r="G168" s="191">
        <f>IFERROR(__xludf.DUMMYFUNCTION("""COMPUTED_VALUE"""),4614644.0)</f>
        <v>4614644</v>
      </c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ht="17.25" customHeight="1">
      <c r="A169" s="112"/>
      <c r="B169" s="189">
        <f>IFERROR(__xludf.DUMMYFUNCTION("""COMPUTED_VALUE"""),46014.66666666667)</f>
        <v>46014.66667</v>
      </c>
      <c r="C169" s="190">
        <f>IFERROR(__xludf.DUMMYFUNCTION("""COMPUTED_VALUE"""),17.66)</f>
        <v>17.66</v>
      </c>
      <c r="D169" s="190">
        <f>IFERROR(__xludf.DUMMYFUNCTION("""COMPUTED_VALUE"""),17.72)</f>
        <v>17.72</v>
      </c>
      <c r="E169" s="190">
        <f>IFERROR(__xludf.DUMMYFUNCTION("""COMPUTED_VALUE"""),17.66)</f>
        <v>17.66</v>
      </c>
      <c r="F169" s="190">
        <f>IFERROR(__xludf.DUMMYFUNCTION("""COMPUTED_VALUE"""),17.72)</f>
        <v>17.72</v>
      </c>
      <c r="G169" s="191">
        <f>IFERROR(__xludf.DUMMYFUNCTION("""COMPUTED_VALUE"""),4801733.0)</f>
        <v>4801733</v>
      </c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ht="17.25" customHeight="1">
      <c r="A170" s="112"/>
      <c r="B170" s="189">
        <f>IFERROR(__xludf.DUMMYFUNCTION("""COMPUTED_VALUE"""),46015.54513888889)</f>
        <v>46015.54514</v>
      </c>
      <c r="C170" s="190">
        <f>IFERROR(__xludf.DUMMYFUNCTION("""COMPUTED_VALUE"""),17.7)</f>
        <v>17.7</v>
      </c>
      <c r="D170" s="190">
        <f>IFERROR(__xludf.DUMMYFUNCTION("""COMPUTED_VALUE"""),17.74)</f>
        <v>17.74</v>
      </c>
      <c r="E170" s="190">
        <f>IFERROR(__xludf.DUMMYFUNCTION("""COMPUTED_VALUE"""),17.7)</f>
        <v>17.7</v>
      </c>
      <c r="F170" s="190">
        <f>IFERROR(__xludf.DUMMYFUNCTION("""COMPUTED_VALUE"""),17.73)</f>
        <v>17.73</v>
      </c>
      <c r="G170" s="191">
        <f>IFERROR(__xludf.DUMMYFUNCTION("""COMPUTED_VALUE"""),2527457.0)</f>
        <v>2527457</v>
      </c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</row>
    <row r="171" ht="17.25" customHeight="1">
      <c r="A171" s="112"/>
      <c r="B171" s="189">
        <f>IFERROR(__xludf.DUMMYFUNCTION("""COMPUTED_VALUE"""),46017.66666666667)</f>
        <v>46017.66667</v>
      </c>
      <c r="C171" s="190">
        <f>IFERROR(__xludf.DUMMYFUNCTION("""COMPUTED_VALUE"""),17.74)</f>
        <v>17.74</v>
      </c>
      <c r="D171" s="190">
        <f>IFERROR(__xludf.DUMMYFUNCTION("""COMPUTED_VALUE"""),17.76)</f>
        <v>17.76</v>
      </c>
      <c r="E171" s="190">
        <f>IFERROR(__xludf.DUMMYFUNCTION("""COMPUTED_VALUE"""),17.73)</f>
        <v>17.73</v>
      </c>
      <c r="F171" s="190">
        <f>IFERROR(__xludf.DUMMYFUNCTION("""COMPUTED_VALUE"""),17.75)</f>
        <v>17.75</v>
      </c>
      <c r="G171" s="191">
        <f>IFERROR(__xludf.DUMMYFUNCTION("""COMPUTED_VALUE"""),3004388.0)</f>
        <v>3004388</v>
      </c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</row>
    <row r="172" ht="17.25" customHeight="1">
      <c r="A172" s="112"/>
      <c r="B172" s="189">
        <f>IFERROR(__xludf.DUMMYFUNCTION("""COMPUTED_VALUE"""),46020.66666666667)</f>
        <v>46020.66667</v>
      </c>
      <c r="C172" s="190">
        <f>IFERROR(__xludf.DUMMYFUNCTION("""COMPUTED_VALUE"""),17.72)</f>
        <v>17.72</v>
      </c>
      <c r="D172" s="190">
        <f>IFERROR(__xludf.DUMMYFUNCTION("""COMPUTED_VALUE"""),17.75)</f>
        <v>17.75</v>
      </c>
      <c r="E172" s="190">
        <f>IFERROR(__xludf.DUMMYFUNCTION("""COMPUTED_VALUE"""),17.71)</f>
        <v>17.71</v>
      </c>
      <c r="F172" s="190">
        <f>IFERROR(__xludf.DUMMYFUNCTION("""COMPUTED_VALUE"""),17.74)</f>
        <v>17.74</v>
      </c>
      <c r="G172" s="191">
        <f>IFERROR(__xludf.DUMMYFUNCTION("""COMPUTED_VALUE"""),4555176.0)</f>
        <v>4555176</v>
      </c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ht="17.25" customHeight="1">
      <c r="A173" s="112"/>
      <c r="B173" s="189">
        <f>IFERROR(__xludf.DUMMYFUNCTION("""COMPUTED_VALUE"""),46021.66666666667)</f>
        <v>46021.66667</v>
      </c>
      <c r="C173" s="190">
        <f>IFERROR(__xludf.DUMMYFUNCTION("""COMPUTED_VALUE"""),17.73)</f>
        <v>17.73</v>
      </c>
      <c r="D173" s="190">
        <f>IFERROR(__xludf.DUMMYFUNCTION("""COMPUTED_VALUE"""),17.76)</f>
        <v>17.76</v>
      </c>
      <c r="E173" s="190">
        <f>IFERROR(__xludf.DUMMYFUNCTION("""COMPUTED_VALUE"""),17.73)</f>
        <v>17.73</v>
      </c>
      <c r="F173" s="190">
        <f>IFERROR(__xludf.DUMMYFUNCTION("""COMPUTED_VALUE"""),17.73)</f>
        <v>17.73</v>
      </c>
      <c r="G173" s="191">
        <f>IFERROR(__xludf.DUMMYFUNCTION("""COMPUTED_VALUE"""),4812699.0)</f>
        <v>4812699</v>
      </c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</row>
    <row r="174" ht="17.25" customHeight="1">
      <c r="A174" s="112"/>
      <c r="B174" s="189">
        <f>IFERROR(__xludf.DUMMYFUNCTION("""COMPUTED_VALUE"""),46022.66666666667)</f>
        <v>46022.66667</v>
      </c>
      <c r="C174" s="190">
        <f>IFERROR(__xludf.DUMMYFUNCTION("""COMPUTED_VALUE"""),17.73)</f>
        <v>17.73</v>
      </c>
      <c r="D174" s="190">
        <f>IFERROR(__xludf.DUMMYFUNCTION("""COMPUTED_VALUE"""),17.74)</f>
        <v>17.74</v>
      </c>
      <c r="E174" s="190">
        <f>IFERROR(__xludf.DUMMYFUNCTION("""COMPUTED_VALUE"""),17.67)</f>
        <v>17.67</v>
      </c>
      <c r="F174" s="190">
        <f>IFERROR(__xludf.DUMMYFUNCTION("""COMPUTED_VALUE"""),17.67)</f>
        <v>17.67</v>
      </c>
      <c r="G174" s="191">
        <f>IFERROR(__xludf.DUMMYFUNCTION("""COMPUTED_VALUE"""),4961318.0)</f>
        <v>4961318</v>
      </c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</row>
    <row r="175" ht="17.25" customHeight="1">
      <c r="A175" s="112"/>
      <c r="B175" s="189">
        <f>IFERROR(__xludf.DUMMYFUNCTION("""COMPUTED_VALUE"""),46024.66666666667)</f>
        <v>46024.66667</v>
      </c>
      <c r="C175" s="190">
        <f>IFERROR(__xludf.DUMMYFUNCTION("""COMPUTED_VALUE"""),17.75)</f>
        <v>17.75</v>
      </c>
      <c r="D175" s="190">
        <f>IFERROR(__xludf.DUMMYFUNCTION("""COMPUTED_VALUE"""),17.78)</f>
        <v>17.78</v>
      </c>
      <c r="E175" s="190">
        <f>IFERROR(__xludf.DUMMYFUNCTION("""COMPUTED_VALUE"""),17.62)</f>
        <v>17.62</v>
      </c>
      <c r="F175" s="190">
        <f>IFERROR(__xludf.DUMMYFUNCTION("""COMPUTED_VALUE"""),17.68)</f>
        <v>17.68</v>
      </c>
      <c r="G175" s="191">
        <f>IFERROR(__xludf.DUMMYFUNCTION("""COMPUTED_VALUE"""),1.0828498E7)</f>
        <v>10828498</v>
      </c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</row>
    <row r="176" ht="17.25" customHeight="1">
      <c r="A176" s="112"/>
      <c r="B176" s="189">
        <f>IFERROR(__xludf.DUMMYFUNCTION("""COMPUTED_VALUE"""),46027.66666666667)</f>
        <v>46027.66667</v>
      </c>
      <c r="C176" s="190">
        <f>IFERROR(__xludf.DUMMYFUNCTION("""COMPUTED_VALUE"""),17.73)</f>
        <v>17.73</v>
      </c>
      <c r="D176" s="190">
        <f>IFERROR(__xludf.DUMMYFUNCTION("""COMPUTED_VALUE"""),17.79)</f>
        <v>17.79</v>
      </c>
      <c r="E176" s="190">
        <f>IFERROR(__xludf.DUMMYFUNCTION("""COMPUTED_VALUE"""),17.72)</f>
        <v>17.72</v>
      </c>
      <c r="F176" s="190">
        <f>IFERROR(__xludf.DUMMYFUNCTION("""COMPUTED_VALUE"""),17.76)</f>
        <v>17.76</v>
      </c>
      <c r="G176" s="191">
        <f>IFERROR(__xludf.DUMMYFUNCTION("""COMPUTED_VALUE"""),5838315.0)</f>
        <v>5838315</v>
      </c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</row>
    <row r="177" ht="17.25" customHeight="1">
      <c r="A177" s="112"/>
      <c r="B177" s="189">
        <f>IFERROR(__xludf.DUMMYFUNCTION("""COMPUTED_VALUE"""),46028.66666666667)</f>
        <v>46028.66667</v>
      </c>
      <c r="C177" s="190">
        <f>IFERROR(__xludf.DUMMYFUNCTION("""COMPUTED_VALUE"""),17.77)</f>
        <v>17.77</v>
      </c>
      <c r="D177" s="190">
        <f>IFERROR(__xludf.DUMMYFUNCTION("""COMPUTED_VALUE"""),17.83)</f>
        <v>17.83</v>
      </c>
      <c r="E177" s="190">
        <f>IFERROR(__xludf.DUMMYFUNCTION("""COMPUTED_VALUE"""),17.77)</f>
        <v>17.77</v>
      </c>
      <c r="F177" s="190">
        <f>IFERROR(__xludf.DUMMYFUNCTION("""COMPUTED_VALUE"""),17.83)</f>
        <v>17.83</v>
      </c>
      <c r="G177" s="191">
        <f>IFERROR(__xludf.DUMMYFUNCTION("""COMPUTED_VALUE"""),6603746.0)</f>
        <v>6603746</v>
      </c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</row>
    <row r="178" ht="17.25" customHeight="1">
      <c r="A178" s="112"/>
      <c r="B178" s="189">
        <f>IFERROR(__xludf.DUMMYFUNCTION("""COMPUTED_VALUE"""),46029.66666666667)</f>
        <v>46029.66667</v>
      </c>
      <c r="C178" s="190">
        <f>IFERROR(__xludf.DUMMYFUNCTION("""COMPUTED_VALUE"""),17.83)</f>
        <v>17.83</v>
      </c>
      <c r="D178" s="190">
        <f>IFERROR(__xludf.DUMMYFUNCTION("""COMPUTED_VALUE"""),17.86)</f>
        <v>17.86</v>
      </c>
      <c r="E178" s="190">
        <f>IFERROR(__xludf.DUMMYFUNCTION("""COMPUTED_VALUE"""),17.82)</f>
        <v>17.82</v>
      </c>
      <c r="F178" s="190">
        <f>IFERROR(__xludf.DUMMYFUNCTION("""COMPUTED_VALUE"""),17.83)</f>
        <v>17.83</v>
      </c>
      <c r="G178" s="191">
        <f>IFERROR(__xludf.DUMMYFUNCTION("""COMPUTED_VALUE"""),6273228.0)</f>
        <v>6273228</v>
      </c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</row>
    <row r="179" ht="17.25" customHeight="1">
      <c r="A179" s="112"/>
      <c r="B179" s="189">
        <f>IFERROR(__xludf.DUMMYFUNCTION("""COMPUTED_VALUE"""),46030.66666666667)</f>
        <v>46030.66667</v>
      </c>
      <c r="C179" s="190">
        <f>IFERROR(__xludf.DUMMYFUNCTION("""COMPUTED_VALUE"""),17.83)</f>
        <v>17.83</v>
      </c>
      <c r="D179" s="190">
        <f>IFERROR(__xludf.DUMMYFUNCTION("""COMPUTED_VALUE"""),17.83)</f>
        <v>17.83</v>
      </c>
      <c r="E179" s="190">
        <f>IFERROR(__xludf.DUMMYFUNCTION("""COMPUTED_VALUE"""),17.78)</f>
        <v>17.78</v>
      </c>
      <c r="F179" s="190">
        <f>IFERROR(__xludf.DUMMYFUNCTION("""COMPUTED_VALUE"""),17.8)</f>
        <v>17.8</v>
      </c>
      <c r="G179" s="191">
        <f>IFERROR(__xludf.DUMMYFUNCTION("""COMPUTED_VALUE"""),7861119.0)</f>
        <v>7861119</v>
      </c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</row>
    <row r="180" ht="17.25" customHeight="1">
      <c r="A180" s="112"/>
      <c r="B180" s="189">
        <f>IFERROR(__xludf.DUMMYFUNCTION("""COMPUTED_VALUE"""),46031.66666666667)</f>
        <v>46031.66667</v>
      </c>
      <c r="C180" s="190">
        <f>IFERROR(__xludf.DUMMYFUNCTION("""COMPUTED_VALUE"""),17.83)</f>
        <v>17.83</v>
      </c>
      <c r="D180" s="190">
        <f>IFERROR(__xludf.DUMMYFUNCTION("""COMPUTED_VALUE"""),17.89)</f>
        <v>17.89</v>
      </c>
      <c r="E180" s="190">
        <f>IFERROR(__xludf.DUMMYFUNCTION("""COMPUTED_VALUE"""),17.81)</f>
        <v>17.81</v>
      </c>
      <c r="F180" s="190">
        <f>IFERROR(__xludf.DUMMYFUNCTION("""COMPUTED_VALUE"""),17.89)</f>
        <v>17.89</v>
      </c>
      <c r="G180" s="191">
        <f>IFERROR(__xludf.DUMMYFUNCTION("""COMPUTED_VALUE"""),4719884.0)</f>
        <v>4719884</v>
      </c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</row>
    <row r="181" ht="17.25" customHeight="1">
      <c r="A181" s="112"/>
      <c r="B181" s="189">
        <f>IFERROR(__xludf.DUMMYFUNCTION("""COMPUTED_VALUE"""),46034.66666666667)</f>
        <v>46034.66667</v>
      </c>
      <c r="C181" s="190">
        <f>IFERROR(__xludf.DUMMYFUNCTION("""COMPUTED_VALUE"""),17.86)</f>
        <v>17.86</v>
      </c>
      <c r="D181" s="190">
        <f>IFERROR(__xludf.DUMMYFUNCTION("""COMPUTED_VALUE"""),17.9)</f>
        <v>17.9</v>
      </c>
      <c r="E181" s="190">
        <f>IFERROR(__xludf.DUMMYFUNCTION("""COMPUTED_VALUE"""),17.85)</f>
        <v>17.85</v>
      </c>
      <c r="F181" s="190">
        <f>IFERROR(__xludf.DUMMYFUNCTION("""COMPUTED_VALUE"""),17.9)</f>
        <v>17.9</v>
      </c>
      <c r="G181" s="191">
        <f>IFERROR(__xludf.DUMMYFUNCTION("""COMPUTED_VALUE"""),4058803.0)</f>
        <v>4058803</v>
      </c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</row>
    <row r="182" ht="17.25" customHeight="1">
      <c r="A182" s="112"/>
      <c r="B182" s="189">
        <f>IFERROR(__xludf.DUMMYFUNCTION("""COMPUTED_VALUE"""),46035.66666666667)</f>
        <v>46035.66667</v>
      </c>
      <c r="C182" s="190">
        <f>IFERROR(__xludf.DUMMYFUNCTION("""COMPUTED_VALUE"""),17.89)</f>
        <v>17.89</v>
      </c>
      <c r="D182" s="190">
        <f>IFERROR(__xludf.DUMMYFUNCTION("""COMPUTED_VALUE"""),17.91)</f>
        <v>17.91</v>
      </c>
      <c r="E182" s="190">
        <f>IFERROR(__xludf.DUMMYFUNCTION("""COMPUTED_VALUE"""),17.88)</f>
        <v>17.88</v>
      </c>
      <c r="F182" s="190">
        <f>IFERROR(__xludf.DUMMYFUNCTION("""COMPUTED_VALUE"""),17.89)</f>
        <v>17.89</v>
      </c>
      <c r="G182" s="191">
        <f>IFERROR(__xludf.DUMMYFUNCTION("""COMPUTED_VALUE"""),4897386.0)</f>
        <v>4897386</v>
      </c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</row>
    <row r="183" ht="17.25" customHeight="1">
      <c r="A183" s="112"/>
      <c r="B183" s="189">
        <f>IFERROR(__xludf.DUMMYFUNCTION("""COMPUTED_VALUE"""),46036.66666666667)</f>
        <v>46036.66667</v>
      </c>
      <c r="C183" s="190">
        <f>IFERROR(__xludf.DUMMYFUNCTION("""COMPUTED_VALUE"""),17.88)</f>
        <v>17.88</v>
      </c>
      <c r="D183" s="190">
        <f>IFERROR(__xludf.DUMMYFUNCTION("""COMPUTED_VALUE"""),17.89)</f>
        <v>17.89</v>
      </c>
      <c r="E183" s="190">
        <f>IFERROR(__xludf.DUMMYFUNCTION("""COMPUTED_VALUE"""),17.82)</f>
        <v>17.82</v>
      </c>
      <c r="F183" s="190">
        <f>IFERROR(__xludf.DUMMYFUNCTION("""COMPUTED_VALUE"""),17.89)</f>
        <v>17.89</v>
      </c>
      <c r="G183" s="191">
        <f>IFERROR(__xludf.DUMMYFUNCTION("""COMPUTED_VALUE"""),6917639.0)</f>
        <v>6917639</v>
      </c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</row>
    <row r="184" ht="17.25" customHeight="1">
      <c r="A184" s="112"/>
      <c r="B184" s="189">
        <f>IFERROR(__xludf.DUMMYFUNCTION("""COMPUTED_VALUE"""),46037.66666666667)</f>
        <v>46037.66667</v>
      </c>
      <c r="C184" s="190">
        <f>IFERROR(__xludf.DUMMYFUNCTION("""COMPUTED_VALUE"""),17.92)</f>
        <v>17.92</v>
      </c>
      <c r="D184" s="190">
        <f>IFERROR(__xludf.DUMMYFUNCTION("""COMPUTED_VALUE"""),17.93)</f>
        <v>17.93</v>
      </c>
      <c r="E184" s="190">
        <f>IFERROR(__xludf.DUMMYFUNCTION("""COMPUTED_VALUE"""),17.85)</f>
        <v>17.85</v>
      </c>
      <c r="F184" s="190">
        <f>IFERROR(__xludf.DUMMYFUNCTION("""COMPUTED_VALUE"""),17.89)</f>
        <v>17.89</v>
      </c>
      <c r="G184" s="191">
        <f>IFERROR(__xludf.DUMMYFUNCTION("""COMPUTED_VALUE"""),4217574.0)</f>
        <v>4217574</v>
      </c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</row>
    <row r="185" ht="17.25" customHeight="1">
      <c r="A185" s="112"/>
      <c r="B185" s="189">
        <f>IFERROR(__xludf.DUMMYFUNCTION("""COMPUTED_VALUE"""),46038.66666666667)</f>
        <v>46038.66667</v>
      </c>
      <c r="C185" s="190">
        <f>IFERROR(__xludf.DUMMYFUNCTION("""COMPUTED_VALUE"""),17.97)</f>
        <v>17.97</v>
      </c>
      <c r="D185" s="190">
        <f>IFERROR(__xludf.DUMMYFUNCTION("""COMPUTED_VALUE"""),18.0)</f>
        <v>18</v>
      </c>
      <c r="E185" s="190">
        <f>IFERROR(__xludf.DUMMYFUNCTION("""COMPUTED_VALUE"""),17.8)</f>
        <v>17.8</v>
      </c>
      <c r="F185" s="190">
        <f>IFERROR(__xludf.DUMMYFUNCTION("""COMPUTED_VALUE"""),17.88)</f>
        <v>17.88</v>
      </c>
      <c r="G185" s="191">
        <f>IFERROR(__xludf.DUMMYFUNCTION("""COMPUTED_VALUE"""),7791172.0)</f>
        <v>7791172</v>
      </c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</row>
    <row r="186" ht="17.25" customHeight="1">
      <c r="A186" s="112"/>
      <c r="B186" s="189">
        <f>IFERROR(__xludf.DUMMYFUNCTION("""COMPUTED_VALUE"""),46042.66666666667)</f>
        <v>46042.66667</v>
      </c>
      <c r="C186" s="190">
        <f>IFERROR(__xludf.DUMMYFUNCTION("""COMPUTED_VALUE"""),17.53)</f>
        <v>17.53</v>
      </c>
      <c r="D186" s="190">
        <f>IFERROR(__xludf.DUMMYFUNCTION("""COMPUTED_VALUE"""),17.6)</f>
        <v>17.6</v>
      </c>
      <c r="E186" s="190">
        <f>IFERROR(__xludf.DUMMYFUNCTION("""COMPUTED_VALUE"""),17.45)</f>
        <v>17.45</v>
      </c>
      <c r="F186" s="190">
        <f>IFERROR(__xludf.DUMMYFUNCTION("""COMPUTED_VALUE"""),17.48)</f>
        <v>17.48</v>
      </c>
      <c r="G186" s="191">
        <f>IFERROR(__xludf.DUMMYFUNCTION("""COMPUTED_VALUE"""),1.1131784E7)</f>
        <v>11131784</v>
      </c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</row>
    <row r="187" ht="17.25" customHeight="1">
      <c r="A187" s="112"/>
      <c r="B187" s="189">
        <f>IFERROR(__xludf.DUMMYFUNCTION("""COMPUTED_VALUE"""),46043.66666666667)</f>
        <v>46043.66667</v>
      </c>
      <c r="C187" s="190">
        <f>IFERROR(__xludf.DUMMYFUNCTION("""COMPUTED_VALUE"""),17.51)</f>
        <v>17.51</v>
      </c>
      <c r="D187" s="190">
        <f>IFERROR(__xludf.DUMMYFUNCTION("""COMPUTED_VALUE"""),17.71)</f>
        <v>17.71</v>
      </c>
      <c r="E187" s="190">
        <f>IFERROR(__xludf.DUMMYFUNCTION("""COMPUTED_VALUE"""),17.48)</f>
        <v>17.48</v>
      </c>
      <c r="F187" s="190">
        <f>IFERROR(__xludf.DUMMYFUNCTION("""COMPUTED_VALUE"""),17.65)</f>
        <v>17.65</v>
      </c>
      <c r="G187" s="191">
        <f>IFERROR(__xludf.DUMMYFUNCTION("""COMPUTED_VALUE"""),1.044775E7)</f>
        <v>10447750</v>
      </c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</row>
    <row r="188" ht="17.25" customHeight="1">
      <c r="A188" s="112"/>
      <c r="B188" s="189">
        <f>IFERROR(__xludf.DUMMYFUNCTION("""COMPUTED_VALUE"""),46044.66666666667)</f>
        <v>46044.66667</v>
      </c>
      <c r="C188" s="190">
        <f>IFERROR(__xludf.DUMMYFUNCTION("""COMPUTED_VALUE"""),17.74)</f>
        <v>17.74</v>
      </c>
      <c r="D188" s="190">
        <f>IFERROR(__xludf.DUMMYFUNCTION("""COMPUTED_VALUE"""),17.75)</f>
        <v>17.75</v>
      </c>
      <c r="E188" s="190">
        <f>IFERROR(__xludf.DUMMYFUNCTION("""COMPUTED_VALUE"""),17.67)</f>
        <v>17.67</v>
      </c>
      <c r="F188" s="190">
        <f>IFERROR(__xludf.DUMMYFUNCTION("""COMPUTED_VALUE"""),17.72)</f>
        <v>17.72</v>
      </c>
      <c r="G188" s="191">
        <f>IFERROR(__xludf.DUMMYFUNCTION("""COMPUTED_VALUE"""),7960959.0)</f>
        <v>7960959</v>
      </c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</row>
    <row r="189" ht="17.25" customHeight="1">
      <c r="A189" s="112"/>
      <c r="B189" s="189">
        <f>IFERROR(__xludf.DUMMYFUNCTION("""COMPUTED_VALUE"""),46045.66666666667)</f>
        <v>46045.66667</v>
      </c>
      <c r="C189" s="190">
        <f>IFERROR(__xludf.DUMMYFUNCTION("""COMPUTED_VALUE"""),17.72)</f>
        <v>17.72</v>
      </c>
      <c r="D189" s="190">
        <f>IFERROR(__xludf.DUMMYFUNCTION("""COMPUTED_VALUE"""),17.8)</f>
        <v>17.8</v>
      </c>
      <c r="E189" s="190">
        <f>IFERROR(__xludf.DUMMYFUNCTION("""COMPUTED_VALUE"""),17.7)</f>
        <v>17.7</v>
      </c>
      <c r="F189" s="190">
        <f>IFERROR(__xludf.DUMMYFUNCTION("""COMPUTED_VALUE"""),17.77)</f>
        <v>17.77</v>
      </c>
      <c r="G189" s="191">
        <f>IFERROR(__xludf.DUMMYFUNCTION("""COMPUTED_VALUE"""),6484923.0)</f>
        <v>6484923</v>
      </c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</row>
    <row r="190" ht="17.25" customHeight="1">
      <c r="A190" s="112"/>
      <c r="B190" s="189">
        <f>IFERROR(__xludf.DUMMYFUNCTION("""COMPUTED_VALUE"""),46048.66666666667)</f>
        <v>46048.66667</v>
      </c>
      <c r="C190" s="190">
        <f>IFERROR(__xludf.DUMMYFUNCTION("""COMPUTED_VALUE"""),17.76)</f>
        <v>17.76</v>
      </c>
      <c r="D190" s="190">
        <f>IFERROR(__xludf.DUMMYFUNCTION("""COMPUTED_VALUE"""),17.83)</f>
        <v>17.83</v>
      </c>
      <c r="E190" s="190">
        <f>IFERROR(__xludf.DUMMYFUNCTION("""COMPUTED_VALUE"""),17.76)</f>
        <v>17.76</v>
      </c>
      <c r="F190" s="190">
        <f>IFERROR(__xludf.DUMMYFUNCTION("""COMPUTED_VALUE"""),17.81)</f>
        <v>17.81</v>
      </c>
      <c r="G190" s="191">
        <f>IFERROR(__xludf.DUMMYFUNCTION("""COMPUTED_VALUE"""),8489911.0)</f>
        <v>8489911</v>
      </c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</row>
    <row r="191" ht="17.25" customHeight="1">
      <c r="A191" s="112"/>
      <c r="B191" s="189">
        <f>IFERROR(__xludf.DUMMYFUNCTION("""COMPUTED_VALUE"""),46049.66666666667)</f>
        <v>46049.66667</v>
      </c>
      <c r="C191" s="190">
        <f>IFERROR(__xludf.DUMMYFUNCTION("""COMPUTED_VALUE"""),17.84)</f>
        <v>17.84</v>
      </c>
      <c r="D191" s="190">
        <f>IFERROR(__xludf.DUMMYFUNCTION("""COMPUTED_VALUE"""),17.87)</f>
        <v>17.87</v>
      </c>
      <c r="E191" s="190">
        <f>IFERROR(__xludf.DUMMYFUNCTION("""COMPUTED_VALUE"""),17.83)</f>
        <v>17.83</v>
      </c>
      <c r="F191" s="190">
        <f>IFERROR(__xludf.DUMMYFUNCTION("""COMPUTED_VALUE"""),17.85)</f>
        <v>17.85</v>
      </c>
      <c r="G191" s="191">
        <f>IFERROR(__xludf.DUMMYFUNCTION("""COMPUTED_VALUE"""),4567585.0)</f>
        <v>4567585</v>
      </c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</row>
    <row r="192" ht="17.25" customHeight="1">
      <c r="A192" s="112"/>
      <c r="B192" s="189">
        <f>IFERROR(__xludf.DUMMYFUNCTION("""COMPUTED_VALUE"""),46050.66666666667)</f>
        <v>46050.66667</v>
      </c>
      <c r="C192" s="190">
        <f>IFERROR(__xludf.DUMMYFUNCTION("""COMPUTED_VALUE"""),17.88)</f>
        <v>17.88</v>
      </c>
      <c r="D192" s="190">
        <f>IFERROR(__xludf.DUMMYFUNCTION("""COMPUTED_VALUE"""),17.9)</f>
        <v>17.9</v>
      </c>
      <c r="E192" s="190">
        <f>IFERROR(__xludf.DUMMYFUNCTION("""COMPUTED_VALUE"""),17.85)</f>
        <v>17.85</v>
      </c>
      <c r="F192" s="190">
        <f>IFERROR(__xludf.DUMMYFUNCTION("""COMPUTED_VALUE"""),17.88)</f>
        <v>17.88</v>
      </c>
      <c r="G192" s="191">
        <f>IFERROR(__xludf.DUMMYFUNCTION("""COMPUTED_VALUE"""),5349650.0)</f>
        <v>5349650</v>
      </c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</row>
    <row r="193" ht="17.25" customHeight="1">
      <c r="A193" s="112"/>
      <c r="B193" s="189">
        <f>IFERROR(__xludf.DUMMYFUNCTION("""COMPUTED_VALUE"""),46051.66666666667)</f>
        <v>46051.66667</v>
      </c>
      <c r="C193" s="190">
        <f>IFERROR(__xludf.DUMMYFUNCTION("""COMPUTED_VALUE"""),17.87)</f>
        <v>17.87</v>
      </c>
      <c r="D193" s="190">
        <f>IFERROR(__xludf.DUMMYFUNCTION("""COMPUTED_VALUE"""),17.88)</f>
        <v>17.88</v>
      </c>
      <c r="E193" s="190">
        <f>IFERROR(__xludf.DUMMYFUNCTION("""COMPUTED_VALUE"""),17.68)</f>
        <v>17.68</v>
      </c>
      <c r="F193" s="190">
        <f>IFERROR(__xludf.DUMMYFUNCTION("""COMPUTED_VALUE"""),17.85)</f>
        <v>17.85</v>
      </c>
      <c r="G193" s="191">
        <f>IFERROR(__xludf.DUMMYFUNCTION("""COMPUTED_VALUE"""),8599383.0)</f>
        <v>8599383</v>
      </c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</row>
    <row r="194" ht="17.25" customHeight="1">
      <c r="A194" s="112"/>
      <c r="B194" s="189">
        <f>IFERROR(__xludf.DUMMYFUNCTION("""COMPUTED_VALUE"""),46052.66666666667)</f>
        <v>46052.66667</v>
      </c>
      <c r="C194" s="190">
        <f>IFERROR(__xludf.DUMMYFUNCTION("""COMPUTED_VALUE"""),17.8)</f>
        <v>17.8</v>
      </c>
      <c r="D194" s="190">
        <f>IFERROR(__xludf.DUMMYFUNCTION("""COMPUTED_VALUE"""),17.86)</f>
        <v>17.86</v>
      </c>
      <c r="E194" s="190">
        <f>IFERROR(__xludf.DUMMYFUNCTION("""COMPUTED_VALUE"""),17.73)</f>
        <v>17.73</v>
      </c>
      <c r="F194" s="190">
        <f>IFERROR(__xludf.DUMMYFUNCTION("""COMPUTED_VALUE"""),17.79)</f>
        <v>17.79</v>
      </c>
      <c r="G194" s="191">
        <f>IFERROR(__xludf.DUMMYFUNCTION("""COMPUTED_VALUE"""),9738750.0)</f>
        <v>9738750</v>
      </c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</row>
    <row r="195" ht="17.25" customHeight="1">
      <c r="A195" s="112"/>
      <c r="B195" s="189">
        <f>IFERROR(__xludf.DUMMYFUNCTION("""COMPUTED_VALUE"""),46055.66666666667)</f>
        <v>46055.66667</v>
      </c>
      <c r="C195" s="190">
        <f>IFERROR(__xludf.DUMMYFUNCTION("""COMPUTED_VALUE"""),17.74)</f>
        <v>17.74</v>
      </c>
      <c r="D195" s="190">
        <f>IFERROR(__xludf.DUMMYFUNCTION("""COMPUTED_VALUE"""),17.9)</f>
        <v>17.9</v>
      </c>
      <c r="E195" s="190">
        <f>IFERROR(__xludf.DUMMYFUNCTION("""COMPUTED_VALUE"""),17.73)</f>
        <v>17.73</v>
      </c>
      <c r="F195" s="190">
        <f>IFERROR(__xludf.DUMMYFUNCTION("""COMPUTED_VALUE"""),17.88)</f>
        <v>17.88</v>
      </c>
      <c r="G195" s="191">
        <f>IFERROR(__xludf.DUMMYFUNCTION("""COMPUTED_VALUE"""),6994310.0)</f>
        <v>6994310</v>
      </c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</row>
    <row r="196" ht="17.25" customHeight="1">
      <c r="A196" s="112"/>
      <c r="B196" s="189">
        <f>IFERROR(__xludf.DUMMYFUNCTION("""COMPUTED_VALUE"""),46056.66666666667)</f>
        <v>46056.66667</v>
      </c>
      <c r="C196" s="190">
        <f>IFERROR(__xludf.DUMMYFUNCTION("""COMPUTED_VALUE"""),17.89)</f>
        <v>17.89</v>
      </c>
      <c r="D196" s="190">
        <f>IFERROR(__xludf.DUMMYFUNCTION("""COMPUTED_VALUE"""),17.9)</f>
        <v>17.9</v>
      </c>
      <c r="E196" s="190">
        <f>IFERROR(__xludf.DUMMYFUNCTION("""COMPUTED_VALUE"""),17.6)</f>
        <v>17.6</v>
      </c>
      <c r="F196" s="190">
        <f>IFERROR(__xludf.DUMMYFUNCTION("""COMPUTED_VALUE"""),17.72)</f>
        <v>17.72</v>
      </c>
      <c r="G196" s="191">
        <f>IFERROR(__xludf.DUMMYFUNCTION("""COMPUTED_VALUE"""),1.1068135E7)</f>
        <v>11068135</v>
      </c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</row>
    <row r="197" ht="17.25" customHeight="1">
      <c r="A197" s="112"/>
      <c r="B197" s="189">
        <f>IFERROR(__xludf.DUMMYFUNCTION("""COMPUTED_VALUE"""),46057.66666666667)</f>
        <v>46057.66667</v>
      </c>
      <c r="C197" s="190">
        <f>IFERROR(__xludf.DUMMYFUNCTION("""COMPUTED_VALUE"""),17.72)</f>
        <v>17.72</v>
      </c>
      <c r="D197" s="190">
        <f>IFERROR(__xludf.DUMMYFUNCTION("""COMPUTED_VALUE"""),17.72)</f>
        <v>17.72</v>
      </c>
      <c r="E197" s="190">
        <f>IFERROR(__xludf.DUMMYFUNCTION("""COMPUTED_VALUE"""),17.39)</f>
        <v>17.39</v>
      </c>
      <c r="F197" s="190">
        <f>IFERROR(__xludf.DUMMYFUNCTION("""COMPUTED_VALUE"""),17.51)</f>
        <v>17.51</v>
      </c>
      <c r="G197" s="191">
        <f>IFERROR(__xludf.DUMMYFUNCTION("""COMPUTED_VALUE"""),1.4201003E7)</f>
        <v>14201003</v>
      </c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</row>
    <row r="198" ht="17.25" customHeight="1">
      <c r="A198" s="112"/>
      <c r="B198" s="189">
        <f>IFERROR(__xludf.DUMMYFUNCTION("""COMPUTED_VALUE"""),46058.66666666667)</f>
        <v>46058.66667</v>
      </c>
      <c r="C198" s="190">
        <f>IFERROR(__xludf.DUMMYFUNCTION("""COMPUTED_VALUE"""),17.39)</f>
        <v>17.39</v>
      </c>
      <c r="D198" s="190">
        <f>IFERROR(__xludf.DUMMYFUNCTION("""COMPUTED_VALUE"""),17.49)</f>
        <v>17.49</v>
      </c>
      <c r="E198" s="190">
        <f>IFERROR(__xludf.DUMMYFUNCTION("""COMPUTED_VALUE"""),17.26)</f>
        <v>17.26</v>
      </c>
      <c r="F198" s="190">
        <f>IFERROR(__xludf.DUMMYFUNCTION("""COMPUTED_VALUE"""),17.33)</f>
        <v>17.33</v>
      </c>
      <c r="G198" s="191">
        <f>IFERROR(__xludf.DUMMYFUNCTION("""COMPUTED_VALUE"""),1.7542392E7)</f>
        <v>17542392</v>
      </c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</row>
    <row r="199" ht="17.25" customHeight="1">
      <c r="A199" s="112"/>
      <c r="B199" s="189">
        <f>IFERROR(__xludf.DUMMYFUNCTION("""COMPUTED_VALUE"""),46059.66666666667)</f>
        <v>46059.66667</v>
      </c>
      <c r="C199" s="190">
        <f>IFERROR(__xludf.DUMMYFUNCTION("""COMPUTED_VALUE"""),17.4)</f>
        <v>17.4</v>
      </c>
      <c r="D199" s="190">
        <f>IFERROR(__xludf.DUMMYFUNCTION("""COMPUTED_VALUE"""),17.69)</f>
        <v>17.69</v>
      </c>
      <c r="E199" s="190">
        <f>IFERROR(__xludf.DUMMYFUNCTION("""COMPUTED_VALUE"""),17.38)</f>
        <v>17.38</v>
      </c>
      <c r="F199" s="190">
        <f>IFERROR(__xludf.DUMMYFUNCTION("""COMPUTED_VALUE"""),17.67)</f>
        <v>17.67</v>
      </c>
      <c r="G199" s="191">
        <f>IFERROR(__xludf.DUMMYFUNCTION("""COMPUTED_VALUE"""),9629652.0)</f>
        <v>9629652</v>
      </c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</row>
    <row r="200" ht="17.25" customHeight="1">
      <c r="A200" s="112"/>
      <c r="B200" s="189">
        <f>IFERROR(__xludf.DUMMYFUNCTION("""COMPUTED_VALUE"""),46062.66666666667)</f>
        <v>46062.66667</v>
      </c>
      <c r="C200" s="190">
        <f>IFERROR(__xludf.DUMMYFUNCTION("""COMPUTED_VALUE"""),17.62)</f>
        <v>17.62</v>
      </c>
      <c r="D200" s="190">
        <f>IFERROR(__xludf.DUMMYFUNCTION("""COMPUTED_VALUE"""),17.82)</f>
        <v>17.82</v>
      </c>
      <c r="E200" s="190">
        <f>IFERROR(__xludf.DUMMYFUNCTION("""COMPUTED_VALUE"""),17.57)</f>
        <v>17.57</v>
      </c>
      <c r="F200" s="190">
        <f>IFERROR(__xludf.DUMMYFUNCTION("""COMPUTED_VALUE"""),17.78)</f>
        <v>17.78</v>
      </c>
      <c r="G200" s="191">
        <f>IFERROR(__xludf.DUMMYFUNCTION("""COMPUTED_VALUE"""),1.0952324E7)</f>
        <v>10952324</v>
      </c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</row>
    <row r="201" ht="17.25" customHeight="1">
      <c r="A201" s="112"/>
      <c r="B201" s="189">
        <f>IFERROR(__xludf.DUMMYFUNCTION("""COMPUTED_VALUE"""),46063.66666666667)</f>
        <v>46063.66667</v>
      </c>
      <c r="C201" s="190">
        <f>IFERROR(__xludf.DUMMYFUNCTION("""COMPUTED_VALUE"""),17.81)</f>
        <v>17.81</v>
      </c>
      <c r="D201" s="190">
        <f>IFERROR(__xludf.DUMMYFUNCTION("""COMPUTED_VALUE"""),17.84)</f>
        <v>17.84</v>
      </c>
      <c r="E201" s="190">
        <f>IFERROR(__xludf.DUMMYFUNCTION("""COMPUTED_VALUE"""),17.73)</f>
        <v>17.73</v>
      </c>
      <c r="F201" s="190">
        <f>IFERROR(__xludf.DUMMYFUNCTION("""COMPUTED_VALUE"""),17.74)</f>
        <v>17.74</v>
      </c>
      <c r="G201" s="191">
        <f>IFERROR(__xludf.DUMMYFUNCTION("""COMPUTED_VALUE"""),7929852.0)</f>
        <v>7929852</v>
      </c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>
        <f>IFERROR(__xludf.DUMMYFUNCTION("""COMPUTED_VALUE"""),46064.66666666667)</f>
        <v>46064.66667</v>
      </c>
      <c r="C202" s="190">
        <f>IFERROR(__xludf.DUMMYFUNCTION("""COMPUTED_VALUE"""),17.84)</f>
        <v>17.84</v>
      </c>
      <c r="D202" s="190">
        <f>IFERROR(__xludf.DUMMYFUNCTION("""COMPUTED_VALUE"""),17.87)</f>
        <v>17.87</v>
      </c>
      <c r="E202" s="190">
        <f>IFERROR(__xludf.DUMMYFUNCTION("""COMPUTED_VALUE"""),17.65)</f>
        <v>17.65</v>
      </c>
      <c r="F202" s="190">
        <f>IFERROR(__xludf.DUMMYFUNCTION("""COMPUTED_VALUE"""),17.81)</f>
        <v>17.81</v>
      </c>
      <c r="G202" s="191">
        <f>IFERROR(__xludf.DUMMYFUNCTION("""COMPUTED_VALUE"""),9908554.0)</f>
        <v>9908554</v>
      </c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>
        <f>IFERROR(__xludf.DUMMYFUNCTION("""COMPUTED_VALUE"""),46065.66666666667)</f>
        <v>46065.66667</v>
      </c>
      <c r="C203" s="190">
        <f>IFERROR(__xludf.DUMMYFUNCTION("""COMPUTED_VALUE"""),17.81)</f>
        <v>17.81</v>
      </c>
      <c r="D203" s="190">
        <f>IFERROR(__xludf.DUMMYFUNCTION("""COMPUTED_VALUE"""),17.85)</f>
        <v>17.85</v>
      </c>
      <c r="E203" s="190">
        <f>IFERROR(__xludf.DUMMYFUNCTION("""COMPUTED_VALUE"""),17.46)</f>
        <v>17.46</v>
      </c>
      <c r="F203" s="190">
        <f>IFERROR(__xludf.DUMMYFUNCTION("""COMPUTED_VALUE"""),17.51)</f>
        <v>17.51</v>
      </c>
      <c r="G203" s="191">
        <f>IFERROR(__xludf.DUMMYFUNCTION("""COMPUTED_VALUE"""),1.1518063E7)</f>
        <v>11518063</v>
      </c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>
        <f>IFERROR(__xludf.DUMMYFUNCTION("""COMPUTED_VALUE"""),46066.66666666667)</f>
        <v>46066.66667</v>
      </c>
      <c r="C204" s="190">
        <f>IFERROR(__xludf.DUMMYFUNCTION("""COMPUTED_VALUE"""),17.49)</f>
        <v>17.49</v>
      </c>
      <c r="D204" s="190">
        <f>IFERROR(__xludf.DUMMYFUNCTION("""COMPUTED_VALUE"""),17.66)</f>
        <v>17.66</v>
      </c>
      <c r="E204" s="190">
        <f>IFERROR(__xludf.DUMMYFUNCTION("""COMPUTED_VALUE"""),17.37)</f>
        <v>17.37</v>
      </c>
      <c r="F204" s="190">
        <f>IFERROR(__xludf.DUMMYFUNCTION("""COMPUTED_VALUE"""),17.55)</f>
        <v>17.55</v>
      </c>
      <c r="G204" s="191">
        <f>IFERROR(__xludf.DUMMYFUNCTION("""COMPUTED_VALUE"""),1.375965E7)</f>
        <v>13759650</v>
      </c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>
        <f>IFERROR(__xludf.DUMMYFUNCTION("""COMPUTED_VALUE"""),46070.66666666667)</f>
        <v>46070.66667</v>
      </c>
      <c r="C205" s="190">
        <f>IFERROR(__xludf.DUMMYFUNCTION("""COMPUTED_VALUE"""),17.43)</f>
        <v>17.43</v>
      </c>
      <c r="D205" s="190">
        <f>IFERROR(__xludf.DUMMYFUNCTION("""COMPUTED_VALUE"""),17.6)</f>
        <v>17.6</v>
      </c>
      <c r="E205" s="190">
        <f>IFERROR(__xludf.DUMMYFUNCTION("""COMPUTED_VALUE"""),17.29)</f>
        <v>17.29</v>
      </c>
      <c r="F205" s="190">
        <f>IFERROR(__xludf.DUMMYFUNCTION("""COMPUTED_VALUE"""),17.53)</f>
        <v>17.53</v>
      </c>
      <c r="G205" s="191">
        <f>IFERROR(__xludf.DUMMYFUNCTION("""COMPUTED_VALUE"""),1.601684E7)</f>
        <v>16016840</v>
      </c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>
        <f>IFERROR(__xludf.DUMMYFUNCTION("""COMPUTED_VALUE"""),46071.66666666667)</f>
        <v>46071.66667</v>
      </c>
      <c r="C206" s="190">
        <f>IFERROR(__xludf.DUMMYFUNCTION("""COMPUTED_VALUE"""),17.56)</f>
        <v>17.56</v>
      </c>
      <c r="D206" s="190">
        <f>IFERROR(__xludf.DUMMYFUNCTION("""COMPUTED_VALUE"""),17.77)</f>
        <v>17.77</v>
      </c>
      <c r="E206" s="190">
        <f>IFERROR(__xludf.DUMMYFUNCTION("""COMPUTED_VALUE"""),17.52)</f>
        <v>17.52</v>
      </c>
      <c r="F206" s="190">
        <f>IFERROR(__xludf.DUMMYFUNCTION("""COMPUTED_VALUE"""),17.65)</f>
        <v>17.65</v>
      </c>
      <c r="G206" s="191">
        <f>IFERROR(__xludf.DUMMYFUNCTION("""COMPUTED_VALUE"""),8926773.0)</f>
        <v>8926773</v>
      </c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>
        <f>IFERROR(__xludf.DUMMYFUNCTION("""COMPUTED_VALUE"""),46072.66666666667)</f>
        <v>46072.66667</v>
      </c>
      <c r="C207" s="190">
        <f>IFERROR(__xludf.DUMMYFUNCTION("""COMPUTED_VALUE"""),17.58)</f>
        <v>17.58</v>
      </c>
      <c r="D207" s="190">
        <f>IFERROR(__xludf.DUMMYFUNCTION("""COMPUTED_VALUE"""),17.66)</f>
        <v>17.66</v>
      </c>
      <c r="E207" s="190">
        <f>IFERROR(__xludf.DUMMYFUNCTION("""COMPUTED_VALUE"""),17.51)</f>
        <v>17.51</v>
      </c>
      <c r="F207" s="190">
        <f>IFERROR(__xludf.DUMMYFUNCTION("""COMPUTED_VALUE"""),17.59)</f>
        <v>17.59</v>
      </c>
      <c r="G207" s="191">
        <f>IFERROR(__xludf.DUMMYFUNCTION("""COMPUTED_VALUE"""),9736762.0)</f>
        <v>9736762</v>
      </c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>
        <f>IFERROR(__xludf.DUMMYFUNCTION("""COMPUTED_VALUE"""),46073.66666666667)</f>
        <v>46073.66667</v>
      </c>
      <c r="C208" s="190">
        <f>IFERROR(__xludf.DUMMYFUNCTION("""COMPUTED_VALUE"""),17.5)</f>
        <v>17.5</v>
      </c>
      <c r="D208" s="190">
        <f>IFERROR(__xludf.DUMMYFUNCTION("""COMPUTED_VALUE"""),17.78)</f>
        <v>17.78</v>
      </c>
      <c r="E208" s="190">
        <f>IFERROR(__xludf.DUMMYFUNCTION("""COMPUTED_VALUE"""),17.48)</f>
        <v>17.48</v>
      </c>
      <c r="F208" s="190">
        <f>IFERROR(__xludf.DUMMYFUNCTION("""COMPUTED_VALUE"""),17.73)</f>
        <v>17.73</v>
      </c>
      <c r="G208" s="191">
        <f>IFERROR(__xludf.DUMMYFUNCTION("""COMPUTED_VALUE"""),9238117.0)</f>
        <v>9238117</v>
      </c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>
        <f>IFERROR(__xludf.DUMMYFUNCTION("""COMPUTED_VALUE"""),46076.66666666667)</f>
        <v>46076.66667</v>
      </c>
      <c r="C209" s="190">
        <f>IFERROR(__xludf.DUMMYFUNCTION("""COMPUTED_VALUE"""),17.52)</f>
        <v>17.52</v>
      </c>
      <c r="D209" s="190">
        <f>IFERROR(__xludf.DUMMYFUNCTION("""COMPUTED_VALUE"""),17.55)</f>
        <v>17.55</v>
      </c>
      <c r="E209" s="190">
        <f>IFERROR(__xludf.DUMMYFUNCTION("""COMPUTED_VALUE"""),17.38)</f>
        <v>17.38</v>
      </c>
      <c r="F209" s="190">
        <f>IFERROR(__xludf.DUMMYFUNCTION("""COMPUTED_VALUE"""),17.43)</f>
        <v>17.43</v>
      </c>
      <c r="G209" s="191">
        <f>IFERROR(__xludf.DUMMYFUNCTION("""COMPUTED_VALUE"""),8465379.0)</f>
        <v>8465379</v>
      </c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>
        <f>IFERROR(__xludf.DUMMYFUNCTION("""COMPUTED_VALUE"""),46077.66666666667)</f>
        <v>46077.66667</v>
      </c>
      <c r="C210" s="190">
        <f>IFERROR(__xludf.DUMMYFUNCTION("""COMPUTED_VALUE"""),17.45)</f>
        <v>17.45</v>
      </c>
      <c r="D210" s="190">
        <f>IFERROR(__xludf.DUMMYFUNCTION("""COMPUTED_VALUE"""),17.57)</f>
        <v>17.57</v>
      </c>
      <c r="E210" s="190">
        <f>IFERROR(__xludf.DUMMYFUNCTION("""COMPUTED_VALUE"""),17.4)</f>
        <v>17.4</v>
      </c>
      <c r="F210" s="190">
        <f>IFERROR(__xludf.DUMMYFUNCTION("""COMPUTED_VALUE"""),17.55)</f>
        <v>17.55</v>
      </c>
      <c r="G210" s="191">
        <f>IFERROR(__xludf.DUMMYFUNCTION("""COMPUTED_VALUE"""),7216339.0)</f>
        <v>7216339</v>
      </c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>
        <f>IFERROR(__xludf.DUMMYFUNCTION("""COMPUTED_VALUE"""),46078.66666666667)</f>
        <v>46078.66667</v>
      </c>
      <c r="C211" s="190">
        <f>IFERROR(__xludf.DUMMYFUNCTION("""COMPUTED_VALUE"""),17.58)</f>
        <v>17.58</v>
      </c>
      <c r="D211" s="190">
        <f>IFERROR(__xludf.DUMMYFUNCTION("""COMPUTED_VALUE"""),17.69)</f>
        <v>17.69</v>
      </c>
      <c r="E211" s="190">
        <f>IFERROR(__xludf.DUMMYFUNCTION("""COMPUTED_VALUE"""),17.58)</f>
        <v>17.58</v>
      </c>
      <c r="F211" s="190">
        <f>IFERROR(__xludf.DUMMYFUNCTION("""COMPUTED_VALUE"""),17.68)</f>
        <v>17.68</v>
      </c>
      <c r="G211" s="191">
        <f>IFERROR(__xludf.DUMMYFUNCTION("""COMPUTED_VALUE"""),7490423.0)</f>
        <v>7490423</v>
      </c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>
        <f>IFERROR(__xludf.DUMMYFUNCTION("""COMPUTED_VALUE"""),46079.66666666667)</f>
        <v>46079.66667</v>
      </c>
      <c r="C212" s="190">
        <f>IFERROR(__xludf.DUMMYFUNCTION("""COMPUTED_VALUE"""),17.69)</f>
        <v>17.69</v>
      </c>
      <c r="D212" s="190">
        <f>IFERROR(__xludf.DUMMYFUNCTION("""COMPUTED_VALUE"""),17.69)</f>
        <v>17.69</v>
      </c>
      <c r="E212" s="190">
        <f>IFERROR(__xludf.DUMMYFUNCTION("""COMPUTED_VALUE"""),17.51)</f>
        <v>17.51</v>
      </c>
      <c r="F212" s="190">
        <f>IFERROR(__xludf.DUMMYFUNCTION("""COMPUTED_VALUE"""),17.6)</f>
        <v>17.6</v>
      </c>
      <c r="G212" s="191">
        <f>IFERROR(__xludf.DUMMYFUNCTION("""COMPUTED_VALUE"""),1.0244907E7)</f>
        <v>10244907</v>
      </c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>
        <f>IFERROR(__xludf.DUMMYFUNCTION("""COMPUTED_VALUE"""),46080.66666666667)</f>
        <v>46080.66667</v>
      </c>
      <c r="C213" s="190">
        <f>IFERROR(__xludf.DUMMYFUNCTION("""COMPUTED_VALUE"""),17.5)</f>
        <v>17.5</v>
      </c>
      <c r="D213" s="190">
        <f>IFERROR(__xludf.DUMMYFUNCTION("""COMPUTED_VALUE"""),17.6)</f>
        <v>17.6</v>
      </c>
      <c r="E213" s="190">
        <f>IFERROR(__xludf.DUMMYFUNCTION("""COMPUTED_VALUE"""),17.48)</f>
        <v>17.48</v>
      </c>
      <c r="F213" s="190">
        <f>IFERROR(__xludf.DUMMYFUNCTION("""COMPUTED_VALUE"""),17.59)</f>
        <v>17.59</v>
      </c>
      <c r="G213" s="191">
        <f>IFERROR(__xludf.DUMMYFUNCTION("""COMPUTED_VALUE"""),1.3125793E7)</f>
        <v>13125793</v>
      </c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>
        <f>IFERROR(__xludf.DUMMYFUNCTION("""COMPUTED_VALUE"""),46083.66666666667)</f>
        <v>46083.66667</v>
      </c>
      <c r="C214" s="190">
        <f>IFERROR(__xludf.DUMMYFUNCTION("""COMPUTED_VALUE"""),17.43)</f>
        <v>17.43</v>
      </c>
      <c r="D214" s="190">
        <f>IFERROR(__xludf.DUMMYFUNCTION("""COMPUTED_VALUE"""),17.65)</f>
        <v>17.65</v>
      </c>
      <c r="E214" s="190">
        <f>IFERROR(__xludf.DUMMYFUNCTION("""COMPUTED_VALUE"""),17.42)</f>
        <v>17.42</v>
      </c>
      <c r="F214" s="190">
        <f>IFERROR(__xludf.DUMMYFUNCTION("""COMPUTED_VALUE"""),17.62)</f>
        <v>17.62</v>
      </c>
      <c r="G214" s="191">
        <f>IFERROR(__xludf.DUMMYFUNCTION("""COMPUTED_VALUE"""),1.3687222E7)</f>
        <v>13687222</v>
      </c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>
        <f>IFERROR(__xludf.DUMMYFUNCTION("""COMPUTED_VALUE"""),46084.66666666667)</f>
        <v>46084.66667</v>
      </c>
      <c r="C215" s="190">
        <f>IFERROR(__xludf.DUMMYFUNCTION("""COMPUTED_VALUE"""),17.38)</f>
        <v>17.38</v>
      </c>
      <c r="D215" s="190">
        <f>IFERROR(__xludf.DUMMYFUNCTION("""COMPUTED_VALUE"""),17.55)</f>
        <v>17.55</v>
      </c>
      <c r="E215" s="190">
        <f>IFERROR(__xludf.DUMMYFUNCTION("""COMPUTED_VALUE"""),17.28)</f>
        <v>17.28</v>
      </c>
      <c r="F215" s="190">
        <f>IFERROR(__xludf.DUMMYFUNCTION("""COMPUTED_VALUE"""),17.5)</f>
        <v>17.5</v>
      </c>
      <c r="G215" s="191">
        <f>IFERROR(__xludf.DUMMYFUNCTION("""COMPUTED_VALUE"""),1.6645753E7)</f>
        <v>16645753</v>
      </c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>
        <f>IFERROR(__xludf.DUMMYFUNCTION("""COMPUTED_VALUE"""),46085.66666666667)</f>
        <v>46085.66667</v>
      </c>
      <c r="C216" s="190">
        <f>IFERROR(__xludf.DUMMYFUNCTION("""COMPUTED_VALUE"""),17.55)</f>
        <v>17.55</v>
      </c>
      <c r="D216" s="190">
        <f>IFERROR(__xludf.DUMMYFUNCTION("""COMPUTED_VALUE"""),17.7)</f>
        <v>17.7</v>
      </c>
      <c r="E216" s="190">
        <f>IFERROR(__xludf.DUMMYFUNCTION("""COMPUTED_VALUE"""),17.55)</f>
        <v>17.55</v>
      </c>
      <c r="F216" s="190">
        <f>IFERROR(__xludf.DUMMYFUNCTION("""COMPUTED_VALUE"""),17.66)</f>
        <v>17.66</v>
      </c>
      <c r="G216" s="191">
        <f>IFERROR(__xludf.DUMMYFUNCTION("""COMPUTED_VALUE"""),7942304.0)</f>
        <v>7942304</v>
      </c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>
        <f>IFERROR(__xludf.DUMMYFUNCTION("""COMPUTED_VALUE"""),46086.66666666667)</f>
        <v>46086.66667</v>
      </c>
      <c r="C217" s="190">
        <f>IFERROR(__xludf.DUMMYFUNCTION("""COMPUTED_VALUE"""),17.62)</f>
        <v>17.62</v>
      </c>
      <c r="D217" s="190">
        <f>IFERROR(__xludf.DUMMYFUNCTION("""COMPUTED_VALUE"""),17.7)</f>
        <v>17.7</v>
      </c>
      <c r="E217" s="190">
        <f>IFERROR(__xludf.DUMMYFUNCTION("""COMPUTED_VALUE"""),17.51)</f>
        <v>17.51</v>
      </c>
      <c r="F217" s="190">
        <f>IFERROR(__xludf.DUMMYFUNCTION("""COMPUTED_VALUE"""),17.64)</f>
        <v>17.64</v>
      </c>
      <c r="G217" s="191">
        <f>IFERROR(__xludf.DUMMYFUNCTION("""COMPUTED_VALUE"""),9609919.0)</f>
        <v>9609919</v>
      </c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>
        <f>IFERROR(__xludf.DUMMYFUNCTION("""COMPUTED_VALUE"""),46087.66666666667)</f>
        <v>46087.66667</v>
      </c>
      <c r="C218" s="190">
        <f>IFERROR(__xludf.DUMMYFUNCTION("""COMPUTED_VALUE"""),17.47)</f>
        <v>17.47</v>
      </c>
      <c r="D218" s="190">
        <f>IFERROR(__xludf.DUMMYFUNCTION("""COMPUTED_VALUE"""),17.59)</f>
        <v>17.59</v>
      </c>
      <c r="E218" s="190">
        <f>IFERROR(__xludf.DUMMYFUNCTION("""COMPUTED_VALUE"""),17.43)</f>
        <v>17.43</v>
      </c>
      <c r="F218" s="190">
        <f>IFERROR(__xludf.DUMMYFUNCTION("""COMPUTED_VALUE"""),17.45)</f>
        <v>17.45</v>
      </c>
      <c r="G218" s="191">
        <f>IFERROR(__xludf.DUMMYFUNCTION("""COMPUTED_VALUE"""),1.457591E7)</f>
        <v>14575910</v>
      </c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>
        <f>IFERROR(__xludf.DUMMYFUNCTION("""COMPUTED_VALUE"""),46090.66666666667)</f>
        <v>46090.66667</v>
      </c>
      <c r="C219" s="190">
        <f>IFERROR(__xludf.DUMMYFUNCTION("""COMPUTED_VALUE"""),17.34)</f>
        <v>17.34</v>
      </c>
      <c r="D219" s="190">
        <f>IFERROR(__xludf.DUMMYFUNCTION("""COMPUTED_VALUE"""),17.67)</f>
        <v>17.67</v>
      </c>
      <c r="E219" s="190">
        <f>IFERROR(__xludf.DUMMYFUNCTION("""COMPUTED_VALUE"""),17.31)</f>
        <v>17.31</v>
      </c>
      <c r="F219" s="190">
        <f>IFERROR(__xludf.DUMMYFUNCTION("""COMPUTED_VALUE"""),17.64)</f>
        <v>17.64</v>
      </c>
      <c r="G219" s="191">
        <f>IFERROR(__xludf.DUMMYFUNCTION("""COMPUTED_VALUE"""),1.5741257E7)</f>
        <v>15741257</v>
      </c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>
        <f>IFERROR(__xludf.DUMMYFUNCTION("""COMPUTED_VALUE"""),46091.66666666667)</f>
        <v>46091.66667</v>
      </c>
      <c r="C220" s="190">
        <f>IFERROR(__xludf.DUMMYFUNCTION("""COMPUTED_VALUE"""),17.66)</f>
        <v>17.66</v>
      </c>
      <c r="D220" s="190">
        <f>IFERROR(__xludf.DUMMYFUNCTION("""COMPUTED_VALUE"""),17.77)</f>
        <v>17.77</v>
      </c>
      <c r="E220" s="190">
        <f>IFERROR(__xludf.DUMMYFUNCTION("""COMPUTED_VALUE"""),17.63)</f>
        <v>17.63</v>
      </c>
      <c r="F220" s="190">
        <f>IFERROR(__xludf.DUMMYFUNCTION("""COMPUTED_VALUE"""),17.66)</f>
        <v>17.66</v>
      </c>
      <c r="G220" s="191">
        <f>IFERROR(__xludf.DUMMYFUNCTION("""COMPUTED_VALUE"""),9317190.0)</f>
        <v>9317190</v>
      </c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>
        <f>IFERROR(__xludf.DUMMYFUNCTION("""COMPUTED_VALUE"""),46092.66666666667)</f>
        <v>46092.66667</v>
      </c>
      <c r="C221" s="190">
        <f>IFERROR(__xludf.DUMMYFUNCTION("""COMPUTED_VALUE"""),17.69)</f>
        <v>17.69</v>
      </c>
      <c r="D221" s="190">
        <f>IFERROR(__xludf.DUMMYFUNCTION("""COMPUTED_VALUE"""),17.76)</f>
        <v>17.76</v>
      </c>
      <c r="E221" s="190">
        <f>IFERROR(__xludf.DUMMYFUNCTION("""COMPUTED_VALUE"""),17.64)</f>
        <v>17.64</v>
      </c>
      <c r="F221" s="190">
        <f>IFERROR(__xludf.DUMMYFUNCTION("""COMPUTED_VALUE"""),17.7)</f>
        <v>17.7</v>
      </c>
      <c r="G221" s="191">
        <f>IFERROR(__xludf.DUMMYFUNCTION("""COMPUTED_VALUE"""),9624950.0)</f>
        <v>9624950</v>
      </c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>
        <f>IFERROR(__xludf.DUMMYFUNCTION("""COMPUTED_VALUE"""),46093.66666666667)</f>
        <v>46093.66667</v>
      </c>
      <c r="C222" s="190">
        <f>IFERROR(__xludf.DUMMYFUNCTION("""COMPUTED_VALUE"""),17.62)</f>
        <v>17.62</v>
      </c>
      <c r="D222" s="190">
        <f>IFERROR(__xludf.DUMMYFUNCTION("""COMPUTED_VALUE"""),17.65)</f>
        <v>17.65</v>
      </c>
      <c r="E222" s="190">
        <f>IFERROR(__xludf.DUMMYFUNCTION("""COMPUTED_VALUE"""),17.5)</f>
        <v>17.5</v>
      </c>
      <c r="F222" s="190">
        <f>IFERROR(__xludf.DUMMYFUNCTION("""COMPUTED_VALUE"""),17.5)</f>
        <v>17.5</v>
      </c>
      <c r="G222" s="191">
        <f>IFERROR(__xludf.DUMMYFUNCTION("""COMPUTED_VALUE"""),1.1700733E7)</f>
        <v>11700733</v>
      </c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>
        <f>IFERROR(__xludf.DUMMYFUNCTION("""COMPUTED_VALUE"""),46094.66666666667)</f>
        <v>46094.66667</v>
      </c>
      <c r="C223" s="190">
        <f>IFERROR(__xludf.DUMMYFUNCTION("""COMPUTED_VALUE"""),17.57)</f>
        <v>17.57</v>
      </c>
      <c r="D223" s="190">
        <f>IFERROR(__xludf.DUMMYFUNCTION("""COMPUTED_VALUE"""),17.67)</f>
        <v>17.67</v>
      </c>
      <c r="E223" s="190">
        <f>IFERROR(__xludf.DUMMYFUNCTION("""COMPUTED_VALUE"""),17.42)</f>
        <v>17.42</v>
      </c>
      <c r="F223" s="190">
        <f>IFERROR(__xludf.DUMMYFUNCTION("""COMPUTED_VALUE"""),17.45)</f>
        <v>17.45</v>
      </c>
      <c r="G223" s="191">
        <f>IFERROR(__xludf.DUMMYFUNCTION("""COMPUTED_VALUE"""),2.0595629E7)</f>
        <v>20595629</v>
      </c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>
        <f>IFERROR(__xludf.DUMMYFUNCTION("""COMPUTED_VALUE"""),46097.66666666667)</f>
        <v>46097.66667</v>
      </c>
      <c r="C224" s="190">
        <f>IFERROR(__xludf.DUMMYFUNCTION("""COMPUTED_VALUE"""),17.59)</f>
        <v>17.59</v>
      </c>
      <c r="D224" s="190">
        <f>IFERROR(__xludf.DUMMYFUNCTION("""COMPUTED_VALUE"""),17.74)</f>
        <v>17.74</v>
      </c>
      <c r="E224" s="190">
        <f>IFERROR(__xludf.DUMMYFUNCTION("""COMPUTED_VALUE"""),17.59)</f>
        <v>17.59</v>
      </c>
      <c r="F224" s="190">
        <f>IFERROR(__xludf.DUMMYFUNCTION("""COMPUTED_VALUE"""),17.66)</f>
        <v>17.66</v>
      </c>
      <c r="G224" s="191">
        <f>IFERROR(__xludf.DUMMYFUNCTION("""COMPUTED_VALUE"""),1.3165556E7)</f>
        <v>13165556</v>
      </c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>
        <f>IFERROR(__xludf.DUMMYFUNCTION("""COMPUTED_VALUE"""),46098.66666666667)</f>
        <v>46098.66667</v>
      </c>
      <c r="C225" s="190">
        <f>IFERROR(__xludf.DUMMYFUNCTION("""COMPUTED_VALUE"""),17.72)</f>
        <v>17.72</v>
      </c>
      <c r="D225" s="190">
        <f>IFERROR(__xludf.DUMMYFUNCTION("""COMPUTED_VALUE"""),17.79)</f>
        <v>17.79</v>
      </c>
      <c r="E225" s="190">
        <f>IFERROR(__xludf.DUMMYFUNCTION("""COMPUTED_VALUE"""),17.71)</f>
        <v>17.71</v>
      </c>
      <c r="F225" s="190">
        <f>IFERROR(__xludf.DUMMYFUNCTION("""COMPUTED_VALUE"""),17.75)</f>
        <v>17.75</v>
      </c>
      <c r="G225" s="191">
        <f>IFERROR(__xludf.DUMMYFUNCTION("""COMPUTED_VALUE"""),1.066999E7)</f>
        <v>10669990</v>
      </c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>
        <f>IFERROR(__xludf.DUMMYFUNCTION("""COMPUTED_VALUE"""),46099.66666666667)</f>
        <v>46099.66667</v>
      </c>
      <c r="C226" s="190">
        <f>IFERROR(__xludf.DUMMYFUNCTION("""COMPUTED_VALUE"""),17.7)</f>
        <v>17.7</v>
      </c>
      <c r="D226" s="190">
        <f>IFERROR(__xludf.DUMMYFUNCTION("""COMPUTED_VALUE"""),17.75)</f>
        <v>17.75</v>
      </c>
      <c r="E226" s="190">
        <f>IFERROR(__xludf.DUMMYFUNCTION("""COMPUTED_VALUE"""),17.53)</f>
        <v>17.53</v>
      </c>
      <c r="F226" s="190">
        <f>IFERROR(__xludf.DUMMYFUNCTION("""COMPUTED_VALUE"""),17.54)</f>
        <v>17.54</v>
      </c>
      <c r="G226" s="191">
        <f>IFERROR(__xludf.DUMMYFUNCTION("""COMPUTED_VALUE"""),1.8696164E7)</f>
        <v>18696164</v>
      </c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>
        <f>IFERROR(__xludf.DUMMYFUNCTION("""COMPUTED_VALUE"""),46100.66666666667)</f>
        <v>46100.66667</v>
      </c>
      <c r="C227" s="190">
        <f>IFERROR(__xludf.DUMMYFUNCTION("""COMPUTED_VALUE"""),17.41)</f>
        <v>17.41</v>
      </c>
      <c r="D227" s="190">
        <f>IFERROR(__xludf.DUMMYFUNCTION("""COMPUTED_VALUE"""),17.57)</f>
        <v>17.57</v>
      </c>
      <c r="E227" s="190">
        <f>IFERROR(__xludf.DUMMYFUNCTION("""COMPUTED_VALUE"""),17.31)</f>
        <v>17.31</v>
      </c>
      <c r="F227" s="190">
        <f>IFERROR(__xludf.DUMMYFUNCTION("""COMPUTED_VALUE"""),17.49)</f>
        <v>17.49</v>
      </c>
      <c r="G227" s="191">
        <f>IFERROR(__xludf.DUMMYFUNCTION("""COMPUTED_VALUE"""),1.7927458E7)</f>
        <v>17927458</v>
      </c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>
        <f>IFERROR(__xludf.DUMMYFUNCTION("""COMPUTED_VALUE"""),46101.66666666667)</f>
        <v>46101.66667</v>
      </c>
      <c r="C228" s="190">
        <f>IFERROR(__xludf.DUMMYFUNCTION("""COMPUTED_VALUE"""),17.43)</f>
        <v>17.43</v>
      </c>
      <c r="D228" s="190">
        <f>IFERROR(__xludf.DUMMYFUNCTION("""COMPUTED_VALUE"""),17.43)</f>
        <v>17.43</v>
      </c>
      <c r="E228" s="190">
        <f>IFERROR(__xludf.DUMMYFUNCTION("""COMPUTED_VALUE"""),17.14)</f>
        <v>17.14</v>
      </c>
      <c r="F228" s="190">
        <f>IFERROR(__xludf.DUMMYFUNCTION("""COMPUTED_VALUE"""),17.2)</f>
        <v>17.2</v>
      </c>
      <c r="G228" s="191">
        <f>IFERROR(__xludf.DUMMYFUNCTION("""COMPUTED_VALUE"""),1.8513077E7)</f>
        <v>18513077</v>
      </c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>
        <f>IFERROR(__xludf.DUMMYFUNCTION("""COMPUTED_VALUE"""),46104.66666666667)</f>
        <v>46104.66667</v>
      </c>
      <c r="C229" s="190">
        <f>IFERROR(__xludf.DUMMYFUNCTION("""COMPUTED_VALUE"""),17.21)</f>
        <v>17.21</v>
      </c>
      <c r="D229" s="190">
        <f>IFERROR(__xludf.DUMMYFUNCTION("""COMPUTED_VALUE"""),17.29)</f>
        <v>17.29</v>
      </c>
      <c r="E229" s="190">
        <f>IFERROR(__xludf.DUMMYFUNCTION("""COMPUTED_VALUE"""),17.14)</f>
        <v>17.14</v>
      </c>
      <c r="F229" s="190">
        <f>IFERROR(__xludf.DUMMYFUNCTION("""COMPUTED_VALUE"""),17.2)</f>
        <v>17.2</v>
      </c>
      <c r="G229" s="191">
        <f>IFERROR(__xludf.DUMMYFUNCTION("""COMPUTED_VALUE"""),1.2300796E7)</f>
        <v>12300796</v>
      </c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>
        <f>IFERROR(__xludf.DUMMYFUNCTION("""COMPUTED_VALUE"""),46105.66666666667)</f>
        <v>46105.66667</v>
      </c>
      <c r="C230" s="190">
        <f>IFERROR(__xludf.DUMMYFUNCTION("""COMPUTED_VALUE"""),17.11)</f>
        <v>17.11</v>
      </c>
      <c r="D230" s="190">
        <f>IFERROR(__xludf.DUMMYFUNCTION("""COMPUTED_VALUE"""),17.2)</f>
        <v>17.2</v>
      </c>
      <c r="E230" s="190">
        <f>IFERROR(__xludf.DUMMYFUNCTION("""COMPUTED_VALUE"""),17.09)</f>
        <v>17.09</v>
      </c>
      <c r="F230" s="190">
        <f>IFERROR(__xludf.DUMMYFUNCTION("""COMPUTED_VALUE"""),17.14)</f>
        <v>17.14</v>
      </c>
      <c r="G230" s="191">
        <f>IFERROR(__xludf.DUMMYFUNCTION("""COMPUTED_VALUE"""),9636627.0)</f>
        <v>9636627</v>
      </c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>
        <f>IFERROR(__xludf.DUMMYFUNCTION("""COMPUTED_VALUE"""),46106.66666666667)</f>
        <v>46106.66667</v>
      </c>
      <c r="C231" s="190">
        <f>IFERROR(__xludf.DUMMYFUNCTION("""COMPUTED_VALUE"""),17.22)</f>
        <v>17.22</v>
      </c>
      <c r="D231" s="190">
        <f>IFERROR(__xludf.DUMMYFUNCTION("""COMPUTED_VALUE"""),17.26)</f>
        <v>17.26</v>
      </c>
      <c r="E231" s="190">
        <f>IFERROR(__xludf.DUMMYFUNCTION("""COMPUTED_VALUE"""),17.17)</f>
        <v>17.17</v>
      </c>
      <c r="F231" s="190">
        <f>IFERROR(__xludf.DUMMYFUNCTION("""COMPUTED_VALUE"""),17.21)</f>
        <v>17.21</v>
      </c>
      <c r="G231" s="191">
        <f>IFERROR(__xludf.DUMMYFUNCTION("""COMPUTED_VALUE"""),1.0442261E7)</f>
        <v>10442261</v>
      </c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>
        <f>IFERROR(__xludf.DUMMYFUNCTION("""COMPUTED_VALUE"""),46107.66666666667)</f>
        <v>46107.66667</v>
      </c>
      <c r="C232" s="190">
        <f>IFERROR(__xludf.DUMMYFUNCTION("""COMPUTED_VALUE"""),17.11)</f>
        <v>17.11</v>
      </c>
      <c r="D232" s="190">
        <f>IFERROR(__xludf.DUMMYFUNCTION("""COMPUTED_VALUE"""),17.17)</f>
        <v>17.17</v>
      </c>
      <c r="E232" s="190">
        <f>IFERROR(__xludf.DUMMYFUNCTION("""COMPUTED_VALUE"""),16.97)</f>
        <v>16.97</v>
      </c>
      <c r="F232" s="190">
        <f>IFERROR(__xludf.DUMMYFUNCTION("""COMPUTED_VALUE"""),16.97)</f>
        <v>16.97</v>
      </c>
      <c r="G232" s="191">
        <f>IFERROR(__xludf.DUMMYFUNCTION("""COMPUTED_VALUE"""),1.1275197E7)</f>
        <v>11275197</v>
      </c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>
        <f>IFERROR(__xludf.DUMMYFUNCTION("""COMPUTED_VALUE"""),46108.66666666667)</f>
        <v>46108.66667</v>
      </c>
      <c r="C233" s="190">
        <f>IFERROR(__xludf.DUMMYFUNCTION("""COMPUTED_VALUE"""),16.93)</f>
        <v>16.93</v>
      </c>
      <c r="D233" s="190">
        <f>IFERROR(__xludf.DUMMYFUNCTION("""COMPUTED_VALUE"""),16.94)</f>
        <v>16.94</v>
      </c>
      <c r="E233" s="190">
        <f>IFERROR(__xludf.DUMMYFUNCTION("""COMPUTED_VALUE"""),16.73)</f>
        <v>16.73</v>
      </c>
      <c r="F233" s="190">
        <f>IFERROR(__xludf.DUMMYFUNCTION("""COMPUTED_VALUE"""),16.77)</f>
        <v>16.77</v>
      </c>
      <c r="G233" s="191">
        <f>IFERROR(__xludf.DUMMYFUNCTION("""COMPUTED_VALUE"""),1.3859685E7)</f>
        <v>13859685</v>
      </c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>
        <f>IFERROR(__xludf.DUMMYFUNCTION("""COMPUTED_VALUE"""),46111.66666666667)</f>
        <v>46111.66667</v>
      </c>
      <c r="C234" s="190">
        <f>IFERROR(__xludf.DUMMYFUNCTION("""COMPUTED_VALUE"""),16.87)</f>
        <v>16.87</v>
      </c>
      <c r="D234" s="190">
        <f>IFERROR(__xludf.DUMMYFUNCTION("""COMPUTED_VALUE"""),16.91)</f>
        <v>16.91</v>
      </c>
      <c r="E234" s="190">
        <f>IFERROR(__xludf.DUMMYFUNCTION("""COMPUTED_VALUE"""),16.63)</f>
        <v>16.63</v>
      </c>
      <c r="F234" s="190">
        <f>IFERROR(__xludf.DUMMYFUNCTION("""COMPUTED_VALUE"""),16.7)</f>
        <v>16.7</v>
      </c>
      <c r="G234" s="191">
        <f>IFERROR(__xludf.DUMMYFUNCTION("""COMPUTED_VALUE"""),1.1359689E7)</f>
        <v>11359689</v>
      </c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>
        <f>IFERROR(__xludf.DUMMYFUNCTION("""COMPUTED_VALUE"""),46112.66666666667)</f>
        <v>46112.66667</v>
      </c>
      <c r="C235" s="190">
        <f>IFERROR(__xludf.DUMMYFUNCTION("""COMPUTED_VALUE"""),16.84)</f>
        <v>16.84</v>
      </c>
      <c r="D235" s="190">
        <f>IFERROR(__xludf.DUMMYFUNCTION("""COMPUTED_VALUE"""),17.16)</f>
        <v>17.16</v>
      </c>
      <c r="E235" s="190">
        <f>IFERROR(__xludf.DUMMYFUNCTION("""COMPUTED_VALUE"""),16.83)</f>
        <v>16.83</v>
      </c>
      <c r="F235" s="190">
        <f>IFERROR(__xludf.DUMMYFUNCTION("""COMPUTED_VALUE"""),17.15)</f>
        <v>17.15</v>
      </c>
      <c r="G235" s="191">
        <f>IFERROR(__xludf.DUMMYFUNCTION("""COMPUTED_VALUE"""),1.4363411E7)</f>
        <v>14363411</v>
      </c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>
        <f>IFERROR(__xludf.DUMMYFUNCTION("""COMPUTED_VALUE"""),46113.66666666667)</f>
        <v>46113.66667</v>
      </c>
      <c r="C236" s="190">
        <f>IFERROR(__xludf.DUMMYFUNCTION("""COMPUTED_VALUE"""),17.23)</f>
        <v>17.23</v>
      </c>
      <c r="D236" s="190">
        <f>IFERROR(__xludf.DUMMYFUNCTION("""COMPUTED_VALUE"""),17.31)</f>
        <v>17.31</v>
      </c>
      <c r="E236" s="190">
        <f>IFERROR(__xludf.DUMMYFUNCTION("""COMPUTED_VALUE"""),17.19)</f>
        <v>17.19</v>
      </c>
      <c r="F236" s="190">
        <f>IFERROR(__xludf.DUMMYFUNCTION("""COMPUTED_VALUE"""),17.25)</f>
        <v>17.25</v>
      </c>
      <c r="G236" s="191">
        <f>IFERROR(__xludf.DUMMYFUNCTION("""COMPUTED_VALUE"""),7555509.0)</f>
        <v>7555509</v>
      </c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>
        <f>IFERROR(__xludf.DUMMYFUNCTION("""COMPUTED_VALUE"""),46114.66666666667)</f>
        <v>46114.66667</v>
      </c>
      <c r="C237" s="190">
        <f>IFERROR(__xludf.DUMMYFUNCTION("""COMPUTED_VALUE"""),17.08)</f>
        <v>17.08</v>
      </c>
      <c r="D237" s="190">
        <f>IFERROR(__xludf.DUMMYFUNCTION("""COMPUTED_VALUE"""),17.3)</f>
        <v>17.3</v>
      </c>
      <c r="E237" s="190">
        <f>IFERROR(__xludf.DUMMYFUNCTION("""COMPUTED_VALUE"""),17.03)</f>
        <v>17.03</v>
      </c>
      <c r="F237" s="190">
        <f>IFERROR(__xludf.DUMMYFUNCTION("""COMPUTED_VALUE"""),17.29)</f>
        <v>17.29</v>
      </c>
      <c r="G237" s="191">
        <f>IFERROR(__xludf.DUMMYFUNCTION("""COMPUTED_VALUE"""),8719290.0)</f>
        <v>8719290</v>
      </c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>
        <f>IFERROR(__xludf.DUMMYFUNCTION("""COMPUTED_VALUE"""),46118.66666666667)</f>
        <v>46118.66667</v>
      </c>
      <c r="C238" s="190">
        <f>IFERROR(__xludf.DUMMYFUNCTION("""COMPUTED_VALUE"""),17.31)</f>
        <v>17.31</v>
      </c>
      <c r="D238" s="190">
        <f>IFERROR(__xludf.DUMMYFUNCTION("""COMPUTED_VALUE"""),17.39)</f>
        <v>17.39</v>
      </c>
      <c r="E238" s="190">
        <f>IFERROR(__xludf.DUMMYFUNCTION("""COMPUTED_VALUE"""),17.31)</f>
        <v>17.31</v>
      </c>
      <c r="F238" s="190">
        <f>IFERROR(__xludf.DUMMYFUNCTION("""COMPUTED_VALUE"""),17.36)</f>
        <v>17.36</v>
      </c>
      <c r="G238" s="191">
        <f>IFERROR(__xludf.DUMMYFUNCTION("""COMPUTED_VALUE"""),8088937.0)</f>
        <v>8088937</v>
      </c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>
        <f>IFERROR(__xludf.DUMMYFUNCTION("""COMPUTED_VALUE"""),46119.66666666667)</f>
        <v>46119.66667</v>
      </c>
      <c r="C239" s="190">
        <f>IFERROR(__xludf.DUMMYFUNCTION("""COMPUTED_VALUE"""),17.32)</f>
        <v>17.32</v>
      </c>
      <c r="D239" s="190">
        <f>IFERROR(__xludf.DUMMYFUNCTION("""COMPUTED_VALUE"""),17.35)</f>
        <v>17.35</v>
      </c>
      <c r="E239" s="190">
        <f>IFERROR(__xludf.DUMMYFUNCTION("""COMPUTED_VALUE"""),17.19)</f>
        <v>17.19</v>
      </c>
      <c r="F239" s="190">
        <f>IFERROR(__xludf.DUMMYFUNCTION("""COMPUTED_VALUE"""),17.35)</f>
        <v>17.35</v>
      </c>
      <c r="G239" s="191">
        <f>IFERROR(__xludf.DUMMYFUNCTION("""COMPUTED_VALUE"""),1.2387487E7)</f>
        <v>12387487</v>
      </c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>
        <f>IFERROR(__xludf.DUMMYFUNCTION("""COMPUTED_VALUE"""),46120.66666666667)</f>
        <v>46120.66667</v>
      </c>
      <c r="C240" s="190">
        <f>IFERROR(__xludf.DUMMYFUNCTION("""COMPUTED_VALUE"""),17.58)</f>
        <v>17.58</v>
      </c>
      <c r="D240" s="190">
        <f>IFERROR(__xludf.DUMMYFUNCTION("""COMPUTED_VALUE"""),17.59)</f>
        <v>17.59</v>
      </c>
      <c r="E240" s="190">
        <f>IFERROR(__xludf.DUMMYFUNCTION("""COMPUTED_VALUE"""),17.51)</f>
        <v>17.51</v>
      </c>
      <c r="F240" s="190">
        <f>IFERROR(__xludf.DUMMYFUNCTION("""COMPUTED_VALUE"""),17.55)</f>
        <v>17.55</v>
      </c>
      <c r="G240" s="191">
        <f>IFERROR(__xludf.DUMMYFUNCTION("""COMPUTED_VALUE"""),1.1040344E7)</f>
        <v>11040344</v>
      </c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>
        <f>IFERROR(__xludf.DUMMYFUNCTION("""COMPUTED_VALUE"""),46121.66666666667)</f>
        <v>46121.66667</v>
      </c>
      <c r="C241" s="190">
        <f>IFERROR(__xludf.DUMMYFUNCTION("""COMPUTED_VALUE"""),17.55)</f>
        <v>17.55</v>
      </c>
      <c r="D241" s="190">
        <f>IFERROR(__xludf.DUMMYFUNCTION("""COMPUTED_VALUE"""),17.6)</f>
        <v>17.6</v>
      </c>
      <c r="E241" s="190">
        <f>IFERROR(__xludf.DUMMYFUNCTION("""COMPUTED_VALUE"""),17.54)</f>
        <v>17.54</v>
      </c>
      <c r="F241" s="190">
        <f>IFERROR(__xludf.DUMMYFUNCTION("""COMPUTED_VALUE"""),17.59)</f>
        <v>17.59</v>
      </c>
      <c r="G241" s="191">
        <f>IFERROR(__xludf.DUMMYFUNCTION("""COMPUTED_VALUE"""),1.0609215E7)</f>
        <v>10609215</v>
      </c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>
        <f>IFERROR(__xludf.DUMMYFUNCTION("""COMPUTED_VALUE"""),46122.66666666667)</f>
        <v>46122.66667</v>
      </c>
      <c r="C242" s="190">
        <f>IFERROR(__xludf.DUMMYFUNCTION("""COMPUTED_VALUE"""),17.61)</f>
        <v>17.61</v>
      </c>
      <c r="D242" s="190">
        <f>IFERROR(__xludf.DUMMYFUNCTION("""COMPUTED_VALUE"""),17.62)</f>
        <v>17.62</v>
      </c>
      <c r="E242" s="190">
        <f>IFERROR(__xludf.DUMMYFUNCTION("""COMPUTED_VALUE"""),17.59)</f>
        <v>17.59</v>
      </c>
      <c r="F242" s="190">
        <f>IFERROR(__xludf.DUMMYFUNCTION("""COMPUTED_VALUE"""),17.6)</f>
        <v>17.6</v>
      </c>
      <c r="G242" s="191">
        <f>IFERROR(__xludf.DUMMYFUNCTION("""COMPUTED_VALUE"""),4392916.0)</f>
        <v>4392916</v>
      </c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>
        <f>IFERROR(__xludf.DUMMYFUNCTION("""COMPUTED_VALUE"""),46125.66666666667)</f>
        <v>46125.66667</v>
      </c>
      <c r="C243" s="190">
        <f>IFERROR(__xludf.DUMMYFUNCTION("""COMPUTED_VALUE"""),17.6)</f>
        <v>17.6</v>
      </c>
      <c r="D243" s="190">
        <f>IFERROR(__xludf.DUMMYFUNCTION("""COMPUTED_VALUE"""),17.63)</f>
        <v>17.63</v>
      </c>
      <c r="E243" s="190">
        <f>IFERROR(__xludf.DUMMYFUNCTION("""COMPUTED_VALUE"""),17.59)</f>
        <v>17.59</v>
      </c>
      <c r="F243" s="190">
        <f>IFERROR(__xludf.DUMMYFUNCTION("""COMPUTED_VALUE"""),17.62)</f>
        <v>17.62</v>
      </c>
      <c r="G243" s="191">
        <f>IFERROR(__xludf.DUMMYFUNCTION("""COMPUTED_VALUE"""),5178037.0)</f>
        <v>5178037</v>
      </c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>
        <f>IFERROR(__xludf.DUMMYFUNCTION("""COMPUTED_VALUE"""),46126.66666666667)</f>
        <v>46126.66667</v>
      </c>
      <c r="C244" s="190">
        <f>IFERROR(__xludf.DUMMYFUNCTION("""COMPUTED_VALUE"""),17.63)</f>
        <v>17.63</v>
      </c>
      <c r="D244" s="190">
        <f>IFERROR(__xludf.DUMMYFUNCTION("""COMPUTED_VALUE"""),17.64)</f>
        <v>17.64</v>
      </c>
      <c r="E244" s="190">
        <f>IFERROR(__xludf.DUMMYFUNCTION("""COMPUTED_VALUE"""),17.62)</f>
        <v>17.62</v>
      </c>
      <c r="F244" s="190">
        <f>IFERROR(__xludf.DUMMYFUNCTION("""COMPUTED_VALUE"""),17.63)</f>
        <v>17.63</v>
      </c>
      <c r="G244" s="191">
        <f>IFERROR(__xludf.DUMMYFUNCTION("""COMPUTED_VALUE"""),5242646.0)</f>
        <v>5242646</v>
      </c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>
        <f>IFERROR(__xludf.DUMMYFUNCTION("""COMPUTED_VALUE"""),46127.66666666667)</f>
        <v>46127.66667</v>
      </c>
      <c r="C245" s="190">
        <f>IFERROR(__xludf.DUMMYFUNCTION("""COMPUTED_VALUE"""),17.64)</f>
        <v>17.64</v>
      </c>
      <c r="D245" s="190">
        <f>IFERROR(__xludf.DUMMYFUNCTION("""COMPUTED_VALUE"""),17.64)</f>
        <v>17.64</v>
      </c>
      <c r="E245" s="190">
        <f>IFERROR(__xludf.DUMMYFUNCTION("""COMPUTED_VALUE"""),17.63)</f>
        <v>17.63</v>
      </c>
      <c r="F245" s="190">
        <f>IFERROR(__xludf.DUMMYFUNCTION("""COMPUTED_VALUE"""),17.64)</f>
        <v>17.64</v>
      </c>
      <c r="G245" s="191">
        <f>IFERROR(__xludf.DUMMYFUNCTION("""COMPUTED_VALUE"""),3145393.0)</f>
        <v>3145393</v>
      </c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>
        <f>IFERROR(__xludf.DUMMYFUNCTION("""COMPUTED_VALUE"""),46128.66666666667)</f>
        <v>46128.66667</v>
      </c>
      <c r="C246" s="190">
        <f>IFERROR(__xludf.DUMMYFUNCTION("""COMPUTED_VALUE"""),17.63)</f>
        <v>17.63</v>
      </c>
      <c r="D246" s="190">
        <f>IFERROR(__xludf.DUMMYFUNCTION("""COMPUTED_VALUE"""),17.68)</f>
        <v>17.68</v>
      </c>
      <c r="E246" s="190">
        <f>IFERROR(__xludf.DUMMYFUNCTION("""COMPUTED_VALUE"""),17.63)</f>
        <v>17.63</v>
      </c>
      <c r="F246" s="190">
        <f>IFERROR(__xludf.DUMMYFUNCTION("""COMPUTED_VALUE"""),17.66)</f>
        <v>17.66</v>
      </c>
      <c r="G246" s="191">
        <f>IFERROR(__xludf.DUMMYFUNCTION("""COMPUTED_VALUE"""),4934738.0)</f>
        <v>4934738</v>
      </c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>
        <f>IFERROR(__xludf.DUMMYFUNCTION("""COMPUTED_VALUE"""),46129.66666666667)</f>
        <v>46129.66667</v>
      </c>
      <c r="C247" s="190">
        <f>IFERROR(__xludf.DUMMYFUNCTION("""COMPUTED_VALUE"""),17.77)</f>
        <v>17.77</v>
      </c>
      <c r="D247" s="190">
        <f>IFERROR(__xludf.DUMMYFUNCTION("""COMPUTED_VALUE"""),17.92)</f>
        <v>17.92</v>
      </c>
      <c r="E247" s="190">
        <f>IFERROR(__xludf.DUMMYFUNCTION("""COMPUTED_VALUE"""),17.77)</f>
        <v>17.77</v>
      </c>
      <c r="F247" s="190">
        <f>IFERROR(__xludf.DUMMYFUNCTION("""COMPUTED_VALUE"""),17.9)</f>
        <v>17.9</v>
      </c>
      <c r="G247" s="191">
        <f>IFERROR(__xludf.DUMMYFUNCTION("""COMPUTED_VALUE"""),9495327.0)</f>
        <v>9495327</v>
      </c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>
        <f>IFERROR(__xludf.DUMMYFUNCTION("""COMPUTED_VALUE"""),46132.66666666667)</f>
        <v>46132.66667</v>
      </c>
      <c r="C248" s="190">
        <f>IFERROR(__xludf.DUMMYFUNCTION("""COMPUTED_VALUE"""),17.73)</f>
        <v>17.73</v>
      </c>
      <c r="D248" s="190">
        <f>IFERROR(__xludf.DUMMYFUNCTION("""COMPUTED_VALUE"""),17.73)</f>
        <v>17.73</v>
      </c>
      <c r="E248" s="190">
        <f>IFERROR(__xludf.DUMMYFUNCTION("""COMPUTED_VALUE"""),17.62)</f>
        <v>17.62</v>
      </c>
      <c r="F248" s="190">
        <f>IFERROR(__xludf.DUMMYFUNCTION("""COMPUTED_VALUE"""),17.69)</f>
        <v>17.69</v>
      </c>
      <c r="G248" s="191">
        <f>IFERROR(__xludf.DUMMYFUNCTION("""COMPUTED_VALUE"""),7096579.0)</f>
        <v>7096579</v>
      </c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>
        <f>IFERROR(__xludf.DUMMYFUNCTION("""COMPUTED_VALUE"""),46133.66666666667)</f>
        <v>46133.66667</v>
      </c>
      <c r="C249" s="190">
        <f>IFERROR(__xludf.DUMMYFUNCTION("""COMPUTED_VALUE"""),17.72)</f>
        <v>17.72</v>
      </c>
      <c r="D249" s="190">
        <f>IFERROR(__xludf.DUMMYFUNCTION("""COMPUTED_VALUE"""),17.74)</f>
        <v>17.74</v>
      </c>
      <c r="E249" s="190">
        <f>IFERROR(__xludf.DUMMYFUNCTION("""COMPUTED_VALUE"""),17.61)</f>
        <v>17.61</v>
      </c>
      <c r="F249" s="190">
        <f>IFERROR(__xludf.DUMMYFUNCTION("""COMPUTED_VALUE"""),17.65)</f>
        <v>17.65</v>
      </c>
      <c r="G249" s="191">
        <f>IFERROR(__xludf.DUMMYFUNCTION("""COMPUTED_VALUE"""),6372528.0)</f>
        <v>6372528</v>
      </c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>
        <f>IFERROR(__xludf.DUMMYFUNCTION("""COMPUTED_VALUE"""),46134.66666666667)</f>
        <v>46134.66667</v>
      </c>
      <c r="C250" s="190">
        <f>IFERROR(__xludf.DUMMYFUNCTION("""COMPUTED_VALUE"""),17.73)</f>
        <v>17.73</v>
      </c>
      <c r="D250" s="190">
        <f>IFERROR(__xludf.DUMMYFUNCTION("""COMPUTED_VALUE"""),17.8)</f>
        <v>17.8</v>
      </c>
      <c r="E250" s="190">
        <f>IFERROR(__xludf.DUMMYFUNCTION("""COMPUTED_VALUE"""),17.73)</f>
        <v>17.73</v>
      </c>
      <c r="F250" s="190">
        <f>IFERROR(__xludf.DUMMYFUNCTION("""COMPUTED_VALUE"""),17.79)</f>
        <v>17.79</v>
      </c>
      <c r="G250" s="191">
        <f>IFERROR(__xludf.DUMMYFUNCTION("""COMPUTED_VALUE"""),3533587.0)</f>
        <v>3533587</v>
      </c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>
        <f>IFERROR(__xludf.DUMMYFUNCTION("""COMPUTED_VALUE"""),46135.66666666667)</f>
        <v>46135.66667</v>
      </c>
      <c r="C251" s="190">
        <f>IFERROR(__xludf.DUMMYFUNCTION("""COMPUTED_VALUE"""),17.79)</f>
        <v>17.79</v>
      </c>
      <c r="D251" s="190">
        <f>IFERROR(__xludf.DUMMYFUNCTION("""COMPUTED_VALUE"""),17.82)</f>
        <v>17.82</v>
      </c>
      <c r="E251" s="190">
        <f>IFERROR(__xludf.DUMMYFUNCTION("""COMPUTED_VALUE"""),17.65)</f>
        <v>17.65</v>
      </c>
      <c r="F251" s="190">
        <f>IFERROR(__xludf.DUMMYFUNCTION("""COMPUTED_VALUE"""),17.75)</f>
        <v>17.75</v>
      </c>
      <c r="G251" s="191">
        <f>IFERROR(__xludf.DUMMYFUNCTION("""COMPUTED_VALUE"""),6744727.0)</f>
        <v>6744727</v>
      </c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>
        <f>IFERROR(__xludf.DUMMYFUNCTION("""COMPUTED_VALUE"""),46136.66666666667)</f>
        <v>46136.66667</v>
      </c>
      <c r="C252" s="190">
        <f>IFERROR(__xludf.DUMMYFUNCTION("""COMPUTED_VALUE"""),17.82)</f>
        <v>17.82</v>
      </c>
      <c r="D252" s="190">
        <f>IFERROR(__xludf.DUMMYFUNCTION("""COMPUTED_VALUE"""),17.89)</f>
        <v>17.89</v>
      </c>
      <c r="E252" s="190">
        <f>IFERROR(__xludf.DUMMYFUNCTION("""COMPUTED_VALUE"""),17.81)</f>
        <v>17.81</v>
      </c>
      <c r="F252" s="190">
        <f>IFERROR(__xludf.DUMMYFUNCTION("""COMPUTED_VALUE"""),17.89)</f>
        <v>17.89</v>
      </c>
      <c r="G252" s="191">
        <f>IFERROR(__xludf.DUMMYFUNCTION("""COMPUTED_VALUE"""),5387267.0)</f>
        <v>5387267</v>
      </c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>
        <f>IFERROR(__xludf.DUMMYFUNCTION("""COMPUTED_VALUE"""),46139.66666666667)</f>
        <v>46139.66667</v>
      </c>
      <c r="C253" s="190">
        <f>IFERROR(__xludf.DUMMYFUNCTION("""COMPUTED_VALUE"""),17.87)</f>
        <v>17.87</v>
      </c>
      <c r="D253" s="190">
        <f>IFERROR(__xludf.DUMMYFUNCTION("""COMPUTED_VALUE"""),17.91)</f>
        <v>17.91</v>
      </c>
      <c r="E253" s="190">
        <f>IFERROR(__xludf.DUMMYFUNCTION("""COMPUTED_VALUE"""),17.86)</f>
        <v>17.86</v>
      </c>
      <c r="F253" s="190">
        <f>IFERROR(__xludf.DUMMYFUNCTION("""COMPUTED_VALUE"""),17.9)</f>
        <v>17.9</v>
      </c>
      <c r="G253" s="191">
        <f>IFERROR(__xludf.DUMMYFUNCTION("""COMPUTED_VALUE"""),4080843.0)</f>
        <v>4080843</v>
      </c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>
        <f>IFERROR(__xludf.DUMMYFUNCTION("""COMPUTED_VALUE"""),46140.66666666667)</f>
        <v>46140.66667</v>
      </c>
      <c r="C254" s="190">
        <f>IFERROR(__xludf.DUMMYFUNCTION("""COMPUTED_VALUE"""),17.85)</f>
        <v>17.85</v>
      </c>
      <c r="D254" s="190">
        <f>IFERROR(__xludf.DUMMYFUNCTION("""COMPUTED_VALUE"""),17.88)</f>
        <v>17.88</v>
      </c>
      <c r="E254" s="190">
        <f>IFERROR(__xludf.DUMMYFUNCTION("""COMPUTED_VALUE"""),17.81)</f>
        <v>17.81</v>
      </c>
      <c r="F254" s="190">
        <f>IFERROR(__xludf.DUMMYFUNCTION("""COMPUTED_VALUE"""),17.85)</f>
        <v>17.85</v>
      </c>
      <c r="G254" s="191">
        <f>IFERROR(__xludf.DUMMYFUNCTION("""COMPUTED_VALUE"""),4537346.0)</f>
        <v>4537346</v>
      </c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>
        <f>IFERROR(__xludf.DUMMYFUNCTION("""COMPUTED_VALUE"""),46141.66666666667)</f>
        <v>46141.66667</v>
      </c>
      <c r="C255" s="190">
        <f>IFERROR(__xludf.DUMMYFUNCTION("""COMPUTED_VALUE"""),17.9)</f>
        <v>17.9</v>
      </c>
      <c r="D255" s="190">
        <f>IFERROR(__xludf.DUMMYFUNCTION("""COMPUTED_VALUE"""),17.9)</f>
        <v>17.9</v>
      </c>
      <c r="E255" s="190">
        <f>IFERROR(__xludf.DUMMYFUNCTION("""COMPUTED_VALUE"""),17.84)</f>
        <v>17.84</v>
      </c>
      <c r="F255" s="190">
        <f>IFERROR(__xludf.DUMMYFUNCTION("""COMPUTED_VALUE"""),17.9)</f>
        <v>17.9</v>
      </c>
      <c r="G255" s="191">
        <f>IFERROR(__xludf.DUMMYFUNCTION("""COMPUTED_VALUE"""),4819740.0)</f>
        <v>4819740</v>
      </c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>
        <f>IFERROR(__xludf.DUMMYFUNCTION("""COMPUTED_VALUE"""),46142.66666666667)</f>
        <v>46142.66667</v>
      </c>
      <c r="C256" s="190">
        <f>IFERROR(__xludf.DUMMYFUNCTION("""COMPUTED_VALUE"""),17.93)</f>
        <v>17.93</v>
      </c>
      <c r="D256" s="190">
        <f>IFERROR(__xludf.DUMMYFUNCTION("""COMPUTED_VALUE"""),17.99)</f>
        <v>17.99</v>
      </c>
      <c r="E256" s="190">
        <f>IFERROR(__xludf.DUMMYFUNCTION("""COMPUTED_VALUE"""),17.88)</f>
        <v>17.88</v>
      </c>
      <c r="F256" s="190">
        <f>IFERROR(__xludf.DUMMYFUNCTION("""COMPUTED_VALUE"""),17.98)</f>
        <v>17.98</v>
      </c>
      <c r="G256" s="191">
        <f>IFERROR(__xludf.DUMMYFUNCTION("""COMPUTED_VALUE"""),4765306.0)</f>
        <v>4765306</v>
      </c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>
        <f>IFERROR(__xludf.DUMMYFUNCTION("""COMPUTED_VALUE"""),46143.66666666667)</f>
        <v>46143.66667</v>
      </c>
      <c r="C257" s="190">
        <f>IFERROR(__xludf.DUMMYFUNCTION("""COMPUTED_VALUE"""),17.99)</f>
        <v>17.99</v>
      </c>
      <c r="D257" s="190">
        <f>IFERROR(__xludf.DUMMYFUNCTION("""COMPUTED_VALUE"""),18.04)</f>
        <v>18.04</v>
      </c>
      <c r="E257" s="190">
        <f>IFERROR(__xludf.DUMMYFUNCTION("""COMPUTED_VALUE"""),17.99)</f>
        <v>17.99</v>
      </c>
      <c r="F257" s="190">
        <f>IFERROR(__xludf.DUMMYFUNCTION("""COMPUTED_VALUE"""),18.03)</f>
        <v>18.03</v>
      </c>
      <c r="G257" s="191">
        <f>IFERROR(__xludf.DUMMYFUNCTION("""COMPUTED_VALUE"""),4628108.0)</f>
        <v>4628108</v>
      </c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>
        <f>IFERROR(__xludf.DUMMYFUNCTION("""COMPUTED_VALUE"""),46146.66666666667)</f>
        <v>46146.66667</v>
      </c>
      <c r="C258" s="190">
        <f>IFERROR(__xludf.DUMMYFUNCTION("""COMPUTED_VALUE"""),18.03)</f>
        <v>18.03</v>
      </c>
      <c r="D258" s="190">
        <f>IFERROR(__xludf.DUMMYFUNCTION("""COMPUTED_VALUE"""),18.05)</f>
        <v>18.05</v>
      </c>
      <c r="E258" s="190">
        <f>IFERROR(__xludf.DUMMYFUNCTION("""COMPUTED_VALUE"""),17.99)</f>
        <v>17.99</v>
      </c>
      <c r="F258" s="190">
        <f>IFERROR(__xludf.DUMMYFUNCTION("""COMPUTED_VALUE"""),18.02)</f>
        <v>18.02</v>
      </c>
      <c r="G258" s="191">
        <f>IFERROR(__xludf.DUMMYFUNCTION("""COMPUTED_VALUE"""),3788961.0)</f>
        <v>3788961</v>
      </c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>
        <f>IFERROR(__xludf.DUMMYFUNCTION("""COMPUTED_VALUE"""),46147.66666666667)</f>
        <v>46147.66667</v>
      </c>
      <c r="C259" s="190">
        <f>IFERROR(__xludf.DUMMYFUNCTION("""COMPUTED_VALUE"""),18.04)</f>
        <v>18.04</v>
      </c>
      <c r="D259" s="190">
        <f>IFERROR(__xludf.DUMMYFUNCTION("""COMPUTED_VALUE"""),18.07)</f>
        <v>18.07</v>
      </c>
      <c r="E259" s="190">
        <f>IFERROR(__xludf.DUMMYFUNCTION("""COMPUTED_VALUE"""),18.04)</f>
        <v>18.04</v>
      </c>
      <c r="F259" s="190">
        <f>IFERROR(__xludf.DUMMYFUNCTION("""COMPUTED_VALUE"""),18.06)</f>
        <v>18.06</v>
      </c>
      <c r="G259" s="191">
        <f>IFERROR(__xludf.DUMMYFUNCTION("""COMPUTED_VALUE"""),3003064.0)</f>
        <v>3003064</v>
      </c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>
        <f>IFERROR(__xludf.DUMMYFUNCTION("""COMPUTED_VALUE"""),46148.66666666667)</f>
        <v>46148.66667</v>
      </c>
      <c r="C260" s="190">
        <f>IFERROR(__xludf.DUMMYFUNCTION("""COMPUTED_VALUE"""),18.09)</f>
        <v>18.09</v>
      </c>
      <c r="D260" s="190">
        <f>IFERROR(__xludf.DUMMYFUNCTION("""COMPUTED_VALUE"""),18.1)</f>
        <v>18.1</v>
      </c>
      <c r="E260" s="190">
        <f>IFERROR(__xludf.DUMMYFUNCTION("""COMPUTED_VALUE"""),18.08)</f>
        <v>18.08</v>
      </c>
      <c r="F260" s="190">
        <f>IFERROR(__xludf.DUMMYFUNCTION("""COMPUTED_VALUE"""),18.1)</f>
        <v>18.1</v>
      </c>
      <c r="G260" s="191">
        <f>IFERROR(__xludf.DUMMYFUNCTION("""COMPUTED_VALUE"""),3264831.0)</f>
        <v>3264831</v>
      </c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>
        <f>IFERROR(__xludf.DUMMYFUNCTION("""COMPUTED_VALUE"""),46149.66666666667)</f>
        <v>46149.66667</v>
      </c>
      <c r="C261" s="190">
        <f>IFERROR(__xludf.DUMMYFUNCTION("""COMPUTED_VALUE"""),18.09)</f>
        <v>18.09</v>
      </c>
      <c r="D261" s="190">
        <f>IFERROR(__xludf.DUMMYFUNCTION("""COMPUTED_VALUE"""),18.1)</f>
        <v>18.1</v>
      </c>
      <c r="E261" s="190">
        <f>IFERROR(__xludf.DUMMYFUNCTION("""COMPUTED_VALUE"""),18.09)</f>
        <v>18.09</v>
      </c>
      <c r="F261" s="190">
        <f>IFERROR(__xludf.DUMMYFUNCTION("""COMPUTED_VALUE"""),18.1)</f>
        <v>18.1</v>
      </c>
      <c r="G261" s="191">
        <f>IFERROR(__xludf.DUMMYFUNCTION("""COMPUTED_VALUE"""),2667315.0)</f>
        <v>2667315</v>
      </c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>
        <f>IFERROR(__xludf.DUMMYFUNCTION("""COMPUTED_VALUE"""),46150.66666666667)</f>
        <v>46150.66667</v>
      </c>
      <c r="C262" s="190">
        <f>IFERROR(__xludf.DUMMYFUNCTION("""COMPUTED_VALUE"""),18.1)</f>
        <v>18.1</v>
      </c>
      <c r="D262" s="190">
        <f>IFERROR(__xludf.DUMMYFUNCTION("""COMPUTED_VALUE"""),18.13)</f>
        <v>18.13</v>
      </c>
      <c r="E262" s="190">
        <f>IFERROR(__xludf.DUMMYFUNCTION("""COMPUTED_VALUE"""),18.1)</f>
        <v>18.1</v>
      </c>
      <c r="F262" s="190">
        <f>IFERROR(__xludf.DUMMYFUNCTION("""COMPUTED_VALUE"""),18.13)</f>
        <v>18.13</v>
      </c>
      <c r="G262" s="191">
        <f>IFERROR(__xludf.DUMMYFUNCTION("""COMPUTED_VALUE"""),2588254.0)</f>
        <v>2588254</v>
      </c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>
        <f>IFERROR(__xludf.DUMMYFUNCTION("""COMPUTED_VALUE"""),46153.66666666667)</f>
        <v>46153.66667</v>
      </c>
      <c r="C263" s="190">
        <f>IFERROR(__xludf.DUMMYFUNCTION("""COMPUTED_VALUE"""),18.11)</f>
        <v>18.11</v>
      </c>
      <c r="D263" s="190">
        <f>IFERROR(__xludf.DUMMYFUNCTION("""COMPUTED_VALUE"""),18.12)</f>
        <v>18.12</v>
      </c>
      <c r="E263" s="190">
        <f>IFERROR(__xludf.DUMMYFUNCTION("""COMPUTED_VALUE"""),18.11)</f>
        <v>18.11</v>
      </c>
      <c r="F263" s="190">
        <f>IFERROR(__xludf.DUMMYFUNCTION("""COMPUTED_VALUE"""),18.12)</f>
        <v>18.12</v>
      </c>
      <c r="G263" s="191">
        <f>IFERROR(__xludf.DUMMYFUNCTION("""COMPUTED_VALUE"""),4170462.0)</f>
        <v>4170462</v>
      </c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>
        <f>IFERROR(__xludf.DUMMYFUNCTION("""COMPUTED_VALUE"""),46154.66666666667)</f>
        <v>46154.66667</v>
      </c>
      <c r="C264" s="190">
        <f>IFERROR(__xludf.DUMMYFUNCTION("""COMPUTED_VALUE"""),18.13)</f>
        <v>18.13</v>
      </c>
      <c r="D264" s="190">
        <f>IFERROR(__xludf.DUMMYFUNCTION("""COMPUTED_VALUE"""),18.13)</f>
        <v>18.13</v>
      </c>
      <c r="E264" s="190">
        <f>IFERROR(__xludf.DUMMYFUNCTION("""COMPUTED_VALUE"""),18.11)</f>
        <v>18.11</v>
      </c>
      <c r="F264" s="190">
        <f>IFERROR(__xludf.DUMMYFUNCTION("""COMPUTED_VALUE"""),18.11)</f>
        <v>18.11</v>
      </c>
      <c r="G264" s="191">
        <f>IFERROR(__xludf.DUMMYFUNCTION("""COMPUTED_VALUE"""),3048257.0)</f>
        <v>3048257</v>
      </c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>
        <f>IFERROR(__xludf.DUMMYFUNCTION("""COMPUTED_VALUE"""),46155.66666666667)</f>
        <v>46155.66667</v>
      </c>
      <c r="C265" s="190">
        <f>IFERROR(__xludf.DUMMYFUNCTION("""COMPUTED_VALUE"""),18.12)</f>
        <v>18.12</v>
      </c>
      <c r="D265" s="190">
        <f>IFERROR(__xludf.DUMMYFUNCTION("""COMPUTED_VALUE"""),18.13)</f>
        <v>18.13</v>
      </c>
      <c r="E265" s="190">
        <f>IFERROR(__xludf.DUMMYFUNCTION("""COMPUTED_VALUE"""),18.11)</f>
        <v>18.11</v>
      </c>
      <c r="F265" s="190">
        <f>IFERROR(__xludf.DUMMYFUNCTION("""COMPUTED_VALUE"""),18.13)</f>
        <v>18.13</v>
      </c>
      <c r="G265" s="191">
        <f>IFERROR(__xludf.DUMMYFUNCTION("""COMPUTED_VALUE"""),2171155.0)</f>
        <v>2171155</v>
      </c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>
        <f>IFERROR(__xludf.DUMMYFUNCTION("""COMPUTED_VALUE"""),46156.66666666667)</f>
        <v>46156.66667</v>
      </c>
      <c r="C266" s="190">
        <f>IFERROR(__xludf.DUMMYFUNCTION("""COMPUTED_VALUE"""),18.12)</f>
        <v>18.12</v>
      </c>
      <c r="D266" s="190">
        <f>IFERROR(__xludf.DUMMYFUNCTION("""COMPUTED_VALUE"""),18.15)</f>
        <v>18.15</v>
      </c>
      <c r="E266" s="190">
        <f>IFERROR(__xludf.DUMMYFUNCTION("""COMPUTED_VALUE"""),18.12)</f>
        <v>18.12</v>
      </c>
      <c r="F266" s="190">
        <f>IFERROR(__xludf.DUMMYFUNCTION("""COMPUTED_VALUE"""),18.13)</f>
        <v>18.13</v>
      </c>
      <c r="G266" s="191">
        <f>IFERROR(__xludf.DUMMYFUNCTION("""COMPUTED_VALUE"""),4966022.0)</f>
        <v>4966022</v>
      </c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>
        <f>IFERROR(__xludf.DUMMYFUNCTION("""COMPUTED_VALUE"""),46157.66666666667)</f>
        <v>46157.66667</v>
      </c>
      <c r="C267" s="190">
        <f>IFERROR(__xludf.DUMMYFUNCTION("""COMPUTED_VALUE"""),17.9)</f>
        <v>17.9</v>
      </c>
      <c r="D267" s="190">
        <f>IFERROR(__xludf.DUMMYFUNCTION("""COMPUTED_VALUE"""),17.95)</f>
        <v>17.95</v>
      </c>
      <c r="E267" s="190">
        <f>IFERROR(__xludf.DUMMYFUNCTION("""COMPUTED_VALUE"""),17.77)</f>
        <v>17.77</v>
      </c>
      <c r="F267" s="190">
        <f>IFERROR(__xludf.DUMMYFUNCTION("""COMPUTED_VALUE"""),17.89)</f>
        <v>17.89</v>
      </c>
      <c r="G267" s="191">
        <f>IFERROR(__xludf.DUMMYFUNCTION("""COMPUTED_VALUE"""),1.199846E7)</f>
        <v>11998460</v>
      </c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>
        <f>IFERROR(__xludf.DUMMYFUNCTION("""COMPUTED_VALUE"""),46160.66666666667)</f>
        <v>46160.66667</v>
      </c>
      <c r="C268" s="190">
        <f>IFERROR(__xludf.DUMMYFUNCTION("""COMPUTED_VALUE"""),17.76)</f>
        <v>17.76</v>
      </c>
      <c r="D268" s="190">
        <f>IFERROR(__xludf.DUMMYFUNCTION("""COMPUTED_VALUE"""),17.76)</f>
        <v>17.76</v>
      </c>
      <c r="E268" s="190">
        <f>IFERROR(__xludf.DUMMYFUNCTION("""COMPUTED_VALUE"""),17.6)</f>
        <v>17.6</v>
      </c>
      <c r="F268" s="190">
        <f>IFERROR(__xludf.DUMMYFUNCTION("""COMPUTED_VALUE"""),17.71)</f>
        <v>17.71</v>
      </c>
      <c r="G268" s="191">
        <f>IFERROR(__xludf.DUMMYFUNCTION("""COMPUTED_VALUE"""),1.5496336E7)</f>
        <v>15496336</v>
      </c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>
        <f>IFERROR(__xludf.DUMMYFUNCTION("""COMPUTED_VALUE"""),46161.66666666667)</f>
        <v>46161.66667</v>
      </c>
      <c r="C269" s="190">
        <f>IFERROR(__xludf.DUMMYFUNCTION("""COMPUTED_VALUE"""),17.62)</f>
        <v>17.62</v>
      </c>
      <c r="D269" s="190">
        <f>IFERROR(__xludf.DUMMYFUNCTION("""COMPUTED_VALUE"""),17.72)</f>
        <v>17.72</v>
      </c>
      <c r="E269" s="190">
        <f>IFERROR(__xludf.DUMMYFUNCTION("""COMPUTED_VALUE"""),17.56)</f>
        <v>17.56</v>
      </c>
      <c r="F269" s="190">
        <f>IFERROR(__xludf.DUMMYFUNCTION("""COMPUTED_VALUE"""),17.65)</f>
        <v>17.65</v>
      </c>
      <c r="G269" s="191">
        <f>IFERROR(__xludf.DUMMYFUNCTION("""COMPUTED_VALUE"""),9787115.0)</f>
        <v>9787115</v>
      </c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>
        <f>IFERROR(__xludf.DUMMYFUNCTION("""COMPUTED_VALUE"""),46162.66666666667)</f>
        <v>46162.66667</v>
      </c>
      <c r="C270" s="190">
        <f>IFERROR(__xludf.DUMMYFUNCTION("""COMPUTED_VALUE"""),17.71)</f>
        <v>17.71</v>
      </c>
      <c r="D270" s="190">
        <f>IFERROR(__xludf.DUMMYFUNCTION("""COMPUTED_VALUE"""),17.81)</f>
        <v>17.81</v>
      </c>
      <c r="E270" s="190">
        <f>IFERROR(__xludf.DUMMYFUNCTION("""COMPUTED_VALUE"""),17.68)</f>
        <v>17.68</v>
      </c>
      <c r="F270" s="190">
        <f>IFERROR(__xludf.DUMMYFUNCTION("""COMPUTED_VALUE"""),17.8)</f>
        <v>17.8</v>
      </c>
      <c r="G270" s="191">
        <f>IFERROR(__xludf.DUMMYFUNCTION("""COMPUTED_VALUE"""),5678029.0)</f>
        <v>5678029</v>
      </c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>
        <f>IFERROR(__xludf.DUMMYFUNCTION("""COMPUTED_VALUE"""),46163.66666666667)</f>
        <v>46163.66667</v>
      </c>
      <c r="C271" s="190">
        <f>IFERROR(__xludf.DUMMYFUNCTION("""COMPUTED_VALUE"""),17.75)</f>
        <v>17.75</v>
      </c>
      <c r="D271" s="190">
        <f>IFERROR(__xludf.DUMMYFUNCTION("""COMPUTED_VALUE"""),17.86)</f>
        <v>17.86</v>
      </c>
      <c r="E271" s="190">
        <f>IFERROR(__xludf.DUMMYFUNCTION("""COMPUTED_VALUE"""),17.75)</f>
        <v>17.75</v>
      </c>
      <c r="F271" s="190">
        <f>IFERROR(__xludf.DUMMYFUNCTION("""COMPUTED_VALUE"""),17.84)</f>
        <v>17.84</v>
      </c>
      <c r="G271" s="191">
        <f>IFERROR(__xludf.DUMMYFUNCTION("""COMPUTED_VALUE"""),7332510.0)</f>
        <v>7332510</v>
      </c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>
        <f>IFERROR(__xludf.DUMMYFUNCTION("""COMPUTED_VALUE"""),46164.66666666667)</f>
        <v>46164.66667</v>
      </c>
      <c r="C272" s="190">
        <f>IFERROR(__xludf.DUMMYFUNCTION("""COMPUTED_VALUE"""),17.89)</f>
        <v>17.89</v>
      </c>
      <c r="D272" s="190">
        <f>IFERROR(__xludf.DUMMYFUNCTION("""COMPUTED_VALUE"""),17.93)</f>
        <v>17.93</v>
      </c>
      <c r="E272" s="190">
        <f>IFERROR(__xludf.DUMMYFUNCTION("""COMPUTED_VALUE"""),17.87)</f>
        <v>17.87</v>
      </c>
      <c r="F272" s="190">
        <f>IFERROR(__xludf.DUMMYFUNCTION("""COMPUTED_VALUE"""),17.88)</f>
        <v>17.88</v>
      </c>
      <c r="G272" s="191">
        <f>IFERROR(__xludf.DUMMYFUNCTION("""COMPUTED_VALUE"""),4822344.0)</f>
        <v>4822344</v>
      </c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>
        <f>IFERROR(__xludf.DUMMYFUNCTION("""COMPUTED_VALUE"""),46168.66666666667)</f>
        <v>46168.66667</v>
      </c>
      <c r="C273" s="190">
        <f>IFERROR(__xludf.DUMMYFUNCTION("""COMPUTED_VALUE"""),17.99)</f>
        <v>17.99</v>
      </c>
      <c r="D273" s="190">
        <f>IFERROR(__xludf.DUMMYFUNCTION("""COMPUTED_VALUE"""),18.0)</f>
        <v>18</v>
      </c>
      <c r="E273" s="190">
        <f>IFERROR(__xludf.DUMMYFUNCTION("""COMPUTED_VALUE"""),17.96)</f>
        <v>17.96</v>
      </c>
      <c r="F273" s="190">
        <f>IFERROR(__xludf.DUMMYFUNCTION("""COMPUTED_VALUE"""),17.99)</f>
        <v>17.99</v>
      </c>
      <c r="G273" s="191">
        <f>IFERROR(__xludf.DUMMYFUNCTION("""COMPUTED_VALUE"""),6638964.0)</f>
        <v>6638964</v>
      </c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>
        <f>IFERROR(__xludf.DUMMYFUNCTION("""COMPUTED_VALUE"""),46169.66666666667)</f>
        <v>46169.66667</v>
      </c>
      <c r="C274" s="190">
        <f>IFERROR(__xludf.DUMMYFUNCTION("""COMPUTED_VALUE"""),18.01)</f>
        <v>18.01</v>
      </c>
      <c r="D274" s="190">
        <f>IFERROR(__xludf.DUMMYFUNCTION("""COMPUTED_VALUE"""),18.02)</f>
        <v>18.02</v>
      </c>
      <c r="E274" s="190">
        <f>IFERROR(__xludf.DUMMYFUNCTION("""COMPUTED_VALUE"""),17.97)</f>
        <v>17.97</v>
      </c>
      <c r="F274" s="190">
        <f>IFERROR(__xludf.DUMMYFUNCTION("""COMPUTED_VALUE"""),18.01)</f>
        <v>18.01</v>
      </c>
      <c r="G274" s="191">
        <f>IFERROR(__xludf.DUMMYFUNCTION("""COMPUTED_VALUE"""),4716309.0)</f>
        <v>4716309</v>
      </c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>
        <f>IFERROR(__xludf.DUMMYFUNCTION("""COMPUTED_VALUE"""),46170.66666666667)</f>
        <v>46170.66667</v>
      </c>
      <c r="C275" s="190">
        <f>IFERROR(__xludf.DUMMYFUNCTION("""COMPUTED_VALUE"""),18.0)</f>
        <v>18</v>
      </c>
      <c r="D275" s="190">
        <f>IFERROR(__xludf.DUMMYFUNCTION("""COMPUTED_VALUE"""),18.07)</f>
        <v>18.07</v>
      </c>
      <c r="E275" s="190">
        <f>IFERROR(__xludf.DUMMYFUNCTION("""COMPUTED_VALUE"""),18.0)</f>
        <v>18</v>
      </c>
      <c r="F275" s="190">
        <f>IFERROR(__xludf.DUMMYFUNCTION("""COMPUTED_VALUE"""),18.05)</f>
        <v>18.05</v>
      </c>
      <c r="G275" s="191">
        <f>IFERROR(__xludf.DUMMYFUNCTION("""COMPUTED_VALUE"""),3519686.0)</f>
        <v>3519686</v>
      </c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>
        <f>IFERROR(__xludf.DUMMYFUNCTION("""COMPUTED_VALUE"""),46171.66666666667)</f>
        <v>46171.66667</v>
      </c>
      <c r="C276" s="190">
        <f>IFERROR(__xludf.DUMMYFUNCTION("""COMPUTED_VALUE"""),18.07)</f>
        <v>18.07</v>
      </c>
      <c r="D276" s="190">
        <f>IFERROR(__xludf.DUMMYFUNCTION("""COMPUTED_VALUE"""),18.1)</f>
        <v>18.1</v>
      </c>
      <c r="E276" s="190">
        <f>IFERROR(__xludf.DUMMYFUNCTION("""COMPUTED_VALUE"""),18.06)</f>
        <v>18.06</v>
      </c>
      <c r="F276" s="190">
        <f>IFERROR(__xludf.DUMMYFUNCTION("""COMPUTED_VALUE"""),18.08)</f>
        <v>18.08</v>
      </c>
      <c r="G276" s="191">
        <f>IFERROR(__xludf.DUMMYFUNCTION("""COMPUTED_VALUE"""),3614034.0)</f>
        <v>3614034</v>
      </c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/>
      <c r="C277" s="190"/>
      <c r="D277" s="190"/>
      <c r="E277" s="190"/>
      <c r="F277" s="190"/>
      <c r="G277" s="191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/>
      <c r="C278" s="190"/>
      <c r="D278" s="190"/>
      <c r="E278" s="190"/>
      <c r="F278" s="190"/>
      <c r="G278" s="191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/>
      <c r="C279" s="190"/>
      <c r="D279" s="190"/>
      <c r="E279" s="190"/>
      <c r="F279" s="190"/>
      <c r="G279" s="191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/>
      <c r="C280" s="190"/>
      <c r="D280" s="190"/>
      <c r="E280" s="190"/>
      <c r="F280" s="190"/>
      <c r="G280" s="191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/>
      <c r="C281" s="190"/>
      <c r="D281" s="190"/>
      <c r="E281" s="190"/>
      <c r="F281" s="190"/>
      <c r="G281" s="191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/>
      <c r="C282" s="190"/>
      <c r="D282" s="190"/>
      <c r="E282" s="190"/>
      <c r="F282" s="190"/>
      <c r="G282" s="191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/>
      <c r="C283" s="190"/>
      <c r="D283" s="190"/>
      <c r="E283" s="190"/>
      <c r="F283" s="190"/>
      <c r="G283" s="191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/>
      <c r="C284" s="190"/>
      <c r="D284" s="190"/>
      <c r="E284" s="190"/>
      <c r="F284" s="190"/>
      <c r="G284" s="191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/>
      <c r="C285" s="190"/>
      <c r="D285" s="190"/>
      <c r="E285" s="190"/>
      <c r="F285" s="190"/>
      <c r="G285" s="191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/>
      <c r="C286" s="190"/>
      <c r="D286" s="190"/>
      <c r="E286" s="190"/>
      <c r="F286" s="190"/>
      <c r="G286" s="191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/>
      <c r="C287" s="190"/>
      <c r="D287" s="190"/>
      <c r="E287" s="190"/>
      <c r="F287" s="190"/>
      <c r="G287" s="191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/>
      <c r="C288" s="190"/>
      <c r="D288" s="190"/>
      <c r="E288" s="190"/>
      <c r="F288" s="190"/>
      <c r="G288" s="191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/>
      <c r="C289" s="190"/>
      <c r="D289" s="190"/>
      <c r="E289" s="190"/>
      <c r="F289" s="190"/>
      <c r="G289" s="19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/>
      <c r="C290" s="190"/>
      <c r="D290" s="190"/>
      <c r="E290" s="190"/>
      <c r="F290" s="190"/>
      <c r="G290" s="191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/>
      <c r="C291" s="190"/>
      <c r="D291" s="190"/>
      <c r="E291" s="190"/>
      <c r="F291" s="190"/>
      <c r="G291" s="191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/>
      <c r="C292" s="190"/>
      <c r="D292" s="190"/>
      <c r="E292" s="190"/>
      <c r="F292" s="190"/>
      <c r="G292" s="191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/>
      <c r="C293" s="190"/>
      <c r="D293" s="190"/>
      <c r="E293" s="190"/>
      <c r="F293" s="190"/>
      <c r="G293" s="191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/>
      <c r="C294" s="190"/>
      <c r="D294" s="190"/>
      <c r="E294" s="190"/>
      <c r="F294" s="190"/>
      <c r="G294" s="191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/>
      <c r="C295" s="190"/>
      <c r="D295" s="190"/>
      <c r="E295" s="190"/>
      <c r="F295" s="190"/>
      <c r="G295" s="191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/>
      <c r="C296" s="190"/>
      <c r="D296" s="190"/>
      <c r="E296" s="190"/>
      <c r="F296" s="190"/>
      <c r="G296" s="19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/>
      <c r="C297" s="190"/>
      <c r="D297" s="190"/>
      <c r="E297" s="190"/>
      <c r="F297" s="190"/>
      <c r="G297" s="191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/>
      <c r="C298" s="190"/>
      <c r="D298" s="190"/>
      <c r="E298" s="190"/>
      <c r="F298" s="190"/>
      <c r="G298" s="191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/>
      <c r="C299" s="190"/>
      <c r="D299" s="190"/>
      <c r="E299" s="190"/>
      <c r="F299" s="190"/>
      <c r="G299" s="191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/>
      <c r="C300" s="190"/>
      <c r="D300" s="190"/>
      <c r="E300" s="190"/>
      <c r="F300" s="190"/>
      <c r="G300" s="191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/>
      <c r="C301" s="190"/>
      <c r="D301" s="190"/>
      <c r="E301" s="190"/>
      <c r="F301" s="190"/>
      <c r="G301" s="191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/>
      <c r="C302" s="190"/>
      <c r="D302" s="190"/>
      <c r="E302" s="190"/>
      <c r="F302" s="190"/>
      <c r="G302" s="191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/>
      <c r="C303" s="190"/>
      <c r="D303" s="190"/>
      <c r="E303" s="190"/>
      <c r="F303" s="190"/>
      <c r="G303" s="191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/>
      <c r="C304" s="190"/>
      <c r="D304" s="190"/>
      <c r="E304" s="190"/>
      <c r="F304" s="190"/>
      <c r="G304" s="19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/>
      <c r="C305" s="190"/>
      <c r="D305" s="190"/>
      <c r="E305" s="190"/>
      <c r="F305" s="190"/>
      <c r="G305" s="191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/>
      <c r="C306" s="190"/>
      <c r="D306" s="190"/>
      <c r="E306" s="190"/>
      <c r="F306" s="190"/>
      <c r="G306" s="191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/>
      <c r="C307" s="190"/>
      <c r="D307" s="190"/>
      <c r="E307" s="190"/>
      <c r="F307" s="190"/>
      <c r="G307" s="191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/>
      <c r="C308" s="190"/>
      <c r="D308" s="190"/>
      <c r="E308" s="190"/>
      <c r="F308" s="190"/>
      <c r="G308" s="191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/>
      <c r="C309" s="190"/>
      <c r="D309" s="190"/>
      <c r="E309" s="190"/>
      <c r="F309" s="190"/>
      <c r="G309" s="191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/>
      <c r="C310" s="190"/>
      <c r="D310" s="190"/>
      <c r="E310" s="190"/>
      <c r="F310" s="190"/>
      <c r="G310" s="191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/>
      <c r="C311" s="190"/>
      <c r="D311" s="190"/>
      <c r="E311" s="190"/>
      <c r="F311" s="190"/>
      <c r="G311" s="191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/>
      <c r="C312" s="190"/>
      <c r="D312" s="190"/>
      <c r="E312" s="190"/>
      <c r="F312" s="190"/>
      <c r="G312" s="191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/>
      <c r="C313" s="190"/>
      <c r="D313" s="190"/>
      <c r="E313" s="190"/>
      <c r="F313" s="190"/>
      <c r="G313" s="191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/>
      <c r="C314" s="190"/>
      <c r="D314" s="190"/>
      <c r="E314" s="190"/>
      <c r="F314" s="190"/>
      <c r="G314" s="191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/>
      <c r="C315" s="190"/>
      <c r="D315" s="190"/>
      <c r="E315" s="190"/>
      <c r="F315" s="190"/>
      <c r="G315" s="191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/>
      <c r="C316" s="190"/>
      <c r="D316" s="190"/>
      <c r="E316" s="190"/>
      <c r="F316" s="190"/>
      <c r="G316" s="191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/>
      <c r="C317" s="190"/>
      <c r="D317" s="190"/>
      <c r="E317" s="190"/>
      <c r="F317" s="190"/>
      <c r="G317" s="191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/>
      <c r="C318" s="190"/>
      <c r="D318" s="190"/>
      <c r="E318" s="190"/>
      <c r="F318" s="190"/>
      <c r="G318" s="191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/>
      <c r="C319" s="190"/>
      <c r="D319" s="190"/>
      <c r="E319" s="190"/>
      <c r="F319" s="190"/>
      <c r="G319" s="191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/>
      <c r="C320" s="190"/>
      <c r="D320" s="190"/>
      <c r="E320" s="190"/>
      <c r="F320" s="190"/>
      <c r="G320" s="191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/>
      <c r="C321" s="190"/>
      <c r="D321" s="190"/>
      <c r="E321" s="190"/>
      <c r="F321" s="190"/>
      <c r="G321" s="191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/>
      <c r="C322" s="190"/>
      <c r="D322" s="190"/>
      <c r="E322" s="190"/>
      <c r="F322" s="190"/>
      <c r="G322" s="191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/>
      <c r="C323" s="190"/>
      <c r="D323" s="190"/>
      <c r="E323" s="190"/>
      <c r="F323" s="190"/>
      <c r="G323" s="191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/>
      <c r="C324" s="190"/>
      <c r="D324" s="190"/>
      <c r="E324" s="190"/>
      <c r="F324" s="190"/>
      <c r="G324" s="191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/>
      <c r="C325" s="190"/>
      <c r="D325" s="190"/>
      <c r="E325" s="190"/>
      <c r="F325" s="190"/>
      <c r="G325" s="191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/>
      <c r="C326" s="190"/>
      <c r="D326" s="190"/>
      <c r="E326" s="190"/>
      <c r="F326" s="190"/>
      <c r="G326" s="191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/>
      <c r="C327" s="190"/>
      <c r="D327" s="190"/>
      <c r="E327" s="190"/>
      <c r="F327" s="190"/>
      <c r="G327" s="191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/>
      <c r="C328" s="190"/>
      <c r="D328" s="190"/>
      <c r="E328" s="190"/>
      <c r="F328" s="190"/>
      <c r="G328" s="191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/>
      <c r="C329" s="190"/>
      <c r="D329" s="190"/>
      <c r="E329" s="190"/>
      <c r="F329" s="190"/>
      <c r="G329" s="191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/>
      <c r="C330" s="190"/>
      <c r="D330" s="190"/>
      <c r="E330" s="190"/>
      <c r="F330" s="190"/>
      <c r="G330" s="191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/>
      <c r="C331" s="190"/>
      <c r="D331" s="190"/>
      <c r="E331" s="190"/>
      <c r="F331" s="190"/>
      <c r="G331" s="191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/>
      <c r="C332" s="190"/>
      <c r="D332" s="190"/>
      <c r="E332" s="190"/>
      <c r="F332" s="190"/>
      <c r="G332" s="191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/>
      <c r="C333" s="190"/>
      <c r="D333" s="190"/>
      <c r="E333" s="190"/>
      <c r="F333" s="190"/>
      <c r="G333" s="191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/>
      <c r="C334" s="190"/>
      <c r="D334" s="190"/>
      <c r="E334" s="190"/>
      <c r="F334" s="190"/>
      <c r="G334" s="191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/>
      <c r="C335" s="190"/>
      <c r="D335" s="190"/>
      <c r="E335" s="190"/>
      <c r="F335" s="190"/>
      <c r="G335" s="191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/>
      <c r="C336" s="190"/>
      <c r="D336" s="190"/>
      <c r="E336" s="190"/>
      <c r="F336" s="190"/>
      <c r="G336" s="191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/>
      <c r="C337" s="190"/>
      <c r="D337" s="190"/>
      <c r="E337" s="190"/>
      <c r="F337" s="190"/>
      <c r="G337" s="191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/>
      <c r="C338" s="190"/>
      <c r="D338" s="190"/>
      <c r="E338" s="190"/>
      <c r="F338" s="190"/>
      <c r="G338" s="191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/>
      <c r="C339" s="190"/>
      <c r="D339" s="190"/>
      <c r="E339" s="190"/>
      <c r="F339" s="190"/>
      <c r="G339" s="191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/>
      <c r="C340" s="190"/>
      <c r="D340" s="190"/>
      <c r="E340" s="190"/>
      <c r="F340" s="190"/>
      <c r="G340" s="191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/>
      <c r="C341" s="190"/>
      <c r="D341" s="190"/>
      <c r="E341" s="190"/>
      <c r="F341" s="190"/>
      <c r="G341" s="191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/>
      <c r="C342" s="190"/>
      <c r="D342" s="190"/>
      <c r="E342" s="190"/>
      <c r="F342" s="190"/>
      <c r="G342" s="191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/>
      <c r="C343" s="190"/>
      <c r="D343" s="190"/>
      <c r="E343" s="190"/>
      <c r="F343" s="190"/>
      <c r="G343" s="191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/>
      <c r="C344" s="190"/>
      <c r="D344" s="190"/>
      <c r="E344" s="190"/>
      <c r="F344" s="190"/>
      <c r="G344" s="191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/>
      <c r="C345" s="190"/>
      <c r="D345" s="190"/>
      <c r="E345" s="190"/>
      <c r="F345" s="190"/>
      <c r="G345" s="191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/>
      <c r="C346" s="190"/>
      <c r="D346" s="190"/>
      <c r="E346" s="190"/>
      <c r="F346" s="190"/>
      <c r="G346" s="191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/>
      <c r="C347" s="190"/>
      <c r="D347" s="190"/>
      <c r="E347" s="190"/>
      <c r="F347" s="190"/>
      <c r="G347" s="191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/>
      <c r="C348" s="190"/>
      <c r="D348" s="190"/>
      <c r="E348" s="190"/>
      <c r="F348" s="190"/>
      <c r="G348" s="191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/>
      <c r="C349" s="190"/>
      <c r="D349" s="190"/>
      <c r="E349" s="190"/>
      <c r="F349" s="190"/>
      <c r="G349" s="191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/>
      <c r="C350" s="190"/>
      <c r="D350" s="190"/>
      <c r="E350" s="190"/>
      <c r="F350" s="190"/>
      <c r="G350" s="191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/>
      <c r="C351" s="190"/>
      <c r="D351" s="190"/>
      <c r="E351" s="190"/>
      <c r="F351" s="190"/>
      <c r="G351" s="191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/>
      <c r="C352" s="190"/>
      <c r="D352" s="190"/>
      <c r="E352" s="190"/>
      <c r="F352" s="190"/>
      <c r="G352" s="191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/>
      <c r="C353" s="190"/>
      <c r="D353" s="190"/>
      <c r="E353" s="190"/>
      <c r="F353" s="190"/>
      <c r="G353" s="191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/>
      <c r="C354" s="190"/>
      <c r="D354" s="190"/>
      <c r="E354" s="190"/>
      <c r="F354" s="190"/>
      <c r="G354" s="191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/>
      <c r="C355" s="190"/>
      <c r="D355" s="190"/>
      <c r="E355" s="190"/>
      <c r="F355" s="190"/>
      <c r="G355" s="191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/>
      <c r="C356" s="190"/>
      <c r="D356" s="190"/>
      <c r="E356" s="190"/>
      <c r="F356" s="190"/>
      <c r="G356" s="191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/>
      <c r="C357" s="190"/>
      <c r="D357" s="190"/>
      <c r="E357" s="190"/>
      <c r="F357" s="190"/>
      <c r="G357" s="191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/>
      <c r="C358" s="190"/>
      <c r="D358" s="190"/>
      <c r="E358" s="190"/>
      <c r="F358" s="190"/>
      <c r="G358" s="191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/>
      <c r="C359" s="190"/>
      <c r="D359" s="190"/>
      <c r="E359" s="190"/>
      <c r="F359" s="190"/>
      <c r="G359" s="191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/>
      <c r="C360" s="190"/>
      <c r="D360" s="190"/>
      <c r="E360" s="190"/>
      <c r="F360" s="190"/>
      <c r="G360" s="191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/>
      <c r="C361" s="190"/>
      <c r="D361" s="190"/>
      <c r="E361" s="190"/>
      <c r="F361" s="190"/>
      <c r="G361" s="191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/>
      <c r="C362" s="190"/>
      <c r="D362" s="190"/>
      <c r="E362" s="190"/>
      <c r="F362" s="190"/>
      <c r="G362" s="191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/>
      <c r="C363" s="190"/>
      <c r="D363" s="190"/>
      <c r="E363" s="190"/>
      <c r="F363" s="190"/>
      <c r="G363" s="191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/>
      <c r="C364" s="190"/>
      <c r="D364" s="190"/>
      <c r="E364" s="190"/>
      <c r="F364" s="190"/>
      <c r="G364" s="191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/>
      <c r="C365" s="190"/>
      <c r="D365" s="190"/>
      <c r="E365" s="190"/>
      <c r="F365" s="190"/>
      <c r="G365" s="191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/>
      <c r="C366" s="190"/>
      <c r="D366" s="190"/>
      <c r="E366" s="190"/>
      <c r="F366" s="190"/>
      <c r="G366" s="191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/>
      <c r="C367" s="190"/>
      <c r="D367" s="190"/>
      <c r="E367" s="190"/>
      <c r="F367" s="190"/>
      <c r="G367" s="191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/>
      <c r="C368" s="190"/>
      <c r="D368" s="190"/>
      <c r="E368" s="190"/>
      <c r="F368" s="190"/>
      <c r="G368" s="191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/>
      <c r="C369" s="190"/>
      <c r="D369" s="190"/>
      <c r="E369" s="190"/>
      <c r="F369" s="190"/>
      <c r="G369" s="191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/>
      <c r="C370" s="190"/>
      <c r="D370" s="190"/>
      <c r="E370" s="190"/>
      <c r="F370" s="190"/>
      <c r="G370" s="191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/>
      <c r="C371" s="190"/>
      <c r="D371" s="190"/>
      <c r="E371" s="190"/>
      <c r="F371" s="190"/>
      <c r="G371" s="191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/>
      <c r="C372" s="190"/>
      <c r="D372" s="190"/>
      <c r="E372" s="190"/>
      <c r="F372" s="190"/>
      <c r="G372" s="191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/>
      <c r="C373" s="190"/>
      <c r="D373" s="190"/>
      <c r="E373" s="190"/>
      <c r="F373" s="190"/>
      <c r="G373" s="191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/>
      <c r="C374" s="190"/>
      <c r="D374" s="190"/>
      <c r="E374" s="190"/>
      <c r="F374" s="190"/>
      <c r="G374" s="191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/>
      <c r="C375" s="190"/>
      <c r="D375" s="190"/>
      <c r="E375" s="190"/>
      <c r="F375" s="190"/>
      <c r="G375" s="191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/>
      <c r="C376" s="190"/>
      <c r="D376" s="190"/>
      <c r="E376" s="190"/>
      <c r="F376" s="190"/>
      <c r="G376" s="191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/>
      <c r="C377" s="190"/>
      <c r="D377" s="190"/>
      <c r="E377" s="190"/>
      <c r="F377" s="190"/>
      <c r="G377" s="191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/>
      <c r="C378" s="190"/>
      <c r="D378" s="190"/>
      <c r="E378" s="190"/>
      <c r="F378" s="190"/>
      <c r="G378" s="19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/>
      <c r="C379" s="190"/>
      <c r="D379" s="190"/>
      <c r="E379" s="190"/>
      <c r="F379" s="190"/>
      <c r="G379" s="191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/>
      <c r="C380" s="190"/>
      <c r="D380" s="190"/>
      <c r="E380" s="190"/>
      <c r="F380" s="190"/>
      <c r="G380" s="191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/>
      <c r="C381" s="190"/>
      <c r="D381" s="190"/>
      <c r="E381" s="190"/>
      <c r="F381" s="190"/>
      <c r="G381" s="191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/>
      <c r="C382" s="190"/>
      <c r="D382" s="190"/>
      <c r="E382" s="190"/>
      <c r="F382" s="190"/>
      <c r="G382" s="191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/>
      <c r="C383" s="190"/>
      <c r="D383" s="190"/>
      <c r="E383" s="190"/>
      <c r="F383" s="190"/>
      <c r="G383" s="191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/>
      <c r="C384" s="190"/>
      <c r="D384" s="190"/>
      <c r="E384" s="190"/>
      <c r="F384" s="190"/>
      <c r="G384" s="191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/>
      <c r="C385" s="190"/>
      <c r="D385" s="190"/>
      <c r="E385" s="190"/>
      <c r="F385" s="190"/>
      <c r="G385" s="191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/>
      <c r="C386" s="190"/>
      <c r="D386" s="190"/>
      <c r="E386" s="190"/>
      <c r="F386" s="190"/>
      <c r="G386" s="191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/>
      <c r="C387" s="190"/>
      <c r="D387" s="190"/>
      <c r="E387" s="190"/>
      <c r="F387" s="190"/>
      <c r="G387" s="191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/>
      <c r="C388" s="190"/>
      <c r="D388" s="190"/>
      <c r="E388" s="190"/>
      <c r="F388" s="190"/>
      <c r="G388" s="191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/>
      <c r="C389" s="190"/>
      <c r="D389" s="190"/>
      <c r="E389" s="190"/>
      <c r="F389" s="190"/>
      <c r="G389" s="191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/>
      <c r="C390" s="190"/>
      <c r="D390" s="190"/>
      <c r="E390" s="190"/>
      <c r="F390" s="190"/>
      <c r="G390" s="191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/>
      <c r="C391" s="190"/>
      <c r="D391" s="190"/>
      <c r="E391" s="190"/>
      <c r="F391" s="190"/>
      <c r="G391" s="191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/>
      <c r="C392" s="190"/>
      <c r="D392" s="190"/>
      <c r="E392" s="190"/>
      <c r="F392" s="190"/>
      <c r="G392" s="191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/>
      <c r="C393" s="190"/>
      <c r="D393" s="190"/>
      <c r="E393" s="190"/>
      <c r="F393" s="190"/>
      <c r="G393" s="191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/>
      <c r="C394" s="190"/>
      <c r="D394" s="190"/>
      <c r="E394" s="190"/>
      <c r="F394" s="190"/>
      <c r="G394" s="191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/>
      <c r="C395" s="190"/>
      <c r="D395" s="190"/>
      <c r="E395" s="190"/>
      <c r="F395" s="190"/>
      <c r="G395" s="191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/>
      <c r="C396" s="190"/>
      <c r="D396" s="190"/>
      <c r="E396" s="190"/>
      <c r="F396" s="190"/>
      <c r="G396" s="191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/>
      <c r="C397" s="190"/>
      <c r="D397" s="190"/>
      <c r="E397" s="190"/>
      <c r="F397" s="190"/>
      <c r="G397" s="191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/>
      <c r="C398" s="190"/>
      <c r="D398" s="190"/>
      <c r="E398" s="190"/>
      <c r="F398" s="190"/>
      <c r="G398" s="191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/>
      <c r="C399" s="190"/>
      <c r="D399" s="190"/>
      <c r="E399" s="190"/>
      <c r="F399" s="190"/>
      <c r="G399" s="191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/>
      <c r="C400" s="190"/>
      <c r="D400" s="190"/>
      <c r="E400" s="190"/>
      <c r="F400" s="190"/>
      <c r="G400" s="191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/>
      <c r="C401" s="190"/>
      <c r="D401" s="190"/>
      <c r="E401" s="190"/>
      <c r="F401" s="190"/>
      <c r="G401" s="191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/>
      <c r="C402" s="190"/>
      <c r="D402" s="190"/>
      <c r="E402" s="190"/>
      <c r="F402" s="190"/>
      <c r="G402" s="191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/>
      <c r="C403" s="190"/>
      <c r="D403" s="190"/>
      <c r="E403" s="190"/>
      <c r="F403" s="190"/>
      <c r="G403" s="191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/>
      <c r="C404" s="190"/>
      <c r="D404" s="190"/>
      <c r="E404" s="190"/>
      <c r="F404" s="190"/>
      <c r="G404" s="191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/>
      <c r="C405" s="190"/>
      <c r="D405" s="190"/>
      <c r="E405" s="190"/>
      <c r="F405" s="190"/>
      <c r="G405" s="191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/>
      <c r="C406" s="190"/>
      <c r="D406" s="190"/>
      <c r="E406" s="190"/>
      <c r="F406" s="190"/>
      <c r="G406" s="191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/>
      <c r="C407" s="190"/>
      <c r="D407" s="190"/>
      <c r="E407" s="190"/>
      <c r="F407" s="190"/>
      <c r="G407" s="191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/>
      <c r="C408" s="190"/>
      <c r="D408" s="190"/>
      <c r="E408" s="190"/>
      <c r="F408" s="190"/>
      <c r="G408" s="191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/>
      <c r="C409" s="190"/>
      <c r="D409" s="190"/>
      <c r="E409" s="190"/>
      <c r="F409" s="190"/>
      <c r="G409" s="191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/>
      <c r="C410" s="190"/>
      <c r="D410" s="190"/>
      <c r="E410" s="190"/>
      <c r="F410" s="190"/>
      <c r="G410" s="191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/>
      <c r="C411" s="190"/>
      <c r="D411" s="190"/>
      <c r="E411" s="190"/>
      <c r="F411" s="190"/>
      <c r="G411" s="191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/>
      <c r="C412" s="190"/>
      <c r="D412" s="190"/>
      <c r="E412" s="190"/>
      <c r="F412" s="190"/>
      <c r="G412" s="191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/>
      <c r="C413" s="190"/>
      <c r="D413" s="190"/>
      <c r="E413" s="190"/>
      <c r="F413" s="190"/>
      <c r="G413" s="191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/>
      <c r="C414" s="190"/>
      <c r="D414" s="190"/>
      <c r="E414" s="190"/>
      <c r="F414" s="190"/>
      <c r="G414" s="191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/>
      <c r="C415" s="190"/>
      <c r="D415" s="190"/>
      <c r="E415" s="190"/>
      <c r="F415" s="190"/>
      <c r="G415" s="191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/>
      <c r="C416" s="190"/>
      <c r="D416" s="190"/>
      <c r="E416" s="190"/>
      <c r="F416" s="190"/>
      <c r="G416" s="191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/>
      <c r="C417" s="190"/>
      <c r="D417" s="190"/>
      <c r="E417" s="190"/>
      <c r="F417" s="190"/>
      <c r="G417" s="191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/>
      <c r="C418" s="190"/>
      <c r="D418" s="190"/>
      <c r="E418" s="190"/>
      <c r="F418" s="190"/>
      <c r="G418" s="191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/>
      <c r="C419" s="190"/>
      <c r="D419" s="190"/>
      <c r="E419" s="190"/>
      <c r="F419" s="190"/>
      <c r="G419" s="191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/>
      <c r="C420" s="190"/>
      <c r="D420" s="190"/>
      <c r="E420" s="190"/>
      <c r="F420" s="190"/>
      <c r="G420" s="191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/>
      <c r="C421" s="190"/>
      <c r="D421" s="190"/>
      <c r="E421" s="190"/>
      <c r="F421" s="190"/>
      <c r="G421" s="191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/>
      <c r="C422" s="190"/>
      <c r="D422" s="190"/>
      <c r="E422" s="190"/>
      <c r="F422" s="190"/>
      <c r="G422" s="191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/>
      <c r="C423" s="190"/>
      <c r="D423" s="190"/>
      <c r="E423" s="190"/>
      <c r="F423" s="190"/>
      <c r="G423" s="191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/>
      <c r="C424" s="190"/>
      <c r="D424" s="190"/>
      <c r="E424" s="190"/>
      <c r="F424" s="190"/>
      <c r="G424" s="191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/>
      <c r="C425" s="190"/>
      <c r="D425" s="190"/>
      <c r="E425" s="190"/>
      <c r="F425" s="190"/>
      <c r="G425" s="191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/>
      <c r="C426" s="190"/>
      <c r="D426" s="190"/>
      <c r="E426" s="190"/>
      <c r="F426" s="190"/>
      <c r="G426" s="191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/>
      <c r="C427" s="190"/>
      <c r="D427" s="190"/>
      <c r="E427" s="190"/>
      <c r="F427" s="190"/>
      <c r="G427" s="191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/>
      <c r="C428" s="190"/>
      <c r="D428" s="190"/>
      <c r="E428" s="190"/>
      <c r="F428" s="190"/>
      <c r="G428" s="191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/>
      <c r="C429" s="190"/>
      <c r="D429" s="190"/>
      <c r="E429" s="190"/>
      <c r="F429" s="190"/>
      <c r="G429" s="191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/>
      <c r="C430" s="190"/>
      <c r="D430" s="190"/>
      <c r="E430" s="190"/>
      <c r="F430" s="190"/>
      <c r="G430" s="191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/>
      <c r="C431" s="190"/>
      <c r="D431" s="190"/>
      <c r="E431" s="190"/>
      <c r="F431" s="190"/>
      <c r="G431" s="191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/>
      <c r="C432" s="190"/>
      <c r="D432" s="190"/>
      <c r="E432" s="190"/>
      <c r="F432" s="190"/>
      <c r="G432" s="191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/>
      <c r="C433" s="190"/>
      <c r="D433" s="190"/>
      <c r="E433" s="190"/>
      <c r="F433" s="190"/>
      <c r="G433" s="191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/>
      <c r="C434" s="190"/>
      <c r="D434" s="190"/>
      <c r="E434" s="190"/>
      <c r="F434" s="190"/>
      <c r="G434" s="191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/>
      <c r="C435" s="190"/>
      <c r="D435" s="190"/>
      <c r="E435" s="190"/>
      <c r="F435" s="190"/>
      <c r="G435" s="191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/>
      <c r="C436" s="190"/>
      <c r="D436" s="190"/>
      <c r="E436" s="190"/>
      <c r="F436" s="190"/>
      <c r="G436" s="191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/>
      <c r="C437" s="190"/>
      <c r="D437" s="190"/>
      <c r="E437" s="190"/>
      <c r="F437" s="190"/>
      <c r="G437" s="191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/>
      <c r="C438" s="190"/>
      <c r="D438" s="190"/>
      <c r="E438" s="190"/>
      <c r="F438" s="190"/>
      <c r="G438" s="191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/>
      <c r="C439" s="190"/>
      <c r="D439" s="190"/>
      <c r="E439" s="190"/>
      <c r="F439" s="190"/>
      <c r="G439" s="191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/>
      <c r="C440" s="190"/>
      <c r="D440" s="190"/>
      <c r="E440" s="190"/>
      <c r="F440" s="190"/>
      <c r="G440" s="191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/>
      <c r="C441" s="190"/>
      <c r="D441" s="190"/>
      <c r="E441" s="190"/>
      <c r="F441" s="190"/>
      <c r="G441" s="191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/>
      <c r="C442" s="190"/>
      <c r="D442" s="190"/>
      <c r="E442" s="190"/>
      <c r="F442" s="190"/>
      <c r="G442" s="191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/>
      <c r="C443" s="190"/>
      <c r="D443" s="190"/>
      <c r="E443" s="190"/>
      <c r="F443" s="190"/>
      <c r="G443" s="191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/>
      <c r="C444" s="190"/>
      <c r="D444" s="190"/>
      <c r="E444" s="190"/>
      <c r="F444" s="190"/>
      <c r="G444" s="191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/>
      <c r="C445" s="190"/>
      <c r="D445" s="190"/>
      <c r="E445" s="190"/>
      <c r="F445" s="190"/>
      <c r="G445" s="191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/>
      <c r="C446" s="190"/>
      <c r="D446" s="190"/>
      <c r="E446" s="190"/>
      <c r="F446" s="190"/>
      <c r="G446" s="191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/>
      <c r="C447" s="190"/>
      <c r="D447" s="190"/>
      <c r="E447" s="190"/>
      <c r="F447" s="190"/>
      <c r="G447" s="191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/>
      <c r="C448" s="190"/>
      <c r="D448" s="190"/>
      <c r="E448" s="190"/>
      <c r="F448" s="190"/>
      <c r="G448" s="191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/>
      <c r="C449" s="190"/>
      <c r="D449" s="190"/>
      <c r="E449" s="190"/>
      <c r="F449" s="190"/>
      <c r="G449" s="191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/>
      <c r="C450" s="190"/>
      <c r="D450" s="190"/>
      <c r="E450" s="190"/>
      <c r="F450" s="190"/>
      <c r="G450" s="191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/>
      <c r="C451" s="190"/>
      <c r="D451" s="190"/>
      <c r="E451" s="190"/>
      <c r="F451" s="190"/>
      <c r="G451" s="191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/>
      <c r="C452" s="190"/>
      <c r="D452" s="190"/>
      <c r="E452" s="190"/>
      <c r="F452" s="190"/>
      <c r="G452" s="191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/>
      <c r="C453" s="190"/>
      <c r="D453" s="190"/>
      <c r="E453" s="190"/>
      <c r="F453" s="190"/>
      <c r="G453" s="191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/>
      <c r="C454" s="190"/>
      <c r="D454" s="190"/>
      <c r="E454" s="190"/>
      <c r="F454" s="190"/>
      <c r="G454" s="191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/>
      <c r="C455" s="190"/>
      <c r="D455" s="190"/>
      <c r="E455" s="190"/>
      <c r="F455" s="190"/>
      <c r="G455" s="191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/>
      <c r="C456" s="190"/>
      <c r="D456" s="190"/>
      <c r="E456" s="190"/>
      <c r="F456" s="190"/>
      <c r="G456" s="191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/>
      <c r="C457" s="190"/>
      <c r="D457" s="190"/>
      <c r="E457" s="190"/>
      <c r="F457" s="190"/>
      <c r="G457" s="191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/>
      <c r="C458" s="190"/>
      <c r="D458" s="190"/>
      <c r="E458" s="190"/>
      <c r="F458" s="190"/>
      <c r="G458" s="191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/>
      <c r="C459" s="190"/>
      <c r="D459" s="190"/>
      <c r="E459" s="190"/>
      <c r="F459" s="190"/>
      <c r="G459" s="191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/>
      <c r="C460" s="190"/>
      <c r="D460" s="190"/>
      <c r="E460" s="190"/>
      <c r="F460" s="190"/>
      <c r="G460" s="191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/>
      <c r="C461" s="190"/>
      <c r="D461" s="190"/>
      <c r="E461" s="190"/>
      <c r="F461" s="190"/>
      <c r="G461" s="191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/>
      <c r="C462" s="190"/>
      <c r="D462" s="190"/>
      <c r="E462" s="190"/>
      <c r="F462" s="190"/>
      <c r="G462" s="191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/>
      <c r="C463" s="190"/>
      <c r="D463" s="190"/>
      <c r="E463" s="190"/>
      <c r="F463" s="190"/>
      <c r="G463" s="191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/>
      <c r="C464" s="190"/>
      <c r="D464" s="190"/>
      <c r="E464" s="190"/>
      <c r="F464" s="190"/>
      <c r="G464" s="191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/>
      <c r="C465" s="190"/>
      <c r="D465" s="190"/>
      <c r="E465" s="190"/>
      <c r="F465" s="190"/>
      <c r="G465" s="191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/>
      <c r="C466" s="190"/>
      <c r="D466" s="190"/>
      <c r="E466" s="190"/>
      <c r="F466" s="190"/>
      <c r="G466" s="191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/>
      <c r="C467" s="190"/>
      <c r="D467" s="190"/>
      <c r="E467" s="190"/>
      <c r="F467" s="190"/>
      <c r="G467" s="191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/>
      <c r="C468" s="190"/>
      <c r="D468" s="190"/>
      <c r="E468" s="190"/>
      <c r="F468" s="190"/>
      <c r="G468" s="191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/>
      <c r="C469" s="190"/>
      <c r="D469" s="190"/>
      <c r="E469" s="190"/>
      <c r="F469" s="190"/>
      <c r="G469" s="191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/>
      <c r="C470" s="190"/>
      <c r="D470" s="190"/>
      <c r="E470" s="190"/>
      <c r="F470" s="190"/>
      <c r="G470" s="191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/>
      <c r="C471" s="190"/>
      <c r="D471" s="190"/>
      <c r="E471" s="190"/>
      <c r="F471" s="190"/>
      <c r="G471" s="191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/>
      <c r="C472" s="190"/>
      <c r="D472" s="190"/>
      <c r="E472" s="190"/>
      <c r="F472" s="190"/>
      <c r="G472" s="191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/>
      <c r="C473" s="190"/>
      <c r="D473" s="190"/>
      <c r="E473" s="190"/>
      <c r="F473" s="190"/>
      <c r="G473" s="191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/>
      <c r="C474" s="190"/>
      <c r="D474" s="190"/>
      <c r="E474" s="190"/>
      <c r="F474" s="190"/>
      <c r="G474" s="191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/>
      <c r="C475" s="190"/>
      <c r="D475" s="190"/>
      <c r="E475" s="190"/>
      <c r="F475" s="190"/>
      <c r="G475" s="191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/>
      <c r="C476" s="190"/>
      <c r="D476" s="190"/>
      <c r="E476" s="190"/>
      <c r="F476" s="190"/>
      <c r="G476" s="191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/>
      <c r="C477" s="190"/>
      <c r="D477" s="190"/>
      <c r="E477" s="190"/>
      <c r="F477" s="190"/>
      <c r="G477" s="191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/>
      <c r="C478" s="190"/>
      <c r="D478" s="190"/>
      <c r="E478" s="190"/>
      <c r="F478" s="190"/>
      <c r="G478" s="191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/>
      <c r="C479" s="190"/>
      <c r="D479" s="190"/>
      <c r="E479" s="190"/>
      <c r="F479" s="190"/>
      <c r="G479" s="191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/>
      <c r="C480" s="190"/>
      <c r="D480" s="190"/>
      <c r="E480" s="190"/>
      <c r="F480" s="190"/>
      <c r="G480" s="191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/>
      <c r="C481" s="190"/>
      <c r="D481" s="190"/>
      <c r="E481" s="190"/>
      <c r="F481" s="190"/>
      <c r="G481" s="191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/>
      <c r="C482" s="190"/>
      <c r="D482" s="190"/>
      <c r="E482" s="190"/>
      <c r="F482" s="190"/>
      <c r="G482" s="191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/>
      <c r="C483" s="190"/>
      <c r="D483" s="190"/>
      <c r="E483" s="190"/>
      <c r="F483" s="190"/>
      <c r="G483" s="191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/>
      <c r="C484" s="190"/>
      <c r="D484" s="190"/>
      <c r="E484" s="190"/>
      <c r="F484" s="190"/>
      <c r="G484" s="191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/>
      <c r="C485" s="190"/>
      <c r="D485" s="190"/>
      <c r="E485" s="190"/>
      <c r="F485" s="190"/>
      <c r="G485" s="191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/>
      <c r="C486" s="190"/>
      <c r="D486" s="190"/>
      <c r="E486" s="190"/>
      <c r="F486" s="190"/>
      <c r="G486" s="191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/>
      <c r="C487" s="190"/>
      <c r="D487" s="190"/>
      <c r="E487" s="190"/>
      <c r="F487" s="190"/>
      <c r="G487" s="191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/>
      <c r="C488" s="190"/>
      <c r="D488" s="190"/>
      <c r="E488" s="190"/>
      <c r="F488" s="190"/>
      <c r="G488" s="191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/>
      <c r="C489" s="190"/>
      <c r="D489" s="190"/>
      <c r="E489" s="190"/>
      <c r="F489" s="190"/>
      <c r="G489" s="191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/>
      <c r="C490" s="190"/>
      <c r="D490" s="190"/>
      <c r="E490" s="190"/>
      <c r="F490" s="190"/>
      <c r="G490" s="191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/>
      <c r="C491" s="190"/>
      <c r="D491" s="190"/>
      <c r="E491" s="190"/>
      <c r="F491" s="190"/>
      <c r="G491" s="191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/>
      <c r="C492" s="190"/>
      <c r="D492" s="190"/>
      <c r="E492" s="190"/>
      <c r="F492" s="190"/>
      <c r="G492" s="191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/>
      <c r="C493" s="190"/>
      <c r="D493" s="190"/>
      <c r="E493" s="190"/>
      <c r="F493" s="190"/>
      <c r="G493" s="191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/>
      <c r="C494" s="190"/>
      <c r="D494" s="190"/>
      <c r="E494" s="190"/>
      <c r="F494" s="190"/>
      <c r="G494" s="191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/>
      <c r="C495" s="190"/>
      <c r="D495" s="190"/>
      <c r="E495" s="190"/>
      <c r="F495" s="190"/>
      <c r="G495" s="191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/>
      <c r="C496" s="190"/>
      <c r="D496" s="190"/>
      <c r="E496" s="190"/>
      <c r="F496" s="190"/>
      <c r="G496" s="191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/>
      <c r="C497" s="190"/>
      <c r="D497" s="190"/>
      <c r="E497" s="190"/>
      <c r="F497" s="190"/>
      <c r="G497" s="191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/>
      <c r="C498" s="190"/>
      <c r="D498" s="190"/>
      <c r="E498" s="190"/>
      <c r="F498" s="190"/>
      <c r="G498" s="191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/>
      <c r="C499" s="190"/>
      <c r="D499" s="190"/>
      <c r="E499" s="190"/>
      <c r="F499" s="190"/>
      <c r="G499" s="191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/>
      <c r="C500" s="190"/>
      <c r="D500" s="190"/>
      <c r="E500" s="190"/>
      <c r="F500" s="190"/>
      <c r="G500" s="191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/>
      <c r="C501" s="190"/>
      <c r="D501" s="190"/>
      <c r="E501" s="190"/>
      <c r="F501" s="190"/>
      <c r="G501" s="191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/>
      <c r="C502" s="190"/>
      <c r="D502" s="190"/>
      <c r="E502" s="190"/>
      <c r="F502" s="190"/>
      <c r="G502" s="191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/>
      <c r="C503" s="190"/>
      <c r="D503" s="190"/>
      <c r="E503" s="190"/>
      <c r="F503" s="190"/>
      <c r="G503" s="191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/>
      <c r="C504" s="190"/>
      <c r="D504" s="190"/>
      <c r="E504" s="190"/>
      <c r="F504" s="190"/>
      <c r="G504" s="191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/>
      <c r="C505" s="190"/>
      <c r="D505" s="190"/>
      <c r="E505" s="190"/>
      <c r="F505" s="190"/>
      <c r="G505" s="191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/>
      <c r="C506" s="190"/>
      <c r="D506" s="190"/>
      <c r="E506" s="190"/>
      <c r="F506" s="190"/>
      <c r="G506" s="191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/>
      <c r="C507" s="190"/>
      <c r="D507" s="190"/>
      <c r="E507" s="190"/>
      <c r="F507" s="190"/>
      <c r="G507" s="191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/>
      <c r="C508" s="190"/>
      <c r="D508" s="190"/>
      <c r="E508" s="190"/>
      <c r="F508" s="190"/>
      <c r="G508" s="191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/>
      <c r="C509" s="190"/>
      <c r="D509" s="190"/>
      <c r="E509" s="190"/>
      <c r="F509" s="190"/>
      <c r="G509" s="191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/>
      <c r="C510" s="190"/>
      <c r="D510" s="190"/>
      <c r="E510" s="190"/>
      <c r="F510" s="190"/>
      <c r="G510" s="191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/>
      <c r="C511" s="190"/>
      <c r="D511" s="190"/>
      <c r="E511" s="190"/>
      <c r="F511" s="190"/>
      <c r="G511" s="191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/>
      <c r="C512" s="190"/>
      <c r="D512" s="190"/>
      <c r="E512" s="190"/>
      <c r="F512" s="190"/>
      <c r="G512" s="191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/>
      <c r="C513" s="190"/>
      <c r="D513" s="190"/>
      <c r="E513" s="190"/>
      <c r="F513" s="190"/>
      <c r="G513" s="191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/>
      <c r="C514" s="190"/>
      <c r="D514" s="190"/>
      <c r="E514" s="190"/>
      <c r="F514" s="190"/>
      <c r="G514" s="191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/>
      <c r="C515" s="190"/>
      <c r="D515" s="190"/>
      <c r="E515" s="190"/>
      <c r="F515" s="190"/>
      <c r="G515" s="191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/>
      <c r="C516" s="190"/>
      <c r="D516" s="190"/>
      <c r="E516" s="190"/>
      <c r="F516" s="190"/>
      <c r="G516" s="191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/>
      <c r="C517" s="190"/>
      <c r="D517" s="190"/>
      <c r="E517" s="190"/>
      <c r="F517" s="190"/>
      <c r="G517" s="191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/>
      <c r="C518" s="190"/>
      <c r="D518" s="190"/>
      <c r="E518" s="190"/>
      <c r="F518" s="190"/>
      <c r="G518" s="191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/>
      <c r="C519" s="190"/>
      <c r="D519" s="190"/>
      <c r="E519" s="190"/>
      <c r="F519" s="190"/>
      <c r="G519" s="191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/>
      <c r="C520" s="190"/>
      <c r="D520" s="190"/>
      <c r="E520" s="190"/>
      <c r="F520" s="190"/>
      <c r="G520" s="191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/>
      <c r="C521" s="190"/>
      <c r="D521" s="190"/>
      <c r="E521" s="190"/>
      <c r="F521" s="190"/>
      <c r="G521" s="191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/>
      <c r="C522" s="190"/>
      <c r="D522" s="190"/>
      <c r="E522" s="190"/>
      <c r="F522" s="190"/>
      <c r="G522" s="191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/>
      <c r="C523" s="190"/>
      <c r="D523" s="190"/>
      <c r="E523" s="190"/>
      <c r="F523" s="190"/>
      <c r="G523" s="191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/>
      <c r="C524" s="190"/>
      <c r="D524" s="190"/>
      <c r="E524" s="190"/>
      <c r="F524" s="190"/>
      <c r="G524" s="191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/>
      <c r="C525" s="190"/>
      <c r="D525" s="190"/>
      <c r="E525" s="190"/>
      <c r="F525" s="190"/>
      <c r="G525" s="191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/>
      <c r="C526" s="190"/>
      <c r="D526" s="190"/>
      <c r="E526" s="190"/>
      <c r="F526" s="190"/>
      <c r="G526" s="191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/>
      <c r="C527" s="190"/>
      <c r="D527" s="190"/>
      <c r="E527" s="190"/>
      <c r="F527" s="190"/>
      <c r="G527" s="191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/>
      <c r="C528" s="190"/>
      <c r="D528" s="190"/>
      <c r="E528" s="190"/>
      <c r="F528" s="190"/>
      <c r="G528" s="191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/>
      <c r="C529" s="190"/>
      <c r="D529" s="190"/>
      <c r="E529" s="190"/>
      <c r="F529" s="190"/>
      <c r="G529" s="191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/>
      <c r="C530" s="190"/>
      <c r="D530" s="190"/>
      <c r="E530" s="190"/>
      <c r="F530" s="190"/>
      <c r="G530" s="191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/>
      <c r="C531" s="190"/>
      <c r="D531" s="190"/>
      <c r="E531" s="190"/>
      <c r="F531" s="190"/>
      <c r="G531" s="191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/>
      <c r="C532" s="190"/>
      <c r="D532" s="190"/>
      <c r="E532" s="190"/>
      <c r="F532" s="190"/>
      <c r="G532" s="191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/>
      <c r="C533" s="190"/>
      <c r="D533" s="190"/>
      <c r="E533" s="190"/>
      <c r="F533" s="190"/>
      <c r="G533" s="191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/>
      <c r="C534" s="190"/>
      <c r="D534" s="190"/>
      <c r="E534" s="190"/>
      <c r="F534" s="190"/>
      <c r="G534" s="191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/>
      <c r="C535" s="190"/>
      <c r="D535" s="190"/>
      <c r="E535" s="190"/>
      <c r="F535" s="190"/>
      <c r="G535" s="191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/>
      <c r="C536" s="190"/>
      <c r="D536" s="190"/>
      <c r="E536" s="190"/>
      <c r="F536" s="190"/>
      <c r="G536" s="191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/>
      <c r="C537" s="190"/>
      <c r="D537" s="190"/>
      <c r="E537" s="190"/>
      <c r="F537" s="190"/>
      <c r="G537" s="191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/>
      <c r="C538" s="190"/>
      <c r="D538" s="190"/>
      <c r="E538" s="190"/>
      <c r="F538" s="190"/>
      <c r="G538" s="191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/>
      <c r="C539" s="190"/>
      <c r="D539" s="190"/>
      <c r="E539" s="190"/>
      <c r="F539" s="190"/>
      <c r="G539" s="191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/>
      <c r="C540" s="190"/>
      <c r="D540" s="190"/>
      <c r="E540" s="190"/>
      <c r="F540" s="190"/>
      <c r="G540" s="191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/>
      <c r="C541" s="190"/>
      <c r="D541" s="190"/>
      <c r="E541" s="190"/>
      <c r="F541" s="190"/>
      <c r="G541" s="191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/>
      <c r="C542" s="190"/>
      <c r="D542" s="190"/>
      <c r="E542" s="190"/>
      <c r="F542" s="190"/>
      <c r="G542" s="191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/>
      <c r="C543" s="190"/>
      <c r="D543" s="190"/>
      <c r="E543" s="190"/>
      <c r="F543" s="190"/>
      <c r="G543" s="191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/>
      <c r="C544" s="190"/>
      <c r="D544" s="190"/>
      <c r="E544" s="190"/>
      <c r="F544" s="190"/>
      <c r="G544" s="191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/>
      <c r="C545" s="190"/>
      <c r="D545" s="190"/>
      <c r="E545" s="190"/>
      <c r="F545" s="190"/>
      <c r="G545" s="191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/>
      <c r="C546" s="190"/>
      <c r="D546" s="190"/>
      <c r="E546" s="190"/>
      <c r="F546" s="190"/>
      <c r="G546" s="191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/>
      <c r="C547" s="190"/>
      <c r="D547" s="190"/>
      <c r="E547" s="190"/>
      <c r="F547" s="190"/>
      <c r="G547" s="191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/>
      <c r="C548" s="190"/>
      <c r="D548" s="190"/>
      <c r="E548" s="190"/>
      <c r="F548" s="190"/>
      <c r="G548" s="191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/>
      <c r="C549" s="190"/>
      <c r="D549" s="190"/>
      <c r="E549" s="190"/>
      <c r="F549" s="190"/>
      <c r="G549" s="191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/>
      <c r="C550" s="190"/>
      <c r="D550" s="190"/>
      <c r="E550" s="190"/>
      <c r="F550" s="190"/>
      <c r="G550" s="191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/>
      <c r="C551" s="190"/>
      <c r="D551" s="190"/>
      <c r="E551" s="190"/>
      <c r="F551" s="190"/>
      <c r="G551" s="191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/>
      <c r="C552" s="190"/>
      <c r="D552" s="190"/>
      <c r="E552" s="190"/>
      <c r="F552" s="190"/>
      <c r="G552" s="191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/>
      <c r="C553" s="190"/>
      <c r="D553" s="190"/>
      <c r="E553" s="190"/>
      <c r="F553" s="190"/>
      <c r="G553" s="191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/>
      <c r="C554" s="190"/>
      <c r="D554" s="190"/>
      <c r="E554" s="190"/>
      <c r="F554" s="190"/>
      <c r="G554" s="191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/>
      <c r="C555" s="190"/>
      <c r="D555" s="190"/>
      <c r="E555" s="190"/>
      <c r="F555" s="190"/>
      <c r="G555" s="191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/>
      <c r="C556" s="190"/>
      <c r="D556" s="190"/>
      <c r="E556" s="190"/>
      <c r="F556" s="190"/>
      <c r="G556" s="191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/>
      <c r="C557" s="190"/>
      <c r="D557" s="190"/>
      <c r="E557" s="190"/>
      <c r="F557" s="190"/>
      <c r="G557" s="191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/>
      <c r="C558" s="190"/>
      <c r="D558" s="190"/>
      <c r="E558" s="190"/>
      <c r="F558" s="190"/>
      <c r="G558" s="191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/>
      <c r="C559" s="190"/>
      <c r="D559" s="190"/>
      <c r="E559" s="190"/>
      <c r="F559" s="190"/>
      <c r="G559" s="191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/>
      <c r="C560" s="190"/>
      <c r="D560" s="190"/>
      <c r="E560" s="190"/>
      <c r="F560" s="190"/>
      <c r="G560" s="191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/>
      <c r="C561" s="190"/>
      <c r="D561" s="190"/>
      <c r="E561" s="190"/>
      <c r="F561" s="190"/>
      <c r="G561" s="191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/>
      <c r="C562" s="190"/>
      <c r="D562" s="190"/>
      <c r="E562" s="190"/>
      <c r="F562" s="190"/>
      <c r="G562" s="191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/>
      <c r="C563" s="190"/>
      <c r="D563" s="190"/>
      <c r="E563" s="190"/>
      <c r="F563" s="190"/>
      <c r="G563" s="191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/>
      <c r="C564" s="190"/>
      <c r="D564" s="190"/>
      <c r="E564" s="190"/>
      <c r="F564" s="190"/>
      <c r="G564" s="191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/>
      <c r="C565" s="190"/>
      <c r="D565" s="190"/>
      <c r="E565" s="190"/>
      <c r="F565" s="190"/>
      <c r="G565" s="191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/>
      <c r="C566" s="190"/>
      <c r="D566" s="190"/>
      <c r="E566" s="190"/>
      <c r="F566" s="190"/>
      <c r="G566" s="191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/>
      <c r="C567" s="190"/>
      <c r="D567" s="190"/>
      <c r="E567" s="190"/>
      <c r="F567" s="190"/>
      <c r="G567" s="191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/>
      <c r="C568" s="190"/>
      <c r="D568" s="190"/>
      <c r="E568" s="190"/>
      <c r="F568" s="190"/>
      <c r="G568" s="191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/>
      <c r="C569" s="190"/>
      <c r="D569" s="190"/>
      <c r="E569" s="190"/>
      <c r="F569" s="190"/>
      <c r="G569" s="191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/>
      <c r="C570" s="190"/>
      <c r="D570" s="190"/>
      <c r="E570" s="190"/>
      <c r="F570" s="190"/>
      <c r="G570" s="191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/>
      <c r="C571" s="190"/>
      <c r="D571" s="190"/>
      <c r="E571" s="190"/>
      <c r="F571" s="190"/>
      <c r="G571" s="191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/>
      <c r="C572" s="190"/>
      <c r="D572" s="190"/>
      <c r="E572" s="190"/>
      <c r="F572" s="190"/>
      <c r="G572" s="191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/>
      <c r="C573" s="190"/>
      <c r="D573" s="190"/>
      <c r="E573" s="190"/>
      <c r="F573" s="190"/>
      <c r="G573" s="191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/>
      <c r="C574" s="190"/>
      <c r="D574" s="190"/>
      <c r="E574" s="190"/>
      <c r="F574" s="190"/>
      <c r="G574" s="191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/>
      <c r="C575" s="190"/>
      <c r="D575" s="190"/>
      <c r="E575" s="190"/>
      <c r="F575" s="190"/>
      <c r="G575" s="191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/>
      <c r="C576" s="190"/>
      <c r="D576" s="190"/>
      <c r="E576" s="190"/>
      <c r="F576" s="190"/>
      <c r="G576" s="191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/>
      <c r="C577" s="190"/>
      <c r="D577" s="190"/>
      <c r="E577" s="190"/>
      <c r="F577" s="190"/>
      <c r="G577" s="191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/>
      <c r="C578" s="190"/>
      <c r="D578" s="190"/>
      <c r="E578" s="190"/>
      <c r="F578" s="190"/>
      <c r="G578" s="191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/>
      <c r="C579" s="190"/>
      <c r="D579" s="190"/>
      <c r="E579" s="190"/>
      <c r="F579" s="190"/>
      <c r="G579" s="191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/>
      <c r="C580" s="190"/>
      <c r="D580" s="190"/>
      <c r="E580" s="190"/>
      <c r="F580" s="190"/>
      <c r="G580" s="191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/>
      <c r="C581" s="190"/>
      <c r="D581" s="190"/>
      <c r="E581" s="190"/>
      <c r="F581" s="190"/>
      <c r="G581" s="191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/>
      <c r="C582" s="190"/>
      <c r="D582" s="190"/>
      <c r="E582" s="190"/>
      <c r="F582" s="190"/>
      <c r="G582" s="191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/>
      <c r="C583" s="190"/>
      <c r="D583" s="190"/>
      <c r="E583" s="190"/>
      <c r="F583" s="190"/>
      <c r="G583" s="191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/>
      <c r="C584" s="190"/>
      <c r="D584" s="190"/>
      <c r="E584" s="190"/>
      <c r="F584" s="190"/>
      <c r="G584" s="191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/>
      <c r="C585" s="190"/>
      <c r="D585" s="190"/>
      <c r="E585" s="190"/>
      <c r="F585" s="190"/>
      <c r="G585" s="191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/>
      <c r="C586" s="190"/>
      <c r="D586" s="190"/>
      <c r="E586" s="190"/>
      <c r="F586" s="190"/>
      <c r="G586" s="191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/>
      <c r="C587" s="190"/>
      <c r="D587" s="190"/>
      <c r="E587" s="190"/>
      <c r="F587" s="190"/>
      <c r="G587" s="191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/>
      <c r="C588" s="190"/>
      <c r="D588" s="190"/>
      <c r="E588" s="190"/>
      <c r="F588" s="190"/>
      <c r="G588" s="191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/>
      <c r="C589" s="190"/>
      <c r="D589" s="190"/>
      <c r="E589" s="190"/>
      <c r="F589" s="190"/>
      <c r="G589" s="191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/>
      <c r="C590" s="190"/>
      <c r="D590" s="190"/>
      <c r="E590" s="190"/>
      <c r="F590" s="190"/>
      <c r="G590" s="191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/>
      <c r="C591" s="190"/>
      <c r="D591" s="190"/>
      <c r="E591" s="190"/>
      <c r="F591" s="190"/>
      <c r="G591" s="191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/>
      <c r="C592" s="190"/>
      <c r="D592" s="190"/>
      <c r="E592" s="190"/>
      <c r="F592" s="190"/>
      <c r="G592" s="191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/>
      <c r="C593" s="190"/>
      <c r="D593" s="190"/>
      <c r="E593" s="190"/>
      <c r="F593" s="190"/>
      <c r="G593" s="191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/>
      <c r="C594" s="190"/>
      <c r="D594" s="190"/>
      <c r="E594" s="190"/>
      <c r="F594" s="190"/>
      <c r="G594" s="191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/>
      <c r="C595" s="190"/>
      <c r="D595" s="190"/>
      <c r="E595" s="190"/>
      <c r="F595" s="190"/>
      <c r="G595" s="191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/>
      <c r="C596" s="190"/>
      <c r="D596" s="190"/>
      <c r="E596" s="190"/>
      <c r="F596" s="190"/>
      <c r="G596" s="191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/>
      <c r="C597" s="190"/>
      <c r="D597" s="190"/>
      <c r="E597" s="190"/>
      <c r="F597" s="190"/>
      <c r="G597" s="191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/>
      <c r="C598" s="190"/>
      <c r="D598" s="190"/>
      <c r="E598" s="190"/>
      <c r="F598" s="190"/>
      <c r="G598" s="191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/>
      <c r="C599" s="190"/>
      <c r="D599" s="190"/>
      <c r="E599" s="190"/>
      <c r="F599" s="190"/>
      <c r="G599" s="191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/>
      <c r="C600" s="190"/>
      <c r="D600" s="190"/>
      <c r="E600" s="190"/>
      <c r="F600" s="190"/>
      <c r="G600" s="191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/>
      <c r="C601" s="190"/>
      <c r="D601" s="190"/>
      <c r="E601" s="190"/>
      <c r="F601" s="190"/>
      <c r="G601" s="191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/>
      <c r="C602" s="190"/>
      <c r="D602" s="190"/>
      <c r="E602" s="190"/>
      <c r="F602" s="190"/>
      <c r="G602" s="191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/>
      <c r="C603" s="190"/>
      <c r="D603" s="190"/>
      <c r="E603" s="190"/>
      <c r="F603" s="190"/>
      <c r="G603" s="191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/>
      <c r="C604" s="190"/>
      <c r="D604" s="190"/>
      <c r="E604" s="190"/>
      <c r="F604" s="190"/>
      <c r="G604" s="191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/>
      <c r="C605" s="190"/>
      <c r="D605" s="190"/>
      <c r="E605" s="190"/>
      <c r="F605" s="190"/>
      <c r="G605" s="191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/>
      <c r="C606" s="190"/>
      <c r="D606" s="190"/>
      <c r="E606" s="190"/>
      <c r="F606" s="190"/>
      <c r="G606" s="191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/>
      <c r="C607" s="190"/>
      <c r="D607" s="190"/>
      <c r="E607" s="190"/>
      <c r="F607" s="190"/>
      <c r="G607" s="191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/>
      <c r="C608" s="190"/>
      <c r="D608" s="190"/>
      <c r="E608" s="190"/>
      <c r="F608" s="190"/>
      <c r="G608" s="191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/>
      <c r="C609" s="190"/>
      <c r="D609" s="190"/>
      <c r="E609" s="190"/>
      <c r="F609" s="190"/>
      <c r="G609" s="191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/>
      <c r="C610" s="190"/>
      <c r="D610" s="190"/>
      <c r="E610" s="190"/>
      <c r="F610" s="190"/>
      <c r="G610" s="191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/>
      <c r="C611" s="190"/>
      <c r="D611" s="190"/>
      <c r="E611" s="190"/>
      <c r="F611" s="190"/>
      <c r="G611" s="191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/>
      <c r="C612" s="190"/>
      <c r="D612" s="190"/>
      <c r="E612" s="190"/>
      <c r="F612" s="190"/>
      <c r="G612" s="191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/>
      <c r="C613" s="190"/>
      <c r="D613" s="190"/>
      <c r="E613" s="190"/>
      <c r="F613" s="190"/>
      <c r="G613" s="191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/>
      <c r="C614" s="190"/>
      <c r="D614" s="190"/>
      <c r="E614" s="190"/>
      <c r="F614" s="190"/>
      <c r="G614" s="191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/>
      <c r="C615" s="190"/>
      <c r="D615" s="190"/>
      <c r="E615" s="190"/>
      <c r="F615" s="190"/>
      <c r="G615" s="191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/>
      <c r="C616" s="190"/>
      <c r="D616" s="190"/>
      <c r="E616" s="190"/>
      <c r="F616" s="190"/>
      <c r="G616" s="191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/>
      <c r="C617" s="190"/>
      <c r="D617" s="190"/>
      <c r="E617" s="190"/>
      <c r="F617" s="190"/>
      <c r="G617" s="191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/>
      <c r="C618" s="190"/>
      <c r="D618" s="190"/>
      <c r="E618" s="190"/>
      <c r="F618" s="190"/>
      <c r="G618" s="191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/>
      <c r="C619" s="190"/>
      <c r="D619" s="190"/>
      <c r="E619" s="190"/>
      <c r="F619" s="190"/>
      <c r="G619" s="191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/>
      <c r="C620" s="190"/>
      <c r="D620" s="190"/>
      <c r="E620" s="190"/>
      <c r="F620" s="190"/>
      <c r="G620" s="191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/>
      <c r="C621" s="190"/>
      <c r="D621" s="190"/>
      <c r="E621" s="190"/>
      <c r="F621" s="190"/>
      <c r="G621" s="191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/>
      <c r="C622" s="190"/>
      <c r="D622" s="190"/>
      <c r="E622" s="190"/>
      <c r="F622" s="190"/>
      <c r="G622" s="191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/>
      <c r="C623" s="190"/>
      <c r="D623" s="190"/>
      <c r="E623" s="190"/>
      <c r="F623" s="190"/>
      <c r="G623" s="191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/>
      <c r="C624" s="190"/>
      <c r="D624" s="190"/>
      <c r="E624" s="190"/>
      <c r="F624" s="190"/>
      <c r="G624" s="191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/>
      <c r="C625" s="190"/>
      <c r="D625" s="190"/>
      <c r="E625" s="190"/>
      <c r="F625" s="190"/>
      <c r="G625" s="191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/>
      <c r="C626" s="190"/>
      <c r="D626" s="190"/>
      <c r="E626" s="190"/>
      <c r="F626" s="190"/>
      <c r="G626" s="191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/>
      <c r="C627" s="190"/>
      <c r="D627" s="190"/>
      <c r="E627" s="190"/>
      <c r="F627" s="190"/>
      <c r="G627" s="191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/>
      <c r="C628" s="190"/>
      <c r="D628" s="190"/>
      <c r="E628" s="190"/>
      <c r="F628" s="190"/>
      <c r="G628" s="191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/>
      <c r="C629" s="190"/>
      <c r="D629" s="190"/>
      <c r="E629" s="190"/>
      <c r="F629" s="190"/>
      <c r="G629" s="191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/>
      <c r="C630" s="190"/>
      <c r="D630" s="190"/>
      <c r="E630" s="190"/>
      <c r="F630" s="190"/>
      <c r="G630" s="191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/>
      <c r="C631" s="190"/>
      <c r="D631" s="190"/>
      <c r="E631" s="190"/>
      <c r="F631" s="190"/>
      <c r="G631" s="191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/>
      <c r="C632" s="190"/>
      <c r="D632" s="190"/>
      <c r="E632" s="190"/>
      <c r="F632" s="190"/>
      <c r="G632" s="191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/>
      <c r="C633" s="190"/>
      <c r="D633" s="190"/>
      <c r="E633" s="190"/>
      <c r="F633" s="190"/>
      <c r="G633" s="191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/>
      <c r="C634" s="190"/>
      <c r="D634" s="190"/>
      <c r="E634" s="190"/>
      <c r="F634" s="190"/>
      <c r="G634" s="191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/>
      <c r="C635" s="190"/>
      <c r="D635" s="190"/>
      <c r="E635" s="190"/>
      <c r="F635" s="190"/>
      <c r="G635" s="191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/>
      <c r="C636" s="190"/>
      <c r="D636" s="190"/>
      <c r="E636" s="190"/>
      <c r="F636" s="190"/>
      <c r="G636" s="191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/>
      <c r="C637" s="190"/>
      <c r="D637" s="190"/>
      <c r="E637" s="190"/>
      <c r="F637" s="190"/>
      <c r="G637" s="191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/>
      <c r="C638" s="190"/>
      <c r="D638" s="190"/>
      <c r="E638" s="190"/>
      <c r="F638" s="190"/>
      <c r="G638" s="191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/>
      <c r="C639" s="190"/>
      <c r="D639" s="190"/>
      <c r="E639" s="190"/>
      <c r="F639" s="190"/>
      <c r="G639" s="191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/>
      <c r="C640" s="190"/>
      <c r="D640" s="190"/>
      <c r="E640" s="190"/>
      <c r="F640" s="190"/>
      <c r="G640" s="191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/>
      <c r="C641" s="190"/>
      <c r="D641" s="190"/>
      <c r="E641" s="190"/>
      <c r="F641" s="190"/>
      <c r="G641" s="191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/>
      <c r="C642" s="190"/>
      <c r="D642" s="190"/>
      <c r="E642" s="190"/>
      <c r="F642" s="190"/>
      <c r="G642" s="191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/>
      <c r="C643" s="190"/>
      <c r="D643" s="190"/>
      <c r="E643" s="190"/>
      <c r="F643" s="190"/>
      <c r="G643" s="191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/>
      <c r="C644" s="190"/>
      <c r="D644" s="190"/>
      <c r="E644" s="190"/>
      <c r="F644" s="190"/>
      <c r="G644" s="191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/>
      <c r="C645" s="190"/>
      <c r="D645" s="190"/>
      <c r="E645" s="190"/>
      <c r="F645" s="190"/>
      <c r="G645" s="191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/>
      <c r="C646" s="190"/>
      <c r="D646" s="190"/>
      <c r="E646" s="190"/>
      <c r="F646" s="190"/>
      <c r="G646" s="191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/>
      <c r="C647" s="190"/>
      <c r="D647" s="190"/>
      <c r="E647" s="190"/>
      <c r="F647" s="190"/>
      <c r="G647" s="191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/>
      <c r="C648" s="190"/>
      <c r="D648" s="190"/>
      <c r="E648" s="190"/>
      <c r="F648" s="190"/>
      <c r="G648" s="191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/>
      <c r="C649" s="190"/>
      <c r="D649" s="190"/>
      <c r="E649" s="190"/>
      <c r="F649" s="190"/>
      <c r="G649" s="191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/>
      <c r="C650" s="190"/>
      <c r="D650" s="190"/>
      <c r="E650" s="190"/>
      <c r="F650" s="190"/>
      <c r="G650" s="191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/>
      <c r="C651" s="190"/>
      <c r="D651" s="190"/>
      <c r="E651" s="190"/>
      <c r="F651" s="190"/>
      <c r="G651" s="191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/>
      <c r="C652" s="190"/>
      <c r="D652" s="190"/>
      <c r="E652" s="190"/>
      <c r="F652" s="190"/>
      <c r="G652" s="191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/>
      <c r="C653" s="190"/>
      <c r="D653" s="190"/>
      <c r="E653" s="190"/>
      <c r="F653" s="190"/>
      <c r="G653" s="191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/>
      <c r="C654" s="190"/>
      <c r="D654" s="190"/>
      <c r="E654" s="190"/>
      <c r="F654" s="190"/>
      <c r="G654" s="191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/>
      <c r="C655" s="190"/>
      <c r="D655" s="190"/>
      <c r="E655" s="190"/>
      <c r="F655" s="190"/>
      <c r="G655" s="191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/>
      <c r="C656" s="190"/>
      <c r="D656" s="190"/>
      <c r="E656" s="190"/>
      <c r="F656" s="190"/>
      <c r="G656" s="191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/>
      <c r="C657" s="190"/>
      <c r="D657" s="190"/>
      <c r="E657" s="190"/>
      <c r="F657" s="190"/>
      <c r="G657" s="191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/>
      <c r="C658" s="190"/>
      <c r="D658" s="190"/>
      <c r="E658" s="190"/>
      <c r="F658" s="190"/>
      <c r="G658" s="191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/>
      <c r="C659" s="190"/>
      <c r="D659" s="190"/>
      <c r="E659" s="190"/>
      <c r="F659" s="190"/>
      <c r="G659" s="191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/>
      <c r="C660" s="190"/>
      <c r="D660" s="190"/>
      <c r="E660" s="190"/>
      <c r="F660" s="190"/>
      <c r="G660" s="191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/>
      <c r="C661" s="190"/>
      <c r="D661" s="190"/>
      <c r="E661" s="190"/>
      <c r="F661" s="190"/>
      <c r="G661" s="191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/>
      <c r="C662" s="190"/>
      <c r="D662" s="190"/>
      <c r="E662" s="190"/>
      <c r="F662" s="190"/>
      <c r="G662" s="191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/>
      <c r="C663" s="190"/>
      <c r="D663" s="190"/>
      <c r="E663" s="190"/>
      <c r="F663" s="190"/>
      <c r="G663" s="191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/>
      <c r="C664" s="190"/>
      <c r="D664" s="190"/>
      <c r="E664" s="190"/>
      <c r="F664" s="190"/>
      <c r="G664" s="191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/>
      <c r="C665" s="190"/>
      <c r="D665" s="190"/>
      <c r="E665" s="190"/>
      <c r="F665" s="190"/>
      <c r="G665" s="191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/>
      <c r="C666" s="190"/>
      <c r="D666" s="190"/>
      <c r="E666" s="190"/>
      <c r="F666" s="190"/>
      <c r="G666" s="191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/>
      <c r="C667" s="190"/>
      <c r="D667" s="190"/>
      <c r="E667" s="190"/>
      <c r="F667" s="190"/>
      <c r="G667" s="191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/>
      <c r="C668" s="190"/>
      <c r="D668" s="190"/>
      <c r="E668" s="190"/>
      <c r="F668" s="190"/>
      <c r="G668" s="191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/>
      <c r="C669" s="190"/>
      <c r="D669" s="190"/>
      <c r="E669" s="190"/>
      <c r="F669" s="190"/>
      <c r="G669" s="191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/>
      <c r="C670" s="190"/>
      <c r="D670" s="190"/>
      <c r="E670" s="190"/>
      <c r="F670" s="190"/>
      <c r="G670" s="191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/>
      <c r="C671" s="190"/>
      <c r="D671" s="190"/>
      <c r="E671" s="190"/>
      <c r="F671" s="190"/>
      <c r="G671" s="191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/>
      <c r="C672" s="190"/>
      <c r="D672" s="190"/>
      <c r="E672" s="190"/>
      <c r="F672" s="190"/>
      <c r="G672" s="191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/>
      <c r="C673" s="190"/>
      <c r="D673" s="190"/>
      <c r="E673" s="190"/>
      <c r="F673" s="190"/>
      <c r="G673" s="191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/>
      <c r="C674" s="190"/>
      <c r="D674" s="190"/>
      <c r="E674" s="190"/>
      <c r="F674" s="190"/>
      <c r="G674" s="191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/>
      <c r="C675" s="190"/>
      <c r="D675" s="190"/>
      <c r="E675" s="190"/>
      <c r="F675" s="190"/>
      <c r="G675" s="191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/>
      <c r="C676" s="190"/>
      <c r="D676" s="190"/>
      <c r="E676" s="190"/>
      <c r="F676" s="190"/>
      <c r="G676" s="191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/>
      <c r="C678" s="190"/>
      <c r="D678" s="190"/>
      <c r="E678" s="190"/>
      <c r="F678" s="190"/>
      <c r="G678" s="191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/>
      <c r="C679" s="190"/>
      <c r="D679" s="190"/>
      <c r="E679" s="190"/>
      <c r="F679" s="190"/>
      <c r="G679" s="191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/>
      <c r="C680" s="190"/>
      <c r="D680" s="190"/>
      <c r="E680" s="190"/>
      <c r="F680" s="190"/>
      <c r="G680" s="191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/>
      <c r="C681" s="190"/>
      <c r="D681" s="190"/>
      <c r="E681" s="190"/>
      <c r="F681" s="190"/>
      <c r="G681" s="191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/>
      <c r="C682" s="190"/>
      <c r="D682" s="190"/>
      <c r="E682" s="190"/>
      <c r="F682" s="190"/>
      <c r="G682" s="191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/>
      <c r="C683" s="190"/>
      <c r="D683" s="190"/>
      <c r="E683" s="190"/>
      <c r="F683" s="190"/>
      <c r="G683" s="191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/>
      <c r="C684" s="190"/>
      <c r="D684" s="190"/>
      <c r="E684" s="190"/>
      <c r="F684" s="190"/>
      <c r="G684" s="191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/>
      <c r="C685" s="190"/>
      <c r="D685" s="190"/>
      <c r="E685" s="190"/>
      <c r="F685" s="190"/>
      <c r="G685" s="191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/>
      <c r="C686" s="190"/>
      <c r="D686" s="190"/>
      <c r="E686" s="190"/>
      <c r="F686" s="190"/>
      <c r="G686" s="191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/>
      <c r="C687" s="190"/>
      <c r="D687" s="190"/>
      <c r="E687" s="190"/>
      <c r="F687" s="190"/>
      <c r="G687" s="191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/>
      <c r="C688" s="190"/>
      <c r="D688" s="190"/>
      <c r="E688" s="190"/>
      <c r="F688" s="190"/>
      <c r="G688" s="191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/>
      <c r="C689" s="190"/>
      <c r="D689" s="190"/>
      <c r="E689" s="190"/>
      <c r="F689" s="190"/>
      <c r="G689" s="191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/>
      <c r="C690" s="190"/>
      <c r="D690" s="190"/>
      <c r="E690" s="190"/>
      <c r="F690" s="190"/>
      <c r="G690" s="191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/>
      <c r="C691" s="190"/>
      <c r="D691" s="190"/>
      <c r="E691" s="190"/>
      <c r="F691" s="190"/>
      <c r="G691" s="191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/>
      <c r="C692" s="190"/>
      <c r="D692" s="190"/>
      <c r="E692" s="190"/>
      <c r="F692" s="190"/>
      <c r="G692" s="191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/>
      <c r="C693" s="190"/>
      <c r="D693" s="190"/>
      <c r="E693" s="190"/>
      <c r="F693" s="190"/>
      <c r="G693" s="191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/>
      <c r="C694" s="190"/>
      <c r="D694" s="190"/>
      <c r="E694" s="190"/>
      <c r="F694" s="190"/>
      <c r="G694" s="191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/>
      <c r="C695" s="190"/>
      <c r="D695" s="190"/>
      <c r="E695" s="190"/>
      <c r="F695" s="190"/>
      <c r="G695" s="191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/>
      <c r="C696" s="190"/>
      <c r="D696" s="190"/>
      <c r="E696" s="190"/>
      <c r="F696" s="190"/>
      <c r="G696" s="191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/>
      <c r="C697" s="190"/>
      <c r="D697" s="190"/>
      <c r="E697" s="190"/>
      <c r="F697" s="190"/>
      <c r="G697" s="191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/>
      <c r="C698" s="190"/>
      <c r="D698" s="190"/>
      <c r="E698" s="190"/>
      <c r="F698" s="190"/>
      <c r="G698" s="191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/>
      <c r="C699" s="190"/>
      <c r="D699" s="190"/>
      <c r="E699" s="190"/>
      <c r="F699" s="190"/>
      <c r="G699" s="191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/>
      <c r="C700" s="190"/>
      <c r="D700" s="190"/>
      <c r="E700" s="190"/>
      <c r="F700" s="190"/>
      <c r="G700" s="191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/>
      <c r="C701" s="190"/>
      <c r="D701" s="190"/>
      <c r="E701" s="190"/>
      <c r="F701" s="190"/>
      <c r="G701" s="191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/>
      <c r="C702" s="190"/>
      <c r="D702" s="190"/>
      <c r="E702" s="190"/>
      <c r="F702" s="190"/>
      <c r="G702" s="191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/>
      <c r="C703" s="190"/>
      <c r="D703" s="190"/>
      <c r="E703" s="190"/>
      <c r="F703" s="190"/>
      <c r="G703" s="191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/>
      <c r="C704" s="190"/>
      <c r="D704" s="190"/>
      <c r="E704" s="190"/>
      <c r="F704" s="190"/>
      <c r="G704" s="191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/>
      <c r="C705" s="190"/>
      <c r="D705" s="190"/>
      <c r="E705" s="190"/>
      <c r="F705" s="190"/>
      <c r="G705" s="191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/>
      <c r="C706" s="190"/>
      <c r="D706" s="190"/>
      <c r="E706" s="190"/>
      <c r="F706" s="190"/>
      <c r="G706" s="191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/>
      <c r="C707" s="190"/>
      <c r="D707" s="190"/>
      <c r="E707" s="190"/>
      <c r="F707" s="190"/>
      <c r="G707" s="191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/>
      <c r="C708" s="190"/>
      <c r="D708" s="190"/>
      <c r="E708" s="190"/>
      <c r="F708" s="190"/>
      <c r="G708" s="191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/>
      <c r="C709" s="190"/>
      <c r="D709" s="190"/>
      <c r="E709" s="190"/>
      <c r="F709" s="190"/>
      <c r="G709" s="191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/>
      <c r="C710" s="190"/>
      <c r="D710" s="190"/>
      <c r="E710" s="190"/>
      <c r="F710" s="190"/>
      <c r="G710" s="191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/>
      <c r="C711" s="190"/>
      <c r="D711" s="190"/>
      <c r="E711" s="190"/>
      <c r="F711" s="190"/>
      <c r="G711" s="191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/>
      <c r="C712" s="190"/>
      <c r="D712" s="190"/>
      <c r="E712" s="190"/>
      <c r="F712" s="190"/>
      <c r="G712" s="191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/>
      <c r="C713" s="190"/>
      <c r="D713" s="190"/>
      <c r="E713" s="190"/>
      <c r="F713" s="190"/>
      <c r="G713" s="191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/>
      <c r="C714" s="190"/>
      <c r="D714" s="190"/>
      <c r="E714" s="190"/>
      <c r="F714" s="190"/>
      <c r="G714" s="191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/>
      <c r="C715" s="190"/>
      <c r="D715" s="190"/>
      <c r="E715" s="190"/>
      <c r="F715" s="190"/>
      <c r="G715" s="191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/>
      <c r="C716" s="190"/>
      <c r="D716" s="190"/>
      <c r="E716" s="190"/>
      <c r="F716" s="190"/>
      <c r="G716" s="191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/>
      <c r="C717" s="190"/>
      <c r="D717" s="190"/>
      <c r="E717" s="190"/>
      <c r="F717" s="190"/>
      <c r="G717" s="191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/>
      <c r="C718" s="190"/>
      <c r="D718" s="190"/>
      <c r="E718" s="190"/>
      <c r="F718" s="190"/>
      <c r="G718" s="191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/>
      <c r="C719" s="190"/>
      <c r="D719" s="190"/>
      <c r="E719" s="190"/>
      <c r="F719" s="190"/>
      <c r="G719" s="191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/>
      <c r="C720" s="190"/>
      <c r="D720" s="190"/>
      <c r="E720" s="190"/>
      <c r="F720" s="190"/>
      <c r="G720" s="191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/>
      <c r="C721" s="190"/>
      <c r="D721" s="190"/>
      <c r="E721" s="190"/>
      <c r="F721" s="190"/>
      <c r="G721" s="191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/>
      <c r="C722" s="190"/>
      <c r="D722" s="190"/>
      <c r="E722" s="190"/>
      <c r="F722" s="190"/>
      <c r="G722" s="191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/>
      <c r="C723" s="190"/>
      <c r="D723" s="190"/>
      <c r="E723" s="190"/>
      <c r="F723" s="190"/>
      <c r="G723" s="191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/>
      <c r="C724" s="190"/>
      <c r="D724" s="190"/>
      <c r="E724" s="190"/>
      <c r="F724" s="190"/>
      <c r="G724" s="191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/>
      <c r="C725" s="190"/>
      <c r="D725" s="190"/>
      <c r="E725" s="190"/>
      <c r="F725" s="190"/>
      <c r="G725" s="191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/>
      <c r="C726" s="190"/>
      <c r="D726" s="190"/>
      <c r="E726" s="190"/>
      <c r="F726" s="190"/>
      <c r="G726" s="191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/>
      <c r="C727" s="190"/>
      <c r="D727" s="190"/>
      <c r="E727" s="190"/>
      <c r="F727" s="190"/>
      <c r="G727" s="191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/>
      <c r="C728" s="190"/>
      <c r="D728" s="190"/>
      <c r="E728" s="190"/>
      <c r="F728" s="190"/>
      <c r="G728" s="191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/>
      <c r="C729" s="190"/>
      <c r="D729" s="190"/>
      <c r="E729" s="190"/>
      <c r="F729" s="190"/>
      <c r="G729" s="191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/>
      <c r="C730" s="190"/>
      <c r="D730" s="190"/>
      <c r="E730" s="190"/>
      <c r="F730" s="190"/>
      <c r="G730" s="191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/>
      <c r="C731" s="190"/>
      <c r="D731" s="190"/>
      <c r="E731" s="190"/>
      <c r="F731" s="190"/>
      <c r="G731" s="191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/>
      <c r="C732" s="190"/>
      <c r="D732" s="190"/>
      <c r="E732" s="190"/>
      <c r="F732" s="190"/>
      <c r="G732" s="191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/>
      <c r="C733" s="190"/>
      <c r="D733" s="190"/>
      <c r="E733" s="190"/>
      <c r="F733" s="190"/>
      <c r="G733" s="191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/>
      <c r="C734" s="190"/>
      <c r="D734" s="190"/>
      <c r="E734" s="190"/>
      <c r="F734" s="190"/>
      <c r="G734" s="191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/>
      <c r="C735" s="190"/>
      <c r="D735" s="190"/>
      <c r="E735" s="190"/>
      <c r="F735" s="190"/>
      <c r="G735" s="191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/>
      <c r="C736" s="190"/>
      <c r="D736" s="190"/>
      <c r="E736" s="190"/>
      <c r="F736" s="190"/>
      <c r="G736" s="191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/>
      <c r="C737" s="190"/>
      <c r="D737" s="190"/>
      <c r="E737" s="190"/>
      <c r="F737" s="190"/>
      <c r="G737" s="191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/>
      <c r="C738" s="190"/>
      <c r="D738" s="190"/>
      <c r="E738" s="190"/>
      <c r="F738" s="190"/>
      <c r="G738" s="191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/>
      <c r="C739" s="190"/>
      <c r="D739" s="190"/>
      <c r="E739" s="190"/>
      <c r="F739" s="190"/>
      <c r="G739" s="191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/>
      <c r="C740" s="190"/>
      <c r="D740" s="190"/>
      <c r="E740" s="190"/>
      <c r="F740" s="190"/>
      <c r="G740" s="191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/>
      <c r="C741" s="190"/>
      <c r="D741" s="190"/>
      <c r="E741" s="190"/>
      <c r="F741" s="190"/>
      <c r="G741" s="191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/>
      <c r="C742" s="190"/>
      <c r="D742" s="190"/>
      <c r="E742" s="190"/>
      <c r="F742" s="190"/>
      <c r="G742" s="191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/>
      <c r="C743" s="190"/>
      <c r="D743" s="190"/>
      <c r="E743" s="190"/>
      <c r="F743" s="190"/>
      <c r="G743" s="191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/>
      <c r="C744" s="190"/>
      <c r="D744" s="190"/>
      <c r="E744" s="190"/>
      <c r="F744" s="190"/>
      <c r="G744" s="191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/>
      <c r="C745" s="190"/>
      <c r="D745" s="190"/>
      <c r="E745" s="190"/>
      <c r="F745" s="190"/>
      <c r="G745" s="191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/>
      <c r="C746" s="190"/>
      <c r="D746" s="190"/>
      <c r="E746" s="190"/>
      <c r="F746" s="190"/>
      <c r="G746" s="191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/>
      <c r="C747" s="190"/>
      <c r="D747" s="190"/>
      <c r="E747" s="190"/>
      <c r="F747" s="190"/>
      <c r="G747" s="191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/>
      <c r="C748" s="190"/>
      <c r="D748" s="190"/>
      <c r="E748" s="190"/>
      <c r="F748" s="190"/>
      <c r="G748" s="191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/>
      <c r="C749" s="190"/>
      <c r="D749" s="190"/>
      <c r="E749" s="190"/>
      <c r="F749" s="190"/>
      <c r="G749" s="191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/>
      <c r="C750" s="190"/>
      <c r="D750" s="190"/>
      <c r="E750" s="190"/>
      <c r="F750" s="190"/>
      <c r="G750" s="191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/>
      <c r="C751" s="190"/>
      <c r="D751" s="190"/>
      <c r="E751" s="190"/>
      <c r="F751" s="190"/>
      <c r="G751" s="191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/>
      <c r="C752" s="190"/>
      <c r="D752" s="190"/>
      <c r="E752" s="190"/>
      <c r="F752" s="190"/>
      <c r="G752" s="191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/>
      <c r="C753" s="190"/>
      <c r="D753" s="190"/>
      <c r="E753" s="190"/>
      <c r="F753" s="190"/>
      <c r="G753" s="191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8" max="9" width="5.38"/>
    <col customWidth="1" min="10" max="10" width="12.25"/>
    <col customWidth="1" min="11" max="11" width="10.75"/>
    <col customWidth="1" min="12" max="12" width="11.13"/>
    <col customWidth="1" min="13" max="13" width="7.75"/>
    <col customWidth="1" min="14" max="14" width="10.63"/>
    <col customWidth="1" min="15" max="15" width="12.63"/>
    <col customWidth="1" min="16" max="16" width="21.5"/>
    <col customWidth="1" min="17" max="18" width="5.38"/>
  </cols>
  <sheetData>
    <row r="1" ht="11.25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ht="15.75" customHeight="1">
      <c r="A2" s="64"/>
      <c r="B2" s="158" t="s">
        <v>162</v>
      </c>
      <c r="C2" s="159" t="s">
        <v>234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ht="15.75" customHeight="1">
      <c r="A3" s="64"/>
      <c r="B3" s="160"/>
      <c r="C3" s="161" t="s">
        <v>235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ht="11.25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>
      <c r="A5" s="64"/>
      <c r="B5" s="162" t="str">
        <f>IFERROR(__xludf.DUMMYFUNCTION("GOOGLEFINANCE(B16,""name"")"),"Yuanta/P-shares Taiwan Top 50 ETF")</f>
        <v>Yuanta/P-shares Taiwan Top 50 ETF</v>
      </c>
      <c r="H5" s="64"/>
      <c r="I5" s="64"/>
      <c r="J5" s="157"/>
      <c r="K5" s="64"/>
      <c r="L5" s="64"/>
      <c r="M5" s="64"/>
      <c r="N5" s="64"/>
      <c r="O5" s="264" t="s">
        <v>317</v>
      </c>
      <c r="P5" s="164" t="s">
        <v>337</v>
      </c>
      <c r="Q5" s="64"/>
      <c r="R5" s="64"/>
    </row>
    <row r="6" ht="11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</row>
    <row r="7" ht="27.75" customHeight="1">
      <c r="A7" s="165"/>
      <c r="B7" s="166" t="s">
        <v>85</v>
      </c>
      <c r="C7" s="165"/>
      <c r="D7" s="166" t="s">
        <v>237</v>
      </c>
      <c r="E7" s="166" t="s">
        <v>238</v>
      </c>
      <c r="F7" s="165"/>
      <c r="G7" s="165"/>
      <c r="H7" s="165"/>
      <c r="I7" s="165"/>
      <c r="J7" s="167" t="s">
        <v>239</v>
      </c>
      <c r="K7" s="168" t="s">
        <v>240</v>
      </c>
      <c r="L7" s="168" t="s">
        <v>241</v>
      </c>
      <c r="M7" s="165"/>
      <c r="N7" s="169" t="s">
        <v>242</v>
      </c>
      <c r="O7" s="165"/>
      <c r="P7" s="165"/>
      <c r="Q7" s="165"/>
      <c r="R7" s="165"/>
    </row>
    <row r="8">
      <c r="A8" s="64"/>
      <c r="B8" s="170">
        <f>IFERROR(__xludf.DUMMYFUNCTION("GOOGLEFINANCE(B16,""price"")"),105.4)</f>
        <v>105.4</v>
      </c>
      <c r="D8" s="171">
        <f>IFERROR(__xludf.DUMMYFUNCTION("IFERROR(GOOGLEFINANCE(B16,""change""),""-"")"),4.9)</f>
        <v>4.9</v>
      </c>
      <c r="E8" s="172">
        <f>IFERROR(__xludf.DUMMYFUNCTION("IFERROR(GOOGLEFINANCE(B16,""changepct"")/100,""-"")"),0.048799999999999996)</f>
        <v>0.0488</v>
      </c>
      <c r="F8" s="64"/>
      <c r="G8" s="64"/>
      <c r="H8" s="64"/>
      <c r="I8" s="64"/>
      <c r="J8" s="202">
        <f>SUM(K26:K100)</f>
        <v>0</v>
      </c>
      <c r="K8" s="203">
        <f>SUM(N26:N100)</f>
        <v>1092.75</v>
      </c>
      <c r="L8" s="175">
        <f>O42</f>
        <v>128.01475</v>
      </c>
      <c r="M8" s="64"/>
      <c r="N8" s="176" t="s">
        <v>163</v>
      </c>
      <c r="O8" s="64"/>
      <c r="P8" s="64"/>
      <c r="Q8" s="64"/>
      <c r="R8" s="64"/>
    </row>
    <row r="9" ht="11.25" customHeight="1">
      <c r="A9" s="64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64"/>
      <c r="R9" s="64"/>
    </row>
    <row r="10" ht="11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</row>
    <row r="11" ht="12.0" customHeight="1">
      <c r="A11" s="178"/>
      <c r="B11" s="70" t="s">
        <v>243</v>
      </c>
      <c r="C11" s="70" t="s">
        <v>244</v>
      </c>
      <c r="D11" s="70" t="s">
        <v>245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</row>
    <row r="12">
      <c r="A12" s="179"/>
      <c r="B12" s="180" t="str">
        <f>IFERROR(__xludf.DUMMYFUNCTION("IFERROR(GOOGLEFINANCE(B16,""marketcap""),""-"")"),"-")</f>
        <v>-</v>
      </c>
      <c r="C12" s="181" t="str">
        <f>IFERROR(__xludf.DUMMYFUNCTION("IFERROR(GOOGLEFINANCE(B16,""pe""),""-"")"),"-")</f>
        <v>-</v>
      </c>
      <c r="D12" s="181" t="str">
        <f>IFERROR(__xludf.DUMMYFUNCTION("IFERROR(GOOGLEFINANCE(B16,""beta""),""-"")"),"-")</f>
        <v>-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</row>
    <row r="13" ht="15.75" customHeight="1">
      <c r="A13" s="64"/>
      <c r="B13" s="64"/>
      <c r="C13" s="64"/>
      <c r="D13" s="64"/>
      <c r="E13" s="64"/>
      <c r="F13" s="64"/>
      <c r="G13" s="182" t="s">
        <v>246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</row>
    <row r="14" ht="15.7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</row>
    <row r="15" ht="15.75" customHeight="1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</row>
    <row r="16" ht="15.75" customHeight="1">
      <c r="A16" s="64"/>
      <c r="B16" s="183" t="str">
        <f>IF(ISBLANK(B3),"",B3&amp;":")&amp;B2</f>
        <v>TPE:0050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</row>
    <row r="17" ht="15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</row>
    <row r="18" ht="15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</row>
    <row r="19" ht="15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</row>
    <row r="20" ht="15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</row>
    <row r="22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</row>
    <row r="23" ht="15.75" customHeight="1">
      <c r="A23" s="64"/>
      <c r="B23" s="64"/>
      <c r="C23" s="64"/>
      <c r="D23" s="64"/>
      <c r="E23" s="64"/>
      <c r="F23" s="64"/>
      <c r="G23" s="64"/>
      <c r="H23" s="64"/>
      <c r="I23" s="64"/>
      <c r="K23" s="64"/>
      <c r="L23" s="64"/>
      <c r="M23" s="64"/>
      <c r="N23" s="64"/>
      <c r="O23" s="64"/>
      <c r="P23" s="64"/>
      <c r="Q23" s="64"/>
      <c r="R23" s="64"/>
    </row>
    <row r="24" ht="15.75" customHeight="1">
      <c r="A24" s="64"/>
      <c r="B24" s="64"/>
      <c r="C24" s="64"/>
      <c r="D24" s="64"/>
      <c r="E24" s="64"/>
      <c r="F24" s="64"/>
      <c r="G24" s="64"/>
      <c r="H24" s="64"/>
      <c r="I24" s="64"/>
      <c r="J24" s="156" t="s">
        <v>247</v>
      </c>
      <c r="K24" s="184"/>
      <c r="L24" s="64"/>
      <c r="M24" s="185"/>
      <c r="N24" s="184"/>
      <c r="O24" s="186"/>
      <c r="P24" s="64"/>
      <c r="Q24" s="64"/>
      <c r="R24" s="64"/>
    </row>
    <row r="25" ht="15.75" customHeight="1">
      <c r="A25" s="184"/>
      <c r="B25" s="187" t="str">
        <f>IFERROR(__xludf.DUMMYFUNCTION("GOOGLEFINANCE(B16, ""all"", EDATE(TODAY(), -LEFT(G13, FIND("" "", G13))), TODAY(), ""DAILY"")"),"Date")</f>
        <v>Date</v>
      </c>
      <c r="C25" s="188" t="str">
        <f>IFERROR(__xludf.DUMMYFUNCTION("""COMPUTED_VALUE"""),"Open")</f>
        <v>Open</v>
      </c>
      <c r="D25" s="188" t="str">
        <f>IFERROR(__xludf.DUMMYFUNCTION("""COMPUTED_VALUE"""),"High")</f>
        <v>High</v>
      </c>
      <c r="E25" s="188" t="str">
        <f>IFERROR(__xludf.DUMMYFUNCTION("""COMPUTED_VALUE"""),"Low")</f>
        <v>Low</v>
      </c>
      <c r="F25" s="188" t="str">
        <f>IFERROR(__xludf.DUMMYFUNCTION("""COMPUTED_VALUE"""),"Close")</f>
        <v>Close</v>
      </c>
      <c r="G25" s="188" t="str">
        <f>IFERROR(__xludf.DUMMYFUNCTION("""COMPUTED_VALUE"""),"Volume")</f>
        <v>Volume</v>
      </c>
      <c r="H25" s="184"/>
      <c r="I25" s="184"/>
      <c r="J25" s="187" t="s">
        <v>248</v>
      </c>
      <c r="K25" s="187" t="s">
        <v>88</v>
      </c>
      <c r="L25" s="187" t="s">
        <v>249</v>
      </c>
      <c r="M25" s="187" t="s">
        <v>250</v>
      </c>
      <c r="N25" s="187" t="s">
        <v>251</v>
      </c>
      <c r="O25" s="187" t="s">
        <v>252</v>
      </c>
      <c r="P25" s="187" t="s">
        <v>253</v>
      </c>
      <c r="Q25" s="184"/>
      <c r="R25" s="184"/>
    </row>
    <row r="26" ht="17.25" customHeight="1">
      <c r="A26" s="112"/>
      <c r="B26" s="189">
        <f>IFERROR(__xludf.DUMMYFUNCTION("""COMPUTED_VALUE"""),45992.5625)</f>
        <v>45992.5625</v>
      </c>
      <c r="C26" s="190">
        <f>IFERROR(__xludf.DUMMYFUNCTION("""COMPUTED_VALUE"""),61.8)</f>
        <v>61.8</v>
      </c>
      <c r="D26" s="190">
        <f>IFERROR(__xludf.DUMMYFUNCTION("""COMPUTED_VALUE"""),61.95)</f>
        <v>61.95</v>
      </c>
      <c r="E26" s="190">
        <f>IFERROR(__xludf.DUMMYFUNCTION("""COMPUTED_VALUE"""),61.4)</f>
        <v>61.4</v>
      </c>
      <c r="F26" s="190">
        <f>IFERROR(__xludf.DUMMYFUNCTION("""COMPUTED_VALUE"""),61.5)</f>
        <v>61.5</v>
      </c>
      <c r="G26" s="191">
        <f>IFERROR(__xludf.DUMMYFUNCTION("""COMPUTED_VALUE"""),9.6548521E7)</f>
        <v>96548521</v>
      </c>
      <c r="H26" s="112"/>
      <c r="I26" s="112"/>
      <c r="J26" s="192">
        <v>44308.0</v>
      </c>
      <c r="K26" s="204">
        <v>50.0</v>
      </c>
      <c r="L26" s="194">
        <v>138.0</v>
      </c>
      <c r="M26" s="94">
        <v>20.0</v>
      </c>
      <c r="N26" s="112">
        <f t="shared" ref="N26:N43" si="1">K26*L26+M26</f>
        <v>6920</v>
      </c>
      <c r="O26" s="112">
        <f>N26/K26</f>
        <v>138.4</v>
      </c>
      <c r="P26" s="112"/>
      <c r="Q26" s="112"/>
      <c r="R26" s="112"/>
    </row>
    <row r="27" ht="17.25" customHeight="1">
      <c r="A27" s="112"/>
      <c r="B27" s="189">
        <f>IFERROR(__xludf.DUMMYFUNCTION("""COMPUTED_VALUE"""),45993.5625)</f>
        <v>45993.5625</v>
      </c>
      <c r="C27" s="190">
        <f>IFERROR(__xludf.DUMMYFUNCTION("""COMPUTED_VALUE"""),61.8)</f>
        <v>61.8</v>
      </c>
      <c r="D27" s="190">
        <f>IFERROR(__xludf.DUMMYFUNCTION("""COMPUTED_VALUE"""),62.2)</f>
        <v>62.2</v>
      </c>
      <c r="E27" s="190">
        <f>IFERROR(__xludf.DUMMYFUNCTION("""COMPUTED_VALUE"""),61.65)</f>
        <v>61.65</v>
      </c>
      <c r="F27" s="190">
        <f>IFERROR(__xludf.DUMMYFUNCTION("""COMPUTED_VALUE"""),61.7)</f>
        <v>61.7</v>
      </c>
      <c r="G27" s="191">
        <f>IFERROR(__xludf.DUMMYFUNCTION("""COMPUTED_VALUE"""),4.1397425E7)</f>
        <v>41397425</v>
      </c>
      <c r="H27" s="112"/>
      <c r="I27" s="112"/>
      <c r="J27" s="192">
        <v>44319.0</v>
      </c>
      <c r="K27" s="204">
        <v>35.0</v>
      </c>
      <c r="L27" s="194">
        <v>138.5</v>
      </c>
      <c r="M27" s="94">
        <v>20.0</v>
      </c>
      <c r="N27" s="112">
        <f t="shared" si="1"/>
        <v>4867.5</v>
      </c>
      <c r="O27" s="196">
        <f t="shared" ref="O27:O43" si="2">SUM($N$26:N27)/SUM($K$26:K27)</f>
        <v>138.6764706</v>
      </c>
      <c r="P27" s="112"/>
      <c r="Q27" s="112"/>
      <c r="R27" s="112"/>
    </row>
    <row r="28" ht="17.25" customHeight="1">
      <c r="A28" s="112"/>
      <c r="B28" s="189">
        <f>IFERROR(__xludf.DUMMYFUNCTION("""COMPUTED_VALUE"""),45994.5625)</f>
        <v>45994.5625</v>
      </c>
      <c r="C28" s="190">
        <f>IFERROR(__xludf.DUMMYFUNCTION("""COMPUTED_VALUE"""),62.4)</f>
        <v>62.4</v>
      </c>
      <c r="D28" s="190">
        <f>IFERROR(__xludf.DUMMYFUNCTION("""COMPUTED_VALUE"""),62.5)</f>
        <v>62.5</v>
      </c>
      <c r="E28" s="190">
        <f>IFERROR(__xludf.DUMMYFUNCTION("""COMPUTED_VALUE"""),62.1)</f>
        <v>62.1</v>
      </c>
      <c r="F28" s="190">
        <f>IFERROR(__xludf.DUMMYFUNCTION("""COMPUTED_VALUE"""),62.3)</f>
        <v>62.3</v>
      </c>
      <c r="G28" s="191">
        <f>IFERROR(__xludf.DUMMYFUNCTION("""COMPUTED_VALUE"""),4.4855416E7)</f>
        <v>44855416</v>
      </c>
      <c r="H28" s="112"/>
      <c r="I28" s="112"/>
      <c r="J28" s="192">
        <v>44320.0</v>
      </c>
      <c r="K28" s="194">
        <v>30.0</v>
      </c>
      <c r="L28" s="194">
        <v>136.4</v>
      </c>
      <c r="M28" s="94">
        <v>20.0</v>
      </c>
      <c r="N28" s="112">
        <f t="shared" si="1"/>
        <v>4112</v>
      </c>
      <c r="O28" s="196">
        <f t="shared" si="2"/>
        <v>138.2565217</v>
      </c>
      <c r="P28" s="112"/>
      <c r="Q28" s="112"/>
      <c r="R28" s="112"/>
    </row>
    <row r="29" ht="17.25" customHeight="1">
      <c r="A29" s="112"/>
      <c r="B29" s="189">
        <f>IFERROR(__xludf.DUMMYFUNCTION("""COMPUTED_VALUE"""),45995.5625)</f>
        <v>45995.5625</v>
      </c>
      <c r="C29" s="190">
        <f>IFERROR(__xludf.DUMMYFUNCTION("""COMPUTED_VALUE"""),62.4)</f>
        <v>62.4</v>
      </c>
      <c r="D29" s="190">
        <f>IFERROR(__xludf.DUMMYFUNCTION("""COMPUTED_VALUE"""),62.5)</f>
        <v>62.5</v>
      </c>
      <c r="E29" s="190">
        <f>IFERROR(__xludf.DUMMYFUNCTION("""COMPUTED_VALUE"""),62.0)</f>
        <v>62</v>
      </c>
      <c r="F29" s="190">
        <f>IFERROR(__xludf.DUMMYFUNCTION("""COMPUTED_VALUE"""),62.2)</f>
        <v>62.2</v>
      </c>
      <c r="G29" s="191">
        <f>IFERROR(__xludf.DUMMYFUNCTION("""COMPUTED_VALUE"""),3.8785824E7)</f>
        <v>38785824</v>
      </c>
      <c r="H29" s="112"/>
      <c r="I29" s="112"/>
      <c r="J29" s="192">
        <v>44327.0</v>
      </c>
      <c r="K29" s="204">
        <v>50.0</v>
      </c>
      <c r="L29" s="194">
        <v>134.3</v>
      </c>
      <c r="M29" s="94">
        <v>20.0</v>
      </c>
      <c r="N29" s="112">
        <f t="shared" si="1"/>
        <v>6735</v>
      </c>
      <c r="O29" s="196">
        <f t="shared" si="2"/>
        <v>137.1787879</v>
      </c>
      <c r="P29" s="112"/>
      <c r="Q29" s="112"/>
      <c r="R29" s="112"/>
    </row>
    <row r="30" ht="17.25" customHeight="1">
      <c r="A30" s="112"/>
      <c r="B30" s="189">
        <f>IFERROR(__xludf.DUMMYFUNCTION("""COMPUTED_VALUE"""),45996.5625)</f>
        <v>45996.5625</v>
      </c>
      <c r="C30" s="190">
        <f>IFERROR(__xludf.DUMMYFUNCTION("""COMPUTED_VALUE"""),62.45)</f>
        <v>62.45</v>
      </c>
      <c r="D30" s="190">
        <f>IFERROR(__xludf.DUMMYFUNCTION("""COMPUTED_VALUE"""),62.75)</f>
        <v>62.75</v>
      </c>
      <c r="E30" s="190">
        <f>IFERROR(__xludf.DUMMYFUNCTION("""COMPUTED_VALUE"""),62.35)</f>
        <v>62.35</v>
      </c>
      <c r="F30" s="190">
        <f>IFERROR(__xludf.DUMMYFUNCTION("""COMPUTED_VALUE"""),62.75)</f>
        <v>62.75</v>
      </c>
      <c r="G30" s="191">
        <f>IFERROR(__xludf.DUMMYFUNCTION("""COMPUTED_VALUE"""),4.5051403E7)</f>
        <v>45051403</v>
      </c>
      <c r="H30" s="112"/>
      <c r="I30" s="112"/>
      <c r="J30" s="192">
        <v>44329.0</v>
      </c>
      <c r="K30" s="194">
        <v>50.0</v>
      </c>
      <c r="L30" s="194">
        <v>128.75</v>
      </c>
      <c r="M30" s="94">
        <v>20.0</v>
      </c>
      <c r="N30" s="112">
        <f t="shared" si="1"/>
        <v>6457.5</v>
      </c>
      <c r="O30" s="196">
        <f t="shared" si="2"/>
        <v>135.3116279</v>
      </c>
      <c r="P30" s="112"/>
      <c r="Q30" s="112"/>
      <c r="R30" s="112"/>
    </row>
    <row r="31" ht="17.25" customHeight="1">
      <c r="A31" s="112"/>
      <c r="B31" s="189">
        <f>IFERROR(__xludf.DUMMYFUNCTION("""COMPUTED_VALUE"""),45999.5625)</f>
        <v>45999.5625</v>
      </c>
      <c r="C31" s="190">
        <f>IFERROR(__xludf.DUMMYFUNCTION("""COMPUTED_VALUE"""),63.0)</f>
        <v>63</v>
      </c>
      <c r="D31" s="190">
        <f>IFERROR(__xludf.DUMMYFUNCTION("""COMPUTED_VALUE"""),63.7)</f>
        <v>63.7</v>
      </c>
      <c r="E31" s="190">
        <f>IFERROR(__xludf.DUMMYFUNCTION("""COMPUTED_VALUE"""),62.95)</f>
        <v>62.95</v>
      </c>
      <c r="F31" s="190">
        <f>IFERROR(__xludf.DUMMYFUNCTION("""COMPUTED_VALUE"""),63.7)</f>
        <v>63.7</v>
      </c>
      <c r="G31" s="191">
        <f>IFERROR(__xludf.DUMMYFUNCTION("""COMPUTED_VALUE"""),7.6124318E7)</f>
        <v>76124318</v>
      </c>
      <c r="H31" s="112"/>
      <c r="I31" s="112"/>
      <c r="J31" s="192">
        <v>44396.0</v>
      </c>
      <c r="K31" s="204">
        <v>50.0</v>
      </c>
      <c r="L31" s="194">
        <v>138.35</v>
      </c>
      <c r="M31" s="94">
        <v>20.0</v>
      </c>
      <c r="N31" s="112">
        <f t="shared" si="1"/>
        <v>6937.5</v>
      </c>
      <c r="O31" s="196">
        <f t="shared" si="2"/>
        <v>135.9603774</v>
      </c>
      <c r="P31" s="112"/>
      <c r="Q31" s="112"/>
      <c r="R31" s="112"/>
    </row>
    <row r="32" ht="17.25" customHeight="1">
      <c r="A32" s="112"/>
      <c r="B32" s="189">
        <f>IFERROR(__xludf.DUMMYFUNCTION("""COMPUTED_VALUE"""),46000.5625)</f>
        <v>46000.5625</v>
      </c>
      <c r="C32" s="190">
        <f>IFERROR(__xludf.DUMMYFUNCTION("""COMPUTED_VALUE"""),63.8)</f>
        <v>63.8</v>
      </c>
      <c r="D32" s="190">
        <f>IFERROR(__xludf.DUMMYFUNCTION("""COMPUTED_VALUE"""),63.85)</f>
        <v>63.85</v>
      </c>
      <c r="E32" s="190">
        <f>IFERROR(__xludf.DUMMYFUNCTION("""COMPUTED_VALUE"""),63.55)</f>
        <v>63.55</v>
      </c>
      <c r="F32" s="190">
        <f>IFERROR(__xludf.DUMMYFUNCTION("""COMPUTED_VALUE"""),63.6)</f>
        <v>63.6</v>
      </c>
      <c r="G32" s="191">
        <f>IFERROR(__xludf.DUMMYFUNCTION("""COMPUTED_VALUE"""),4.827133E7)</f>
        <v>48271330</v>
      </c>
      <c r="H32" s="112"/>
      <c r="I32" s="112"/>
      <c r="J32" s="192">
        <v>44403.0</v>
      </c>
      <c r="K32" s="194">
        <v>50.0</v>
      </c>
      <c r="L32" s="194">
        <v>136.55</v>
      </c>
      <c r="M32" s="94">
        <v>20.0</v>
      </c>
      <c r="N32" s="112">
        <f t="shared" si="1"/>
        <v>6847.5</v>
      </c>
      <c r="O32" s="196">
        <f t="shared" si="2"/>
        <v>136.1174603</v>
      </c>
      <c r="P32" s="94"/>
      <c r="Q32" s="112"/>
      <c r="R32" s="112"/>
    </row>
    <row r="33" ht="17.25" customHeight="1">
      <c r="A33" s="112"/>
      <c r="B33" s="189">
        <f>IFERROR(__xludf.DUMMYFUNCTION("""COMPUTED_VALUE"""),46001.5625)</f>
        <v>46001.5625</v>
      </c>
      <c r="C33" s="190">
        <f>IFERROR(__xludf.DUMMYFUNCTION("""COMPUTED_VALUE"""),63.7)</f>
        <v>63.7</v>
      </c>
      <c r="D33" s="190">
        <f>IFERROR(__xludf.DUMMYFUNCTION("""COMPUTED_VALUE"""),64.2)</f>
        <v>64.2</v>
      </c>
      <c r="E33" s="190">
        <f>IFERROR(__xludf.DUMMYFUNCTION("""COMPUTED_VALUE"""),63.65)</f>
        <v>63.65</v>
      </c>
      <c r="F33" s="190">
        <f>IFERROR(__xludf.DUMMYFUNCTION("""COMPUTED_VALUE"""),64.05)</f>
        <v>64.05</v>
      </c>
      <c r="G33" s="191">
        <f>IFERROR(__xludf.DUMMYFUNCTION("""COMPUTED_VALUE"""),6.4151249E7)</f>
        <v>64151249</v>
      </c>
      <c r="H33" s="112"/>
      <c r="I33" s="112"/>
      <c r="J33" s="197">
        <v>44421.0</v>
      </c>
      <c r="K33" s="194">
        <v>50.0</v>
      </c>
      <c r="L33" s="194">
        <v>136.0</v>
      </c>
      <c r="M33" s="94">
        <v>20.0</v>
      </c>
      <c r="N33" s="112">
        <f t="shared" si="1"/>
        <v>6820</v>
      </c>
      <c r="O33" s="196">
        <f t="shared" si="2"/>
        <v>136.1561644</v>
      </c>
      <c r="P33" s="112"/>
      <c r="Q33" s="112"/>
      <c r="R33" s="112"/>
    </row>
    <row r="34" ht="17.25" customHeight="1">
      <c r="A34" s="112"/>
      <c r="B34" s="189">
        <f>IFERROR(__xludf.DUMMYFUNCTION("""COMPUTED_VALUE"""),46002.5625)</f>
        <v>46002.5625</v>
      </c>
      <c r="C34" s="190">
        <f>IFERROR(__xludf.DUMMYFUNCTION("""COMPUTED_VALUE"""),64.3)</f>
        <v>64.3</v>
      </c>
      <c r="D34" s="190">
        <f>IFERROR(__xludf.DUMMYFUNCTION("""COMPUTED_VALUE"""),64.5)</f>
        <v>64.5</v>
      </c>
      <c r="E34" s="190">
        <f>IFERROR(__xludf.DUMMYFUNCTION("""COMPUTED_VALUE"""),63.2)</f>
        <v>63.2</v>
      </c>
      <c r="F34" s="190">
        <f>IFERROR(__xludf.DUMMYFUNCTION("""COMPUTED_VALUE"""),63.35)</f>
        <v>63.35</v>
      </c>
      <c r="G34" s="191">
        <f>IFERROR(__xludf.DUMMYFUNCTION("""COMPUTED_VALUE"""),9.4638653E7)</f>
        <v>94638653</v>
      </c>
      <c r="H34" s="112"/>
      <c r="I34" s="112"/>
      <c r="J34" s="197">
        <v>44427.0</v>
      </c>
      <c r="K34" s="204">
        <v>50.0</v>
      </c>
      <c r="L34" s="194">
        <v>132.1</v>
      </c>
      <c r="M34" s="94">
        <v>20.0</v>
      </c>
      <c r="N34" s="112">
        <f t="shared" si="1"/>
        <v>6625</v>
      </c>
      <c r="O34" s="196">
        <f t="shared" si="2"/>
        <v>135.7156627</v>
      </c>
      <c r="P34" s="112"/>
      <c r="Q34" s="112"/>
      <c r="R34" s="112"/>
    </row>
    <row r="35" ht="17.25" customHeight="1">
      <c r="A35" s="112"/>
      <c r="B35" s="189">
        <f>IFERROR(__xludf.DUMMYFUNCTION("""COMPUTED_VALUE"""),46003.5625)</f>
        <v>46003.5625</v>
      </c>
      <c r="C35" s="190">
        <f>IFERROR(__xludf.DUMMYFUNCTION("""COMPUTED_VALUE"""),63.55)</f>
        <v>63.55</v>
      </c>
      <c r="D35" s="190">
        <f>IFERROR(__xludf.DUMMYFUNCTION("""COMPUTED_VALUE"""),63.8)</f>
        <v>63.8</v>
      </c>
      <c r="E35" s="190">
        <f>IFERROR(__xludf.DUMMYFUNCTION("""COMPUTED_VALUE"""),63.3)</f>
        <v>63.3</v>
      </c>
      <c r="F35" s="190">
        <f>IFERROR(__xludf.DUMMYFUNCTION("""COMPUTED_VALUE"""),63.45)</f>
        <v>63.45</v>
      </c>
      <c r="G35" s="191">
        <f>IFERROR(__xludf.DUMMYFUNCTION("""COMPUTED_VALUE"""),5.7687594E7)</f>
        <v>57687594</v>
      </c>
      <c r="H35" s="112"/>
      <c r="I35" s="112"/>
      <c r="J35" s="197">
        <v>44461.0</v>
      </c>
      <c r="K35" s="194">
        <v>50.0</v>
      </c>
      <c r="L35" s="194">
        <v>137.2</v>
      </c>
      <c r="M35" s="94">
        <v>20.0</v>
      </c>
      <c r="N35" s="112">
        <f t="shared" si="1"/>
        <v>6880</v>
      </c>
      <c r="O35" s="196">
        <f t="shared" si="2"/>
        <v>135.9182796</v>
      </c>
      <c r="P35" s="112"/>
      <c r="Q35" s="112"/>
      <c r="R35" s="112"/>
    </row>
    <row r="36" ht="17.25" customHeight="1">
      <c r="A36" s="112"/>
      <c r="B36" s="189">
        <f>IFERROR(__xludf.DUMMYFUNCTION("""COMPUTED_VALUE"""),46006.5625)</f>
        <v>46006.5625</v>
      </c>
      <c r="C36" s="190">
        <f>IFERROR(__xludf.DUMMYFUNCTION("""COMPUTED_VALUE"""),62.5)</f>
        <v>62.5</v>
      </c>
      <c r="D36" s="190">
        <f>IFERROR(__xludf.DUMMYFUNCTION("""COMPUTED_VALUE"""),62.85)</f>
        <v>62.85</v>
      </c>
      <c r="E36" s="190">
        <f>IFERROR(__xludf.DUMMYFUNCTION("""COMPUTED_VALUE"""),62.4)</f>
        <v>62.4</v>
      </c>
      <c r="F36" s="190">
        <f>IFERROR(__xludf.DUMMYFUNCTION("""COMPUTED_VALUE"""),62.8)</f>
        <v>62.8</v>
      </c>
      <c r="G36" s="191">
        <f>IFERROR(__xludf.DUMMYFUNCTION("""COMPUTED_VALUE"""),1.05905436E8)</f>
        <v>105905436</v>
      </c>
      <c r="H36" s="112"/>
      <c r="I36" s="112"/>
      <c r="J36" s="197">
        <v>44468.0</v>
      </c>
      <c r="K36" s="194">
        <v>35.0</v>
      </c>
      <c r="L36" s="194">
        <v>135.95</v>
      </c>
      <c r="M36" s="94">
        <v>20.0</v>
      </c>
      <c r="N36" s="112">
        <f t="shared" si="1"/>
        <v>4778.25</v>
      </c>
      <c r="O36" s="196">
        <f t="shared" si="2"/>
        <v>135.9605</v>
      </c>
      <c r="P36" s="112"/>
      <c r="Q36" s="112"/>
      <c r="R36" s="112"/>
    </row>
    <row r="37" ht="17.25" customHeight="1">
      <c r="A37" s="112"/>
      <c r="B37" s="189">
        <f>IFERROR(__xludf.DUMMYFUNCTION("""COMPUTED_VALUE"""),46007.5625)</f>
        <v>46007.5625</v>
      </c>
      <c r="C37" s="190">
        <f>IFERROR(__xludf.DUMMYFUNCTION("""COMPUTED_VALUE"""),62.1)</f>
        <v>62.1</v>
      </c>
      <c r="D37" s="190">
        <f>IFERROR(__xludf.DUMMYFUNCTION("""COMPUTED_VALUE"""),62.25)</f>
        <v>62.25</v>
      </c>
      <c r="E37" s="190">
        <f>IFERROR(__xludf.DUMMYFUNCTION("""COMPUTED_VALUE"""),61.7)</f>
        <v>61.7</v>
      </c>
      <c r="F37" s="190">
        <f>IFERROR(__xludf.DUMMYFUNCTION("""COMPUTED_VALUE"""),62.25)</f>
        <v>62.25</v>
      </c>
      <c r="G37" s="191">
        <f>IFERROR(__xludf.DUMMYFUNCTION("""COMPUTED_VALUE"""),1.55552766E8)</f>
        <v>155552766</v>
      </c>
      <c r="H37" s="112"/>
      <c r="I37" s="112"/>
      <c r="J37" s="192">
        <v>44475.0</v>
      </c>
      <c r="K37" s="194">
        <v>10.0</v>
      </c>
      <c r="L37" s="194">
        <v>132.6</v>
      </c>
      <c r="M37" s="94">
        <v>20.0</v>
      </c>
      <c r="N37" s="112">
        <f t="shared" si="1"/>
        <v>1346</v>
      </c>
      <c r="O37" s="196">
        <f t="shared" si="2"/>
        <v>135.9338235</v>
      </c>
      <c r="P37" s="112"/>
      <c r="Q37" s="112"/>
      <c r="R37" s="112"/>
    </row>
    <row r="38" ht="17.25" customHeight="1">
      <c r="A38" s="112"/>
      <c r="B38" s="189">
        <f>IFERROR(__xludf.DUMMYFUNCTION("""COMPUTED_VALUE"""),46008.5625)</f>
        <v>46008.5625</v>
      </c>
      <c r="C38" s="190">
        <f>IFERROR(__xludf.DUMMYFUNCTION("""COMPUTED_VALUE"""),62.15)</f>
        <v>62.15</v>
      </c>
      <c r="D38" s="190">
        <f>IFERROR(__xludf.DUMMYFUNCTION("""COMPUTED_VALUE"""),62.45)</f>
        <v>62.45</v>
      </c>
      <c r="E38" s="190">
        <f>IFERROR(__xludf.DUMMYFUNCTION("""COMPUTED_VALUE"""),61.85)</f>
        <v>61.85</v>
      </c>
      <c r="F38" s="190">
        <f>IFERROR(__xludf.DUMMYFUNCTION("""COMPUTED_VALUE"""),61.9)</f>
        <v>61.9</v>
      </c>
      <c r="G38" s="191">
        <f>IFERROR(__xludf.DUMMYFUNCTION("""COMPUTED_VALUE"""),8.9657544E7)</f>
        <v>89657544</v>
      </c>
      <c r="H38" s="112"/>
      <c r="I38" s="112"/>
      <c r="J38" s="192">
        <v>44627.0</v>
      </c>
      <c r="K38" s="204">
        <v>30.0</v>
      </c>
      <c r="L38" s="194">
        <v>133.95</v>
      </c>
      <c r="M38" s="94">
        <v>20.0</v>
      </c>
      <c r="N38" s="112">
        <f t="shared" si="1"/>
        <v>4038.5</v>
      </c>
      <c r="O38" s="196">
        <f t="shared" si="2"/>
        <v>135.8606481</v>
      </c>
      <c r="P38" s="112"/>
      <c r="Q38" s="112"/>
      <c r="R38" s="112"/>
    </row>
    <row r="39" ht="17.25" customHeight="1">
      <c r="A39" s="112"/>
      <c r="B39" s="189">
        <f>IFERROR(__xludf.DUMMYFUNCTION("""COMPUTED_VALUE"""),46009.5625)</f>
        <v>46009.5625</v>
      </c>
      <c r="C39" s="190">
        <f>IFERROR(__xludf.DUMMYFUNCTION("""COMPUTED_VALUE"""),61.8)</f>
        <v>61.8</v>
      </c>
      <c r="D39" s="190">
        <f>IFERROR(__xludf.DUMMYFUNCTION("""COMPUTED_VALUE"""),62.1)</f>
        <v>62.1</v>
      </c>
      <c r="E39" s="190">
        <f>IFERROR(__xludf.DUMMYFUNCTION("""COMPUTED_VALUE"""),61.55)</f>
        <v>61.55</v>
      </c>
      <c r="F39" s="190">
        <f>IFERROR(__xludf.DUMMYFUNCTION("""COMPUTED_VALUE"""),61.9)</f>
        <v>61.9</v>
      </c>
      <c r="G39" s="191">
        <f>IFERROR(__xludf.DUMMYFUNCTION("""COMPUTED_VALUE"""),1.1253579E8)</f>
        <v>112535790</v>
      </c>
      <c r="H39" s="112"/>
      <c r="I39" s="112"/>
      <c r="J39" s="192">
        <v>44676.0</v>
      </c>
      <c r="K39" s="204">
        <v>50.0</v>
      </c>
      <c r="L39" s="194">
        <v>129.1</v>
      </c>
      <c r="M39" s="94">
        <v>20.0</v>
      </c>
      <c r="N39" s="112">
        <f t="shared" si="1"/>
        <v>6475</v>
      </c>
      <c r="O39" s="196">
        <f t="shared" si="2"/>
        <v>135.3216102</v>
      </c>
      <c r="P39" s="112"/>
      <c r="Q39" s="112"/>
      <c r="R39" s="112"/>
    </row>
    <row r="40" ht="17.25" customHeight="1">
      <c r="A40" s="112"/>
      <c r="B40" s="189">
        <f>IFERROR(__xludf.DUMMYFUNCTION("""COMPUTED_VALUE"""),46010.5625)</f>
        <v>46010.5625</v>
      </c>
      <c r="C40" s="190">
        <f>IFERROR(__xludf.DUMMYFUNCTION("""COMPUTED_VALUE"""),62.4)</f>
        <v>62.4</v>
      </c>
      <c r="D40" s="190">
        <f>IFERROR(__xludf.DUMMYFUNCTION("""COMPUTED_VALUE"""),62.75)</f>
        <v>62.75</v>
      </c>
      <c r="E40" s="190">
        <f>IFERROR(__xludf.DUMMYFUNCTION("""COMPUTED_VALUE"""),62.35)</f>
        <v>62.35</v>
      </c>
      <c r="F40" s="190">
        <f>IFERROR(__xludf.DUMMYFUNCTION("""COMPUTED_VALUE"""),62.5)</f>
        <v>62.5</v>
      </c>
      <c r="G40" s="191">
        <f>IFERROR(__xludf.DUMMYFUNCTION("""COMPUTED_VALUE"""),7.9433169E7)</f>
        <v>79433169</v>
      </c>
      <c r="H40" s="112"/>
      <c r="I40" s="112"/>
      <c r="J40" s="192">
        <v>44726.0</v>
      </c>
      <c r="K40" s="204">
        <v>110.0</v>
      </c>
      <c r="L40" s="194">
        <v>123.5</v>
      </c>
      <c r="M40" s="94">
        <v>20.0</v>
      </c>
      <c r="N40" s="112">
        <f t="shared" si="1"/>
        <v>13605</v>
      </c>
      <c r="O40" s="196">
        <f t="shared" si="2"/>
        <v>133.4925</v>
      </c>
      <c r="P40" s="112"/>
      <c r="Q40" s="112"/>
      <c r="R40" s="112"/>
    </row>
    <row r="41" ht="17.25" customHeight="1">
      <c r="A41" s="112"/>
      <c r="B41" s="189">
        <f>IFERROR(__xludf.DUMMYFUNCTION("""COMPUTED_VALUE"""),46013.5625)</f>
        <v>46013.5625</v>
      </c>
      <c r="C41" s="190">
        <f>IFERROR(__xludf.DUMMYFUNCTION("""COMPUTED_VALUE"""),63.3)</f>
        <v>63.3</v>
      </c>
      <c r="D41" s="190">
        <f>IFERROR(__xludf.DUMMYFUNCTION("""COMPUTED_VALUE"""),63.45)</f>
        <v>63.45</v>
      </c>
      <c r="E41" s="190">
        <f>IFERROR(__xludf.DUMMYFUNCTION("""COMPUTED_VALUE"""),63.05)</f>
        <v>63.05</v>
      </c>
      <c r="F41" s="190">
        <f>IFERROR(__xludf.DUMMYFUNCTION("""COMPUTED_VALUE"""),63.4)</f>
        <v>63.4</v>
      </c>
      <c r="G41" s="191">
        <f>IFERROR(__xludf.DUMMYFUNCTION("""COMPUTED_VALUE"""),9.159685E7)</f>
        <v>91596850</v>
      </c>
      <c r="H41" s="112"/>
      <c r="I41" s="112"/>
      <c r="J41" s="192">
        <v>44760.0</v>
      </c>
      <c r="K41" s="194">
        <v>200.0</v>
      </c>
      <c r="L41" s="194">
        <v>114.7</v>
      </c>
      <c r="M41" s="94">
        <v>20.0</v>
      </c>
      <c r="N41" s="112">
        <f t="shared" si="1"/>
        <v>22960</v>
      </c>
      <c r="O41" s="196">
        <f t="shared" si="2"/>
        <v>129.3386111</v>
      </c>
      <c r="P41" s="112"/>
      <c r="Q41" s="112"/>
      <c r="R41" s="112"/>
    </row>
    <row r="42" ht="17.25" customHeight="1">
      <c r="A42" s="112"/>
      <c r="B42" s="189">
        <f>IFERROR(__xludf.DUMMYFUNCTION("""COMPUTED_VALUE"""),46014.5625)</f>
        <v>46014.5625</v>
      </c>
      <c r="C42" s="190">
        <f>IFERROR(__xludf.DUMMYFUNCTION("""COMPUTED_VALUE"""),63.5)</f>
        <v>63.5</v>
      </c>
      <c r="D42" s="190">
        <f>IFERROR(__xludf.DUMMYFUNCTION("""COMPUTED_VALUE"""),63.8)</f>
        <v>63.8</v>
      </c>
      <c r="E42" s="190">
        <f>IFERROR(__xludf.DUMMYFUNCTION("""COMPUTED_VALUE"""),63.5)</f>
        <v>63.5</v>
      </c>
      <c r="F42" s="190">
        <f>IFERROR(__xludf.DUMMYFUNCTION("""COMPUTED_VALUE"""),63.7)</f>
        <v>63.7</v>
      </c>
      <c r="G42" s="191">
        <f>IFERROR(__xludf.DUMMYFUNCTION("""COMPUTED_VALUE"""),1.00327038E8)</f>
        <v>100327038</v>
      </c>
      <c r="H42" s="112"/>
      <c r="I42" s="112"/>
      <c r="J42" s="192">
        <v>44762.0</v>
      </c>
      <c r="K42" s="194">
        <v>100.0</v>
      </c>
      <c r="L42" s="194">
        <v>115.9</v>
      </c>
      <c r="M42" s="94">
        <v>20.0</v>
      </c>
      <c r="N42" s="112">
        <f t="shared" si="1"/>
        <v>11610</v>
      </c>
      <c r="O42" s="196">
        <f t="shared" si="2"/>
        <v>128.01475</v>
      </c>
      <c r="P42" s="112"/>
      <c r="Q42" s="112"/>
      <c r="R42" s="112"/>
    </row>
    <row r="43" ht="17.25" customHeight="1">
      <c r="A43" s="112"/>
      <c r="B43" s="189">
        <f>IFERROR(__xludf.DUMMYFUNCTION("""COMPUTED_VALUE"""),46015.5625)</f>
        <v>46015.5625</v>
      </c>
      <c r="C43" s="190">
        <f>IFERROR(__xludf.DUMMYFUNCTION("""COMPUTED_VALUE"""),63.95)</f>
        <v>63.95</v>
      </c>
      <c r="D43" s="190">
        <f>IFERROR(__xludf.DUMMYFUNCTION("""COMPUTED_VALUE"""),64.05)</f>
        <v>64.05</v>
      </c>
      <c r="E43" s="190">
        <f>IFERROR(__xludf.DUMMYFUNCTION("""COMPUTED_VALUE"""),63.75)</f>
        <v>63.75</v>
      </c>
      <c r="F43" s="190">
        <f>IFERROR(__xludf.DUMMYFUNCTION("""COMPUTED_VALUE"""),63.85)</f>
        <v>63.85</v>
      </c>
      <c r="G43" s="191">
        <f>IFERROR(__xludf.DUMMYFUNCTION("""COMPUTED_VALUE"""),6.2393202E7)</f>
        <v>62393202</v>
      </c>
      <c r="H43" s="112"/>
      <c r="I43" s="112"/>
      <c r="J43" s="205">
        <v>45114.0</v>
      </c>
      <c r="K43" s="194">
        <v>-1000.0</v>
      </c>
      <c r="L43" s="194">
        <v>127.15</v>
      </c>
      <c r="M43" s="94">
        <v>228.0</v>
      </c>
      <c r="N43" s="112">
        <f t="shared" si="1"/>
        <v>-126922</v>
      </c>
      <c r="O43" s="196" t="str">
        <f t="shared" si="2"/>
        <v>#DIV/0!</v>
      </c>
      <c r="P43" s="94" t="s">
        <v>340</v>
      </c>
      <c r="Q43" s="112"/>
      <c r="R43" s="112"/>
    </row>
    <row r="44" ht="17.25" customHeight="1">
      <c r="A44" s="112"/>
      <c r="B44" s="189">
        <f>IFERROR(__xludf.DUMMYFUNCTION("""COMPUTED_VALUE"""),46017.5625)</f>
        <v>46017.5625</v>
      </c>
      <c r="C44" s="190">
        <f>IFERROR(__xludf.DUMMYFUNCTION("""COMPUTED_VALUE"""),64.2)</f>
        <v>64.2</v>
      </c>
      <c r="D44" s="190">
        <f>IFERROR(__xludf.DUMMYFUNCTION("""COMPUTED_VALUE"""),64.5)</f>
        <v>64.5</v>
      </c>
      <c r="E44" s="190">
        <f>IFERROR(__xludf.DUMMYFUNCTION("""COMPUTED_VALUE"""),64.1)</f>
        <v>64.1</v>
      </c>
      <c r="F44" s="190">
        <f>IFERROR(__xludf.DUMMYFUNCTION("""COMPUTED_VALUE"""),64.4)</f>
        <v>64.4</v>
      </c>
      <c r="G44" s="191">
        <f>IFERROR(__xludf.DUMMYFUNCTION("""COMPUTED_VALUE"""),6.8362335E7)</f>
        <v>68362335</v>
      </c>
      <c r="H44" s="112"/>
      <c r="I44" s="112"/>
      <c r="J44" s="206">
        <f>TODAY()</f>
        <v>46172</v>
      </c>
      <c r="K44" s="112"/>
      <c r="L44" s="190">
        <f>B8</f>
        <v>105.4</v>
      </c>
      <c r="M44" s="112"/>
      <c r="N44" s="112"/>
      <c r="O44" s="112"/>
      <c r="P44" s="112"/>
      <c r="Q44" s="112"/>
      <c r="R44" s="112"/>
    </row>
    <row r="45" ht="17.25" customHeight="1">
      <c r="A45" s="112"/>
      <c r="B45" s="189">
        <f>IFERROR(__xludf.DUMMYFUNCTION("""COMPUTED_VALUE"""),46020.5625)</f>
        <v>46020.5625</v>
      </c>
      <c r="C45" s="190">
        <f>IFERROR(__xludf.DUMMYFUNCTION("""COMPUTED_VALUE"""),64.65)</f>
        <v>64.65</v>
      </c>
      <c r="D45" s="190">
        <f>IFERROR(__xludf.DUMMYFUNCTION("""COMPUTED_VALUE"""),65.35)</f>
        <v>65.35</v>
      </c>
      <c r="E45" s="190">
        <f>IFERROR(__xludf.DUMMYFUNCTION("""COMPUTED_VALUE"""),64.6)</f>
        <v>64.6</v>
      </c>
      <c r="F45" s="190">
        <f>IFERROR(__xludf.DUMMYFUNCTION("""COMPUTED_VALUE"""),65.25)</f>
        <v>65.25</v>
      </c>
      <c r="G45" s="191">
        <f>IFERROR(__xludf.DUMMYFUNCTION("""COMPUTED_VALUE"""),8.3563905E7)</f>
        <v>83563905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</row>
    <row r="46" ht="17.25" customHeight="1">
      <c r="A46" s="112"/>
      <c r="B46" s="189">
        <f>IFERROR(__xludf.DUMMYFUNCTION("""COMPUTED_VALUE"""),46021.5625)</f>
        <v>46021.5625</v>
      </c>
      <c r="C46" s="190">
        <f>IFERROR(__xludf.DUMMYFUNCTION("""COMPUTED_VALUE"""),64.9)</f>
        <v>64.9</v>
      </c>
      <c r="D46" s="190">
        <f>IFERROR(__xludf.DUMMYFUNCTION("""COMPUTED_VALUE"""),65.3)</f>
        <v>65.3</v>
      </c>
      <c r="E46" s="190">
        <f>IFERROR(__xludf.DUMMYFUNCTION("""COMPUTED_VALUE"""),64.75)</f>
        <v>64.75</v>
      </c>
      <c r="F46" s="190">
        <f>IFERROR(__xludf.DUMMYFUNCTION("""COMPUTED_VALUE"""),65.15)</f>
        <v>65.15</v>
      </c>
      <c r="G46" s="191">
        <f>IFERROR(__xludf.DUMMYFUNCTION("""COMPUTED_VALUE"""),5.8116367E7)</f>
        <v>58116367</v>
      </c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</row>
    <row r="47" ht="17.25" customHeight="1">
      <c r="A47" s="112"/>
      <c r="B47" s="189">
        <f>IFERROR(__xludf.DUMMYFUNCTION("""COMPUTED_VALUE"""),46022.5625)</f>
        <v>46022.5625</v>
      </c>
      <c r="C47" s="190">
        <f>IFERROR(__xludf.DUMMYFUNCTION("""COMPUTED_VALUE"""),65.1)</f>
        <v>65.1</v>
      </c>
      <c r="D47" s="190">
        <f>IFERROR(__xludf.DUMMYFUNCTION("""COMPUTED_VALUE"""),65.85)</f>
        <v>65.85</v>
      </c>
      <c r="E47" s="190">
        <f>IFERROR(__xludf.DUMMYFUNCTION("""COMPUTED_VALUE"""),64.9)</f>
        <v>64.9</v>
      </c>
      <c r="F47" s="190">
        <f>IFERROR(__xludf.DUMMYFUNCTION("""COMPUTED_VALUE"""),65.6)</f>
        <v>65.6</v>
      </c>
      <c r="G47" s="191">
        <f>IFERROR(__xludf.DUMMYFUNCTION("""COMPUTED_VALUE"""),6.9494353E7)</f>
        <v>69494353</v>
      </c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</row>
    <row r="48" ht="17.25" customHeight="1">
      <c r="A48" s="112"/>
      <c r="B48" s="189">
        <f>IFERROR(__xludf.DUMMYFUNCTION("""COMPUTED_VALUE"""),46024.5625)</f>
        <v>46024.5625</v>
      </c>
      <c r="C48" s="190">
        <f>IFERROR(__xludf.DUMMYFUNCTION("""COMPUTED_VALUE"""),66.0)</f>
        <v>66</v>
      </c>
      <c r="D48" s="190">
        <f>IFERROR(__xludf.DUMMYFUNCTION("""COMPUTED_VALUE"""),67.0)</f>
        <v>67</v>
      </c>
      <c r="E48" s="190">
        <f>IFERROR(__xludf.DUMMYFUNCTION("""COMPUTED_VALUE"""),65.8)</f>
        <v>65.8</v>
      </c>
      <c r="F48" s="190">
        <f>IFERROR(__xludf.DUMMYFUNCTION("""COMPUTED_VALUE"""),66.95)</f>
        <v>66.95</v>
      </c>
      <c r="G48" s="191">
        <f>IFERROR(__xludf.DUMMYFUNCTION("""COMPUTED_VALUE"""),7.787857E7)</f>
        <v>77878570</v>
      </c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</row>
    <row r="49" ht="17.25" customHeight="1">
      <c r="A49" s="112"/>
      <c r="B49" s="189">
        <f>IFERROR(__xludf.DUMMYFUNCTION("""COMPUTED_VALUE"""),46027.5625)</f>
        <v>46027.5625</v>
      </c>
      <c r="C49" s="190">
        <f>IFERROR(__xludf.DUMMYFUNCTION("""COMPUTED_VALUE"""),68.1)</f>
        <v>68.1</v>
      </c>
      <c r="D49" s="190">
        <f>IFERROR(__xludf.DUMMYFUNCTION("""COMPUTED_VALUE"""),70.05)</f>
        <v>70.05</v>
      </c>
      <c r="E49" s="190">
        <f>IFERROR(__xludf.DUMMYFUNCTION("""COMPUTED_VALUE"""),68.05)</f>
        <v>68.05</v>
      </c>
      <c r="F49" s="190">
        <f>IFERROR(__xludf.DUMMYFUNCTION("""COMPUTED_VALUE"""),69.5)</f>
        <v>69.5</v>
      </c>
      <c r="G49" s="191">
        <f>IFERROR(__xludf.DUMMYFUNCTION("""COMPUTED_VALUE"""),2.25924687E8)</f>
        <v>225924687</v>
      </c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</row>
    <row r="50" ht="17.25" customHeight="1">
      <c r="A50" s="112"/>
      <c r="B50" s="189">
        <f>IFERROR(__xludf.DUMMYFUNCTION("""COMPUTED_VALUE"""),46028.5625)</f>
        <v>46028.5625</v>
      </c>
      <c r="C50" s="190">
        <f>IFERROR(__xludf.DUMMYFUNCTION("""COMPUTED_VALUE"""),69.45)</f>
        <v>69.45</v>
      </c>
      <c r="D50" s="190">
        <f>IFERROR(__xludf.DUMMYFUNCTION("""COMPUTED_VALUE"""),70.4)</f>
        <v>70.4</v>
      </c>
      <c r="E50" s="190">
        <f>IFERROR(__xludf.DUMMYFUNCTION("""COMPUTED_VALUE"""),68.95)</f>
        <v>68.95</v>
      </c>
      <c r="F50" s="190">
        <f>IFERROR(__xludf.DUMMYFUNCTION("""COMPUTED_VALUE"""),70.4)</f>
        <v>70.4</v>
      </c>
      <c r="G50" s="191">
        <f>IFERROR(__xludf.DUMMYFUNCTION("""COMPUTED_VALUE"""),1.25256215E8)</f>
        <v>125256215</v>
      </c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 ht="17.25" customHeight="1">
      <c r="A51" s="112"/>
      <c r="B51" s="189">
        <f>IFERROR(__xludf.DUMMYFUNCTION("""COMPUTED_VALUE"""),46029.5625)</f>
        <v>46029.5625</v>
      </c>
      <c r="C51" s="190">
        <f>IFERROR(__xludf.DUMMYFUNCTION("""COMPUTED_VALUE"""),70.4)</f>
        <v>70.4</v>
      </c>
      <c r="D51" s="190">
        <f>IFERROR(__xludf.DUMMYFUNCTION("""COMPUTED_VALUE"""),70.45)</f>
        <v>70.45</v>
      </c>
      <c r="E51" s="190">
        <f>IFERROR(__xludf.DUMMYFUNCTION("""COMPUTED_VALUE"""),69.7)</f>
        <v>69.7</v>
      </c>
      <c r="F51" s="190">
        <f>IFERROR(__xludf.DUMMYFUNCTION("""COMPUTED_VALUE"""),69.85)</f>
        <v>69.85</v>
      </c>
      <c r="G51" s="191">
        <f>IFERROR(__xludf.DUMMYFUNCTION("""COMPUTED_VALUE"""),1.13869755E8)</f>
        <v>113869755</v>
      </c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</row>
    <row r="52" ht="17.25" customHeight="1">
      <c r="A52" s="112"/>
      <c r="B52" s="189">
        <f>IFERROR(__xludf.DUMMYFUNCTION("""COMPUTED_VALUE"""),46030.5625)</f>
        <v>46030.5625</v>
      </c>
      <c r="C52" s="190">
        <f>IFERROR(__xludf.DUMMYFUNCTION("""COMPUTED_VALUE"""),69.65)</f>
        <v>69.65</v>
      </c>
      <c r="D52" s="190">
        <f>IFERROR(__xludf.DUMMYFUNCTION("""COMPUTED_VALUE"""),70.35)</f>
        <v>70.35</v>
      </c>
      <c r="E52" s="190">
        <f>IFERROR(__xludf.DUMMYFUNCTION("""COMPUTED_VALUE"""),69.4)</f>
        <v>69.4</v>
      </c>
      <c r="F52" s="190">
        <f>IFERROR(__xludf.DUMMYFUNCTION("""COMPUTED_VALUE"""),70.1)</f>
        <v>70.1</v>
      </c>
      <c r="G52" s="191">
        <f>IFERROR(__xludf.DUMMYFUNCTION("""COMPUTED_VALUE"""),7.1394567E7)</f>
        <v>71394567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 ht="17.25" customHeight="1">
      <c r="A53" s="112"/>
      <c r="B53" s="189">
        <f>IFERROR(__xludf.DUMMYFUNCTION("""COMPUTED_VALUE"""),46031.5625)</f>
        <v>46031.5625</v>
      </c>
      <c r="C53" s="190">
        <f>IFERROR(__xludf.DUMMYFUNCTION("""COMPUTED_VALUE"""),69.8)</f>
        <v>69.8</v>
      </c>
      <c r="D53" s="190">
        <f>IFERROR(__xludf.DUMMYFUNCTION("""COMPUTED_VALUE"""),70.25)</f>
        <v>70.25</v>
      </c>
      <c r="E53" s="190">
        <f>IFERROR(__xludf.DUMMYFUNCTION("""COMPUTED_VALUE"""),68.9)</f>
        <v>68.9</v>
      </c>
      <c r="F53" s="190">
        <f>IFERROR(__xludf.DUMMYFUNCTION("""COMPUTED_VALUE"""),69.85)</f>
        <v>69.85</v>
      </c>
      <c r="G53" s="191">
        <f>IFERROR(__xludf.DUMMYFUNCTION("""COMPUTED_VALUE"""),1.06682469E8)</f>
        <v>106682469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</row>
    <row r="54" ht="17.25" customHeight="1">
      <c r="A54" s="112"/>
      <c r="B54" s="189">
        <f>IFERROR(__xludf.DUMMYFUNCTION("""COMPUTED_VALUE"""),46034.5625)</f>
        <v>46034.5625</v>
      </c>
      <c r="C54" s="190">
        <f>IFERROR(__xludf.DUMMYFUNCTION("""COMPUTED_VALUE"""),70.5)</f>
        <v>70.5</v>
      </c>
      <c r="D54" s="190">
        <f>IFERROR(__xludf.DUMMYFUNCTION("""COMPUTED_VALUE"""),70.55)</f>
        <v>70.55</v>
      </c>
      <c r="E54" s="190">
        <f>IFERROR(__xludf.DUMMYFUNCTION("""COMPUTED_VALUE"""),70.05)</f>
        <v>70.05</v>
      </c>
      <c r="F54" s="190">
        <f>IFERROR(__xludf.DUMMYFUNCTION("""COMPUTED_VALUE"""),70.35)</f>
        <v>70.35</v>
      </c>
      <c r="G54" s="191">
        <f>IFERROR(__xludf.DUMMYFUNCTION("""COMPUTED_VALUE"""),8.03654E7)</f>
        <v>80365400</v>
      </c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</row>
    <row r="55" ht="17.25" customHeight="1">
      <c r="A55" s="112"/>
      <c r="B55" s="189">
        <f>IFERROR(__xludf.DUMMYFUNCTION("""COMPUTED_VALUE"""),46035.5625)</f>
        <v>46035.5625</v>
      </c>
      <c r="C55" s="190">
        <f>IFERROR(__xludf.DUMMYFUNCTION("""COMPUTED_VALUE"""),71.1)</f>
        <v>71.1</v>
      </c>
      <c r="D55" s="190">
        <f>IFERROR(__xludf.DUMMYFUNCTION("""COMPUTED_VALUE"""),71.2)</f>
        <v>71.2</v>
      </c>
      <c r="E55" s="190">
        <f>IFERROR(__xludf.DUMMYFUNCTION("""COMPUTED_VALUE"""),70.3)</f>
        <v>70.3</v>
      </c>
      <c r="F55" s="190">
        <f>IFERROR(__xludf.DUMMYFUNCTION("""COMPUTED_VALUE"""),70.7)</f>
        <v>70.7</v>
      </c>
      <c r="G55" s="191">
        <f>IFERROR(__xludf.DUMMYFUNCTION("""COMPUTED_VALUE"""),9.9445355E7)</f>
        <v>99445355</v>
      </c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</row>
    <row r="56" ht="17.25" customHeight="1">
      <c r="A56" s="112"/>
      <c r="B56" s="189">
        <f>IFERROR(__xludf.DUMMYFUNCTION("""COMPUTED_VALUE"""),46036.5625)</f>
        <v>46036.5625</v>
      </c>
      <c r="C56" s="190">
        <f>IFERROR(__xludf.DUMMYFUNCTION("""COMPUTED_VALUE"""),70.95)</f>
        <v>70.95</v>
      </c>
      <c r="D56" s="190">
        <f>IFERROR(__xludf.DUMMYFUNCTION("""COMPUTED_VALUE"""),71.1)</f>
        <v>71.1</v>
      </c>
      <c r="E56" s="190">
        <f>IFERROR(__xludf.DUMMYFUNCTION("""COMPUTED_VALUE"""),70.65)</f>
        <v>70.65</v>
      </c>
      <c r="F56" s="190">
        <f>IFERROR(__xludf.DUMMYFUNCTION("""COMPUTED_VALUE"""),70.75)</f>
        <v>70.75</v>
      </c>
      <c r="G56" s="191">
        <f>IFERROR(__xludf.DUMMYFUNCTION("""COMPUTED_VALUE"""),8.2266008E7)</f>
        <v>82266008</v>
      </c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</row>
    <row r="57" ht="17.25" customHeight="1">
      <c r="A57" s="112"/>
      <c r="B57" s="189">
        <f>IFERROR(__xludf.DUMMYFUNCTION("""COMPUTED_VALUE"""),46037.5625)</f>
        <v>46037.5625</v>
      </c>
      <c r="C57" s="190">
        <f>IFERROR(__xludf.DUMMYFUNCTION("""COMPUTED_VALUE"""),70.7)</f>
        <v>70.7</v>
      </c>
      <c r="D57" s="190">
        <f>IFERROR(__xludf.DUMMYFUNCTION("""COMPUTED_VALUE"""),70.7)</f>
        <v>70.7</v>
      </c>
      <c r="E57" s="190">
        <f>IFERROR(__xludf.DUMMYFUNCTION("""COMPUTED_VALUE"""),70.15)</f>
        <v>70.15</v>
      </c>
      <c r="F57" s="190">
        <f>IFERROR(__xludf.DUMMYFUNCTION("""COMPUTED_VALUE"""),70.65)</f>
        <v>70.65</v>
      </c>
      <c r="G57" s="191">
        <f>IFERROR(__xludf.DUMMYFUNCTION("""COMPUTED_VALUE"""),8.9452635E7)</f>
        <v>89452635</v>
      </c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</row>
    <row r="58" ht="17.25" customHeight="1">
      <c r="A58" s="112"/>
      <c r="B58" s="189">
        <f>IFERROR(__xludf.DUMMYFUNCTION("""COMPUTED_VALUE"""),46038.5625)</f>
        <v>46038.5625</v>
      </c>
      <c r="C58" s="190">
        <f>IFERROR(__xludf.DUMMYFUNCTION("""COMPUTED_VALUE"""),71.75)</f>
        <v>71.75</v>
      </c>
      <c r="D58" s="190">
        <f>IFERROR(__xludf.DUMMYFUNCTION("""COMPUTED_VALUE"""),72.1)</f>
        <v>72.1</v>
      </c>
      <c r="E58" s="190">
        <f>IFERROR(__xludf.DUMMYFUNCTION("""COMPUTED_VALUE"""),71.2)</f>
        <v>71.2</v>
      </c>
      <c r="F58" s="190">
        <f>IFERROR(__xludf.DUMMYFUNCTION("""COMPUTED_VALUE"""),72.0)</f>
        <v>72</v>
      </c>
      <c r="G58" s="191">
        <f>IFERROR(__xludf.DUMMYFUNCTION("""COMPUTED_VALUE"""),9.7268614E7)</f>
        <v>97268614</v>
      </c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</row>
    <row r="59" ht="17.25" customHeight="1">
      <c r="A59" s="112"/>
      <c r="B59" s="189">
        <f>IFERROR(__xludf.DUMMYFUNCTION("""COMPUTED_VALUE"""),46041.5625)</f>
        <v>46041.5625</v>
      </c>
      <c r="C59" s="190">
        <f>IFERROR(__xludf.DUMMYFUNCTION("""COMPUTED_VALUE"""),71.7)</f>
        <v>71.7</v>
      </c>
      <c r="D59" s="190">
        <f>IFERROR(__xludf.DUMMYFUNCTION("""COMPUTED_VALUE"""),72.8)</f>
        <v>72.8</v>
      </c>
      <c r="E59" s="190">
        <f>IFERROR(__xludf.DUMMYFUNCTION("""COMPUTED_VALUE"""),71.45)</f>
        <v>71.45</v>
      </c>
      <c r="F59" s="190">
        <f>IFERROR(__xludf.DUMMYFUNCTION("""COMPUTED_VALUE"""),72.6)</f>
        <v>72.6</v>
      </c>
      <c r="G59" s="191">
        <f>IFERROR(__xludf.DUMMYFUNCTION("""COMPUTED_VALUE"""),1.16848644E8)</f>
        <v>116848644</v>
      </c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</row>
    <row r="60" ht="17.25" customHeight="1">
      <c r="A60" s="112"/>
      <c r="B60" s="189">
        <f>IFERROR(__xludf.DUMMYFUNCTION("""COMPUTED_VALUE"""),46042.5625)</f>
        <v>46042.5625</v>
      </c>
      <c r="C60" s="190">
        <f>IFERROR(__xludf.DUMMYFUNCTION("""COMPUTED_VALUE"""),71.9)</f>
        <v>71.9</v>
      </c>
      <c r="D60" s="190">
        <f>IFERROR(__xludf.DUMMYFUNCTION("""COMPUTED_VALUE"""),72.65)</f>
        <v>72.65</v>
      </c>
      <c r="E60" s="190">
        <f>IFERROR(__xludf.DUMMYFUNCTION("""COMPUTED_VALUE"""),71.85)</f>
        <v>71.85</v>
      </c>
      <c r="F60" s="190">
        <f>IFERROR(__xludf.DUMMYFUNCTION("""COMPUTED_VALUE"""),72.6)</f>
        <v>72.6</v>
      </c>
      <c r="G60" s="191">
        <f>IFERROR(__xludf.DUMMYFUNCTION("""COMPUTED_VALUE"""),1.04977401E8)</f>
        <v>104977401</v>
      </c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</row>
    <row r="61" ht="17.25" customHeight="1">
      <c r="A61" s="112"/>
      <c r="B61" s="189">
        <f>IFERROR(__xludf.DUMMYFUNCTION("""COMPUTED_VALUE"""),46043.5625)</f>
        <v>46043.5625</v>
      </c>
      <c r="C61" s="190">
        <f>IFERROR(__xludf.DUMMYFUNCTION("""COMPUTED_VALUE"""),71.8)</f>
        <v>71.8</v>
      </c>
      <c r="D61" s="190">
        <f>IFERROR(__xludf.DUMMYFUNCTION("""COMPUTED_VALUE"""),72.5)</f>
        <v>72.5</v>
      </c>
      <c r="E61" s="190">
        <f>IFERROR(__xludf.DUMMYFUNCTION("""COMPUTED_VALUE"""),71.7)</f>
        <v>71.7</v>
      </c>
      <c r="F61" s="190">
        <f>IFERROR(__xludf.DUMMYFUNCTION("""COMPUTED_VALUE"""),71.85)</f>
        <v>71.85</v>
      </c>
      <c r="G61" s="191">
        <f>IFERROR(__xludf.DUMMYFUNCTION("""COMPUTED_VALUE"""),1.61269608E8)</f>
        <v>161269608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</row>
    <row r="62" ht="17.25" customHeight="1">
      <c r="A62" s="112"/>
      <c r="B62" s="189">
        <f>IFERROR(__xludf.DUMMYFUNCTION("""COMPUTED_VALUE"""),46044.5625)</f>
        <v>46044.5625</v>
      </c>
      <c r="C62" s="190">
        <f>IFERROR(__xludf.DUMMYFUNCTION("""COMPUTED_VALUE"""),71.9)</f>
        <v>71.9</v>
      </c>
      <c r="D62" s="190">
        <f>IFERROR(__xludf.DUMMYFUNCTION("""COMPUTED_VALUE"""),72.05)</f>
        <v>72.05</v>
      </c>
      <c r="E62" s="190">
        <f>IFERROR(__xludf.DUMMYFUNCTION("""COMPUTED_VALUE"""),71.6)</f>
        <v>71.6</v>
      </c>
      <c r="F62" s="190">
        <f>IFERROR(__xludf.DUMMYFUNCTION("""COMPUTED_VALUE"""),71.8)</f>
        <v>71.8</v>
      </c>
      <c r="G62" s="191">
        <f>IFERROR(__xludf.DUMMYFUNCTION("""COMPUTED_VALUE"""),9.6360058E7)</f>
        <v>96360058</v>
      </c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</row>
    <row r="63" ht="17.25" customHeight="1">
      <c r="A63" s="112"/>
      <c r="B63" s="189">
        <f>IFERROR(__xludf.DUMMYFUNCTION("""COMPUTED_VALUE"""),46045.5625)</f>
        <v>46045.5625</v>
      </c>
      <c r="C63" s="190">
        <f>IFERROR(__xludf.DUMMYFUNCTION("""COMPUTED_VALUE"""),72.1)</f>
        <v>72.1</v>
      </c>
      <c r="D63" s="190">
        <f>IFERROR(__xludf.DUMMYFUNCTION("""COMPUTED_VALUE"""),72.3)</f>
        <v>72.3</v>
      </c>
      <c r="E63" s="190">
        <f>IFERROR(__xludf.DUMMYFUNCTION("""COMPUTED_VALUE"""),71.8)</f>
        <v>71.8</v>
      </c>
      <c r="F63" s="190">
        <f>IFERROR(__xludf.DUMMYFUNCTION("""COMPUTED_VALUE"""),72.25)</f>
        <v>72.25</v>
      </c>
      <c r="G63" s="191">
        <f>IFERROR(__xludf.DUMMYFUNCTION("""COMPUTED_VALUE"""),6.870132E7)</f>
        <v>68701320</v>
      </c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</row>
    <row r="64" ht="17.25" customHeight="1">
      <c r="A64" s="112"/>
      <c r="B64" s="189">
        <f>IFERROR(__xludf.DUMMYFUNCTION("""COMPUTED_VALUE"""),46048.5625)</f>
        <v>46048.5625</v>
      </c>
      <c r="C64" s="190">
        <f>IFERROR(__xludf.DUMMYFUNCTION("""COMPUTED_VALUE"""),72.25)</f>
        <v>72.25</v>
      </c>
      <c r="D64" s="190">
        <f>IFERROR(__xludf.DUMMYFUNCTION("""COMPUTED_VALUE"""),72.65)</f>
        <v>72.65</v>
      </c>
      <c r="E64" s="190">
        <f>IFERROR(__xludf.DUMMYFUNCTION("""COMPUTED_VALUE"""),72.2)</f>
        <v>72.2</v>
      </c>
      <c r="F64" s="190">
        <f>IFERROR(__xludf.DUMMYFUNCTION("""COMPUTED_VALUE"""),72.25)</f>
        <v>72.25</v>
      </c>
      <c r="G64" s="191">
        <f>IFERROR(__xludf.DUMMYFUNCTION("""COMPUTED_VALUE"""),8.4082813E7)</f>
        <v>84082813</v>
      </c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</row>
    <row r="65" ht="17.25" customHeight="1">
      <c r="A65" s="112"/>
      <c r="B65" s="189">
        <f>IFERROR(__xludf.DUMMYFUNCTION("""COMPUTED_VALUE"""),46049.5625)</f>
        <v>46049.5625</v>
      </c>
      <c r="C65" s="190">
        <f>IFERROR(__xludf.DUMMYFUNCTION("""COMPUTED_VALUE"""),72.4)</f>
        <v>72.4</v>
      </c>
      <c r="D65" s="190">
        <f>IFERROR(__xludf.DUMMYFUNCTION("""COMPUTED_VALUE"""),73.15)</f>
        <v>73.15</v>
      </c>
      <c r="E65" s="190">
        <f>IFERROR(__xludf.DUMMYFUNCTION("""COMPUTED_VALUE"""),72.35)</f>
        <v>72.35</v>
      </c>
      <c r="F65" s="190">
        <f>IFERROR(__xludf.DUMMYFUNCTION("""COMPUTED_VALUE"""),73.05)</f>
        <v>73.05</v>
      </c>
      <c r="G65" s="191">
        <f>IFERROR(__xludf.DUMMYFUNCTION("""COMPUTED_VALUE"""),7.042112E7)</f>
        <v>70421120</v>
      </c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</row>
    <row r="66" ht="17.25" customHeight="1">
      <c r="A66" s="112"/>
      <c r="B66" s="189">
        <f>IFERROR(__xludf.DUMMYFUNCTION("""COMPUTED_VALUE"""),46050.5625)</f>
        <v>46050.5625</v>
      </c>
      <c r="C66" s="190">
        <f>IFERROR(__xludf.DUMMYFUNCTION("""COMPUTED_VALUE"""),73.55)</f>
        <v>73.55</v>
      </c>
      <c r="D66" s="190">
        <f>IFERROR(__xludf.DUMMYFUNCTION("""COMPUTED_VALUE"""),74.2)</f>
        <v>74.2</v>
      </c>
      <c r="E66" s="190">
        <f>IFERROR(__xludf.DUMMYFUNCTION("""COMPUTED_VALUE"""),73.5)</f>
        <v>73.5</v>
      </c>
      <c r="F66" s="190">
        <f>IFERROR(__xludf.DUMMYFUNCTION("""COMPUTED_VALUE"""),74.2)</f>
        <v>74.2</v>
      </c>
      <c r="G66" s="191">
        <f>IFERROR(__xludf.DUMMYFUNCTION("""COMPUTED_VALUE"""),8.7294077E7)</f>
        <v>87294077</v>
      </c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</row>
    <row r="67" ht="17.25" customHeight="1">
      <c r="A67" s="112"/>
      <c r="B67" s="189">
        <f>IFERROR(__xludf.DUMMYFUNCTION("""COMPUTED_VALUE"""),46051.5625)</f>
        <v>46051.5625</v>
      </c>
      <c r="C67" s="190">
        <f>IFERROR(__xludf.DUMMYFUNCTION("""COMPUTED_VALUE"""),74.4)</f>
        <v>74.4</v>
      </c>
      <c r="D67" s="190">
        <f>IFERROR(__xludf.DUMMYFUNCTION("""COMPUTED_VALUE"""),74.5)</f>
        <v>74.5</v>
      </c>
      <c r="E67" s="190">
        <f>IFERROR(__xludf.DUMMYFUNCTION("""COMPUTED_VALUE"""),73.5)</f>
        <v>73.5</v>
      </c>
      <c r="F67" s="190">
        <f>IFERROR(__xludf.DUMMYFUNCTION("""COMPUTED_VALUE"""),73.75)</f>
        <v>73.75</v>
      </c>
      <c r="G67" s="191">
        <f>IFERROR(__xludf.DUMMYFUNCTION("""COMPUTED_VALUE"""),1.11905919E8)</f>
        <v>111905919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</row>
    <row r="68" ht="17.25" customHeight="1">
      <c r="A68" s="112"/>
      <c r="B68" s="189">
        <f>IFERROR(__xludf.DUMMYFUNCTION("""COMPUTED_VALUE"""),46052.5625)</f>
        <v>46052.5625</v>
      </c>
      <c r="C68" s="190">
        <f>IFERROR(__xludf.DUMMYFUNCTION("""COMPUTED_VALUE"""),73.15)</f>
        <v>73.15</v>
      </c>
      <c r="D68" s="190">
        <f>IFERROR(__xludf.DUMMYFUNCTION("""COMPUTED_VALUE"""),73.2)</f>
        <v>73.2</v>
      </c>
      <c r="E68" s="190">
        <f>IFERROR(__xludf.DUMMYFUNCTION("""COMPUTED_VALUE"""),72.3)</f>
        <v>72.3</v>
      </c>
      <c r="F68" s="190">
        <f>IFERROR(__xludf.DUMMYFUNCTION("""COMPUTED_VALUE"""),72.6)</f>
        <v>72.6</v>
      </c>
      <c r="G68" s="191">
        <f>IFERROR(__xludf.DUMMYFUNCTION("""COMPUTED_VALUE"""),1.59055585E8)</f>
        <v>159055585</v>
      </c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</row>
    <row r="69" ht="17.25" customHeight="1">
      <c r="A69" s="112"/>
      <c r="B69" s="189">
        <f>IFERROR(__xludf.DUMMYFUNCTION("""COMPUTED_VALUE"""),46055.5625)</f>
        <v>46055.5625</v>
      </c>
      <c r="C69" s="190">
        <f>IFERROR(__xludf.DUMMYFUNCTION("""COMPUTED_VALUE"""),71.55)</f>
        <v>71.55</v>
      </c>
      <c r="D69" s="190">
        <f>IFERROR(__xludf.DUMMYFUNCTION("""COMPUTED_VALUE"""),71.75)</f>
        <v>71.75</v>
      </c>
      <c r="E69" s="190">
        <f>IFERROR(__xludf.DUMMYFUNCTION("""COMPUTED_VALUE"""),70.9)</f>
        <v>70.9</v>
      </c>
      <c r="F69" s="190">
        <f>IFERROR(__xludf.DUMMYFUNCTION("""COMPUTED_VALUE"""),71.5)</f>
        <v>71.5</v>
      </c>
      <c r="G69" s="191">
        <f>IFERROR(__xludf.DUMMYFUNCTION("""COMPUTED_VALUE"""),2.1126267E8)</f>
        <v>211262670</v>
      </c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</row>
    <row r="70" ht="17.25" customHeight="1">
      <c r="A70" s="112"/>
      <c r="B70" s="189">
        <f>IFERROR(__xludf.DUMMYFUNCTION("""COMPUTED_VALUE"""),46056.5625)</f>
        <v>46056.5625</v>
      </c>
      <c r="C70" s="190">
        <f>IFERROR(__xludf.DUMMYFUNCTION("""COMPUTED_VALUE"""),73.0)</f>
        <v>73</v>
      </c>
      <c r="D70" s="190">
        <f>IFERROR(__xludf.DUMMYFUNCTION("""COMPUTED_VALUE"""),73.05)</f>
        <v>73.05</v>
      </c>
      <c r="E70" s="190">
        <f>IFERROR(__xludf.DUMMYFUNCTION("""COMPUTED_VALUE"""),72.4)</f>
        <v>72.4</v>
      </c>
      <c r="F70" s="190">
        <f>IFERROR(__xludf.DUMMYFUNCTION("""COMPUTED_VALUE"""),72.95)</f>
        <v>72.95</v>
      </c>
      <c r="G70" s="191">
        <f>IFERROR(__xludf.DUMMYFUNCTION("""COMPUTED_VALUE"""),7.092693E7)</f>
        <v>70926930</v>
      </c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</row>
    <row r="71" ht="17.25" customHeight="1">
      <c r="A71" s="112"/>
      <c r="B71" s="189">
        <f>IFERROR(__xludf.DUMMYFUNCTION("""COMPUTED_VALUE"""),46057.5625)</f>
        <v>46057.5625</v>
      </c>
      <c r="C71" s="190">
        <f>IFERROR(__xludf.DUMMYFUNCTION("""COMPUTED_VALUE"""),72.4)</f>
        <v>72.4</v>
      </c>
      <c r="D71" s="190">
        <f>IFERROR(__xludf.DUMMYFUNCTION("""COMPUTED_VALUE"""),73.15)</f>
        <v>73.15</v>
      </c>
      <c r="E71" s="190">
        <f>IFERROR(__xludf.DUMMYFUNCTION("""COMPUTED_VALUE"""),72.3)</f>
        <v>72.3</v>
      </c>
      <c r="F71" s="190">
        <f>IFERROR(__xludf.DUMMYFUNCTION("""COMPUTED_VALUE"""),72.9)</f>
        <v>72.9</v>
      </c>
      <c r="G71" s="191">
        <f>IFERROR(__xludf.DUMMYFUNCTION("""COMPUTED_VALUE"""),5.6597222E7)</f>
        <v>56597222</v>
      </c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</row>
    <row r="72" ht="17.25" customHeight="1">
      <c r="A72" s="112"/>
      <c r="B72" s="189">
        <f>IFERROR(__xludf.DUMMYFUNCTION("""COMPUTED_VALUE"""),46058.5625)</f>
        <v>46058.5625</v>
      </c>
      <c r="C72" s="190">
        <f>IFERROR(__xludf.DUMMYFUNCTION("""COMPUTED_VALUE"""),72.05)</f>
        <v>72.05</v>
      </c>
      <c r="D72" s="190">
        <f>IFERROR(__xludf.DUMMYFUNCTION("""COMPUTED_VALUE"""),72.25)</f>
        <v>72.25</v>
      </c>
      <c r="E72" s="190">
        <f>IFERROR(__xludf.DUMMYFUNCTION("""COMPUTED_VALUE"""),71.75)</f>
        <v>71.75</v>
      </c>
      <c r="F72" s="190">
        <f>IFERROR(__xludf.DUMMYFUNCTION("""COMPUTED_VALUE"""),72.0)</f>
        <v>72</v>
      </c>
      <c r="G72" s="191">
        <f>IFERROR(__xludf.DUMMYFUNCTION("""COMPUTED_VALUE"""),9.574629E7)</f>
        <v>95746290</v>
      </c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</row>
    <row r="73" ht="17.25" customHeight="1">
      <c r="A73" s="112"/>
      <c r="B73" s="189">
        <f>IFERROR(__xludf.DUMMYFUNCTION("""COMPUTED_VALUE"""),46059.5625)</f>
        <v>46059.5625</v>
      </c>
      <c r="C73" s="190">
        <f>IFERROR(__xludf.DUMMYFUNCTION("""COMPUTED_VALUE"""),71.4)</f>
        <v>71.4</v>
      </c>
      <c r="D73" s="190">
        <f>IFERROR(__xludf.DUMMYFUNCTION("""COMPUTED_VALUE"""),72.25)</f>
        <v>72.25</v>
      </c>
      <c r="E73" s="190">
        <f>IFERROR(__xludf.DUMMYFUNCTION("""COMPUTED_VALUE"""),70.8)</f>
        <v>70.8</v>
      </c>
      <c r="F73" s="190">
        <f>IFERROR(__xludf.DUMMYFUNCTION("""COMPUTED_VALUE"""),71.9)</f>
        <v>71.9</v>
      </c>
      <c r="G73" s="191">
        <f>IFERROR(__xludf.DUMMYFUNCTION("""COMPUTED_VALUE"""),1.02980565E8)</f>
        <v>102980565</v>
      </c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</row>
    <row r="74" ht="17.25" customHeight="1">
      <c r="A74" s="112"/>
      <c r="B74" s="189">
        <f>IFERROR(__xludf.DUMMYFUNCTION("""COMPUTED_VALUE"""),46062.5625)</f>
        <v>46062.5625</v>
      </c>
      <c r="C74" s="190">
        <f>IFERROR(__xludf.DUMMYFUNCTION("""COMPUTED_VALUE"""),74.05)</f>
        <v>74.05</v>
      </c>
      <c r="D74" s="190">
        <f>IFERROR(__xludf.DUMMYFUNCTION("""COMPUTED_VALUE"""),74.15)</f>
        <v>74.15</v>
      </c>
      <c r="E74" s="190">
        <f>IFERROR(__xludf.DUMMYFUNCTION("""COMPUTED_VALUE"""),73.75)</f>
        <v>73.75</v>
      </c>
      <c r="F74" s="190">
        <f>IFERROR(__xludf.DUMMYFUNCTION("""COMPUTED_VALUE"""),73.95)</f>
        <v>73.95</v>
      </c>
      <c r="G74" s="191">
        <f>IFERROR(__xludf.DUMMYFUNCTION("""COMPUTED_VALUE"""),1.18533745E8)</f>
        <v>118533745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</row>
    <row r="75" ht="17.25" customHeight="1">
      <c r="A75" s="112"/>
      <c r="B75" s="189">
        <f>IFERROR(__xludf.DUMMYFUNCTION("""COMPUTED_VALUE"""),46063.5625)</f>
        <v>46063.5625</v>
      </c>
      <c r="C75" s="190">
        <f>IFERROR(__xludf.DUMMYFUNCTION("""COMPUTED_VALUE"""),74.65)</f>
        <v>74.65</v>
      </c>
      <c r="D75" s="190">
        <f>IFERROR(__xludf.DUMMYFUNCTION("""COMPUTED_VALUE"""),75.5)</f>
        <v>75.5</v>
      </c>
      <c r="E75" s="190">
        <f>IFERROR(__xludf.DUMMYFUNCTION("""COMPUTED_VALUE"""),74.6)</f>
        <v>74.6</v>
      </c>
      <c r="F75" s="190">
        <f>IFERROR(__xludf.DUMMYFUNCTION("""COMPUTED_VALUE"""),75.5)</f>
        <v>75.5</v>
      </c>
      <c r="G75" s="191">
        <f>IFERROR(__xludf.DUMMYFUNCTION("""COMPUTED_VALUE"""),9.8559015E7)</f>
        <v>98559015</v>
      </c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</row>
    <row r="76" ht="17.25" customHeight="1">
      <c r="A76" s="112"/>
      <c r="B76" s="189">
        <f>IFERROR(__xludf.DUMMYFUNCTION("""COMPUTED_VALUE"""),46064.5625)</f>
        <v>46064.5625</v>
      </c>
      <c r="C76" s="190">
        <f>IFERROR(__xludf.DUMMYFUNCTION("""COMPUTED_VALUE"""),75.9)</f>
        <v>75.9</v>
      </c>
      <c r="D76" s="190">
        <f>IFERROR(__xludf.DUMMYFUNCTION("""COMPUTED_VALUE"""),77.45)</f>
        <v>77.45</v>
      </c>
      <c r="E76" s="190">
        <f>IFERROR(__xludf.DUMMYFUNCTION("""COMPUTED_VALUE"""),75.9)</f>
        <v>75.9</v>
      </c>
      <c r="F76" s="190">
        <f>IFERROR(__xludf.DUMMYFUNCTION("""COMPUTED_VALUE"""),77.2)</f>
        <v>77.2</v>
      </c>
      <c r="G76" s="191">
        <f>IFERROR(__xludf.DUMMYFUNCTION("""COMPUTED_VALUE"""),1.14028587E8)</f>
        <v>114028587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</row>
    <row r="77" ht="17.25" customHeight="1">
      <c r="A77" s="112"/>
      <c r="B77" s="189">
        <f>IFERROR(__xludf.DUMMYFUNCTION("""COMPUTED_VALUE"""),46076.5625)</f>
        <v>46076.5625</v>
      </c>
      <c r="C77" s="190">
        <f>IFERROR(__xludf.DUMMYFUNCTION("""COMPUTED_VALUE"""),78.45)</f>
        <v>78.45</v>
      </c>
      <c r="D77" s="190">
        <f>IFERROR(__xludf.DUMMYFUNCTION("""COMPUTED_VALUE"""),78.45)</f>
        <v>78.45</v>
      </c>
      <c r="E77" s="190">
        <f>IFERROR(__xludf.DUMMYFUNCTION("""COMPUTED_VALUE"""),77.2)</f>
        <v>77.2</v>
      </c>
      <c r="F77" s="190">
        <f>IFERROR(__xludf.DUMMYFUNCTION("""COMPUTED_VALUE"""),77.4)</f>
        <v>77.4</v>
      </c>
      <c r="G77" s="191">
        <f>IFERROR(__xludf.DUMMYFUNCTION("""COMPUTED_VALUE"""),2.12974781E8)</f>
        <v>212974781</v>
      </c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</row>
    <row r="78" ht="17.25" customHeight="1">
      <c r="A78" s="112"/>
      <c r="B78" s="189">
        <f>IFERROR(__xludf.DUMMYFUNCTION("""COMPUTED_VALUE"""),46077.5625)</f>
        <v>46077.5625</v>
      </c>
      <c r="C78" s="190">
        <f>IFERROR(__xludf.DUMMYFUNCTION("""COMPUTED_VALUE"""),77.95)</f>
        <v>77.95</v>
      </c>
      <c r="D78" s="190">
        <f>IFERROR(__xludf.DUMMYFUNCTION("""COMPUTED_VALUE"""),79.65)</f>
        <v>79.65</v>
      </c>
      <c r="E78" s="190">
        <f>IFERROR(__xludf.DUMMYFUNCTION("""COMPUTED_VALUE"""),77.85)</f>
        <v>77.85</v>
      </c>
      <c r="F78" s="190">
        <f>IFERROR(__xludf.DUMMYFUNCTION("""COMPUTED_VALUE"""),79.4)</f>
        <v>79.4</v>
      </c>
      <c r="G78" s="191">
        <f>IFERROR(__xludf.DUMMYFUNCTION("""COMPUTED_VALUE"""),1.43721014E8)</f>
        <v>143721014</v>
      </c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</row>
    <row r="79" ht="17.25" customHeight="1">
      <c r="A79" s="112"/>
      <c r="B79" s="189">
        <f>IFERROR(__xludf.DUMMYFUNCTION("""COMPUTED_VALUE"""),46078.5625)</f>
        <v>46078.5625</v>
      </c>
      <c r="C79" s="190">
        <f>IFERROR(__xludf.DUMMYFUNCTION("""COMPUTED_VALUE"""),80.35)</f>
        <v>80.35</v>
      </c>
      <c r="D79" s="190">
        <f>IFERROR(__xludf.DUMMYFUNCTION("""COMPUTED_VALUE"""),81.8)</f>
        <v>81.8</v>
      </c>
      <c r="E79" s="190">
        <f>IFERROR(__xludf.DUMMYFUNCTION("""COMPUTED_VALUE"""),80.25)</f>
        <v>80.25</v>
      </c>
      <c r="F79" s="190">
        <f>IFERROR(__xludf.DUMMYFUNCTION("""COMPUTED_VALUE"""),81.1)</f>
        <v>81.1</v>
      </c>
      <c r="G79" s="191">
        <f>IFERROR(__xludf.DUMMYFUNCTION("""COMPUTED_VALUE"""),1.58561421E8)</f>
        <v>158561421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</row>
    <row r="80" ht="17.25" customHeight="1">
      <c r="A80" s="112"/>
      <c r="B80" s="189">
        <f>IFERROR(__xludf.DUMMYFUNCTION("""COMPUTED_VALUE"""),46079.5625)</f>
        <v>46079.5625</v>
      </c>
      <c r="C80" s="190">
        <f>IFERROR(__xludf.DUMMYFUNCTION("""COMPUTED_VALUE"""),81.25)</f>
        <v>81.25</v>
      </c>
      <c r="D80" s="190">
        <f>IFERROR(__xludf.DUMMYFUNCTION("""COMPUTED_VALUE"""),81.5)</f>
        <v>81.5</v>
      </c>
      <c r="E80" s="190">
        <f>IFERROR(__xludf.DUMMYFUNCTION("""COMPUTED_VALUE"""),80.8)</f>
        <v>80.8</v>
      </c>
      <c r="F80" s="190">
        <f>IFERROR(__xludf.DUMMYFUNCTION("""COMPUTED_VALUE"""),81.15)</f>
        <v>81.15</v>
      </c>
      <c r="G80" s="191">
        <f>IFERROR(__xludf.DUMMYFUNCTION("""COMPUTED_VALUE"""),1.23812672E8)</f>
        <v>123812672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</row>
    <row r="81" ht="17.25" customHeight="1">
      <c r="A81" s="112"/>
      <c r="B81" s="189">
        <f>IFERROR(__xludf.DUMMYFUNCTION("""COMPUTED_VALUE"""),46083.5625)</f>
        <v>46083.5625</v>
      </c>
      <c r="C81" s="190">
        <f>IFERROR(__xludf.DUMMYFUNCTION("""COMPUTED_VALUE"""),79.5)</f>
        <v>79.5</v>
      </c>
      <c r="D81" s="190">
        <f>IFERROR(__xludf.DUMMYFUNCTION("""COMPUTED_VALUE"""),80.8)</f>
        <v>80.8</v>
      </c>
      <c r="E81" s="190">
        <f>IFERROR(__xludf.DUMMYFUNCTION("""COMPUTED_VALUE"""),79.15)</f>
        <v>79.15</v>
      </c>
      <c r="F81" s="190">
        <f>IFERROR(__xludf.DUMMYFUNCTION("""COMPUTED_VALUE"""),80.35)</f>
        <v>80.35</v>
      </c>
      <c r="G81" s="191">
        <f>IFERROR(__xludf.DUMMYFUNCTION("""COMPUTED_VALUE"""),2.04278933E8)</f>
        <v>204278933</v>
      </c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</row>
    <row r="82" ht="17.25" customHeight="1">
      <c r="A82" s="112"/>
      <c r="B82" s="189">
        <f>IFERROR(__xludf.DUMMYFUNCTION("""COMPUTED_VALUE"""),46084.5625)</f>
        <v>46084.5625</v>
      </c>
      <c r="C82" s="190">
        <f>IFERROR(__xludf.DUMMYFUNCTION("""COMPUTED_VALUE"""),80.05)</f>
        <v>80.05</v>
      </c>
      <c r="D82" s="190">
        <f>IFERROR(__xludf.DUMMYFUNCTION("""COMPUTED_VALUE"""),80.4)</f>
        <v>80.4</v>
      </c>
      <c r="E82" s="190">
        <f>IFERROR(__xludf.DUMMYFUNCTION("""COMPUTED_VALUE"""),78.65)</f>
        <v>78.65</v>
      </c>
      <c r="F82" s="190">
        <f>IFERROR(__xludf.DUMMYFUNCTION("""COMPUTED_VALUE"""),78.75)</f>
        <v>78.75</v>
      </c>
      <c r="G82" s="191">
        <f>IFERROR(__xludf.DUMMYFUNCTION("""COMPUTED_VALUE"""),2.88356288E8)</f>
        <v>288356288</v>
      </c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</row>
    <row r="83" ht="17.25" customHeight="1">
      <c r="A83" s="112"/>
      <c r="B83" s="189">
        <f>IFERROR(__xludf.DUMMYFUNCTION("""COMPUTED_VALUE"""),46085.5625)</f>
        <v>46085.5625</v>
      </c>
      <c r="C83" s="190">
        <f>IFERROR(__xludf.DUMMYFUNCTION("""COMPUTED_VALUE"""),77.4)</f>
        <v>77.4</v>
      </c>
      <c r="D83" s="190">
        <f>IFERROR(__xludf.DUMMYFUNCTION("""COMPUTED_VALUE"""),77.45)</f>
        <v>77.45</v>
      </c>
      <c r="E83" s="190">
        <f>IFERROR(__xludf.DUMMYFUNCTION("""COMPUTED_VALUE"""),75.5)</f>
        <v>75.5</v>
      </c>
      <c r="F83" s="190">
        <f>IFERROR(__xludf.DUMMYFUNCTION("""COMPUTED_VALUE"""),75.6)</f>
        <v>75.6</v>
      </c>
      <c r="G83" s="191">
        <f>IFERROR(__xludf.DUMMYFUNCTION("""COMPUTED_VALUE"""),4.55564304E8)</f>
        <v>455564304</v>
      </c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</row>
    <row r="84" ht="17.25" customHeight="1">
      <c r="A84" s="112"/>
      <c r="B84" s="189">
        <f>IFERROR(__xludf.DUMMYFUNCTION("""COMPUTED_VALUE"""),46086.5625)</f>
        <v>46086.5625</v>
      </c>
      <c r="C84" s="190">
        <f>IFERROR(__xludf.DUMMYFUNCTION("""COMPUTED_VALUE"""),78.3)</f>
        <v>78.3</v>
      </c>
      <c r="D84" s="190">
        <f>IFERROR(__xludf.DUMMYFUNCTION("""COMPUTED_VALUE"""),78.85)</f>
        <v>78.85</v>
      </c>
      <c r="E84" s="190">
        <f>IFERROR(__xludf.DUMMYFUNCTION("""COMPUTED_VALUE"""),76.7)</f>
        <v>76.7</v>
      </c>
      <c r="F84" s="190">
        <f>IFERROR(__xludf.DUMMYFUNCTION("""COMPUTED_VALUE"""),77.4)</f>
        <v>77.4</v>
      </c>
      <c r="G84" s="191">
        <f>IFERROR(__xludf.DUMMYFUNCTION("""COMPUTED_VALUE"""),1.94777972E8)</f>
        <v>194777972</v>
      </c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</row>
    <row r="85" ht="17.25" customHeight="1">
      <c r="A85" s="112"/>
      <c r="B85" s="189">
        <f>IFERROR(__xludf.DUMMYFUNCTION("""COMPUTED_VALUE"""),46087.5625)</f>
        <v>46087.5625</v>
      </c>
      <c r="C85" s="190">
        <f>IFERROR(__xludf.DUMMYFUNCTION("""COMPUTED_VALUE"""),76.8)</f>
        <v>76.8</v>
      </c>
      <c r="D85" s="190">
        <f>IFERROR(__xludf.DUMMYFUNCTION("""COMPUTED_VALUE"""),77.3)</f>
        <v>77.3</v>
      </c>
      <c r="E85" s="190">
        <f>IFERROR(__xludf.DUMMYFUNCTION("""COMPUTED_VALUE"""),76.3)</f>
        <v>76.3</v>
      </c>
      <c r="F85" s="190">
        <f>IFERROR(__xludf.DUMMYFUNCTION("""COMPUTED_VALUE"""),76.85)</f>
        <v>76.85</v>
      </c>
      <c r="G85" s="191">
        <f>IFERROR(__xludf.DUMMYFUNCTION("""COMPUTED_VALUE"""),1.39697065E8)</f>
        <v>139697065</v>
      </c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</row>
    <row r="86" ht="17.25" customHeight="1">
      <c r="A86" s="112"/>
      <c r="B86" s="189">
        <f>IFERROR(__xludf.DUMMYFUNCTION("""COMPUTED_VALUE"""),46090.5625)</f>
        <v>46090.5625</v>
      </c>
      <c r="C86" s="190">
        <f>IFERROR(__xludf.DUMMYFUNCTION("""COMPUTED_VALUE"""),73.15)</f>
        <v>73.15</v>
      </c>
      <c r="D86" s="190">
        <f>IFERROR(__xludf.DUMMYFUNCTION("""COMPUTED_VALUE"""),73.6)</f>
        <v>73.6</v>
      </c>
      <c r="E86" s="190">
        <f>IFERROR(__xludf.DUMMYFUNCTION("""COMPUTED_VALUE"""),71.65)</f>
        <v>71.65</v>
      </c>
      <c r="F86" s="190">
        <f>IFERROR(__xludf.DUMMYFUNCTION("""COMPUTED_VALUE"""),73.6)</f>
        <v>73.6</v>
      </c>
      <c r="G86" s="191">
        <f>IFERROR(__xludf.DUMMYFUNCTION("""COMPUTED_VALUE"""),4.938902E8)</f>
        <v>493890200</v>
      </c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</row>
    <row r="87" ht="17.25" customHeight="1">
      <c r="A87" s="112"/>
      <c r="B87" s="189">
        <f>IFERROR(__xludf.DUMMYFUNCTION("""COMPUTED_VALUE"""),46091.5625)</f>
        <v>46091.5625</v>
      </c>
      <c r="C87" s="190">
        <f>IFERROR(__xludf.DUMMYFUNCTION("""COMPUTED_VALUE"""),75.9)</f>
        <v>75.9</v>
      </c>
      <c r="D87" s="190">
        <f>IFERROR(__xludf.DUMMYFUNCTION("""COMPUTED_VALUE"""),76.25)</f>
        <v>76.25</v>
      </c>
      <c r="E87" s="190">
        <f>IFERROR(__xludf.DUMMYFUNCTION("""COMPUTED_VALUE"""),74.3)</f>
        <v>74.3</v>
      </c>
      <c r="F87" s="190">
        <f>IFERROR(__xludf.DUMMYFUNCTION("""COMPUTED_VALUE"""),75.2)</f>
        <v>75.2</v>
      </c>
      <c r="G87" s="191">
        <f>IFERROR(__xludf.DUMMYFUNCTION("""COMPUTED_VALUE"""),1.64247105E8)</f>
        <v>164247105</v>
      </c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</row>
    <row r="88" ht="17.25" customHeight="1">
      <c r="A88" s="112"/>
      <c r="B88" s="189">
        <f>IFERROR(__xludf.DUMMYFUNCTION("""COMPUTED_VALUE"""),46092.5625)</f>
        <v>46092.5625</v>
      </c>
      <c r="C88" s="190">
        <f>IFERROR(__xludf.DUMMYFUNCTION("""COMPUTED_VALUE"""),76.3)</f>
        <v>76.3</v>
      </c>
      <c r="D88" s="190">
        <f>IFERROR(__xludf.DUMMYFUNCTION("""COMPUTED_VALUE"""),78.5)</f>
        <v>78.5</v>
      </c>
      <c r="E88" s="190">
        <f>IFERROR(__xludf.DUMMYFUNCTION("""COMPUTED_VALUE"""),76.1)</f>
        <v>76.1</v>
      </c>
      <c r="F88" s="190">
        <f>IFERROR(__xludf.DUMMYFUNCTION("""COMPUTED_VALUE"""),78.2)</f>
        <v>78.2</v>
      </c>
      <c r="G88" s="191">
        <f>IFERROR(__xludf.DUMMYFUNCTION("""COMPUTED_VALUE"""),1.47508364E8)</f>
        <v>147508364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</row>
    <row r="89" ht="17.25" customHeight="1">
      <c r="A89" s="112"/>
      <c r="B89" s="189">
        <f>IFERROR(__xludf.DUMMYFUNCTION("""COMPUTED_VALUE"""),46093.5625)</f>
        <v>46093.5625</v>
      </c>
      <c r="C89" s="190">
        <f>IFERROR(__xludf.DUMMYFUNCTION("""COMPUTED_VALUE"""),77.1)</f>
        <v>77.1</v>
      </c>
      <c r="D89" s="190">
        <f>IFERROR(__xludf.DUMMYFUNCTION("""COMPUTED_VALUE"""),77.6)</f>
        <v>77.6</v>
      </c>
      <c r="E89" s="190">
        <f>IFERROR(__xludf.DUMMYFUNCTION("""COMPUTED_VALUE"""),76.35)</f>
        <v>76.35</v>
      </c>
      <c r="F89" s="190">
        <f>IFERROR(__xludf.DUMMYFUNCTION("""COMPUTED_VALUE"""),76.6)</f>
        <v>76.6</v>
      </c>
      <c r="G89" s="191">
        <f>IFERROR(__xludf.DUMMYFUNCTION("""COMPUTED_VALUE"""),1.20680192E8)</f>
        <v>120680192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</row>
    <row r="90" ht="17.25" customHeight="1">
      <c r="A90" s="112"/>
      <c r="B90" s="189">
        <f>IFERROR(__xludf.DUMMYFUNCTION("""COMPUTED_VALUE"""),46094.5625)</f>
        <v>46094.5625</v>
      </c>
      <c r="C90" s="190">
        <f>IFERROR(__xludf.DUMMYFUNCTION("""COMPUTED_VALUE"""),75.15)</f>
        <v>75.15</v>
      </c>
      <c r="D90" s="190">
        <f>IFERROR(__xludf.DUMMYFUNCTION("""COMPUTED_VALUE"""),76.55)</f>
        <v>76.55</v>
      </c>
      <c r="E90" s="190">
        <f>IFERROR(__xludf.DUMMYFUNCTION("""COMPUTED_VALUE"""),75.0)</f>
        <v>75</v>
      </c>
      <c r="F90" s="190">
        <f>IFERROR(__xludf.DUMMYFUNCTION("""COMPUTED_VALUE"""),75.95)</f>
        <v>75.95</v>
      </c>
      <c r="G90" s="191">
        <f>IFERROR(__xludf.DUMMYFUNCTION("""COMPUTED_VALUE"""),1.0597028E8)</f>
        <v>105970280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</row>
    <row r="91" ht="17.25" customHeight="1">
      <c r="A91" s="112"/>
      <c r="B91" s="189">
        <f>IFERROR(__xludf.DUMMYFUNCTION("""COMPUTED_VALUE"""),46097.5625)</f>
        <v>46097.5625</v>
      </c>
      <c r="C91" s="190">
        <f>IFERROR(__xludf.DUMMYFUNCTION("""COMPUTED_VALUE"""),76.3)</f>
        <v>76.3</v>
      </c>
      <c r="D91" s="190">
        <f>IFERROR(__xludf.DUMMYFUNCTION("""COMPUTED_VALUE"""),76.7)</f>
        <v>76.7</v>
      </c>
      <c r="E91" s="190">
        <f>IFERROR(__xludf.DUMMYFUNCTION("""COMPUTED_VALUE"""),75.45)</f>
        <v>75.45</v>
      </c>
      <c r="F91" s="190">
        <f>IFERROR(__xludf.DUMMYFUNCTION("""COMPUTED_VALUE"""),75.6)</f>
        <v>75.6</v>
      </c>
      <c r="G91" s="191">
        <f>IFERROR(__xludf.DUMMYFUNCTION("""COMPUTED_VALUE"""),9.7649824E7)</f>
        <v>97649824</v>
      </c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</row>
    <row r="92" ht="17.25" customHeight="1">
      <c r="A92" s="112"/>
      <c r="B92" s="189">
        <f>IFERROR(__xludf.DUMMYFUNCTION("""COMPUTED_VALUE"""),46098.5625)</f>
        <v>46098.5625</v>
      </c>
      <c r="C92" s="190">
        <f>IFERROR(__xludf.DUMMYFUNCTION("""COMPUTED_VALUE"""),76.45)</f>
        <v>76.45</v>
      </c>
      <c r="D92" s="190">
        <f>IFERROR(__xludf.DUMMYFUNCTION("""COMPUTED_VALUE"""),77.0)</f>
        <v>77</v>
      </c>
      <c r="E92" s="190">
        <f>IFERROR(__xludf.DUMMYFUNCTION("""COMPUTED_VALUE"""),76.3)</f>
        <v>76.3</v>
      </c>
      <c r="F92" s="190">
        <f>IFERROR(__xludf.DUMMYFUNCTION("""COMPUTED_VALUE"""),76.65)</f>
        <v>76.65</v>
      </c>
      <c r="G92" s="191">
        <f>IFERROR(__xludf.DUMMYFUNCTION("""COMPUTED_VALUE"""),6.1503521E7)</f>
        <v>61503521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ht="17.25" customHeight="1">
      <c r="A93" s="112"/>
      <c r="B93" s="189">
        <f>IFERROR(__xludf.DUMMYFUNCTION("""COMPUTED_VALUE"""),46099.5625)</f>
        <v>46099.5625</v>
      </c>
      <c r="C93" s="190">
        <f>IFERROR(__xludf.DUMMYFUNCTION("""COMPUTED_VALUE"""),77.75)</f>
        <v>77.75</v>
      </c>
      <c r="D93" s="190">
        <f>IFERROR(__xludf.DUMMYFUNCTION("""COMPUTED_VALUE"""),78.05)</f>
        <v>78.05</v>
      </c>
      <c r="E93" s="190">
        <f>IFERROR(__xludf.DUMMYFUNCTION("""COMPUTED_VALUE"""),77.45)</f>
        <v>77.45</v>
      </c>
      <c r="F93" s="190">
        <f>IFERROR(__xludf.DUMMYFUNCTION("""COMPUTED_VALUE"""),77.8)</f>
        <v>77.8</v>
      </c>
      <c r="G93" s="191">
        <f>IFERROR(__xludf.DUMMYFUNCTION("""COMPUTED_VALUE"""),7.2305179E7)</f>
        <v>72305179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ht="17.25" customHeight="1">
      <c r="A94" s="112"/>
      <c r="B94" s="189">
        <f>IFERROR(__xludf.DUMMYFUNCTION("""COMPUTED_VALUE"""),46100.5625)</f>
        <v>46100.5625</v>
      </c>
      <c r="C94" s="190">
        <f>IFERROR(__xludf.DUMMYFUNCTION("""COMPUTED_VALUE"""),76.6)</f>
        <v>76.6</v>
      </c>
      <c r="D94" s="190">
        <f>IFERROR(__xludf.DUMMYFUNCTION("""COMPUTED_VALUE"""),76.8)</f>
        <v>76.8</v>
      </c>
      <c r="E94" s="190">
        <f>IFERROR(__xludf.DUMMYFUNCTION("""COMPUTED_VALUE"""),75.95)</f>
        <v>75.95</v>
      </c>
      <c r="F94" s="190">
        <f>IFERROR(__xludf.DUMMYFUNCTION("""COMPUTED_VALUE"""),76.0)</f>
        <v>76</v>
      </c>
      <c r="G94" s="191">
        <f>IFERROR(__xludf.DUMMYFUNCTION("""COMPUTED_VALUE"""),1.28778782E8)</f>
        <v>128778782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</row>
    <row r="95" ht="17.25" customHeight="1">
      <c r="A95" s="112"/>
      <c r="B95" s="189">
        <f>IFERROR(__xludf.DUMMYFUNCTION("""COMPUTED_VALUE"""),46101.5625)</f>
        <v>46101.5625</v>
      </c>
      <c r="C95" s="190">
        <f>IFERROR(__xludf.DUMMYFUNCTION("""COMPUTED_VALUE"""),76.2)</f>
        <v>76.2</v>
      </c>
      <c r="D95" s="190">
        <f>IFERROR(__xludf.DUMMYFUNCTION("""COMPUTED_VALUE"""),76.4)</f>
        <v>76.4</v>
      </c>
      <c r="E95" s="190">
        <f>IFERROR(__xludf.DUMMYFUNCTION("""COMPUTED_VALUE"""),75.5)</f>
        <v>75.5</v>
      </c>
      <c r="F95" s="190">
        <f>IFERROR(__xludf.DUMMYFUNCTION("""COMPUTED_VALUE"""),75.9)</f>
        <v>75.9</v>
      </c>
      <c r="G95" s="191">
        <f>IFERROR(__xludf.DUMMYFUNCTION("""COMPUTED_VALUE"""),6.7265037E7)</f>
        <v>67265037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</row>
    <row r="96" ht="17.25" customHeight="1">
      <c r="A96" s="112"/>
      <c r="B96" s="189">
        <f>IFERROR(__xludf.DUMMYFUNCTION("""COMPUTED_VALUE"""),46104.5625)</f>
        <v>46104.5625</v>
      </c>
      <c r="C96" s="190">
        <f>IFERROR(__xludf.DUMMYFUNCTION("""COMPUTED_VALUE"""),73.5)</f>
        <v>73.5</v>
      </c>
      <c r="D96" s="190">
        <f>IFERROR(__xludf.DUMMYFUNCTION("""COMPUTED_VALUE"""),74.45)</f>
        <v>74.45</v>
      </c>
      <c r="E96" s="190">
        <f>IFERROR(__xludf.DUMMYFUNCTION("""COMPUTED_VALUE"""),73.3)</f>
        <v>73.3</v>
      </c>
      <c r="F96" s="190">
        <f>IFERROR(__xludf.DUMMYFUNCTION("""COMPUTED_VALUE"""),74.25)</f>
        <v>74.25</v>
      </c>
      <c r="G96" s="191">
        <f>IFERROR(__xludf.DUMMYFUNCTION("""COMPUTED_VALUE"""),2.10502502E8)</f>
        <v>210502502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</row>
    <row r="97" ht="17.25" customHeight="1">
      <c r="A97" s="112"/>
      <c r="B97" s="189">
        <f>IFERROR(__xludf.DUMMYFUNCTION("""COMPUTED_VALUE"""),46105.5625)</f>
        <v>46105.5625</v>
      </c>
      <c r="C97" s="190">
        <f>IFERROR(__xludf.DUMMYFUNCTION("""COMPUTED_VALUE"""),75.5)</f>
        <v>75.5</v>
      </c>
      <c r="D97" s="190">
        <f>IFERROR(__xludf.DUMMYFUNCTION("""COMPUTED_VALUE"""),75.6)</f>
        <v>75.6</v>
      </c>
      <c r="E97" s="190">
        <f>IFERROR(__xludf.DUMMYFUNCTION("""COMPUTED_VALUE"""),73.8)</f>
        <v>73.8</v>
      </c>
      <c r="F97" s="190">
        <f>IFERROR(__xludf.DUMMYFUNCTION("""COMPUTED_VALUE"""),74.4)</f>
        <v>74.4</v>
      </c>
      <c r="G97" s="191">
        <f>IFERROR(__xludf.DUMMYFUNCTION("""COMPUTED_VALUE"""),8.3942753E7)</f>
        <v>83942753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</row>
    <row r="98" ht="17.25" customHeight="1">
      <c r="A98" s="112"/>
      <c r="B98" s="189">
        <f>IFERROR(__xludf.DUMMYFUNCTION("""COMPUTED_VALUE"""),46106.5625)</f>
        <v>46106.5625</v>
      </c>
      <c r="C98" s="190">
        <f>IFERROR(__xludf.DUMMYFUNCTION("""COMPUTED_VALUE"""),76.35)</f>
        <v>76.35</v>
      </c>
      <c r="D98" s="190">
        <f>IFERROR(__xludf.DUMMYFUNCTION("""COMPUTED_VALUE"""),76.65)</f>
        <v>76.65</v>
      </c>
      <c r="E98" s="190">
        <f>IFERROR(__xludf.DUMMYFUNCTION("""COMPUTED_VALUE"""),76.0)</f>
        <v>76</v>
      </c>
      <c r="F98" s="190">
        <f>IFERROR(__xludf.DUMMYFUNCTION("""COMPUTED_VALUE"""),76.2)</f>
        <v>76.2</v>
      </c>
      <c r="G98" s="191">
        <f>IFERROR(__xludf.DUMMYFUNCTION("""COMPUTED_VALUE"""),9.1456088E7)</f>
        <v>91456088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</row>
    <row r="99" ht="17.25" customHeight="1">
      <c r="A99" s="112"/>
      <c r="B99" s="189">
        <f>IFERROR(__xludf.DUMMYFUNCTION("""COMPUTED_VALUE"""),46107.5625)</f>
        <v>46107.5625</v>
      </c>
      <c r="C99" s="190">
        <f>IFERROR(__xludf.DUMMYFUNCTION("""COMPUTED_VALUE"""),76.3)</f>
        <v>76.3</v>
      </c>
      <c r="D99" s="190">
        <f>IFERROR(__xludf.DUMMYFUNCTION("""COMPUTED_VALUE"""),76.85)</f>
        <v>76.85</v>
      </c>
      <c r="E99" s="190">
        <f>IFERROR(__xludf.DUMMYFUNCTION("""COMPUTED_VALUE"""),75.6)</f>
        <v>75.6</v>
      </c>
      <c r="F99" s="190">
        <f>IFERROR(__xludf.DUMMYFUNCTION("""COMPUTED_VALUE"""),75.8)</f>
        <v>75.8</v>
      </c>
      <c r="G99" s="191">
        <f>IFERROR(__xludf.DUMMYFUNCTION("""COMPUTED_VALUE"""),7.6157584E7)</f>
        <v>76157584</v>
      </c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</row>
    <row r="100" ht="17.25" customHeight="1">
      <c r="A100" s="112"/>
      <c r="B100" s="189">
        <f>IFERROR(__xludf.DUMMYFUNCTION("""COMPUTED_VALUE"""),46108.5625)</f>
        <v>46108.5625</v>
      </c>
      <c r="C100" s="190">
        <f>IFERROR(__xludf.DUMMYFUNCTION("""COMPUTED_VALUE"""),74.45)</f>
        <v>74.45</v>
      </c>
      <c r="D100" s="190">
        <f>IFERROR(__xludf.DUMMYFUNCTION("""COMPUTED_VALUE"""),75.1)</f>
        <v>75.1</v>
      </c>
      <c r="E100" s="190">
        <f>IFERROR(__xludf.DUMMYFUNCTION("""COMPUTED_VALUE"""),74.1)</f>
        <v>74.1</v>
      </c>
      <c r="F100" s="190">
        <f>IFERROR(__xludf.DUMMYFUNCTION("""COMPUTED_VALUE"""),75.0)</f>
        <v>75</v>
      </c>
      <c r="G100" s="191">
        <f>IFERROR(__xludf.DUMMYFUNCTION("""COMPUTED_VALUE"""),1.06078935E8)</f>
        <v>106078935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</row>
    <row r="101" ht="17.25" customHeight="1">
      <c r="A101" s="112"/>
      <c r="B101" s="189">
        <f>IFERROR(__xludf.DUMMYFUNCTION("""COMPUTED_VALUE"""),46111.5625)</f>
        <v>46111.5625</v>
      </c>
      <c r="C101" s="190">
        <f>IFERROR(__xludf.DUMMYFUNCTION("""COMPUTED_VALUE"""),73.3)</f>
        <v>73.3</v>
      </c>
      <c r="D101" s="190">
        <f>IFERROR(__xludf.DUMMYFUNCTION("""COMPUTED_VALUE"""),74.05)</f>
        <v>74.05</v>
      </c>
      <c r="E101" s="190">
        <f>IFERROR(__xludf.DUMMYFUNCTION("""COMPUTED_VALUE"""),72.8)</f>
        <v>72.8</v>
      </c>
      <c r="F101" s="190">
        <f>IFERROR(__xludf.DUMMYFUNCTION("""COMPUTED_VALUE"""),73.9)</f>
        <v>73.9</v>
      </c>
      <c r="G101" s="191">
        <f>IFERROR(__xludf.DUMMYFUNCTION("""COMPUTED_VALUE"""),1.58608942E8)</f>
        <v>158608942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</row>
    <row r="102" ht="17.25" customHeight="1">
      <c r="A102" s="112"/>
      <c r="B102" s="189">
        <f>IFERROR(__xludf.DUMMYFUNCTION("""COMPUTED_VALUE"""),46112.5625)</f>
        <v>46112.5625</v>
      </c>
      <c r="C102" s="190">
        <f>IFERROR(__xludf.DUMMYFUNCTION("""COMPUTED_VALUE"""),73.35)</f>
        <v>73.35</v>
      </c>
      <c r="D102" s="190">
        <f>IFERROR(__xludf.DUMMYFUNCTION("""COMPUTED_VALUE"""),73.45)</f>
        <v>73.45</v>
      </c>
      <c r="E102" s="190">
        <f>IFERROR(__xludf.DUMMYFUNCTION("""COMPUTED_VALUE"""),72.15)</f>
        <v>72.15</v>
      </c>
      <c r="F102" s="190">
        <f>IFERROR(__xludf.DUMMYFUNCTION("""COMPUTED_VALUE"""),72.35)</f>
        <v>72.35</v>
      </c>
      <c r="G102" s="191">
        <f>IFERROR(__xludf.DUMMYFUNCTION("""COMPUTED_VALUE"""),2.31400782E8)</f>
        <v>231400782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</row>
    <row r="103" ht="17.25" customHeight="1">
      <c r="A103" s="112"/>
      <c r="B103" s="189">
        <f>IFERROR(__xludf.DUMMYFUNCTION("""COMPUTED_VALUE"""),46113.5625)</f>
        <v>46113.5625</v>
      </c>
      <c r="C103" s="190">
        <f>IFERROR(__xludf.DUMMYFUNCTION("""COMPUTED_VALUE"""),75.0)</f>
        <v>75</v>
      </c>
      <c r="D103" s="190">
        <f>IFERROR(__xludf.DUMMYFUNCTION("""COMPUTED_VALUE"""),75.6)</f>
        <v>75.6</v>
      </c>
      <c r="E103" s="190">
        <f>IFERROR(__xludf.DUMMYFUNCTION("""COMPUTED_VALUE"""),74.6)</f>
        <v>74.6</v>
      </c>
      <c r="F103" s="190">
        <f>IFERROR(__xludf.DUMMYFUNCTION("""COMPUTED_VALUE"""),75.45)</f>
        <v>75.45</v>
      </c>
      <c r="G103" s="191">
        <f>IFERROR(__xludf.DUMMYFUNCTION("""COMPUTED_VALUE"""),1.26562159E8)</f>
        <v>126562159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</row>
    <row r="104" ht="17.25" customHeight="1">
      <c r="A104" s="112"/>
      <c r="B104" s="189">
        <f>IFERROR(__xludf.DUMMYFUNCTION("""COMPUTED_VALUE"""),46114.5625)</f>
        <v>46114.5625</v>
      </c>
      <c r="C104" s="190">
        <f>IFERROR(__xludf.DUMMYFUNCTION("""COMPUTED_VALUE"""),75.9)</f>
        <v>75.9</v>
      </c>
      <c r="D104" s="190">
        <f>IFERROR(__xludf.DUMMYFUNCTION("""COMPUTED_VALUE"""),76.05)</f>
        <v>76.05</v>
      </c>
      <c r="E104" s="190">
        <f>IFERROR(__xludf.DUMMYFUNCTION("""COMPUTED_VALUE"""),73.8)</f>
        <v>73.8</v>
      </c>
      <c r="F104" s="190">
        <f>IFERROR(__xludf.DUMMYFUNCTION("""COMPUTED_VALUE"""),73.95)</f>
        <v>73.95</v>
      </c>
      <c r="G104" s="191">
        <f>IFERROR(__xludf.DUMMYFUNCTION("""COMPUTED_VALUE"""),1.05707506E8)</f>
        <v>105707506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</row>
    <row r="105" ht="17.25" customHeight="1">
      <c r="A105" s="112"/>
      <c r="B105" s="189">
        <f>IFERROR(__xludf.DUMMYFUNCTION("""COMPUTED_VALUE"""),46119.5625)</f>
        <v>46119.5625</v>
      </c>
      <c r="C105" s="190">
        <f>IFERROR(__xludf.DUMMYFUNCTION("""COMPUTED_VALUE"""),75.15)</f>
        <v>75.15</v>
      </c>
      <c r="D105" s="190">
        <f>IFERROR(__xludf.DUMMYFUNCTION("""COMPUTED_VALUE"""),75.45)</f>
        <v>75.45</v>
      </c>
      <c r="E105" s="190">
        <f>IFERROR(__xludf.DUMMYFUNCTION("""COMPUTED_VALUE"""),74.65)</f>
        <v>74.65</v>
      </c>
      <c r="F105" s="190">
        <f>IFERROR(__xludf.DUMMYFUNCTION("""COMPUTED_VALUE"""),75.3)</f>
        <v>75.3</v>
      </c>
      <c r="G105" s="191">
        <f>IFERROR(__xludf.DUMMYFUNCTION("""COMPUTED_VALUE"""),7.6885542E7)</f>
        <v>76885542</v>
      </c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</row>
    <row r="106" ht="17.25" customHeight="1">
      <c r="A106" s="112"/>
      <c r="B106" s="189">
        <f>IFERROR(__xludf.DUMMYFUNCTION("""COMPUTED_VALUE"""),46120.5625)</f>
        <v>46120.5625</v>
      </c>
      <c r="C106" s="190">
        <f>IFERROR(__xludf.DUMMYFUNCTION("""COMPUTED_VALUE"""),78.1)</f>
        <v>78.1</v>
      </c>
      <c r="D106" s="190">
        <f>IFERROR(__xludf.DUMMYFUNCTION("""COMPUTED_VALUE"""),79.25)</f>
        <v>79.25</v>
      </c>
      <c r="E106" s="190">
        <f>IFERROR(__xludf.DUMMYFUNCTION("""COMPUTED_VALUE"""),78.1)</f>
        <v>78.1</v>
      </c>
      <c r="F106" s="190">
        <f>IFERROR(__xludf.DUMMYFUNCTION("""COMPUTED_VALUE"""),79.2)</f>
        <v>79.2</v>
      </c>
      <c r="G106" s="191">
        <f>IFERROR(__xludf.DUMMYFUNCTION("""COMPUTED_VALUE"""),2.27364928E8)</f>
        <v>227364928</v>
      </c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</row>
    <row r="107" ht="17.25" customHeight="1">
      <c r="A107" s="112"/>
      <c r="B107" s="189">
        <f>IFERROR(__xludf.DUMMYFUNCTION("""COMPUTED_VALUE"""),46121.5625)</f>
        <v>46121.5625</v>
      </c>
      <c r="C107" s="190">
        <f>IFERROR(__xludf.DUMMYFUNCTION("""COMPUTED_VALUE"""),79.3)</f>
        <v>79.3</v>
      </c>
      <c r="D107" s="190">
        <f>IFERROR(__xludf.DUMMYFUNCTION("""COMPUTED_VALUE"""),79.4)</f>
        <v>79.4</v>
      </c>
      <c r="E107" s="190">
        <f>IFERROR(__xludf.DUMMYFUNCTION("""COMPUTED_VALUE"""),78.8)</f>
        <v>78.8</v>
      </c>
      <c r="F107" s="190">
        <f>IFERROR(__xludf.DUMMYFUNCTION("""COMPUTED_VALUE"""),79.15)</f>
        <v>79.15</v>
      </c>
      <c r="G107" s="191">
        <f>IFERROR(__xludf.DUMMYFUNCTION("""COMPUTED_VALUE"""),9.2049631E7)</f>
        <v>92049631</v>
      </c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</row>
    <row r="108" ht="17.25" customHeight="1">
      <c r="A108" s="112"/>
      <c r="B108" s="189">
        <f>IFERROR(__xludf.DUMMYFUNCTION("""COMPUTED_VALUE"""),46122.5625)</f>
        <v>46122.5625</v>
      </c>
      <c r="C108" s="190">
        <f>IFERROR(__xludf.DUMMYFUNCTION("""COMPUTED_VALUE"""),80.0)</f>
        <v>80</v>
      </c>
      <c r="D108" s="190">
        <f>IFERROR(__xludf.DUMMYFUNCTION("""COMPUTED_VALUE"""),80.8)</f>
        <v>80.8</v>
      </c>
      <c r="E108" s="190">
        <f>IFERROR(__xludf.DUMMYFUNCTION("""COMPUTED_VALUE"""),79.95)</f>
        <v>79.95</v>
      </c>
      <c r="F108" s="190">
        <f>IFERROR(__xludf.DUMMYFUNCTION("""COMPUTED_VALUE"""),80.75)</f>
        <v>80.75</v>
      </c>
      <c r="G108" s="191">
        <f>IFERROR(__xludf.DUMMYFUNCTION("""COMPUTED_VALUE"""),1.15520077E8)</f>
        <v>115520077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</row>
    <row r="109" ht="17.25" customHeight="1">
      <c r="A109" s="112"/>
      <c r="B109" s="189">
        <f>IFERROR(__xludf.DUMMYFUNCTION("""COMPUTED_VALUE"""),46125.5625)</f>
        <v>46125.5625</v>
      </c>
      <c r="C109" s="190">
        <f>IFERROR(__xludf.DUMMYFUNCTION("""COMPUTED_VALUE"""),80.6)</f>
        <v>80.6</v>
      </c>
      <c r="D109" s="190">
        <f>IFERROR(__xludf.DUMMYFUNCTION("""COMPUTED_VALUE"""),81.0)</f>
        <v>81</v>
      </c>
      <c r="E109" s="190">
        <f>IFERROR(__xludf.DUMMYFUNCTION("""COMPUTED_VALUE"""),80.4)</f>
        <v>80.4</v>
      </c>
      <c r="F109" s="190">
        <f>IFERROR(__xludf.DUMMYFUNCTION("""COMPUTED_VALUE"""),80.6)</f>
        <v>80.6</v>
      </c>
      <c r="G109" s="191">
        <f>IFERROR(__xludf.DUMMYFUNCTION("""COMPUTED_VALUE"""),8.7581345E7)</f>
        <v>87581345</v>
      </c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</row>
    <row r="110" ht="17.25" customHeight="1">
      <c r="A110" s="112"/>
      <c r="B110" s="189">
        <f>IFERROR(__xludf.DUMMYFUNCTION("""COMPUTED_VALUE"""),46126.5625)</f>
        <v>46126.5625</v>
      </c>
      <c r="C110" s="190">
        <f>IFERROR(__xludf.DUMMYFUNCTION("""COMPUTED_VALUE"""),81.75)</f>
        <v>81.75</v>
      </c>
      <c r="D110" s="190">
        <f>IFERROR(__xludf.DUMMYFUNCTION("""COMPUTED_VALUE"""),83.2)</f>
        <v>83.2</v>
      </c>
      <c r="E110" s="190">
        <f>IFERROR(__xludf.DUMMYFUNCTION("""COMPUTED_VALUE"""),81.75)</f>
        <v>81.75</v>
      </c>
      <c r="F110" s="190">
        <f>IFERROR(__xludf.DUMMYFUNCTION("""COMPUTED_VALUE"""),83.1)</f>
        <v>83.1</v>
      </c>
      <c r="G110" s="191">
        <f>IFERROR(__xludf.DUMMYFUNCTION("""COMPUTED_VALUE"""),1.23920345E8)</f>
        <v>123920345</v>
      </c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</row>
    <row r="111" ht="17.25" customHeight="1">
      <c r="A111" s="112"/>
      <c r="B111" s="189">
        <f>IFERROR(__xludf.DUMMYFUNCTION("""COMPUTED_VALUE"""),46127.5625)</f>
        <v>46127.5625</v>
      </c>
      <c r="C111" s="190">
        <f>IFERROR(__xludf.DUMMYFUNCTION("""COMPUTED_VALUE"""),84.1)</f>
        <v>84.1</v>
      </c>
      <c r="D111" s="190">
        <f>IFERROR(__xludf.DUMMYFUNCTION("""COMPUTED_VALUE"""),85.1)</f>
        <v>85.1</v>
      </c>
      <c r="E111" s="190">
        <f>IFERROR(__xludf.DUMMYFUNCTION("""COMPUTED_VALUE"""),83.8)</f>
        <v>83.8</v>
      </c>
      <c r="F111" s="190">
        <f>IFERROR(__xludf.DUMMYFUNCTION("""COMPUTED_VALUE"""),84.15)</f>
        <v>84.15</v>
      </c>
      <c r="G111" s="191">
        <f>IFERROR(__xludf.DUMMYFUNCTION("""COMPUTED_VALUE"""),1.22414906E8)</f>
        <v>122414906</v>
      </c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</row>
    <row r="112" ht="17.25" customHeight="1">
      <c r="A112" s="112"/>
      <c r="B112" s="189">
        <f>IFERROR(__xludf.DUMMYFUNCTION("""COMPUTED_VALUE"""),46128.5625)</f>
        <v>46128.5625</v>
      </c>
      <c r="C112" s="190">
        <f>IFERROR(__xludf.DUMMYFUNCTION("""COMPUTED_VALUE"""),84.75)</f>
        <v>84.75</v>
      </c>
      <c r="D112" s="190">
        <f>IFERROR(__xludf.DUMMYFUNCTION("""COMPUTED_VALUE"""),85.1)</f>
        <v>85.1</v>
      </c>
      <c r="E112" s="190">
        <f>IFERROR(__xludf.DUMMYFUNCTION("""COMPUTED_VALUE"""),84.15)</f>
        <v>84.15</v>
      </c>
      <c r="F112" s="190">
        <f>IFERROR(__xludf.DUMMYFUNCTION("""COMPUTED_VALUE"""),85.0)</f>
        <v>85</v>
      </c>
      <c r="G112" s="191">
        <f>IFERROR(__xludf.DUMMYFUNCTION("""COMPUTED_VALUE"""),7.6987129E7)</f>
        <v>76987129</v>
      </c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</row>
    <row r="113" ht="17.25" customHeight="1">
      <c r="A113" s="112"/>
      <c r="B113" s="189">
        <f>IFERROR(__xludf.DUMMYFUNCTION("""COMPUTED_VALUE"""),46129.5625)</f>
        <v>46129.5625</v>
      </c>
      <c r="C113" s="190">
        <f>IFERROR(__xludf.DUMMYFUNCTION("""COMPUTED_VALUE"""),84.2)</f>
        <v>84.2</v>
      </c>
      <c r="D113" s="190">
        <f>IFERROR(__xludf.DUMMYFUNCTION("""COMPUTED_VALUE"""),84.5)</f>
        <v>84.5</v>
      </c>
      <c r="E113" s="190">
        <f>IFERROR(__xludf.DUMMYFUNCTION("""COMPUTED_VALUE"""),84.0)</f>
        <v>84</v>
      </c>
      <c r="F113" s="190">
        <f>IFERROR(__xludf.DUMMYFUNCTION("""COMPUTED_VALUE"""),84.15)</f>
        <v>84.15</v>
      </c>
      <c r="G113" s="191">
        <f>IFERROR(__xludf.DUMMYFUNCTION("""COMPUTED_VALUE"""),9.3304532E7)</f>
        <v>93304532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</row>
    <row r="114" ht="17.25" customHeight="1">
      <c r="A114" s="112"/>
      <c r="B114" s="189">
        <f>IFERROR(__xludf.DUMMYFUNCTION("""COMPUTED_VALUE"""),46132.5625)</f>
        <v>46132.5625</v>
      </c>
      <c r="C114" s="190">
        <f>IFERROR(__xludf.DUMMYFUNCTION("""COMPUTED_VALUE"""),84.55)</f>
        <v>84.55</v>
      </c>
      <c r="D114" s="190">
        <f>IFERROR(__xludf.DUMMYFUNCTION("""COMPUTED_VALUE"""),85.1)</f>
        <v>85.1</v>
      </c>
      <c r="E114" s="190">
        <f>IFERROR(__xludf.DUMMYFUNCTION("""COMPUTED_VALUE"""),84.45)</f>
        <v>84.45</v>
      </c>
      <c r="F114" s="190">
        <f>IFERROR(__xludf.DUMMYFUNCTION("""COMPUTED_VALUE"""),84.55)</f>
        <v>84.55</v>
      </c>
      <c r="G114" s="191">
        <f>IFERROR(__xludf.DUMMYFUNCTION("""COMPUTED_VALUE"""),9.5994589E7)</f>
        <v>95994589</v>
      </c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</row>
    <row r="115" ht="17.25" customHeight="1">
      <c r="A115" s="112"/>
      <c r="B115" s="189">
        <f>IFERROR(__xludf.DUMMYFUNCTION("""COMPUTED_VALUE"""),46133.5625)</f>
        <v>46133.5625</v>
      </c>
      <c r="C115" s="190">
        <f>IFERROR(__xludf.DUMMYFUNCTION("""COMPUTED_VALUE"""),85.5)</f>
        <v>85.5</v>
      </c>
      <c r="D115" s="190">
        <f>IFERROR(__xludf.DUMMYFUNCTION("""COMPUTED_VALUE"""),86.1)</f>
        <v>86.1</v>
      </c>
      <c r="E115" s="190">
        <f>IFERROR(__xludf.DUMMYFUNCTION("""COMPUTED_VALUE"""),85.0)</f>
        <v>85</v>
      </c>
      <c r="F115" s="190">
        <f>IFERROR(__xludf.DUMMYFUNCTION("""COMPUTED_VALUE"""),86.0)</f>
        <v>86</v>
      </c>
      <c r="G115" s="191">
        <f>IFERROR(__xludf.DUMMYFUNCTION("""COMPUTED_VALUE"""),7.1987659E7)</f>
        <v>71987659</v>
      </c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</row>
    <row r="116" ht="17.25" customHeight="1">
      <c r="A116" s="112"/>
      <c r="B116" s="189">
        <f>IFERROR(__xludf.DUMMYFUNCTION("""COMPUTED_VALUE"""),46134.5625)</f>
        <v>46134.5625</v>
      </c>
      <c r="C116" s="190">
        <f>IFERROR(__xludf.DUMMYFUNCTION("""COMPUTED_VALUE"""),85.75)</f>
        <v>85.75</v>
      </c>
      <c r="D116" s="190">
        <f>IFERROR(__xludf.DUMMYFUNCTION("""COMPUTED_VALUE"""),86.6)</f>
        <v>86.6</v>
      </c>
      <c r="E116" s="190">
        <f>IFERROR(__xludf.DUMMYFUNCTION("""COMPUTED_VALUE"""),85.55)</f>
        <v>85.55</v>
      </c>
      <c r="F116" s="190">
        <f>IFERROR(__xludf.DUMMYFUNCTION("""COMPUTED_VALUE"""),86.35)</f>
        <v>86.35</v>
      </c>
      <c r="G116" s="191">
        <f>IFERROR(__xludf.DUMMYFUNCTION("""COMPUTED_VALUE"""),6.4147874E7)</f>
        <v>64147874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</row>
    <row r="117" ht="17.25" customHeight="1">
      <c r="A117" s="112"/>
      <c r="B117" s="189">
        <f>IFERROR(__xludf.DUMMYFUNCTION("""COMPUTED_VALUE"""),46135.5625)</f>
        <v>46135.5625</v>
      </c>
      <c r="C117" s="190">
        <f>IFERROR(__xludf.DUMMYFUNCTION("""COMPUTED_VALUE"""),87.65)</f>
        <v>87.65</v>
      </c>
      <c r="D117" s="190">
        <f>IFERROR(__xludf.DUMMYFUNCTION("""COMPUTED_VALUE"""),88.8)</f>
        <v>88.8</v>
      </c>
      <c r="E117" s="190">
        <f>IFERROR(__xludf.DUMMYFUNCTION("""COMPUTED_VALUE"""),85.15)</f>
        <v>85.15</v>
      </c>
      <c r="F117" s="190">
        <f>IFERROR(__xludf.DUMMYFUNCTION("""COMPUTED_VALUE"""),86.35)</f>
        <v>86.35</v>
      </c>
      <c r="G117" s="191">
        <f>IFERROR(__xludf.DUMMYFUNCTION("""COMPUTED_VALUE"""),1.48310644E8)</f>
        <v>148310644</v>
      </c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</row>
    <row r="118" ht="17.25" customHeight="1">
      <c r="A118" s="112"/>
      <c r="B118" s="189">
        <f>IFERROR(__xludf.DUMMYFUNCTION("""COMPUTED_VALUE"""),46136.5625)</f>
        <v>46136.5625</v>
      </c>
      <c r="C118" s="190">
        <f>IFERROR(__xludf.DUMMYFUNCTION("""COMPUTED_VALUE"""),87.6)</f>
        <v>87.6</v>
      </c>
      <c r="D118" s="190">
        <f>IFERROR(__xludf.DUMMYFUNCTION("""COMPUTED_VALUE"""),89.95)</f>
        <v>89.95</v>
      </c>
      <c r="E118" s="190">
        <f>IFERROR(__xludf.DUMMYFUNCTION("""COMPUTED_VALUE"""),87.55)</f>
        <v>87.55</v>
      </c>
      <c r="F118" s="190">
        <f>IFERROR(__xludf.DUMMYFUNCTION("""COMPUTED_VALUE"""),89.95)</f>
        <v>89.95</v>
      </c>
      <c r="G118" s="191">
        <f>IFERROR(__xludf.DUMMYFUNCTION("""COMPUTED_VALUE"""),1.2511729E8)</f>
        <v>125117290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</row>
    <row r="119" ht="17.25" customHeight="1">
      <c r="A119" s="112"/>
      <c r="B119" s="189">
        <f>IFERROR(__xludf.DUMMYFUNCTION("""COMPUTED_VALUE"""),46139.5625)</f>
        <v>46139.5625</v>
      </c>
      <c r="C119" s="190">
        <f>IFERROR(__xludf.DUMMYFUNCTION("""COMPUTED_VALUE"""),92.7)</f>
        <v>92.7</v>
      </c>
      <c r="D119" s="190">
        <f>IFERROR(__xludf.DUMMYFUNCTION("""COMPUTED_VALUE"""),94.25)</f>
        <v>94.25</v>
      </c>
      <c r="E119" s="190">
        <f>IFERROR(__xludf.DUMMYFUNCTION("""COMPUTED_VALUE"""),92.7)</f>
        <v>92.7</v>
      </c>
      <c r="F119" s="190">
        <f>IFERROR(__xludf.DUMMYFUNCTION("""COMPUTED_VALUE"""),93.0)</f>
        <v>93</v>
      </c>
      <c r="G119" s="191">
        <f>IFERROR(__xludf.DUMMYFUNCTION("""COMPUTED_VALUE"""),1.83173507E8)</f>
        <v>183173507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</row>
    <row r="120" ht="17.25" customHeight="1">
      <c r="A120" s="112"/>
      <c r="B120" s="189">
        <f>IFERROR(__xludf.DUMMYFUNCTION("""COMPUTED_VALUE"""),46140.5625)</f>
        <v>46140.5625</v>
      </c>
      <c r="C120" s="190">
        <f>IFERROR(__xludf.DUMMYFUNCTION("""COMPUTED_VALUE"""),92.55)</f>
        <v>92.55</v>
      </c>
      <c r="D120" s="190">
        <f>IFERROR(__xludf.DUMMYFUNCTION("""COMPUTED_VALUE"""),93.65)</f>
        <v>93.65</v>
      </c>
      <c r="E120" s="190">
        <f>IFERROR(__xludf.DUMMYFUNCTION("""COMPUTED_VALUE"""),91.9)</f>
        <v>91.9</v>
      </c>
      <c r="F120" s="190">
        <f>IFERROR(__xludf.DUMMYFUNCTION("""COMPUTED_VALUE"""),92.0)</f>
        <v>92</v>
      </c>
      <c r="G120" s="191">
        <f>IFERROR(__xludf.DUMMYFUNCTION("""COMPUTED_VALUE"""),1.14706934E8)</f>
        <v>114706934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</row>
    <row r="121" ht="17.25" customHeight="1">
      <c r="A121" s="112"/>
      <c r="B121" s="189">
        <f>IFERROR(__xludf.DUMMYFUNCTION("""COMPUTED_VALUE"""),46141.5625)</f>
        <v>46141.5625</v>
      </c>
      <c r="C121" s="190">
        <f>IFERROR(__xludf.DUMMYFUNCTION("""COMPUTED_VALUE"""),90.7)</f>
        <v>90.7</v>
      </c>
      <c r="D121" s="190">
        <f>IFERROR(__xludf.DUMMYFUNCTION("""COMPUTED_VALUE"""),91.5)</f>
        <v>91.5</v>
      </c>
      <c r="E121" s="190">
        <f>IFERROR(__xludf.DUMMYFUNCTION("""COMPUTED_VALUE"""),90.0)</f>
        <v>90</v>
      </c>
      <c r="F121" s="190">
        <f>IFERROR(__xludf.DUMMYFUNCTION("""COMPUTED_VALUE"""),90.75)</f>
        <v>90.75</v>
      </c>
      <c r="G121" s="191">
        <f>IFERROR(__xludf.DUMMYFUNCTION("""COMPUTED_VALUE"""),9.3857452E7)</f>
        <v>93857452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</row>
    <row r="122" ht="17.25" customHeight="1">
      <c r="A122" s="112"/>
      <c r="B122" s="189">
        <f>IFERROR(__xludf.DUMMYFUNCTION("""COMPUTED_VALUE"""),46142.5625)</f>
        <v>46142.5625</v>
      </c>
      <c r="C122" s="190">
        <f>IFERROR(__xludf.DUMMYFUNCTION("""COMPUTED_VALUE"""),91.25)</f>
        <v>91.25</v>
      </c>
      <c r="D122" s="190">
        <f>IFERROR(__xludf.DUMMYFUNCTION("""COMPUTED_VALUE"""),91.9)</f>
        <v>91.9</v>
      </c>
      <c r="E122" s="190">
        <f>IFERROR(__xludf.DUMMYFUNCTION("""COMPUTED_VALUE"""),90.3)</f>
        <v>90.3</v>
      </c>
      <c r="F122" s="190">
        <f>IFERROR(__xludf.DUMMYFUNCTION("""COMPUTED_VALUE"""),90.5)</f>
        <v>90.5</v>
      </c>
      <c r="G122" s="191">
        <f>IFERROR(__xludf.DUMMYFUNCTION("""COMPUTED_VALUE"""),8.2229228E7)</f>
        <v>82229228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</row>
    <row r="123" ht="17.25" customHeight="1">
      <c r="A123" s="112"/>
      <c r="B123" s="189">
        <f>IFERROR(__xludf.DUMMYFUNCTION("""COMPUTED_VALUE"""),46146.5625)</f>
        <v>46146.5625</v>
      </c>
      <c r="C123" s="190">
        <f>IFERROR(__xludf.DUMMYFUNCTION("""COMPUTED_VALUE"""),92.5)</f>
        <v>92.5</v>
      </c>
      <c r="D123" s="190">
        <f>IFERROR(__xludf.DUMMYFUNCTION("""COMPUTED_VALUE"""),94.65)</f>
        <v>94.65</v>
      </c>
      <c r="E123" s="190">
        <f>IFERROR(__xludf.DUMMYFUNCTION("""COMPUTED_VALUE"""),92.4)</f>
        <v>92.4</v>
      </c>
      <c r="F123" s="190">
        <f>IFERROR(__xludf.DUMMYFUNCTION("""COMPUTED_VALUE"""),94.6)</f>
        <v>94.6</v>
      </c>
      <c r="G123" s="191">
        <f>IFERROR(__xludf.DUMMYFUNCTION("""COMPUTED_VALUE"""),1.20393477E8)</f>
        <v>120393477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</row>
    <row r="124" ht="17.25" customHeight="1">
      <c r="A124" s="112"/>
      <c r="B124" s="189">
        <f>IFERROR(__xludf.DUMMYFUNCTION("""COMPUTED_VALUE"""),46147.5625)</f>
        <v>46147.5625</v>
      </c>
      <c r="C124" s="190">
        <f>IFERROR(__xludf.DUMMYFUNCTION("""COMPUTED_VALUE"""),94.4)</f>
        <v>94.4</v>
      </c>
      <c r="D124" s="190">
        <f>IFERROR(__xludf.DUMMYFUNCTION("""COMPUTED_VALUE"""),94.75)</f>
        <v>94.75</v>
      </c>
      <c r="E124" s="190">
        <f>IFERROR(__xludf.DUMMYFUNCTION("""COMPUTED_VALUE"""),94.0)</f>
        <v>94</v>
      </c>
      <c r="F124" s="190">
        <f>IFERROR(__xludf.DUMMYFUNCTION("""COMPUTED_VALUE"""),94.6)</f>
        <v>94.6</v>
      </c>
      <c r="G124" s="191">
        <f>IFERROR(__xludf.DUMMYFUNCTION("""COMPUTED_VALUE"""),7.6579608E7)</f>
        <v>76579608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</row>
    <row r="125" ht="17.25" customHeight="1">
      <c r="A125" s="112"/>
      <c r="B125" s="189">
        <f>IFERROR(__xludf.DUMMYFUNCTION("""COMPUTED_VALUE"""),46148.5625)</f>
        <v>46148.5625</v>
      </c>
      <c r="C125" s="190">
        <f>IFERROR(__xludf.DUMMYFUNCTION("""COMPUTED_VALUE"""),96.05)</f>
        <v>96.05</v>
      </c>
      <c r="D125" s="190">
        <f>IFERROR(__xludf.DUMMYFUNCTION("""COMPUTED_VALUE"""),96.9)</f>
        <v>96.9</v>
      </c>
      <c r="E125" s="190">
        <f>IFERROR(__xludf.DUMMYFUNCTION("""COMPUTED_VALUE"""),94.7)</f>
        <v>94.7</v>
      </c>
      <c r="F125" s="190">
        <f>IFERROR(__xludf.DUMMYFUNCTION("""COMPUTED_VALUE"""),95.75)</f>
        <v>95.75</v>
      </c>
      <c r="G125" s="191">
        <f>IFERROR(__xludf.DUMMYFUNCTION("""COMPUTED_VALUE"""),1.0550753E8)</f>
        <v>105507530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</row>
    <row r="126" ht="17.25" customHeight="1">
      <c r="A126" s="112"/>
      <c r="B126" s="189">
        <f>IFERROR(__xludf.DUMMYFUNCTION("""COMPUTED_VALUE"""),46149.5625)</f>
        <v>46149.5625</v>
      </c>
      <c r="C126" s="190">
        <f>IFERROR(__xludf.DUMMYFUNCTION("""COMPUTED_VALUE"""),97.95)</f>
        <v>97.95</v>
      </c>
      <c r="D126" s="190">
        <f>IFERROR(__xludf.DUMMYFUNCTION("""COMPUTED_VALUE"""),98.4)</f>
        <v>98.4</v>
      </c>
      <c r="E126" s="190">
        <f>IFERROR(__xludf.DUMMYFUNCTION("""COMPUTED_VALUE"""),97.4)</f>
        <v>97.4</v>
      </c>
      <c r="F126" s="190">
        <f>IFERROR(__xludf.DUMMYFUNCTION("""COMPUTED_VALUE"""),97.7)</f>
        <v>97.7</v>
      </c>
      <c r="G126" s="191">
        <f>IFERROR(__xludf.DUMMYFUNCTION("""COMPUTED_VALUE"""),1.10289613E8)</f>
        <v>110289613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</row>
    <row r="127" ht="17.25" customHeight="1">
      <c r="A127" s="112"/>
      <c r="B127" s="189">
        <f>IFERROR(__xludf.DUMMYFUNCTION("""COMPUTED_VALUE"""),46150.5625)</f>
        <v>46150.5625</v>
      </c>
      <c r="C127" s="190">
        <f>IFERROR(__xludf.DUMMYFUNCTION("""COMPUTED_VALUE"""),97.35)</f>
        <v>97.35</v>
      </c>
      <c r="D127" s="190">
        <f>IFERROR(__xludf.DUMMYFUNCTION("""COMPUTED_VALUE"""),97.7)</f>
        <v>97.7</v>
      </c>
      <c r="E127" s="190">
        <f>IFERROR(__xludf.DUMMYFUNCTION("""COMPUTED_VALUE"""),95.85)</f>
        <v>95.85</v>
      </c>
      <c r="F127" s="190">
        <f>IFERROR(__xludf.DUMMYFUNCTION("""COMPUTED_VALUE"""),97.0)</f>
        <v>97</v>
      </c>
      <c r="G127" s="191">
        <f>IFERROR(__xludf.DUMMYFUNCTION("""COMPUTED_VALUE"""),1.17639791E8)</f>
        <v>117639791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</row>
    <row r="128" ht="17.25" customHeight="1">
      <c r="A128" s="112"/>
      <c r="B128" s="189">
        <f>IFERROR(__xludf.DUMMYFUNCTION("""COMPUTED_VALUE"""),46153.5625)</f>
        <v>46153.5625</v>
      </c>
      <c r="C128" s="190">
        <f>IFERROR(__xludf.DUMMYFUNCTION("""COMPUTED_VALUE"""),96.65)</f>
        <v>96.65</v>
      </c>
      <c r="D128" s="190">
        <f>IFERROR(__xludf.DUMMYFUNCTION("""COMPUTED_VALUE"""),97.15)</f>
        <v>97.15</v>
      </c>
      <c r="E128" s="190">
        <f>IFERROR(__xludf.DUMMYFUNCTION("""COMPUTED_VALUE"""),96.5)</f>
        <v>96.5</v>
      </c>
      <c r="F128" s="190">
        <f>IFERROR(__xludf.DUMMYFUNCTION("""COMPUTED_VALUE"""),96.9)</f>
        <v>96.9</v>
      </c>
      <c r="G128" s="191">
        <f>IFERROR(__xludf.DUMMYFUNCTION("""COMPUTED_VALUE"""),8.8544547E7)</f>
        <v>88544547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</row>
    <row r="129" ht="17.25" customHeight="1">
      <c r="A129" s="112"/>
      <c r="B129" s="189">
        <f>IFERROR(__xludf.DUMMYFUNCTION("""COMPUTED_VALUE"""),46154.5625)</f>
        <v>46154.5625</v>
      </c>
      <c r="C129" s="190">
        <f>IFERROR(__xludf.DUMMYFUNCTION("""COMPUTED_VALUE"""),96.85)</f>
        <v>96.85</v>
      </c>
      <c r="D129" s="190">
        <f>IFERROR(__xludf.DUMMYFUNCTION("""COMPUTED_VALUE"""),97.35)</f>
        <v>97.35</v>
      </c>
      <c r="E129" s="190">
        <f>IFERROR(__xludf.DUMMYFUNCTION("""COMPUTED_VALUE"""),95.5)</f>
        <v>95.5</v>
      </c>
      <c r="F129" s="190">
        <f>IFERROR(__xludf.DUMMYFUNCTION("""COMPUTED_VALUE"""),96.85)</f>
        <v>96.85</v>
      </c>
      <c r="G129" s="191">
        <f>IFERROR(__xludf.DUMMYFUNCTION("""COMPUTED_VALUE"""),9.4676481E7)</f>
        <v>94676481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</row>
    <row r="130" ht="17.25" customHeight="1">
      <c r="A130" s="112"/>
      <c r="B130" s="189">
        <f>IFERROR(__xludf.DUMMYFUNCTION("""COMPUTED_VALUE"""),46155.5625)</f>
        <v>46155.5625</v>
      </c>
      <c r="C130" s="190">
        <f>IFERROR(__xludf.DUMMYFUNCTION("""COMPUTED_VALUE"""),94.85)</f>
        <v>94.85</v>
      </c>
      <c r="D130" s="190">
        <f>IFERROR(__xludf.DUMMYFUNCTION("""COMPUTED_VALUE"""),95.8)</f>
        <v>95.8</v>
      </c>
      <c r="E130" s="190">
        <f>IFERROR(__xludf.DUMMYFUNCTION("""COMPUTED_VALUE"""),94.7)</f>
        <v>94.7</v>
      </c>
      <c r="F130" s="190">
        <f>IFERROR(__xludf.DUMMYFUNCTION("""COMPUTED_VALUE"""),95.5)</f>
        <v>95.5</v>
      </c>
      <c r="G130" s="191">
        <f>IFERROR(__xludf.DUMMYFUNCTION("""COMPUTED_VALUE"""),1.13598688E8)</f>
        <v>113598688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</row>
    <row r="131" ht="17.25" customHeight="1">
      <c r="A131" s="112"/>
      <c r="B131" s="189">
        <f>IFERROR(__xludf.DUMMYFUNCTION("""COMPUTED_VALUE"""),46156.5625)</f>
        <v>46156.5625</v>
      </c>
      <c r="C131" s="190">
        <f>IFERROR(__xludf.DUMMYFUNCTION("""COMPUTED_VALUE"""),96.9)</f>
        <v>96.9</v>
      </c>
      <c r="D131" s="190">
        <f>IFERROR(__xludf.DUMMYFUNCTION("""COMPUTED_VALUE"""),97.2)</f>
        <v>97.2</v>
      </c>
      <c r="E131" s="190">
        <f>IFERROR(__xludf.DUMMYFUNCTION("""COMPUTED_VALUE"""),95.75)</f>
        <v>95.75</v>
      </c>
      <c r="F131" s="190">
        <f>IFERROR(__xludf.DUMMYFUNCTION("""COMPUTED_VALUE"""),96.05)</f>
        <v>96.05</v>
      </c>
      <c r="G131" s="191">
        <f>IFERROR(__xludf.DUMMYFUNCTION("""COMPUTED_VALUE"""),5.3565899E7)</f>
        <v>53565899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</row>
    <row r="132" ht="17.25" customHeight="1">
      <c r="A132" s="112"/>
      <c r="B132" s="189">
        <f>IFERROR(__xludf.DUMMYFUNCTION("""COMPUTED_VALUE"""),46157.5625)</f>
        <v>46157.5625</v>
      </c>
      <c r="C132" s="190">
        <f>IFERROR(__xludf.DUMMYFUNCTION("""COMPUTED_VALUE"""),97.65)</f>
        <v>97.65</v>
      </c>
      <c r="D132" s="190">
        <f>IFERROR(__xludf.DUMMYFUNCTION("""COMPUTED_VALUE"""),98.25)</f>
        <v>98.25</v>
      </c>
      <c r="E132" s="190">
        <f>IFERROR(__xludf.DUMMYFUNCTION("""COMPUTED_VALUE"""),95.2)</f>
        <v>95.2</v>
      </c>
      <c r="F132" s="190">
        <f>IFERROR(__xludf.DUMMYFUNCTION("""COMPUTED_VALUE"""),95.4)</f>
        <v>95.4</v>
      </c>
      <c r="G132" s="191">
        <f>IFERROR(__xludf.DUMMYFUNCTION("""COMPUTED_VALUE"""),9.0487261E7)</f>
        <v>90487261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</row>
    <row r="133" ht="17.25" customHeight="1">
      <c r="A133" s="112"/>
      <c r="B133" s="189">
        <f>IFERROR(__xludf.DUMMYFUNCTION("""COMPUTED_VALUE"""),46160.5625)</f>
        <v>46160.5625</v>
      </c>
      <c r="C133" s="190">
        <f>IFERROR(__xludf.DUMMYFUNCTION("""COMPUTED_VALUE"""),94.0)</f>
        <v>94</v>
      </c>
      <c r="D133" s="190">
        <f>IFERROR(__xludf.DUMMYFUNCTION("""COMPUTED_VALUE"""),95.2)</f>
        <v>95.2</v>
      </c>
      <c r="E133" s="190">
        <f>IFERROR(__xludf.DUMMYFUNCTION("""COMPUTED_VALUE"""),93.3)</f>
        <v>93.3</v>
      </c>
      <c r="F133" s="190">
        <f>IFERROR(__xludf.DUMMYFUNCTION("""COMPUTED_VALUE"""),94.9)</f>
        <v>94.9</v>
      </c>
      <c r="G133" s="191">
        <f>IFERROR(__xludf.DUMMYFUNCTION("""COMPUTED_VALUE"""),1.05172915E8)</f>
        <v>105172915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</row>
    <row r="134" ht="17.25" customHeight="1">
      <c r="A134" s="112"/>
      <c r="B134" s="189">
        <f>IFERROR(__xludf.DUMMYFUNCTION("""COMPUTED_VALUE"""),46161.5625)</f>
        <v>46161.5625</v>
      </c>
      <c r="C134" s="190">
        <f>IFERROR(__xludf.DUMMYFUNCTION("""COMPUTED_VALUE"""),94.35)</f>
        <v>94.35</v>
      </c>
      <c r="D134" s="190">
        <f>IFERROR(__xludf.DUMMYFUNCTION("""COMPUTED_VALUE"""),94.7)</f>
        <v>94.7</v>
      </c>
      <c r="E134" s="190">
        <f>IFERROR(__xludf.DUMMYFUNCTION("""COMPUTED_VALUE"""),93.1)</f>
        <v>93.1</v>
      </c>
      <c r="F134" s="190">
        <f>IFERROR(__xludf.DUMMYFUNCTION("""COMPUTED_VALUE"""),93.1)</f>
        <v>93.1</v>
      </c>
      <c r="G134" s="191">
        <f>IFERROR(__xludf.DUMMYFUNCTION("""COMPUTED_VALUE"""),1.16385289E8)</f>
        <v>116385289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</row>
    <row r="135" ht="17.25" customHeight="1">
      <c r="A135" s="112"/>
      <c r="B135" s="189">
        <f>IFERROR(__xludf.DUMMYFUNCTION("""COMPUTED_VALUE"""),46162.5625)</f>
        <v>46162.5625</v>
      </c>
      <c r="C135" s="190">
        <f>IFERROR(__xludf.DUMMYFUNCTION("""COMPUTED_VALUE"""),93.0)</f>
        <v>93</v>
      </c>
      <c r="D135" s="190">
        <f>IFERROR(__xludf.DUMMYFUNCTION("""COMPUTED_VALUE"""),93.5)</f>
        <v>93.5</v>
      </c>
      <c r="E135" s="190">
        <f>IFERROR(__xludf.DUMMYFUNCTION("""COMPUTED_VALUE"""),92.45)</f>
        <v>92.45</v>
      </c>
      <c r="F135" s="190">
        <f>IFERROR(__xludf.DUMMYFUNCTION("""COMPUTED_VALUE"""),92.5)</f>
        <v>92.5</v>
      </c>
      <c r="G135" s="191">
        <f>IFERROR(__xludf.DUMMYFUNCTION("""COMPUTED_VALUE"""),1.08931614E8)</f>
        <v>108931614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</row>
    <row r="136" ht="17.25" customHeight="1">
      <c r="A136" s="112"/>
      <c r="B136" s="189">
        <f>IFERROR(__xludf.DUMMYFUNCTION("""COMPUTED_VALUE"""),46163.5625)</f>
        <v>46163.5625</v>
      </c>
      <c r="C136" s="190">
        <f>IFERROR(__xludf.DUMMYFUNCTION("""COMPUTED_VALUE"""),94.8)</f>
        <v>94.8</v>
      </c>
      <c r="D136" s="190">
        <f>IFERROR(__xludf.DUMMYFUNCTION("""COMPUTED_VALUE"""),96.05)</f>
        <v>96.05</v>
      </c>
      <c r="E136" s="190">
        <f>IFERROR(__xludf.DUMMYFUNCTION("""COMPUTED_VALUE"""),94.7)</f>
        <v>94.7</v>
      </c>
      <c r="F136" s="190">
        <f>IFERROR(__xludf.DUMMYFUNCTION("""COMPUTED_VALUE"""),95.85)</f>
        <v>95.85</v>
      </c>
      <c r="G136" s="191">
        <f>IFERROR(__xludf.DUMMYFUNCTION("""COMPUTED_VALUE"""),5.9494294E7)</f>
        <v>59494294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</row>
    <row r="137" ht="17.25" customHeight="1">
      <c r="A137" s="112"/>
      <c r="B137" s="189">
        <f>IFERROR(__xludf.DUMMYFUNCTION("""COMPUTED_VALUE"""),46164.5625)</f>
        <v>46164.5625</v>
      </c>
      <c r="C137" s="190">
        <f>IFERROR(__xludf.DUMMYFUNCTION("""COMPUTED_VALUE"""),96.3)</f>
        <v>96.3</v>
      </c>
      <c r="D137" s="190">
        <f>IFERROR(__xludf.DUMMYFUNCTION("""COMPUTED_VALUE"""),97.3)</f>
        <v>97.3</v>
      </c>
      <c r="E137" s="190">
        <f>IFERROR(__xludf.DUMMYFUNCTION("""COMPUTED_VALUE"""),96.0)</f>
        <v>96</v>
      </c>
      <c r="F137" s="190">
        <f>IFERROR(__xludf.DUMMYFUNCTION("""COMPUTED_VALUE"""),97.3)</f>
        <v>97.3</v>
      </c>
      <c r="G137" s="191">
        <f>IFERROR(__xludf.DUMMYFUNCTION("""COMPUTED_VALUE"""),6.0917271E7)</f>
        <v>60917271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</row>
    <row r="138" ht="17.25" customHeight="1">
      <c r="A138" s="112"/>
      <c r="B138" s="189">
        <f>IFERROR(__xludf.DUMMYFUNCTION("""COMPUTED_VALUE"""),46167.5625)</f>
        <v>46167.5625</v>
      </c>
      <c r="C138" s="190">
        <f>IFERROR(__xludf.DUMMYFUNCTION("""COMPUTED_VALUE"""),99.55)</f>
        <v>99.55</v>
      </c>
      <c r="D138" s="190">
        <f>IFERROR(__xludf.DUMMYFUNCTION("""COMPUTED_VALUE"""),101.0)</f>
        <v>101</v>
      </c>
      <c r="E138" s="190">
        <f>IFERROR(__xludf.DUMMYFUNCTION("""COMPUTED_VALUE"""),99.55)</f>
        <v>99.55</v>
      </c>
      <c r="F138" s="190">
        <f>IFERROR(__xludf.DUMMYFUNCTION("""COMPUTED_VALUE"""),100.8)</f>
        <v>100.8</v>
      </c>
      <c r="G138" s="191">
        <f>IFERROR(__xludf.DUMMYFUNCTION("""COMPUTED_VALUE"""),1.24114624E8)</f>
        <v>124114624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</row>
    <row r="139" ht="17.25" customHeight="1">
      <c r="A139" s="112"/>
      <c r="B139" s="189">
        <f>IFERROR(__xludf.DUMMYFUNCTION("""COMPUTED_VALUE"""),46168.5625)</f>
        <v>46168.5625</v>
      </c>
      <c r="C139" s="190">
        <f>IFERROR(__xludf.DUMMYFUNCTION("""COMPUTED_VALUE"""),101.6)</f>
        <v>101.6</v>
      </c>
      <c r="D139" s="190">
        <f>IFERROR(__xludf.DUMMYFUNCTION("""COMPUTED_VALUE"""),101.8)</f>
        <v>101.8</v>
      </c>
      <c r="E139" s="190">
        <f>IFERROR(__xludf.DUMMYFUNCTION("""COMPUTED_VALUE"""),100.1)</f>
        <v>100.1</v>
      </c>
      <c r="F139" s="190">
        <f>IFERROR(__xludf.DUMMYFUNCTION("""COMPUTED_VALUE"""),100.1)</f>
        <v>100.1</v>
      </c>
      <c r="G139" s="191">
        <f>IFERROR(__xludf.DUMMYFUNCTION("""COMPUTED_VALUE"""),8.7695026E7)</f>
        <v>87695026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</row>
    <row r="140" ht="17.25" customHeight="1">
      <c r="A140" s="112"/>
      <c r="B140" s="189">
        <f>IFERROR(__xludf.DUMMYFUNCTION("""COMPUTED_VALUE"""),46169.5625)</f>
        <v>46169.5625</v>
      </c>
      <c r="C140" s="190">
        <f>IFERROR(__xludf.DUMMYFUNCTION("""COMPUTED_VALUE"""),102.4)</f>
        <v>102.4</v>
      </c>
      <c r="D140" s="190">
        <f>IFERROR(__xludf.DUMMYFUNCTION("""COMPUTED_VALUE"""),103.9)</f>
        <v>103.9</v>
      </c>
      <c r="E140" s="190">
        <f>IFERROR(__xludf.DUMMYFUNCTION("""COMPUTED_VALUE"""),102.0)</f>
        <v>102</v>
      </c>
      <c r="F140" s="190">
        <f>IFERROR(__xludf.DUMMYFUNCTION("""COMPUTED_VALUE"""),102.55)</f>
        <v>102.55</v>
      </c>
      <c r="G140" s="191">
        <f>IFERROR(__xludf.DUMMYFUNCTION("""COMPUTED_VALUE"""),9.0102044E7)</f>
        <v>90102044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</row>
    <row r="141" ht="17.25" customHeight="1">
      <c r="A141" s="112"/>
      <c r="B141" s="189">
        <f>IFERROR(__xludf.DUMMYFUNCTION("""COMPUTED_VALUE"""),46170.5625)</f>
        <v>46170.5625</v>
      </c>
      <c r="C141" s="190">
        <f>IFERROR(__xludf.DUMMYFUNCTION("""COMPUTED_VALUE"""),104.0)</f>
        <v>104</v>
      </c>
      <c r="D141" s="190">
        <f>IFERROR(__xludf.DUMMYFUNCTION("""COMPUTED_VALUE"""),104.25)</f>
        <v>104.25</v>
      </c>
      <c r="E141" s="190">
        <f>IFERROR(__xludf.DUMMYFUNCTION("""COMPUTED_VALUE"""),100.1)</f>
        <v>100.1</v>
      </c>
      <c r="F141" s="190">
        <f>IFERROR(__xludf.DUMMYFUNCTION("""COMPUTED_VALUE"""),100.5)</f>
        <v>100.5</v>
      </c>
      <c r="G141" s="191">
        <f>IFERROR(__xludf.DUMMYFUNCTION("""COMPUTED_VALUE"""),1.40421329E8)</f>
        <v>140421329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</row>
    <row r="142" ht="17.25" customHeight="1">
      <c r="A142" s="112"/>
      <c r="B142" s="189">
        <f>IFERROR(__xludf.DUMMYFUNCTION("""COMPUTED_VALUE"""),46171.5625)</f>
        <v>46171.5625</v>
      </c>
      <c r="C142" s="190">
        <f>IFERROR(__xludf.DUMMYFUNCTION("""COMPUTED_VALUE"""),103.2)</f>
        <v>103.2</v>
      </c>
      <c r="D142" s="190">
        <f>IFERROR(__xludf.DUMMYFUNCTION("""COMPUTED_VALUE"""),105.4)</f>
        <v>105.4</v>
      </c>
      <c r="E142" s="190">
        <f>IFERROR(__xludf.DUMMYFUNCTION("""COMPUTED_VALUE"""),102.7)</f>
        <v>102.7</v>
      </c>
      <c r="F142" s="190">
        <f>IFERROR(__xludf.DUMMYFUNCTION("""COMPUTED_VALUE"""),105.4)</f>
        <v>105.4</v>
      </c>
      <c r="G142" s="191">
        <f>IFERROR(__xludf.DUMMYFUNCTION("""COMPUTED_VALUE"""),9.8892043E7)</f>
        <v>98892043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</row>
    <row r="143" ht="17.25" customHeight="1">
      <c r="A143" s="112"/>
      <c r="B143" s="189"/>
      <c r="C143" s="190"/>
      <c r="D143" s="190"/>
      <c r="E143" s="190"/>
      <c r="F143" s="190"/>
      <c r="G143" s="191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</row>
    <row r="144" ht="17.25" customHeight="1">
      <c r="A144" s="112"/>
      <c r="B144" s="189"/>
      <c r="C144" s="190"/>
      <c r="D144" s="190"/>
      <c r="E144" s="190"/>
      <c r="F144" s="190"/>
      <c r="G144" s="191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</row>
    <row r="145" ht="17.25" customHeight="1">
      <c r="A145" s="112"/>
      <c r="B145" s="189"/>
      <c r="C145" s="190"/>
      <c r="D145" s="190"/>
      <c r="E145" s="190"/>
      <c r="F145" s="190"/>
      <c r="G145" s="191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</row>
    <row r="146" ht="17.25" customHeight="1">
      <c r="A146" s="112"/>
      <c r="B146" s="189"/>
      <c r="C146" s="190"/>
      <c r="D146" s="190"/>
      <c r="E146" s="190"/>
      <c r="F146" s="190"/>
      <c r="G146" s="191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</row>
    <row r="147" ht="17.25" customHeight="1">
      <c r="A147" s="112"/>
      <c r="B147" s="189"/>
      <c r="C147" s="190"/>
      <c r="D147" s="190"/>
      <c r="E147" s="190"/>
      <c r="F147" s="190"/>
      <c r="G147" s="191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</row>
    <row r="148" ht="17.25" customHeight="1">
      <c r="A148" s="112"/>
      <c r="B148" s="189"/>
      <c r="C148" s="190"/>
      <c r="D148" s="190"/>
      <c r="E148" s="190"/>
      <c r="F148" s="190"/>
      <c r="G148" s="191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</row>
    <row r="149" ht="17.25" customHeight="1">
      <c r="A149" s="112"/>
      <c r="B149" s="189"/>
      <c r="C149" s="190"/>
      <c r="D149" s="190"/>
      <c r="E149" s="190"/>
      <c r="F149" s="190"/>
      <c r="G149" s="191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</row>
    <row r="150" ht="17.25" customHeight="1">
      <c r="A150" s="112"/>
      <c r="B150" s="189"/>
      <c r="C150" s="190"/>
      <c r="D150" s="190"/>
      <c r="E150" s="190"/>
      <c r="F150" s="190"/>
      <c r="G150" s="191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</row>
    <row r="151" ht="17.25" customHeight="1">
      <c r="A151" s="112"/>
      <c r="B151" s="189"/>
      <c r="C151" s="190"/>
      <c r="D151" s="190"/>
      <c r="E151" s="190"/>
      <c r="F151" s="190"/>
      <c r="G151" s="191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</row>
    <row r="152" ht="17.25" customHeight="1">
      <c r="A152" s="112"/>
      <c r="B152" s="189"/>
      <c r="C152" s="190"/>
      <c r="D152" s="190"/>
      <c r="E152" s="190"/>
      <c r="F152" s="190"/>
      <c r="G152" s="191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</row>
    <row r="153" ht="17.25" customHeight="1">
      <c r="A153" s="112"/>
      <c r="B153" s="189"/>
      <c r="C153" s="190"/>
      <c r="D153" s="190"/>
      <c r="E153" s="190"/>
      <c r="F153" s="190"/>
      <c r="G153" s="191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</row>
    <row r="154" ht="17.25" customHeight="1">
      <c r="A154" s="112"/>
      <c r="B154" s="189"/>
      <c r="C154" s="190"/>
      <c r="D154" s="190"/>
      <c r="E154" s="190"/>
      <c r="F154" s="190"/>
      <c r="G154" s="191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</row>
    <row r="155" ht="17.25" customHeight="1">
      <c r="A155" s="112"/>
      <c r="B155" s="189"/>
      <c r="C155" s="190"/>
      <c r="D155" s="190"/>
      <c r="E155" s="190"/>
      <c r="F155" s="190"/>
      <c r="G155" s="191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</row>
    <row r="156" ht="17.25" customHeight="1">
      <c r="A156" s="112"/>
      <c r="B156" s="189"/>
      <c r="C156" s="190"/>
      <c r="D156" s="190"/>
      <c r="E156" s="190"/>
      <c r="F156" s="190"/>
      <c r="G156" s="191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</row>
    <row r="157" ht="17.25" customHeight="1">
      <c r="A157" s="112"/>
      <c r="B157" s="189"/>
      <c r="C157" s="190"/>
      <c r="D157" s="190"/>
      <c r="E157" s="190"/>
      <c r="F157" s="190"/>
      <c r="G157" s="191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</row>
    <row r="158" ht="17.25" customHeight="1">
      <c r="A158" s="112"/>
      <c r="B158" s="189"/>
      <c r="C158" s="190"/>
      <c r="D158" s="190"/>
      <c r="E158" s="190"/>
      <c r="F158" s="190"/>
      <c r="G158" s="191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</row>
    <row r="159" ht="17.25" customHeight="1">
      <c r="A159" s="112"/>
      <c r="B159" s="189"/>
      <c r="C159" s="190"/>
      <c r="D159" s="190"/>
      <c r="E159" s="190"/>
      <c r="F159" s="190"/>
      <c r="G159" s="191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</row>
    <row r="160" ht="17.25" customHeight="1">
      <c r="A160" s="112"/>
      <c r="B160" s="189"/>
      <c r="C160" s="190"/>
      <c r="D160" s="190"/>
      <c r="E160" s="190"/>
      <c r="F160" s="190"/>
      <c r="G160" s="191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</row>
    <row r="161" ht="17.25" customHeight="1">
      <c r="A161" s="112"/>
      <c r="B161" s="189"/>
      <c r="C161" s="190"/>
      <c r="D161" s="190"/>
      <c r="E161" s="190"/>
      <c r="F161" s="190"/>
      <c r="G161" s="191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</row>
    <row r="162" ht="17.25" customHeight="1">
      <c r="A162" s="112"/>
      <c r="B162" s="189"/>
      <c r="C162" s="190"/>
      <c r="D162" s="190"/>
      <c r="E162" s="190"/>
      <c r="F162" s="190"/>
      <c r="G162" s="191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</row>
    <row r="163" ht="17.25" customHeight="1">
      <c r="A163" s="112"/>
      <c r="B163" s="189"/>
      <c r="C163" s="190"/>
      <c r="D163" s="190"/>
      <c r="E163" s="190"/>
      <c r="F163" s="190"/>
      <c r="G163" s="191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</row>
    <row r="164" ht="17.25" customHeight="1">
      <c r="A164" s="112"/>
      <c r="B164" s="189"/>
      <c r="C164" s="190"/>
      <c r="D164" s="190"/>
      <c r="E164" s="190"/>
      <c r="F164" s="190"/>
      <c r="G164" s="191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</row>
    <row r="165" ht="17.25" customHeight="1">
      <c r="A165" s="112"/>
      <c r="B165" s="189"/>
      <c r="C165" s="190"/>
      <c r="D165" s="190"/>
      <c r="E165" s="190"/>
      <c r="F165" s="190"/>
      <c r="G165" s="191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</row>
    <row r="166" ht="17.25" customHeight="1">
      <c r="A166" s="112"/>
      <c r="B166" s="189"/>
      <c r="C166" s="190"/>
      <c r="D166" s="190"/>
      <c r="E166" s="190"/>
      <c r="F166" s="190"/>
      <c r="G166" s="191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</row>
    <row r="167" ht="17.25" customHeight="1">
      <c r="A167" s="112"/>
      <c r="B167" s="189"/>
      <c r="C167" s="190"/>
      <c r="D167" s="190"/>
      <c r="E167" s="190"/>
      <c r="F167" s="190"/>
      <c r="G167" s="191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</row>
    <row r="168" ht="17.25" customHeight="1">
      <c r="A168" s="112"/>
      <c r="B168" s="189"/>
      <c r="C168" s="190"/>
      <c r="D168" s="190"/>
      <c r="E168" s="190"/>
      <c r="F168" s="190"/>
      <c r="G168" s="191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</row>
    <row r="169" ht="17.25" customHeight="1">
      <c r="A169" s="112"/>
      <c r="B169" s="189"/>
      <c r="C169" s="190"/>
      <c r="D169" s="190"/>
      <c r="E169" s="190"/>
      <c r="F169" s="190"/>
      <c r="G169" s="191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</row>
    <row r="170" ht="17.25" customHeight="1">
      <c r="A170" s="112"/>
      <c r="B170" s="189"/>
      <c r="C170" s="190"/>
      <c r="D170" s="190"/>
      <c r="E170" s="190"/>
      <c r="F170" s="190"/>
      <c r="G170" s="191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</row>
    <row r="171" ht="17.25" customHeight="1">
      <c r="A171" s="112"/>
      <c r="B171" s="189"/>
      <c r="C171" s="190"/>
      <c r="D171" s="190"/>
      <c r="E171" s="190"/>
      <c r="F171" s="190"/>
      <c r="G171" s="191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</row>
    <row r="172" ht="17.25" customHeight="1">
      <c r="A172" s="112"/>
      <c r="B172" s="189"/>
      <c r="C172" s="190"/>
      <c r="D172" s="190"/>
      <c r="E172" s="190"/>
      <c r="F172" s="190"/>
      <c r="G172" s="191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</row>
    <row r="173" ht="17.25" customHeight="1">
      <c r="A173" s="112"/>
      <c r="B173" s="189"/>
      <c r="C173" s="190"/>
      <c r="D173" s="190"/>
      <c r="E173" s="190"/>
      <c r="F173" s="190"/>
      <c r="G173" s="191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</row>
    <row r="174" ht="17.25" customHeight="1">
      <c r="A174" s="112"/>
      <c r="B174" s="189"/>
      <c r="C174" s="190"/>
      <c r="D174" s="190"/>
      <c r="E174" s="190"/>
      <c r="F174" s="190"/>
      <c r="G174" s="191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</row>
    <row r="175" ht="17.25" customHeight="1">
      <c r="A175" s="112"/>
      <c r="B175" s="189"/>
      <c r="C175" s="190"/>
      <c r="D175" s="190"/>
      <c r="E175" s="190"/>
      <c r="F175" s="190"/>
      <c r="G175" s="191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</row>
    <row r="176" ht="17.25" customHeight="1">
      <c r="A176" s="112"/>
      <c r="B176" s="189"/>
      <c r="C176" s="190"/>
      <c r="D176" s="190"/>
      <c r="E176" s="190"/>
      <c r="F176" s="190"/>
      <c r="G176" s="191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</row>
    <row r="177" ht="17.25" customHeight="1">
      <c r="A177" s="112"/>
      <c r="B177" s="189"/>
      <c r="C177" s="190"/>
      <c r="D177" s="190"/>
      <c r="E177" s="190"/>
      <c r="F177" s="190"/>
      <c r="G177" s="191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</row>
    <row r="178" ht="17.25" customHeight="1">
      <c r="A178" s="112"/>
      <c r="B178" s="189"/>
      <c r="C178" s="190"/>
      <c r="D178" s="190"/>
      <c r="E178" s="190"/>
      <c r="F178" s="190"/>
      <c r="G178" s="191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</row>
    <row r="179" ht="17.25" customHeight="1">
      <c r="A179" s="112"/>
      <c r="B179" s="189"/>
      <c r="C179" s="190"/>
      <c r="D179" s="190"/>
      <c r="E179" s="190"/>
      <c r="F179" s="190"/>
      <c r="G179" s="191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</row>
    <row r="180" ht="17.25" customHeight="1">
      <c r="A180" s="112"/>
      <c r="B180" s="189"/>
      <c r="C180" s="190"/>
      <c r="D180" s="190"/>
      <c r="E180" s="190"/>
      <c r="F180" s="190"/>
      <c r="G180" s="191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</row>
    <row r="181" ht="17.25" customHeight="1">
      <c r="A181" s="112"/>
      <c r="B181" s="189"/>
      <c r="C181" s="190"/>
      <c r="D181" s="190"/>
      <c r="E181" s="190"/>
      <c r="F181" s="190"/>
      <c r="G181" s="191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</row>
    <row r="182" ht="17.25" customHeight="1">
      <c r="A182" s="112"/>
      <c r="B182" s="189"/>
      <c r="C182" s="190"/>
      <c r="D182" s="190"/>
      <c r="E182" s="190"/>
      <c r="F182" s="190"/>
      <c r="G182" s="191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</row>
    <row r="183" ht="17.25" customHeight="1">
      <c r="A183" s="112"/>
      <c r="B183" s="189"/>
      <c r="C183" s="190"/>
      <c r="D183" s="190"/>
      <c r="E183" s="190"/>
      <c r="F183" s="190"/>
      <c r="G183" s="191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</row>
    <row r="184" ht="17.25" customHeight="1">
      <c r="A184" s="112"/>
      <c r="B184" s="189"/>
      <c r="C184" s="190"/>
      <c r="D184" s="190"/>
      <c r="E184" s="190"/>
      <c r="F184" s="190"/>
      <c r="G184" s="191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</row>
    <row r="185" ht="17.25" customHeight="1">
      <c r="A185" s="112"/>
      <c r="B185" s="189"/>
      <c r="C185" s="190"/>
      <c r="D185" s="190"/>
      <c r="E185" s="190"/>
      <c r="F185" s="190"/>
      <c r="G185" s="191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</row>
    <row r="186" ht="17.25" customHeight="1">
      <c r="A186" s="112"/>
      <c r="B186" s="189"/>
      <c r="C186" s="190"/>
      <c r="D186" s="190"/>
      <c r="E186" s="190"/>
      <c r="F186" s="190"/>
      <c r="G186" s="191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</row>
    <row r="187" ht="17.25" customHeight="1">
      <c r="A187" s="112"/>
      <c r="B187" s="189"/>
      <c r="C187" s="190"/>
      <c r="D187" s="190"/>
      <c r="E187" s="190"/>
      <c r="F187" s="190"/>
      <c r="G187" s="191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</row>
    <row r="188" ht="17.25" customHeight="1">
      <c r="A188" s="112"/>
      <c r="B188" s="189"/>
      <c r="C188" s="190"/>
      <c r="D188" s="190"/>
      <c r="E188" s="190"/>
      <c r="F188" s="190"/>
      <c r="G188" s="191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</row>
    <row r="189" ht="17.25" customHeight="1">
      <c r="A189" s="112"/>
      <c r="B189" s="189"/>
      <c r="C189" s="190"/>
      <c r="D189" s="190"/>
      <c r="E189" s="190"/>
      <c r="F189" s="190"/>
      <c r="G189" s="191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</row>
    <row r="190" ht="17.25" customHeight="1">
      <c r="A190" s="112"/>
      <c r="B190" s="189"/>
      <c r="C190" s="190"/>
      <c r="D190" s="190"/>
      <c r="E190" s="190"/>
      <c r="F190" s="190"/>
      <c r="G190" s="191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</row>
    <row r="191" ht="17.25" customHeight="1">
      <c r="A191" s="112"/>
      <c r="B191" s="189"/>
      <c r="C191" s="190"/>
      <c r="D191" s="190"/>
      <c r="E191" s="190"/>
      <c r="F191" s="190"/>
      <c r="G191" s="191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</row>
    <row r="192" ht="17.25" customHeight="1">
      <c r="A192" s="112"/>
      <c r="B192" s="189"/>
      <c r="C192" s="190"/>
      <c r="D192" s="190"/>
      <c r="E192" s="190"/>
      <c r="F192" s="190"/>
      <c r="G192" s="191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</row>
    <row r="193" ht="17.25" customHeight="1">
      <c r="A193" s="112"/>
      <c r="B193" s="189"/>
      <c r="C193" s="190"/>
      <c r="D193" s="190"/>
      <c r="E193" s="190"/>
      <c r="F193" s="190"/>
      <c r="G193" s="191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</row>
    <row r="194" ht="17.25" customHeight="1">
      <c r="A194" s="112"/>
      <c r="B194" s="189"/>
      <c r="C194" s="190"/>
      <c r="D194" s="190"/>
      <c r="E194" s="190"/>
      <c r="F194" s="190"/>
      <c r="G194" s="191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</row>
    <row r="195" ht="17.25" customHeight="1">
      <c r="A195" s="112"/>
      <c r="B195" s="189"/>
      <c r="C195" s="190"/>
      <c r="D195" s="190"/>
      <c r="E195" s="190"/>
      <c r="F195" s="190"/>
      <c r="G195" s="191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</row>
    <row r="196" ht="17.25" customHeight="1">
      <c r="A196" s="112"/>
      <c r="B196" s="189"/>
      <c r="C196" s="190"/>
      <c r="D196" s="190"/>
      <c r="E196" s="190"/>
      <c r="F196" s="190"/>
      <c r="G196" s="191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</row>
    <row r="197" ht="17.25" customHeight="1">
      <c r="A197" s="112"/>
      <c r="B197" s="189"/>
      <c r="C197" s="190"/>
      <c r="D197" s="190"/>
      <c r="E197" s="190"/>
      <c r="F197" s="190"/>
      <c r="G197" s="191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</row>
    <row r="198" ht="17.25" customHeight="1">
      <c r="A198" s="112"/>
      <c r="B198" s="189"/>
      <c r="C198" s="190"/>
      <c r="D198" s="190"/>
      <c r="E198" s="190"/>
      <c r="F198" s="190"/>
      <c r="G198" s="191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</row>
    <row r="199" ht="17.25" customHeight="1">
      <c r="A199" s="112"/>
      <c r="B199" s="189"/>
      <c r="C199" s="190"/>
      <c r="D199" s="190"/>
      <c r="E199" s="190"/>
      <c r="F199" s="190"/>
      <c r="G199" s="191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</row>
    <row r="200" ht="17.25" customHeight="1">
      <c r="A200" s="112"/>
      <c r="B200" s="189"/>
      <c r="C200" s="190"/>
      <c r="D200" s="190"/>
      <c r="E200" s="190"/>
      <c r="F200" s="190"/>
      <c r="G200" s="191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</row>
    <row r="201" ht="17.25" customHeight="1">
      <c r="A201" s="112"/>
      <c r="B201" s="189"/>
      <c r="C201" s="190"/>
      <c r="D201" s="190"/>
      <c r="E201" s="190"/>
      <c r="F201" s="190"/>
      <c r="G201" s="191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</row>
    <row r="202" ht="17.25" customHeight="1">
      <c r="A202" s="112"/>
      <c r="B202" s="189"/>
      <c r="C202" s="190"/>
      <c r="D202" s="190"/>
      <c r="E202" s="190"/>
      <c r="F202" s="190"/>
      <c r="G202" s="191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</row>
    <row r="203" ht="17.25" customHeight="1">
      <c r="A203" s="112"/>
      <c r="B203" s="189"/>
      <c r="C203" s="190"/>
      <c r="D203" s="190"/>
      <c r="E203" s="190"/>
      <c r="F203" s="190"/>
      <c r="G203" s="191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</row>
    <row r="204" ht="17.25" customHeight="1">
      <c r="A204" s="112"/>
      <c r="B204" s="189"/>
      <c r="C204" s="190"/>
      <c r="D204" s="190"/>
      <c r="E204" s="190"/>
      <c r="F204" s="190"/>
      <c r="G204" s="191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</row>
    <row r="205" ht="17.25" customHeight="1">
      <c r="A205" s="112"/>
      <c r="B205" s="189"/>
      <c r="C205" s="190"/>
      <c r="D205" s="190"/>
      <c r="E205" s="190"/>
      <c r="F205" s="190"/>
      <c r="G205" s="191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</row>
    <row r="206" ht="17.25" customHeight="1">
      <c r="A206" s="112"/>
      <c r="B206" s="189"/>
      <c r="C206" s="190"/>
      <c r="D206" s="190"/>
      <c r="E206" s="190"/>
      <c r="F206" s="190"/>
      <c r="G206" s="191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</row>
    <row r="207" ht="17.25" customHeight="1">
      <c r="A207" s="112"/>
      <c r="B207" s="189"/>
      <c r="C207" s="190"/>
      <c r="D207" s="190"/>
      <c r="E207" s="190"/>
      <c r="F207" s="190"/>
      <c r="G207" s="191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</row>
    <row r="208" ht="17.25" customHeight="1">
      <c r="A208" s="112"/>
      <c r="B208" s="189"/>
      <c r="C208" s="190"/>
      <c r="D208" s="190"/>
      <c r="E208" s="190"/>
      <c r="F208" s="190"/>
      <c r="G208" s="191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</row>
    <row r="209" ht="17.25" customHeight="1">
      <c r="A209" s="112"/>
      <c r="B209" s="189"/>
      <c r="C209" s="190"/>
      <c r="D209" s="190"/>
      <c r="E209" s="190"/>
      <c r="F209" s="190"/>
      <c r="G209" s="191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</row>
    <row r="210" ht="17.25" customHeight="1">
      <c r="A210" s="112"/>
      <c r="B210" s="189"/>
      <c r="C210" s="190"/>
      <c r="D210" s="190"/>
      <c r="E210" s="190"/>
      <c r="F210" s="190"/>
      <c r="G210" s="191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</row>
    <row r="211" ht="17.25" customHeight="1">
      <c r="A211" s="112"/>
      <c r="B211" s="189"/>
      <c r="C211" s="190"/>
      <c r="D211" s="190"/>
      <c r="E211" s="190"/>
      <c r="F211" s="190"/>
      <c r="G211" s="191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ht="17.25" customHeight="1">
      <c r="A212" s="112"/>
      <c r="B212" s="189"/>
      <c r="C212" s="190"/>
      <c r="D212" s="190"/>
      <c r="E212" s="190"/>
      <c r="F212" s="190"/>
      <c r="G212" s="191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ht="17.25" customHeight="1">
      <c r="A213" s="112"/>
      <c r="B213" s="189"/>
      <c r="C213" s="190"/>
      <c r="D213" s="190"/>
      <c r="E213" s="190"/>
      <c r="F213" s="190"/>
      <c r="G213" s="191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</row>
    <row r="214" ht="17.25" customHeight="1">
      <c r="A214" s="112"/>
      <c r="B214" s="189"/>
      <c r="C214" s="190"/>
      <c r="D214" s="190"/>
      <c r="E214" s="190"/>
      <c r="F214" s="190"/>
      <c r="G214" s="191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</row>
    <row r="215" ht="17.25" customHeight="1">
      <c r="A215" s="112"/>
      <c r="B215" s="189"/>
      <c r="C215" s="190"/>
      <c r="D215" s="190"/>
      <c r="E215" s="190"/>
      <c r="F215" s="190"/>
      <c r="G215" s="191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</row>
    <row r="216" ht="17.25" customHeight="1">
      <c r="A216" s="112"/>
      <c r="B216" s="189"/>
      <c r="C216" s="190"/>
      <c r="D216" s="190"/>
      <c r="E216" s="190"/>
      <c r="F216" s="190"/>
      <c r="G216" s="191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</row>
    <row r="217" ht="17.25" customHeight="1">
      <c r="A217" s="112"/>
      <c r="B217" s="189"/>
      <c r="C217" s="190"/>
      <c r="D217" s="190"/>
      <c r="E217" s="190"/>
      <c r="F217" s="190"/>
      <c r="G217" s="191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</row>
    <row r="218" ht="17.25" customHeight="1">
      <c r="A218" s="112"/>
      <c r="B218" s="189"/>
      <c r="C218" s="190"/>
      <c r="D218" s="190"/>
      <c r="E218" s="190"/>
      <c r="F218" s="190"/>
      <c r="G218" s="191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</row>
    <row r="219" ht="17.25" customHeight="1">
      <c r="A219" s="112"/>
      <c r="B219" s="189"/>
      <c r="C219" s="190"/>
      <c r="D219" s="190"/>
      <c r="E219" s="190"/>
      <c r="F219" s="190"/>
      <c r="G219" s="191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</row>
    <row r="220" ht="17.25" customHeight="1">
      <c r="A220" s="112"/>
      <c r="B220" s="189"/>
      <c r="C220" s="190"/>
      <c r="D220" s="190"/>
      <c r="E220" s="190"/>
      <c r="F220" s="190"/>
      <c r="G220" s="191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</row>
    <row r="221" ht="17.25" customHeight="1">
      <c r="A221" s="112"/>
      <c r="B221" s="189"/>
      <c r="C221" s="190"/>
      <c r="D221" s="190"/>
      <c r="E221" s="190"/>
      <c r="F221" s="190"/>
      <c r="G221" s="191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</row>
    <row r="222" ht="17.25" customHeight="1">
      <c r="A222" s="112"/>
      <c r="B222" s="189"/>
      <c r="C222" s="190"/>
      <c r="D222" s="190"/>
      <c r="E222" s="190"/>
      <c r="F222" s="190"/>
      <c r="G222" s="191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</row>
    <row r="223" ht="17.25" customHeight="1">
      <c r="A223" s="112"/>
      <c r="B223" s="189"/>
      <c r="C223" s="190"/>
      <c r="D223" s="190"/>
      <c r="E223" s="190"/>
      <c r="F223" s="190"/>
      <c r="G223" s="191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</row>
    <row r="224" ht="17.25" customHeight="1">
      <c r="A224" s="112"/>
      <c r="B224" s="189"/>
      <c r="C224" s="190"/>
      <c r="D224" s="190"/>
      <c r="E224" s="190"/>
      <c r="F224" s="190"/>
      <c r="G224" s="191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</row>
    <row r="225" ht="17.25" customHeight="1">
      <c r="A225" s="112"/>
      <c r="B225" s="189"/>
      <c r="C225" s="190"/>
      <c r="D225" s="190"/>
      <c r="E225" s="190"/>
      <c r="F225" s="190"/>
      <c r="G225" s="191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</row>
    <row r="226" ht="17.25" customHeight="1">
      <c r="A226" s="112"/>
      <c r="B226" s="189"/>
      <c r="C226" s="190"/>
      <c r="D226" s="190"/>
      <c r="E226" s="190"/>
      <c r="F226" s="190"/>
      <c r="G226" s="191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</row>
    <row r="227" ht="17.25" customHeight="1">
      <c r="A227" s="112"/>
      <c r="B227" s="189"/>
      <c r="C227" s="190"/>
      <c r="D227" s="190"/>
      <c r="E227" s="190"/>
      <c r="F227" s="190"/>
      <c r="G227" s="191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</row>
    <row r="228" ht="17.25" customHeight="1">
      <c r="A228" s="112"/>
      <c r="B228" s="189"/>
      <c r="C228" s="190"/>
      <c r="D228" s="190"/>
      <c r="E228" s="190"/>
      <c r="F228" s="190"/>
      <c r="G228" s="191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</row>
    <row r="229" ht="17.25" customHeight="1">
      <c r="A229" s="112"/>
      <c r="B229" s="189"/>
      <c r="C229" s="190"/>
      <c r="D229" s="190"/>
      <c r="E229" s="190"/>
      <c r="F229" s="190"/>
      <c r="G229" s="191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</row>
    <row r="230" ht="17.25" customHeight="1">
      <c r="A230" s="112"/>
      <c r="B230" s="189"/>
      <c r="C230" s="190"/>
      <c r="D230" s="190"/>
      <c r="E230" s="190"/>
      <c r="F230" s="190"/>
      <c r="G230" s="191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</row>
    <row r="231" ht="17.25" customHeight="1">
      <c r="A231" s="112"/>
      <c r="B231" s="189"/>
      <c r="C231" s="190"/>
      <c r="D231" s="190"/>
      <c r="E231" s="190"/>
      <c r="F231" s="190"/>
      <c r="G231" s="191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</row>
    <row r="232" ht="17.25" customHeight="1">
      <c r="A232" s="112"/>
      <c r="B232" s="189"/>
      <c r="C232" s="190"/>
      <c r="D232" s="190"/>
      <c r="E232" s="190"/>
      <c r="F232" s="190"/>
      <c r="G232" s="19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</row>
    <row r="233" ht="17.25" customHeight="1">
      <c r="A233" s="112"/>
      <c r="B233" s="189"/>
      <c r="C233" s="190"/>
      <c r="D233" s="190"/>
      <c r="E233" s="190"/>
      <c r="F233" s="190"/>
      <c r="G233" s="191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</row>
    <row r="234" ht="17.25" customHeight="1">
      <c r="A234" s="112"/>
      <c r="B234" s="189"/>
      <c r="C234" s="190"/>
      <c r="D234" s="190"/>
      <c r="E234" s="190"/>
      <c r="F234" s="190"/>
      <c r="G234" s="191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</row>
    <row r="235" ht="17.25" customHeight="1">
      <c r="A235" s="112"/>
      <c r="B235" s="189"/>
      <c r="C235" s="190"/>
      <c r="D235" s="190"/>
      <c r="E235" s="190"/>
      <c r="F235" s="190"/>
      <c r="G235" s="191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</row>
    <row r="236" ht="17.25" customHeight="1">
      <c r="A236" s="112"/>
      <c r="B236" s="189"/>
      <c r="C236" s="190"/>
      <c r="D236" s="190"/>
      <c r="E236" s="190"/>
      <c r="F236" s="190"/>
      <c r="G236" s="191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</row>
    <row r="237" ht="17.25" customHeight="1">
      <c r="A237" s="112"/>
      <c r="B237" s="189"/>
      <c r="C237" s="190"/>
      <c r="D237" s="190"/>
      <c r="E237" s="190"/>
      <c r="F237" s="190"/>
      <c r="G237" s="191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</row>
    <row r="238" ht="17.25" customHeight="1">
      <c r="A238" s="112"/>
      <c r="B238" s="189"/>
      <c r="C238" s="190"/>
      <c r="D238" s="190"/>
      <c r="E238" s="190"/>
      <c r="F238" s="190"/>
      <c r="G238" s="191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</row>
    <row r="239" ht="17.25" customHeight="1">
      <c r="A239" s="112"/>
      <c r="B239" s="189"/>
      <c r="C239" s="190"/>
      <c r="D239" s="190"/>
      <c r="E239" s="190"/>
      <c r="F239" s="190"/>
      <c r="G239" s="19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</row>
    <row r="240" ht="17.25" customHeight="1">
      <c r="A240" s="112"/>
      <c r="B240" s="189"/>
      <c r="C240" s="190"/>
      <c r="D240" s="190"/>
      <c r="E240" s="190"/>
      <c r="F240" s="190"/>
      <c r="G240" s="191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</row>
    <row r="241" ht="17.25" customHeight="1">
      <c r="A241" s="112"/>
      <c r="B241" s="189"/>
      <c r="C241" s="190"/>
      <c r="D241" s="190"/>
      <c r="E241" s="190"/>
      <c r="F241" s="190"/>
      <c r="G241" s="191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</row>
    <row r="242" ht="17.25" customHeight="1">
      <c r="A242" s="112"/>
      <c r="B242" s="189"/>
      <c r="C242" s="190"/>
      <c r="D242" s="190"/>
      <c r="E242" s="190"/>
      <c r="F242" s="190"/>
      <c r="G242" s="191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</row>
    <row r="243" ht="17.25" customHeight="1">
      <c r="A243" s="112"/>
      <c r="B243" s="189"/>
      <c r="C243" s="190"/>
      <c r="D243" s="190"/>
      <c r="E243" s="190"/>
      <c r="F243" s="190"/>
      <c r="G243" s="191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</row>
    <row r="244" ht="17.25" customHeight="1">
      <c r="A244" s="112"/>
      <c r="B244" s="189"/>
      <c r="C244" s="190"/>
      <c r="D244" s="190"/>
      <c r="E244" s="190"/>
      <c r="F244" s="190"/>
      <c r="G244" s="191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</row>
    <row r="245" ht="17.25" customHeight="1">
      <c r="A245" s="112"/>
      <c r="B245" s="189"/>
      <c r="C245" s="190"/>
      <c r="D245" s="190"/>
      <c r="E245" s="190"/>
      <c r="F245" s="190"/>
      <c r="G245" s="191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</row>
    <row r="246" ht="17.25" customHeight="1">
      <c r="A246" s="112"/>
      <c r="B246" s="189"/>
      <c r="C246" s="190"/>
      <c r="D246" s="190"/>
      <c r="E246" s="190"/>
      <c r="F246" s="190"/>
      <c r="G246" s="191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</row>
    <row r="247" ht="17.25" customHeight="1">
      <c r="A247" s="112"/>
      <c r="B247" s="189"/>
      <c r="C247" s="190"/>
      <c r="D247" s="190"/>
      <c r="E247" s="190"/>
      <c r="F247" s="190"/>
      <c r="G247" s="191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</row>
    <row r="248" ht="17.25" customHeight="1">
      <c r="A248" s="112"/>
      <c r="B248" s="189"/>
      <c r="C248" s="190"/>
      <c r="D248" s="190"/>
      <c r="E248" s="190"/>
      <c r="F248" s="190"/>
      <c r="G248" s="191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</row>
    <row r="249" ht="17.25" customHeight="1">
      <c r="A249" s="112"/>
      <c r="B249" s="189"/>
      <c r="C249" s="190"/>
      <c r="D249" s="190"/>
      <c r="E249" s="190"/>
      <c r="F249" s="190"/>
      <c r="G249" s="191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</row>
    <row r="250" ht="17.25" customHeight="1">
      <c r="A250" s="112"/>
      <c r="B250" s="189"/>
      <c r="C250" s="190"/>
      <c r="D250" s="190"/>
      <c r="E250" s="190"/>
      <c r="F250" s="190"/>
      <c r="G250" s="191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</row>
    <row r="251" ht="17.25" customHeight="1">
      <c r="A251" s="112"/>
      <c r="B251" s="189"/>
      <c r="C251" s="190"/>
      <c r="D251" s="190"/>
      <c r="E251" s="190"/>
      <c r="F251" s="190"/>
      <c r="G251" s="191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</row>
    <row r="252" ht="17.25" customHeight="1">
      <c r="A252" s="112"/>
      <c r="B252" s="189"/>
      <c r="C252" s="190"/>
      <c r="D252" s="190"/>
      <c r="E252" s="190"/>
      <c r="F252" s="190"/>
      <c r="G252" s="191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 ht="17.25" customHeight="1">
      <c r="A253" s="112"/>
      <c r="B253" s="189"/>
      <c r="C253" s="190"/>
      <c r="D253" s="190"/>
      <c r="E253" s="190"/>
      <c r="F253" s="190"/>
      <c r="G253" s="191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</row>
    <row r="254" ht="17.25" customHeight="1">
      <c r="A254" s="112"/>
      <c r="B254" s="189"/>
      <c r="C254" s="190"/>
      <c r="D254" s="190"/>
      <c r="E254" s="190"/>
      <c r="F254" s="190"/>
      <c r="G254" s="191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</row>
    <row r="255" ht="17.25" customHeight="1">
      <c r="A255" s="112"/>
      <c r="B255" s="189"/>
      <c r="C255" s="190"/>
      <c r="D255" s="190"/>
      <c r="E255" s="190"/>
      <c r="F255" s="190"/>
      <c r="G255" s="191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</row>
    <row r="256" ht="17.25" customHeight="1">
      <c r="A256" s="112"/>
      <c r="B256" s="189"/>
      <c r="C256" s="190"/>
      <c r="D256" s="190"/>
      <c r="E256" s="190"/>
      <c r="F256" s="190"/>
      <c r="G256" s="191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</row>
    <row r="257" ht="17.25" customHeight="1">
      <c r="A257" s="112"/>
      <c r="B257" s="189"/>
      <c r="C257" s="190"/>
      <c r="D257" s="190"/>
      <c r="E257" s="190"/>
      <c r="F257" s="190"/>
      <c r="G257" s="191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</row>
    <row r="258" ht="17.25" customHeight="1">
      <c r="A258" s="112"/>
      <c r="B258" s="189"/>
      <c r="C258" s="190"/>
      <c r="D258" s="190"/>
      <c r="E258" s="190"/>
      <c r="F258" s="190"/>
      <c r="G258" s="191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</row>
    <row r="259" ht="17.25" customHeight="1">
      <c r="A259" s="112"/>
      <c r="B259" s="189"/>
      <c r="C259" s="190"/>
      <c r="D259" s="190"/>
      <c r="E259" s="190"/>
      <c r="F259" s="190"/>
      <c r="G259" s="191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</row>
    <row r="260" ht="17.25" customHeight="1">
      <c r="A260" s="112"/>
      <c r="B260" s="189"/>
      <c r="C260" s="190"/>
      <c r="D260" s="190"/>
      <c r="E260" s="190"/>
      <c r="F260" s="190"/>
      <c r="G260" s="191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</row>
    <row r="261" ht="17.25" customHeight="1">
      <c r="A261" s="112"/>
      <c r="B261" s="189"/>
      <c r="C261" s="190"/>
      <c r="D261" s="190"/>
      <c r="E261" s="190"/>
      <c r="F261" s="190"/>
      <c r="G261" s="191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</row>
    <row r="262" ht="17.25" customHeight="1">
      <c r="A262" s="112"/>
      <c r="B262" s="189"/>
      <c r="C262" s="190"/>
      <c r="D262" s="190"/>
      <c r="E262" s="190"/>
      <c r="F262" s="190"/>
      <c r="G262" s="191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</row>
    <row r="263" ht="17.25" customHeight="1">
      <c r="A263" s="112"/>
      <c r="B263" s="189"/>
      <c r="C263" s="190"/>
      <c r="D263" s="190"/>
      <c r="E263" s="190"/>
      <c r="F263" s="190"/>
      <c r="G263" s="191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</row>
    <row r="264" ht="17.25" customHeight="1">
      <c r="A264" s="112"/>
      <c r="B264" s="189"/>
      <c r="C264" s="190"/>
      <c r="D264" s="190"/>
      <c r="E264" s="190"/>
      <c r="F264" s="190"/>
      <c r="G264" s="191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</row>
    <row r="265" ht="17.25" customHeight="1">
      <c r="A265" s="112"/>
      <c r="B265" s="189"/>
      <c r="C265" s="190"/>
      <c r="D265" s="190"/>
      <c r="E265" s="190"/>
      <c r="F265" s="190"/>
      <c r="G265" s="191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</row>
    <row r="266" ht="17.25" customHeight="1">
      <c r="A266" s="112"/>
      <c r="B266" s="189"/>
      <c r="C266" s="190"/>
      <c r="D266" s="190"/>
      <c r="E266" s="190"/>
      <c r="F266" s="190"/>
      <c r="G266" s="191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</row>
    <row r="267" ht="17.25" customHeight="1">
      <c r="A267" s="112"/>
      <c r="B267" s="189"/>
      <c r="C267" s="190"/>
      <c r="D267" s="190"/>
      <c r="E267" s="190"/>
      <c r="F267" s="190"/>
      <c r="G267" s="191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</row>
    <row r="268" ht="17.25" customHeight="1">
      <c r="A268" s="112"/>
      <c r="B268" s="189"/>
      <c r="C268" s="190"/>
      <c r="D268" s="190"/>
      <c r="E268" s="190"/>
      <c r="F268" s="190"/>
      <c r="G268" s="191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</row>
    <row r="269" ht="17.25" customHeight="1">
      <c r="A269" s="112"/>
      <c r="B269" s="189"/>
      <c r="C269" s="190"/>
      <c r="D269" s="190"/>
      <c r="E269" s="190"/>
      <c r="F269" s="190"/>
      <c r="G269" s="191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</row>
    <row r="270" ht="17.25" customHeight="1">
      <c r="A270" s="112"/>
      <c r="B270" s="189"/>
      <c r="C270" s="190"/>
      <c r="D270" s="190"/>
      <c r="E270" s="190"/>
      <c r="F270" s="190"/>
      <c r="G270" s="191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</row>
    <row r="271" ht="17.25" customHeight="1">
      <c r="A271" s="112"/>
      <c r="B271" s="189"/>
      <c r="C271" s="190"/>
      <c r="D271" s="190"/>
      <c r="E271" s="190"/>
      <c r="F271" s="190"/>
      <c r="G271" s="191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</row>
    <row r="272" ht="17.25" customHeight="1">
      <c r="A272" s="112"/>
      <c r="B272" s="189"/>
      <c r="C272" s="190"/>
      <c r="D272" s="190"/>
      <c r="E272" s="190"/>
      <c r="F272" s="190"/>
      <c r="G272" s="191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</row>
    <row r="273" ht="17.25" customHeight="1">
      <c r="A273" s="112"/>
      <c r="B273" s="189"/>
      <c r="C273" s="190"/>
      <c r="D273" s="190"/>
      <c r="E273" s="190"/>
      <c r="F273" s="190"/>
      <c r="G273" s="191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</row>
    <row r="274" ht="17.25" customHeight="1">
      <c r="A274" s="112"/>
      <c r="B274" s="189"/>
      <c r="C274" s="190"/>
      <c r="D274" s="190"/>
      <c r="E274" s="190"/>
      <c r="F274" s="190"/>
      <c r="G274" s="191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</row>
    <row r="275" ht="17.25" customHeight="1">
      <c r="A275" s="112"/>
      <c r="B275" s="189"/>
      <c r="C275" s="190"/>
      <c r="D275" s="190"/>
      <c r="E275" s="190"/>
      <c r="F275" s="190"/>
      <c r="G275" s="191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</row>
    <row r="276" ht="17.25" customHeight="1">
      <c r="A276" s="112"/>
      <c r="B276" s="189"/>
      <c r="C276" s="190"/>
      <c r="D276" s="190"/>
      <c r="E276" s="190"/>
      <c r="F276" s="190"/>
      <c r="G276" s="191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</row>
    <row r="277" ht="17.25" customHeight="1">
      <c r="A277" s="112"/>
      <c r="B277" s="189"/>
      <c r="C277" s="190"/>
      <c r="D277" s="190"/>
      <c r="E277" s="190"/>
      <c r="F277" s="190"/>
      <c r="G277" s="191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</row>
    <row r="278" ht="17.25" customHeight="1">
      <c r="A278" s="112"/>
      <c r="B278" s="189"/>
      <c r="C278" s="190"/>
      <c r="D278" s="190"/>
      <c r="E278" s="190"/>
      <c r="F278" s="190"/>
      <c r="G278" s="191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</row>
    <row r="279" ht="17.25" customHeight="1">
      <c r="A279" s="112"/>
      <c r="B279" s="189"/>
      <c r="C279" s="190"/>
      <c r="D279" s="190"/>
      <c r="E279" s="190"/>
      <c r="F279" s="190"/>
      <c r="G279" s="191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</row>
    <row r="280" ht="17.25" customHeight="1">
      <c r="A280" s="112"/>
      <c r="B280" s="189"/>
      <c r="C280" s="190"/>
      <c r="D280" s="190"/>
      <c r="E280" s="190"/>
      <c r="F280" s="190"/>
      <c r="G280" s="191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</row>
    <row r="281" ht="17.25" customHeight="1">
      <c r="A281" s="112"/>
      <c r="B281" s="189"/>
      <c r="C281" s="190"/>
      <c r="D281" s="190"/>
      <c r="E281" s="190"/>
      <c r="F281" s="190"/>
      <c r="G281" s="191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</row>
    <row r="282" ht="17.25" customHeight="1">
      <c r="A282" s="112"/>
      <c r="B282" s="189"/>
      <c r="C282" s="190"/>
      <c r="D282" s="190"/>
      <c r="E282" s="190"/>
      <c r="F282" s="190"/>
      <c r="G282" s="191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</row>
    <row r="283" ht="17.25" customHeight="1">
      <c r="A283" s="112"/>
      <c r="B283" s="189"/>
      <c r="C283" s="190"/>
      <c r="D283" s="190"/>
      <c r="E283" s="190"/>
      <c r="F283" s="190"/>
      <c r="G283" s="191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</row>
    <row r="284" ht="17.25" customHeight="1">
      <c r="A284" s="112"/>
      <c r="B284" s="189"/>
      <c r="C284" s="190"/>
      <c r="D284" s="190"/>
      <c r="E284" s="190"/>
      <c r="F284" s="190"/>
      <c r="G284" s="191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</row>
    <row r="285" ht="17.25" customHeight="1">
      <c r="A285" s="112"/>
      <c r="B285" s="189"/>
      <c r="C285" s="190"/>
      <c r="D285" s="190"/>
      <c r="E285" s="190"/>
      <c r="F285" s="190"/>
      <c r="G285" s="191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</row>
    <row r="286" ht="17.25" customHeight="1">
      <c r="A286" s="112"/>
      <c r="B286" s="189"/>
      <c r="C286" s="190"/>
      <c r="D286" s="190"/>
      <c r="E286" s="190"/>
      <c r="F286" s="190"/>
      <c r="G286" s="191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</row>
    <row r="287" ht="17.25" customHeight="1">
      <c r="A287" s="112"/>
      <c r="B287" s="189"/>
      <c r="C287" s="190"/>
      <c r="D287" s="190"/>
      <c r="E287" s="190"/>
      <c r="F287" s="190"/>
      <c r="G287" s="191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</row>
    <row r="288" ht="17.25" customHeight="1">
      <c r="A288" s="112"/>
      <c r="B288" s="189"/>
      <c r="C288" s="190"/>
      <c r="D288" s="190"/>
      <c r="E288" s="190"/>
      <c r="F288" s="190"/>
      <c r="G288" s="191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</row>
    <row r="289" ht="17.25" customHeight="1">
      <c r="A289" s="112"/>
      <c r="B289" s="189"/>
      <c r="C289" s="190"/>
      <c r="D289" s="190"/>
      <c r="E289" s="190"/>
      <c r="F289" s="190"/>
      <c r="G289" s="191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</row>
    <row r="290" ht="17.25" customHeight="1">
      <c r="A290" s="112"/>
      <c r="B290" s="189"/>
      <c r="C290" s="190"/>
      <c r="D290" s="190"/>
      <c r="E290" s="190"/>
      <c r="F290" s="190"/>
      <c r="G290" s="191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</row>
    <row r="291" ht="17.25" customHeight="1">
      <c r="A291" s="112"/>
      <c r="B291" s="189"/>
      <c r="C291" s="190"/>
      <c r="D291" s="190"/>
      <c r="E291" s="190"/>
      <c r="F291" s="190"/>
      <c r="G291" s="191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</row>
    <row r="292" ht="17.25" customHeight="1">
      <c r="A292" s="112"/>
      <c r="B292" s="189"/>
      <c r="C292" s="190"/>
      <c r="D292" s="190"/>
      <c r="E292" s="190"/>
      <c r="F292" s="190"/>
      <c r="G292" s="191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</row>
    <row r="293" ht="17.25" customHeight="1">
      <c r="A293" s="112"/>
      <c r="B293" s="189"/>
      <c r="C293" s="190"/>
      <c r="D293" s="190"/>
      <c r="E293" s="190"/>
      <c r="F293" s="190"/>
      <c r="G293" s="191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</row>
    <row r="294" ht="17.25" customHeight="1">
      <c r="A294" s="112"/>
      <c r="B294" s="189"/>
      <c r="C294" s="190"/>
      <c r="D294" s="190"/>
      <c r="E294" s="190"/>
      <c r="F294" s="190"/>
      <c r="G294" s="191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</row>
    <row r="295" ht="17.25" customHeight="1">
      <c r="A295" s="112"/>
      <c r="B295" s="189"/>
      <c r="C295" s="190"/>
      <c r="D295" s="190"/>
      <c r="E295" s="190"/>
      <c r="F295" s="190"/>
      <c r="G295" s="191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</row>
    <row r="296" ht="17.25" customHeight="1">
      <c r="A296" s="112"/>
      <c r="B296" s="189"/>
      <c r="C296" s="190"/>
      <c r="D296" s="190"/>
      <c r="E296" s="190"/>
      <c r="F296" s="190"/>
      <c r="G296" s="191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</row>
    <row r="297" ht="17.25" customHeight="1">
      <c r="A297" s="112"/>
      <c r="B297" s="189"/>
      <c r="C297" s="190"/>
      <c r="D297" s="190"/>
      <c r="E297" s="190"/>
      <c r="F297" s="190"/>
      <c r="G297" s="191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</row>
    <row r="298" ht="17.25" customHeight="1">
      <c r="A298" s="112"/>
      <c r="B298" s="189"/>
      <c r="C298" s="190"/>
      <c r="D298" s="190"/>
      <c r="E298" s="190"/>
      <c r="F298" s="190"/>
      <c r="G298" s="191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</row>
    <row r="299" ht="17.25" customHeight="1">
      <c r="A299" s="112"/>
      <c r="B299" s="189"/>
      <c r="C299" s="190"/>
      <c r="D299" s="190"/>
      <c r="E299" s="190"/>
      <c r="F299" s="190"/>
      <c r="G299" s="191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</row>
    <row r="300" ht="17.25" customHeight="1">
      <c r="A300" s="112"/>
      <c r="B300" s="189"/>
      <c r="C300" s="190"/>
      <c r="D300" s="190"/>
      <c r="E300" s="190"/>
      <c r="F300" s="190"/>
      <c r="G300" s="191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</row>
    <row r="301" ht="17.25" customHeight="1">
      <c r="A301" s="112"/>
      <c r="B301" s="189"/>
      <c r="C301" s="190"/>
      <c r="D301" s="190"/>
      <c r="E301" s="190"/>
      <c r="F301" s="190"/>
      <c r="G301" s="191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</row>
    <row r="302" ht="17.25" customHeight="1">
      <c r="A302" s="112"/>
      <c r="B302" s="189"/>
      <c r="C302" s="190"/>
      <c r="D302" s="190"/>
      <c r="E302" s="190"/>
      <c r="F302" s="190"/>
      <c r="G302" s="191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</row>
    <row r="303" ht="17.25" customHeight="1">
      <c r="A303" s="112"/>
      <c r="B303" s="189"/>
      <c r="C303" s="190"/>
      <c r="D303" s="190"/>
      <c r="E303" s="190"/>
      <c r="F303" s="190"/>
      <c r="G303" s="191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</row>
    <row r="304" ht="17.25" customHeight="1">
      <c r="A304" s="112"/>
      <c r="B304" s="189"/>
      <c r="C304" s="190"/>
      <c r="D304" s="190"/>
      <c r="E304" s="190"/>
      <c r="F304" s="190"/>
      <c r="G304" s="19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</row>
    <row r="305" ht="17.25" customHeight="1">
      <c r="A305" s="112"/>
      <c r="B305" s="189"/>
      <c r="C305" s="190"/>
      <c r="D305" s="190"/>
      <c r="E305" s="190"/>
      <c r="F305" s="190"/>
      <c r="G305" s="191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</row>
    <row r="306" ht="17.25" customHeight="1">
      <c r="A306" s="112"/>
      <c r="B306" s="189"/>
      <c r="C306" s="190"/>
      <c r="D306" s="190"/>
      <c r="E306" s="190"/>
      <c r="F306" s="190"/>
      <c r="G306" s="191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</row>
    <row r="307" ht="17.25" customHeight="1">
      <c r="A307" s="112"/>
      <c r="B307" s="189"/>
      <c r="C307" s="190"/>
      <c r="D307" s="190"/>
      <c r="E307" s="190"/>
      <c r="F307" s="190"/>
      <c r="G307" s="191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</row>
    <row r="308" ht="17.25" customHeight="1">
      <c r="A308" s="112"/>
      <c r="B308" s="189"/>
      <c r="C308" s="190"/>
      <c r="D308" s="190"/>
      <c r="E308" s="190"/>
      <c r="F308" s="190"/>
      <c r="G308" s="191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</row>
    <row r="309" ht="17.25" customHeight="1">
      <c r="A309" s="112"/>
      <c r="B309" s="189"/>
      <c r="C309" s="190"/>
      <c r="D309" s="190"/>
      <c r="E309" s="190"/>
      <c r="F309" s="190"/>
      <c r="G309" s="191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</row>
    <row r="310" ht="17.25" customHeight="1">
      <c r="A310" s="112"/>
      <c r="B310" s="189"/>
      <c r="C310" s="190"/>
      <c r="D310" s="190"/>
      <c r="E310" s="190"/>
      <c r="F310" s="190"/>
      <c r="G310" s="191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</row>
    <row r="311" ht="17.25" customHeight="1">
      <c r="A311" s="112"/>
      <c r="B311" s="189"/>
      <c r="C311" s="190"/>
      <c r="D311" s="190"/>
      <c r="E311" s="190"/>
      <c r="F311" s="190"/>
      <c r="G311" s="191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</row>
    <row r="312" ht="17.25" customHeight="1">
      <c r="A312" s="112"/>
      <c r="B312" s="189"/>
      <c r="C312" s="190"/>
      <c r="D312" s="190"/>
      <c r="E312" s="190"/>
      <c r="F312" s="190"/>
      <c r="G312" s="191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</row>
    <row r="313" ht="17.25" customHeight="1">
      <c r="A313" s="112"/>
      <c r="B313" s="189"/>
      <c r="C313" s="190"/>
      <c r="D313" s="190"/>
      <c r="E313" s="190"/>
      <c r="F313" s="190"/>
      <c r="G313" s="191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</row>
    <row r="314" ht="17.25" customHeight="1">
      <c r="A314" s="112"/>
      <c r="B314" s="189"/>
      <c r="C314" s="190"/>
      <c r="D314" s="190"/>
      <c r="E314" s="190"/>
      <c r="F314" s="190"/>
      <c r="G314" s="191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</row>
    <row r="315" ht="17.25" customHeight="1">
      <c r="A315" s="112"/>
      <c r="B315" s="189"/>
      <c r="C315" s="190"/>
      <c r="D315" s="190"/>
      <c r="E315" s="190"/>
      <c r="F315" s="190"/>
      <c r="G315" s="191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</row>
    <row r="316" ht="17.25" customHeight="1">
      <c r="A316" s="112"/>
      <c r="B316" s="189"/>
      <c r="C316" s="190"/>
      <c r="D316" s="190"/>
      <c r="E316" s="190"/>
      <c r="F316" s="190"/>
      <c r="G316" s="191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</row>
    <row r="317" ht="17.25" customHeight="1">
      <c r="A317" s="112"/>
      <c r="B317" s="189"/>
      <c r="C317" s="190"/>
      <c r="D317" s="190"/>
      <c r="E317" s="190"/>
      <c r="F317" s="190"/>
      <c r="G317" s="191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</row>
    <row r="318" ht="17.25" customHeight="1">
      <c r="A318" s="112"/>
      <c r="B318" s="189"/>
      <c r="C318" s="190"/>
      <c r="D318" s="190"/>
      <c r="E318" s="190"/>
      <c r="F318" s="190"/>
      <c r="G318" s="191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</row>
    <row r="319" ht="17.25" customHeight="1">
      <c r="A319" s="112"/>
      <c r="B319" s="189"/>
      <c r="C319" s="190"/>
      <c r="D319" s="190"/>
      <c r="E319" s="190"/>
      <c r="F319" s="190"/>
      <c r="G319" s="191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</row>
    <row r="320" ht="17.25" customHeight="1">
      <c r="A320" s="112"/>
      <c r="B320" s="189"/>
      <c r="C320" s="190"/>
      <c r="D320" s="190"/>
      <c r="E320" s="190"/>
      <c r="F320" s="190"/>
      <c r="G320" s="191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</row>
    <row r="321" ht="17.25" customHeight="1">
      <c r="A321" s="112"/>
      <c r="B321" s="189"/>
      <c r="C321" s="190"/>
      <c r="D321" s="190"/>
      <c r="E321" s="190"/>
      <c r="F321" s="190"/>
      <c r="G321" s="191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</row>
    <row r="322" ht="17.25" customHeight="1">
      <c r="A322" s="112"/>
      <c r="B322" s="189"/>
      <c r="C322" s="190"/>
      <c r="D322" s="190"/>
      <c r="E322" s="190"/>
      <c r="F322" s="190"/>
      <c r="G322" s="191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</row>
    <row r="323" ht="17.25" customHeight="1">
      <c r="A323" s="112"/>
      <c r="B323" s="189"/>
      <c r="C323" s="190"/>
      <c r="D323" s="190"/>
      <c r="E323" s="190"/>
      <c r="F323" s="190"/>
      <c r="G323" s="191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</row>
    <row r="324" ht="17.25" customHeight="1">
      <c r="A324" s="112"/>
      <c r="B324" s="189"/>
      <c r="C324" s="190"/>
      <c r="D324" s="190"/>
      <c r="E324" s="190"/>
      <c r="F324" s="190"/>
      <c r="G324" s="191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</row>
    <row r="325" ht="17.25" customHeight="1">
      <c r="A325" s="112"/>
      <c r="B325" s="189"/>
      <c r="C325" s="190"/>
      <c r="D325" s="190"/>
      <c r="E325" s="190"/>
      <c r="F325" s="190"/>
      <c r="G325" s="191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</row>
    <row r="326" ht="17.25" customHeight="1">
      <c r="A326" s="112"/>
      <c r="B326" s="189"/>
      <c r="C326" s="190"/>
      <c r="D326" s="190"/>
      <c r="E326" s="190"/>
      <c r="F326" s="190"/>
      <c r="G326" s="191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</row>
    <row r="327" ht="17.25" customHeight="1">
      <c r="A327" s="112"/>
      <c r="B327" s="189"/>
      <c r="C327" s="190"/>
      <c r="D327" s="190"/>
      <c r="E327" s="190"/>
      <c r="F327" s="190"/>
      <c r="G327" s="191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</row>
    <row r="328" ht="17.25" customHeight="1">
      <c r="A328" s="112"/>
      <c r="B328" s="189"/>
      <c r="C328" s="190"/>
      <c r="D328" s="190"/>
      <c r="E328" s="190"/>
      <c r="F328" s="190"/>
      <c r="G328" s="191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</row>
    <row r="329" ht="17.25" customHeight="1">
      <c r="A329" s="112"/>
      <c r="B329" s="189"/>
      <c r="C329" s="190"/>
      <c r="D329" s="190"/>
      <c r="E329" s="190"/>
      <c r="F329" s="190"/>
      <c r="G329" s="191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</row>
    <row r="330" ht="17.25" customHeight="1">
      <c r="A330" s="112"/>
      <c r="B330" s="189"/>
      <c r="C330" s="190"/>
      <c r="D330" s="190"/>
      <c r="E330" s="190"/>
      <c r="F330" s="190"/>
      <c r="G330" s="191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</row>
    <row r="331" ht="17.25" customHeight="1">
      <c r="A331" s="112"/>
      <c r="B331" s="189"/>
      <c r="C331" s="190"/>
      <c r="D331" s="190"/>
      <c r="E331" s="190"/>
      <c r="F331" s="190"/>
      <c r="G331" s="191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</row>
    <row r="332" ht="17.25" customHeight="1">
      <c r="A332" s="112"/>
      <c r="B332" s="189"/>
      <c r="C332" s="190"/>
      <c r="D332" s="190"/>
      <c r="E332" s="190"/>
      <c r="F332" s="190"/>
      <c r="G332" s="191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</row>
    <row r="333" ht="17.25" customHeight="1">
      <c r="A333" s="112"/>
      <c r="B333" s="189"/>
      <c r="C333" s="190"/>
      <c r="D333" s="190"/>
      <c r="E333" s="190"/>
      <c r="F333" s="190"/>
      <c r="G333" s="191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</row>
    <row r="334" ht="17.25" customHeight="1">
      <c r="A334" s="112"/>
      <c r="B334" s="189"/>
      <c r="C334" s="190"/>
      <c r="D334" s="190"/>
      <c r="E334" s="190"/>
      <c r="F334" s="190"/>
      <c r="G334" s="191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</row>
    <row r="335" ht="17.25" customHeight="1">
      <c r="A335" s="112"/>
      <c r="B335" s="189"/>
      <c r="C335" s="190"/>
      <c r="D335" s="190"/>
      <c r="E335" s="190"/>
      <c r="F335" s="190"/>
      <c r="G335" s="191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</row>
    <row r="336" ht="17.25" customHeight="1">
      <c r="A336" s="112"/>
      <c r="B336" s="189"/>
      <c r="C336" s="190"/>
      <c r="D336" s="190"/>
      <c r="E336" s="190"/>
      <c r="F336" s="190"/>
      <c r="G336" s="191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</row>
    <row r="337" ht="17.25" customHeight="1">
      <c r="A337" s="112"/>
      <c r="B337" s="189"/>
      <c r="C337" s="190"/>
      <c r="D337" s="190"/>
      <c r="E337" s="190"/>
      <c r="F337" s="190"/>
      <c r="G337" s="191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</row>
    <row r="338" ht="17.25" customHeight="1">
      <c r="A338" s="112"/>
      <c r="B338" s="189"/>
      <c r="C338" s="190"/>
      <c r="D338" s="190"/>
      <c r="E338" s="190"/>
      <c r="F338" s="190"/>
      <c r="G338" s="191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</row>
    <row r="339" ht="17.25" customHeight="1">
      <c r="A339" s="112"/>
      <c r="B339" s="189"/>
      <c r="C339" s="190"/>
      <c r="D339" s="190"/>
      <c r="E339" s="190"/>
      <c r="F339" s="190"/>
      <c r="G339" s="191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</row>
    <row r="340" ht="17.25" customHeight="1">
      <c r="A340" s="112"/>
      <c r="B340" s="189"/>
      <c r="C340" s="190"/>
      <c r="D340" s="190"/>
      <c r="E340" s="190"/>
      <c r="F340" s="190"/>
      <c r="G340" s="191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</row>
    <row r="341" ht="17.25" customHeight="1">
      <c r="A341" s="112"/>
      <c r="B341" s="189"/>
      <c r="C341" s="190"/>
      <c r="D341" s="190"/>
      <c r="E341" s="190"/>
      <c r="F341" s="190"/>
      <c r="G341" s="191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</row>
    <row r="342" ht="17.25" customHeight="1">
      <c r="A342" s="112"/>
      <c r="B342" s="189"/>
      <c r="C342" s="190"/>
      <c r="D342" s="190"/>
      <c r="E342" s="190"/>
      <c r="F342" s="190"/>
      <c r="G342" s="191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</row>
    <row r="343" ht="17.25" customHeight="1">
      <c r="A343" s="112"/>
      <c r="B343" s="189"/>
      <c r="C343" s="190"/>
      <c r="D343" s="190"/>
      <c r="E343" s="190"/>
      <c r="F343" s="190"/>
      <c r="G343" s="191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</row>
    <row r="344" ht="17.25" customHeight="1">
      <c r="A344" s="112"/>
      <c r="B344" s="189"/>
      <c r="C344" s="190"/>
      <c r="D344" s="190"/>
      <c r="E344" s="190"/>
      <c r="F344" s="190"/>
      <c r="G344" s="191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</row>
    <row r="345" ht="17.25" customHeight="1">
      <c r="A345" s="112"/>
      <c r="B345" s="189"/>
      <c r="C345" s="190"/>
      <c r="D345" s="190"/>
      <c r="E345" s="190"/>
      <c r="F345" s="190"/>
      <c r="G345" s="191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</row>
    <row r="346" ht="17.25" customHeight="1">
      <c r="A346" s="112"/>
      <c r="B346" s="189"/>
      <c r="C346" s="190"/>
      <c r="D346" s="190"/>
      <c r="E346" s="190"/>
      <c r="F346" s="190"/>
      <c r="G346" s="191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</row>
    <row r="347" ht="17.25" customHeight="1">
      <c r="A347" s="112"/>
      <c r="B347" s="189"/>
      <c r="C347" s="190"/>
      <c r="D347" s="190"/>
      <c r="E347" s="190"/>
      <c r="F347" s="190"/>
      <c r="G347" s="191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</row>
    <row r="348" ht="17.25" customHeight="1">
      <c r="A348" s="112"/>
      <c r="B348" s="189"/>
      <c r="C348" s="190"/>
      <c r="D348" s="190"/>
      <c r="E348" s="190"/>
      <c r="F348" s="190"/>
      <c r="G348" s="191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</row>
    <row r="349" ht="17.25" customHeight="1">
      <c r="A349" s="112"/>
      <c r="B349" s="189"/>
      <c r="C349" s="190"/>
      <c r="D349" s="190"/>
      <c r="E349" s="190"/>
      <c r="F349" s="190"/>
      <c r="G349" s="191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</row>
    <row r="350" ht="17.25" customHeight="1">
      <c r="A350" s="112"/>
      <c r="B350" s="189"/>
      <c r="C350" s="190"/>
      <c r="D350" s="190"/>
      <c r="E350" s="190"/>
      <c r="F350" s="190"/>
      <c r="G350" s="191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</row>
    <row r="351" ht="17.25" customHeight="1">
      <c r="A351" s="112"/>
      <c r="B351" s="189"/>
      <c r="C351" s="190"/>
      <c r="D351" s="190"/>
      <c r="E351" s="190"/>
      <c r="F351" s="190"/>
      <c r="G351" s="191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</row>
    <row r="352" ht="17.25" customHeight="1">
      <c r="A352" s="112"/>
      <c r="B352" s="189"/>
      <c r="C352" s="190"/>
      <c r="D352" s="190"/>
      <c r="E352" s="190"/>
      <c r="F352" s="190"/>
      <c r="G352" s="191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</row>
    <row r="353" ht="17.25" customHeight="1">
      <c r="A353" s="112"/>
      <c r="B353" s="189"/>
      <c r="C353" s="190"/>
      <c r="D353" s="190"/>
      <c r="E353" s="190"/>
      <c r="F353" s="190"/>
      <c r="G353" s="191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</row>
    <row r="354" ht="17.25" customHeight="1">
      <c r="A354" s="112"/>
      <c r="B354" s="189"/>
      <c r="C354" s="190"/>
      <c r="D354" s="190"/>
      <c r="E354" s="190"/>
      <c r="F354" s="190"/>
      <c r="G354" s="191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</row>
    <row r="355" ht="17.25" customHeight="1">
      <c r="A355" s="112"/>
      <c r="B355" s="189"/>
      <c r="C355" s="190"/>
      <c r="D355" s="190"/>
      <c r="E355" s="190"/>
      <c r="F355" s="190"/>
      <c r="G355" s="191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</row>
    <row r="356" ht="17.25" customHeight="1">
      <c r="A356" s="112"/>
      <c r="B356" s="189"/>
      <c r="C356" s="190"/>
      <c r="D356" s="190"/>
      <c r="E356" s="190"/>
      <c r="F356" s="190"/>
      <c r="G356" s="191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</row>
    <row r="357" ht="17.25" customHeight="1">
      <c r="A357" s="112"/>
      <c r="B357" s="189"/>
      <c r="C357" s="190"/>
      <c r="D357" s="190"/>
      <c r="E357" s="190"/>
      <c r="F357" s="190"/>
      <c r="G357" s="191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</row>
    <row r="358" ht="17.25" customHeight="1">
      <c r="A358" s="112"/>
      <c r="B358" s="189"/>
      <c r="C358" s="190"/>
      <c r="D358" s="190"/>
      <c r="E358" s="190"/>
      <c r="F358" s="190"/>
      <c r="G358" s="191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</row>
    <row r="359" ht="17.25" customHeight="1">
      <c r="A359" s="112"/>
      <c r="B359" s="189"/>
      <c r="C359" s="190"/>
      <c r="D359" s="190"/>
      <c r="E359" s="190"/>
      <c r="F359" s="190"/>
      <c r="G359" s="191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</row>
    <row r="360" ht="17.25" customHeight="1">
      <c r="A360" s="112"/>
      <c r="B360" s="189"/>
      <c r="C360" s="190"/>
      <c r="D360" s="190"/>
      <c r="E360" s="190"/>
      <c r="F360" s="190"/>
      <c r="G360" s="191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</row>
    <row r="361" ht="17.25" customHeight="1">
      <c r="A361" s="112"/>
      <c r="B361" s="189"/>
      <c r="C361" s="190"/>
      <c r="D361" s="190"/>
      <c r="E361" s="190"/>
      <c r="F361" s="190"/>
      <c r="G361" s="191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</row>
    <row r="362" ht="17.25" customHeight="1">
      <c r="A362" s="112"/>
      <c r="B362" s="189"/>
      <c r="C362" s="190"/>
      <c r="D362" s="190"/>
      <c r="E362" s="190"/>
      <c r="F362" s="190"/>
      <c r="G362" s="191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</row>
    <row r="363" ht="17.25" customHeight="1">
      <c r="A363" s="112"/>
      <c r="B363" s="189"/>
      <c r="C363" s="190"/>
      <c r="D363" s="190"/>
      <c r="E363" s="190"/>
      <c r="F363" s="190"/>
      <c r="G363" s="191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</row>
    <row r="364" ht="17.25" customHeight="1">
      <c r="A364" s="112"/>
      <c r="B364" s="189"/>
      <c r="C364" s="190"/>
      <c r="D364" s="190"/>
      <c r="E364" s="190"/>
      <c r="F364" s="190"/>
      <c r="G364" s="191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</row>
    <row r="365" ht="17.25" customHeight="1">
      <c r="A365" s="112"/>
      <c r="B365" s="189"/>
      <c r="C365" s="190"/>
      <c r="D365" s="190"/>
      <c r="E365" s="190"/>
      <c r="F365" s="190"/>
      <c r="G365" s="191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</row>
    <row r="366" ht="17.25" customHeight="1">
      <c r="A366" s="112"/>
      <c r="B366" s="189"/>
      <c r="C366" s="190"/>
      <c r="D366" s="190"/>
      <c r="E366" s="190"/>
      <c r="F366" s="190"/>
      <c r="G366" s="191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</row>
    <row r="367" ht="17.25" customHeight="1">
      <c r="A367" s="112"/>
      <c r="B367" s="189"/>
      <c r="C367" s="190"/>
      <c r="D367" s="190"/>
      <c r="E367" s="190"/>
      <c r="F367" s="190"/>
      <c r="G367" s="191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</row>
    <row r="368" ht="17.25" customHeight="1">
      <c r="A368" s="112"/>
      <c r="B368" s="189"/>
      <c r="C368" s="190"/>
      <c r="D368" s="190"/>
      <c r="E368" s="190"/>
      <c r="F368" s="190"/>
      <c r="G368" s="191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</row>
    <row r="369" ht="17.25" customHeight="1">
      <c r="A369" s="112"/>
      <c r="B369" s="189"/>
      <c r="C369" s="190"/>
      <c r="D369" s="190"/>
      <c r="E369" s="190"/>
      <c r="F369" s="190"/>
      <c r="G369" s="191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</row>
    <row r="370" ht="17.25" customHeight="1">
      <c r="A370" s="112"/>
      <c r="B370" s="189"/>
      <c r="C370" s="190"/>
      <c r="D370" s="190"/>
      <c r="E370" s="190"/>
      <c r="F370" s="190"/>
      <c r="G370" s="191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</row>
    <row r="371" ht="17.25" customHeight="1">
      <c r="A371" s="112"/>
      <c r="B371" s="189"/>
      <c r="C371" s="190"/>
      <c r="D371" s="190"/>
      <c r="E371" s="190"/>
      <c r="F371" s="190"/>
      <c r="G371" s="191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</row>
    <row r="372" ht="17.25" customHeight="1">
      <c r="A372" s="112"/>
      <c r="B372" s="189"/>
      <c r="C372" s="190"/>
      <c r="D372" s="190"/>
      <c r="E372" s="190"/>
      <c r="F372" s="190"/>
      <c r="G372" s="191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</row>
    <row r="373" ht="17.25" customHeight="1">
      <c r="A373" s="112"/>
      <c r="B373" s="189"/>
      <c r="C373" s="190"/>
      <c r="D373" s="190"/>
      <c r="E373" s="190"/>
      <c r="F373" s="190"/>
      <c r="G373" s="191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</row>
    <row r="374" ht="17.25" customHeight="1">
      <c r="A374" s="112"/>
      <c r="B374" s="189"/>
      <c r="C374" s="190"/>
      <c r="D374" s="190"/>
      <c r="E374" s="190"/>
      <c r="F374" s="190"/>
      <c r="G374" s="191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</row>
    <row r="375" ht="17.25" customHeight="1">
      <c r="A375" s="112"/>
      <c r="B375" s="189"/>
      <c r="C375" s="190"/>
      <c r="D375" s="190"/>
      <c r="E375" s="190"/>
      <c r="F375" s="190"/>
      <c r="G375" s="191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</row>
    <row r="376" ht="17.25" customHeight="1">
      <c r="A376" s="112"/>
      <c r="B376" s="189"/>
      <c r="C376" s="190"/>
      <c r="D376" s="190"/>
      <c r="E376" s="190"/>
      <c r="F376" s="190"/>
      <c r="G376" s="191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</row>
    <row r="377" ht="17.25" customHeight="1">
      <c r="A377" s="112"/>
      <c r="B377" s="189"/>
      <c r="C377" s="190"/>
      <c r="D377" s="190"/>
      <c r="E377" s="190"/>
      <c r="F377" s="190"/>
      <c r="G377" s="191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</row>
    <row r="378" ht="17.25" customHeight="1">
      <c r="A378" s="112"/>
      <c r="B378" s="189"/>
      <c r="C378" s="190"/>
      <c r="D378" s="190"/>
      <c r="E378" s="190"/>
      <c r="F378" s="190"/>
      <c r="G378" s="191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</row>
    <row r="379" ht="17.25" customHeight="1">
      <c r="A379" s="112"/>
      <c r="B379" s="189"/>
      <c r="C379" s="190"/>
      <c r="D379" s="190"/>
      <c r="E379" s="190"/>
      <c r="F379" s="190"/>
      <c r="G379" s="191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</row>
    <row r="380" ht="17.25" customHeight="1">
      <c r="A380" s="112"/>
      <c r="B380" s="189"/>
      <c r="C380" s="190"/>
      <c r="D380" s="190"/>
      <c r="E380" s="190"/>
      <c r="F380" s="190"/>
      <c r="G380" s="191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</row>
    <row r="381" ht="17.25" customHeight="1">
      <c r="A381" s="112"/>
      <c r="B381" s="189"/>
      <c r="C381" s="190"/>
      <c r="D381" s="190"/>
      <c r="E381" s="190"/>
      <c r="F381" s="190"/>
      <c r="G381" s="191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</row>
    <row r="382" ht="17.25" customHeight="1">
      <c r="A382" s="112"/>
      <c r="B382" s="189"/>
      <c r="C382" s="190"/>
      <c r="D382" s="190"/>
      <c r="E382" s="190"/>
      <c r="F382" s="190"/>
      <c r="G382" s="191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</row>
    <row r="383" ht="17.25" customHeight="1">
      <c r="A383" s="112"/>
      <c r="B383" s="189"/>
      <c r="C383" s="190"/>
      <c r="D383" s="190"/>
      <c r="E383" s="190"/>
      <c r="F383" s="190"/>
      <c r="G383" s="191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</row>
    <row r="384" ht="17.25" customHeight="1">
      <c r="A384" s="112"/>
      <c r="B384" s="189"/>
      <c r="C384" s="190"/>
      <c r="D384" s="190"/>
      <c r="E384" s="190"/>
      <c r="F384" s="190"/>
      <c r="G384" s="191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</row>
    <row r="385" ht="17.25" customHeight="1">
      <c r="A385" s="112"/>
      <c r="B385" s="189"/>
      <c r="C385" s="190"/>
      <c r="D385" s="190"/>
      <c r="E385" s="190"/>
      <c r="F385" s="190"/>
      <c r="G385" s="191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</row>
    <row r="386" ht="17.25" customHeight="1">
      <c r="A386" s="112"/>
      <c r="B386" s="189"/>
      <c r="C386" s="190"/>
      <c r="D386" s="190"/>
      <c r="E386" s="190"/>
      <c r="F386" s="190"/>
      <c r="G386" s="191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</row>
    <row r="387" ht="17.25" customHeight="1">
      <c r="A387" s="112"/>
      <c r="B387" s="189"/>
      <c r="C387" s="190"/>
      <c r="D387" s="190"/>
      <c r="E387" s="190"/>
      <c r="F387" s="190"/>
      <c r="G387" s="191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</row>
    <row r="388" ht="17.25" customHeight="1">
      <c r="A388" s="112"/>
      <c r="B388" s="189"/>
      <c r="C388" s="190"/>
      <c r="D388" s="190"/>
      <c r="E388" s="190"/>
      <c r="F388" s="190"/>
      <c r="G388" s="191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</row>
    <row r="389" ht="17.25" customHeight="1">
      <c r="A389" s="112"/>
      <c r="B389" s="189"/>
      <c r="C389" s="190"/>
      <c r="D389" s="190"/>
      <c r="E389" s="190"/>
      <c r="F389" s="190"/>
      <c r="G389" s="191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</row>
    <row r="390" ht="17.25" customHeight="1">
      <c r="A390" s="112"/>
      <c r="B390" s="189"/>
      <c r="C390" s="190"/>
      <c r="D390" s="190"/>
      <c r="E390" s="190"/>
      <c r="F390" s="190"/>
      <c r="G390" s="191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</row>
    <row r="391" ht="17.25" customHeight="1">
      <c r="A391" s="112"/>
      <c r="B391" s="189"/>
      <c r="C391" s="190"/>
      <c r="D391" s="190"/>
      <c r="E391" s="190"/>
      <c r="F391" s="190"/>
      <c r="G391" s="191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</row>
    <row r="392" ht="17.25" customHeight="1">
      <c r="A392" s="112"/>
      <c r="B392" s="189"/>
      <c r="C392" s="190"/>
      <c r="D392" s="190"/>
      <c r="E392" s="190"/>
      <c r="F392" s="190"/>
      <c r="G392" s="191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</row>
    <row r="393" ht="17.25" customHeight="1">
      <c r="A393" s="112"/>
      <c r="B393" s="189"/>
      <c r="C393" s="190"/>
      <c r="D393" s="190"/>
      <c r="E393" s="190"/>
      <c r="F393" s="190"/>
      <c r="G393" s="191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</row>
    <row r="394" ht="17.25" customHeight="1">
      <c r="A394" s="112"/>
      <c r="B394" s="189"/>
      <c r="C394" s="190"/>
      <c r="D394" s="190"/>
      <c r="E394" s="190"/>
      <c r="F394" s="190"/>
      <c r="G394" s="191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</row>
    <row r="395" ht="17.25" customHeight="1">
      <c r="A395" s="112"/>
      <c r="B395" s="189"/>
      <c r="C395" s="190"/>
      <c r="D395" s="190"/>
      <c r="E395" s="190"/>
      <c r="F395" s="190"/>
      <c r="G395" s="191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</row>
    <row r="396" ht="17.25" customHeight="1">
      <c r="A396" s="112"/>
      <c r="B396" s="189"/>
      <c r="C396" s="190"/>
      <c r="D396" s="190"/>
      <c r="E396" s="190"/>
      <c r="F396" s="190"/>
      <c r="G396" s="191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</row>
    <row r="397" ht="17.25" customHeight="1">
      <c r="A397" s="112"/>
      <c r="B397" s="189"/>
      <c r="C397" s="190"/>
      <c r="D397" s="190"/>
      <c r="E397" s="190"/>
      <c r="F397" s="190"/>
      <c r="G397" s="191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</row>
    <row r="398" ht="17.25" customHeight="1">
      <c r="A398" s="112"/>
      <c r="B398" s="189"/>
      <c r="C398" s="190"/>
      <c r="D398" s="190"/>
      <c r="E398" s="190"/>
      <c r="F398" s="190"/>
      <c r="G398" s="191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</row>
    <row r="399" ht="17.25" customHeight="1">
      <c r="A399" s="112"/>
      <c r="B399" s="189"/>
      <c r="C399" s="190"/>
      <c r="D399" s="190"/>
      <c r="E399" s="190"/>
      <c r="F399" s="190"/>
      <c r="G399" s="191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</row>
    <row r="400" ht="17.25" customHeight="1">
      <c r="A400" s="112"/>
      <c r="B400" s="189"/>
      <c r="C400" s="190"/>
      <c r="D400" s="190"/>
      <c r="E400" s="190"/>
      <c r="F400" s="190"/>
      <c r="G400" s="191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</row>
    <row r="401" ht="17.25" customHeight="1">
      <c r="A401" s="112"/>
      <c r="B401" s="189"/>
      <c r="C401" s="190"/>
      <c r="D401" s="190"/>
      <c r="E401" s="190"/>
      <c r="F401" s="190"/>
      <c r="G401" s="191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</row>
    <row r="402" ht="17.25" customHeight="1">
      <c r="A402" s="112"/>
      <c r="B402" s="189"/>
      <c r="C402" s="190"/>
      <c r="D402" s="190"/>
      <c r="E402" s="190"/>
      <c r="F402" s="190"/>
      <c r="G402" s="191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</row>
    <row r="403" ht="17.25" customHeight="1">
      <c r="A403" s="112"/>
      <c r="B403" s="189"/>
      <c r="C403" s="190"/>
      <c r="D403" s="190"/>
      <c r="E403" s="190"/>
      <c r="F403" s="190"/>
      <c r="G403" s="191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</row>
    <row r="404" ht="17.25" customHeight="1">
      <c r="A404" s="112"/>
      <c r="B404" s="189"/>
      <c r="C404" s="190"/>
      <c r="D404" s="190"/>
      <c r="E404" s="190"/>
      <c r="F404" s="190"/>
      <c r="G404" s="191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</row>
    <row r="405" ht="17.25" customHeight="1">
      <c r="A405" s="112"/>
      <c r="B405" s="189"/>
      <c r="C405" s="190"/>
      <c r="D405" s="190"/>
      <c r="E405" s="190"/>
      <c r="F405" s="190"/>
      <c r="G405" s="191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</row>
    <row r="406" ht="17.25" customHeight="1">
      <c r="A406" s="112"/>
      <c r="B406" s="189"/>
      <c r="C406" s="190"/>
      <c r="D406" s="190"/>
      <c r="E406" s="190"/>
      <c r="F406" s="190"/>
      <c r="G406" s="191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</row>
    <row r="407" ht="17.25" customHeight="1">
      <c r="A407" s="112"/>
      <c r="B407" s="189"/>
      <c r="C407" s="190"/>
      <c r="D407" s="190"/>
      <c r="E407" s="190"/>
      <c r="F407" s="190"/>
      <c r="G407" s="191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</row>
    <row r="408" ht="17.25" customHeight="1">
      <c r="A408" s="112"/>
      <c r="B408" s="189"/>
      <c r="C408" s="190"/>
      <c r="D408" s="190"/>
      <c r="E408" s="190"/>
      <c r="F408" s="190"/>
      <c r="G408" s="191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</row>
    <row r="409" ht="17.25" customHeight="1">
      <c r="A409" s="112"/>
      <c r="B409" s="189"/>
      <c r="C409" s="190"/>
      <c r="D409" s="190"/>
      <c r="E409" s="190"/>
      <c r="F409" s="190"/>
      <c r="G409" s="191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</row>
    <row r="410" ht="17.25" customHeight="1">
      <c r="A410" s="112"/>
      <c r="B410" s="189"/>
      <c r="C410" s="190"/>
      <c r="D410" s="190"/>
      <c r="E410" s="190"/>
      <c r="F410" s="190"/>
      <c r="G410" s="191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</row>
    <row r="411" ht="17.25" customHeight="1">
      <c r="A411" s="112"/>
      <c r="B411" s="189"/>
      <c r="C411" s="190"/>
      <c r="D411" s="190"/>
      <c r="E411" s="190"/>
      <c r="F411" s="190"/>
      <c r="G411" s="191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</row>
    <row r="412" ht="17.25" customHeight="1">
      <c r="A412" s="112"/>
      <c r="B412" s="189"/>
      <c r="C412" s="190"/>
      <c r="D412" s="190"/>
      <c r="E412" s="190"/>
      <c r="F412" s="190"/>
      <c r="G412" s="191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</row>
    <row r="413" ht="17.25" customHeight="1">
      <c r="A413" s="112"/>
      <c r="B413" s="189"/>
      <c r="C413" s="190"/>
      <c r="D413" s="190"/>
      <c r="E413" s="190"/>
      <c r="F413" s="190"/>
      <c r="G413" s="191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</row>
    <row r="414" ht="17.25" customHeight="1">
      <c r="A414" s="112"/>
      <c r="B414" s="189"/>
      <c r="C414" s="190"/>
      <c r="D414" s="190"/>
      <c r="E414" s="190"/>
      <c r="F414" s="190"/>
      <c r="G414" s="191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</row>
    <row r="415" ht="17.25" customHeight="1">
      <c r="A415" s="112"/>
      <c r="B415" s="189"/>
      <c r="C415" s="190"/>
      <c r="D415" s="190"/>
      <c r="E415" s="190"/>
      <c r="F415" s="190"/>
      <c r="G415" s="191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</row>
    <row r="416" ht="17.25" customHeight="1">
      <c r="A416" s="112"/>
      <c r="B416" s="189"/>
      <c r="C416" s="190"/>
      <c r="D416" s="190"/>
      <c r="E416" s="190"/>
      <c r="F416" s="190"/>
      <c r="G416" s="191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</row>
    <row r="417" ht="17.25" customHeight="1">
      <c r="A417" s="112"/>
      <c r="B417" s="189"/>
      <c r="C417" s="190"/>
      <c r="D417" s="190"/>
      <c r="E417" s="190"/>
      <c r="F417" s="190"/>
      <c r="G417" s="191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</row>
    <row r="418" ht="17.25" customHeight="1">
      <c r="A418" s="112"/>
      <c r="B418" s="189"/>
      <c r="C418" s="190"/>
      <c r="D418" s="190"/>
      <c r="E418" s="190"/>
      <c r="F418" s="190"/>
      <c r="G418" s="191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</row>
    <row r="419" ht="17.25" customHeight="1">
      <c r="A419" s="112"/>
      <c r="B419" s="189"/>
      <c r="C419" s="190"/>
      <c r="D419" s="190"/>
      <c r="E419" s="190"/>
      <c r="F419" s="190"/>
      <c r="G419" s="191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</row>
    <row r="420" ht="17.25" customHeight="1">
      <c r="A420" s="112"/>
      <c r="B420" s="189"/>
      <c r="C420" s="190"/>
      <c r="D420" s="190"/>
      <c r="E420" s="190"/>
      <c r="F420" s="190"/>
      <c r="G420" s="191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</row>
    <row r="421" ht="17.25" customHeight="1">
      <c r="A421" s="112"/>
      <c r="B421" s="189"/>
      <c r="C421" s="190"/>
      <c r="D421" s="190"/>
      <c r="E421" s="190"/>
      <c r="F421" s="190"/>
      <c r="G421" s="191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</row>
    <row r="422" ht="17.25" customHeight="1">
      <c r="A422" s="112"/>
      <c r="B422" s="189"/>
      <c r="C422" s="190"/>
      <c r="D422" s="190"/>
      <c r="E422" s="190"/>
      <c r="F422" s="190"/>
      <c r="G422" s="191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</row>
    <row r="423" ht="17.25" customHeight="1">
      <c r="A423" s="112"/>
      <c r="B423" s="189"/>
      <c r="C423" s="190"/>
      <c r="D423" s="190"/>
      <c r="E423" s="190"/>
      <c r="F423" s="190"/>
      <c r="G423" s="191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</row>
    <row r="424" ht="17.25" customHeight="1">
      <c r="A424" s="112"/>
      <c r="B424" s="189"/>
      <c r="C424" s="190"/>
      <c r="D424" s="190"/>
      <c r="E424" s="190"/>
      <c r="F424" s="190"/>
      <c r="G424" s="191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</row>
    <row r="425" ht="17.25" customHeight="1">
      <c r="A425" s="112"/>
      <c r="B425" s="189"/>
      <c r="C425" s="190"/>
      <c r="D425" s="190"/>
      <c r="E425" s="190"/>
      <c r="F425" s="190"/>
      <c r="G425" s="191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</row>
    <row r="426" ht="17.25" customHeight="1">
      <c r="A426" s="112"/>
      <c r="B426" s="189"/>
      <c r="C426" s="190"/>
      <c r="D426" s="190"/>
      <c r="E426" s="190"/>
      <c r="F426" s="190"/>
      <c r="G426" s="191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</row>
    <row r="427" ht="17.25" customHeight="1">
      <c r="A427" s="112"/>
      <c r="B427" s="189"/>
      <c r="C427" s="190"/>
      <c r="D427" s="190"/>
      <c r="E427" s="190"/>
      <c r="F427" s="190"/>
      <c r="G427" s="191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</row>
    <row r="428" ht="17.25" customHeight="1">
      <c r="A428" s="112"/>
      <c r="B428" s="189"/>
      <c r="C428" s="190"/>
      <c r="D428" s="190"/>
      <c r="E428" s="190"/>
      <c r="F428" s="190"/>
      <c r="G428" s="191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</row>
    <row r="429" ht="17.25" customHeight="1">
      <c r="A429" s="112"/>
      <c r="B429" s="189"/>
      <c r="C429" s="190"/>
      <c r="D429" s="190"/>
      <c r="E429" s="190"/>
      <c r="F429" s="190"/>
      <c r="G429" s="191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</row>
    <row r="430" ht="17.25" customHeight="1">
      <c r="A430" s="112"/>
      <c r="B430" s="189"/>
      <c r="C430" s="190"/>
      <c r="D430" s="190"/>
      <c r="E430" s="190"/>
      <c r="F430" s="190"/>
      <c r="G430" s="191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</row>
    <row r="431" ht="17.25" customHeight="1">
      <c r="A431" s="112"/>
      <c r="B431" s="189"/>
      <c r="C431" s="190"/>
      <c r="D431" s="190"/>
      <c r="E431" s="190"/>
      <c r="F431" s="190"/>
      <c r="G431" s="191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</row>
    <row r="432" ht="17.25" customHeight="1">
      <c r="A432" s="112"/>
      <c r="B432" s="189"/>
      <c r="C432" s="190"/>
      <c r="D432" s="190"/>
      <c r="E432" s="190"/>
      <c r="F432" s="190"/>
      <c r="G432" s="191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</row>
    <row r="433" ht="17.25" customHeight="1">
      <c r="A433" s="112"/>
      <c r="B433" s="189"/>
      <c r="C433" s="190"/>
      <c r="D433" s="190"/>
      <c r="E433" s="190"/>
      <c r="F433" s="190"/>
      <c r="G433" s="191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</row>
    <row r="434" ht="17.25" customHeight="1">
      <c r="A434" s="112"/>
      <c r="B434" s="189"/>
      <c r="C434" s="190"/>
      <c r="D434" s="190"/>
      <c r="E434" s="190"/>
      <c r="F434" s="190"/>
      <c r="G434" s="191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</row>
    <row r="435" ht="17.25" customHeight="1">
      <c r="A435" s="112"/>
      <c r="B435" s="189"/>
      <c r="C435" s="190"/>
      <c r="D435" s="190"/>
      <c r="E435" s="190"/>
      <c r="F435" s="190"/>
      <c r="G435" s="191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</row>
    <row r="436" ht="17.25" customHeight="1">
      <c r="A436" s="112"/>
      <c r="B436" s="189"/>
      <c r="C436" s="190"/>
      <c r="D436" s="190"/>
      <c r="E436" s="190"/>
      <c r="F436" s="190"/>
      <c r="G436" s="191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</row>
    <row r="437" ht="17.25" customHeight="1">
      <c r="A437" s="112"/>
      <c r="B437" s="189"/>
      <c r="C437" s="190"/>
      <c r="D437" s="190"/>
      <c r="E437" s="190"/>
      <c r="F437" s="190"/>
      <c r="G437" s="191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</row>
    <row r="438" ht="17.25" customHeight="1">
      <c r="A438" s="112"/>
      <c r="B438" s="189"/>
      <c r="C438" s="190"/>
      <c r="D438" s="190"/>
      <c r="E438" s="190"/>
      <c r="F438" s="190"/>
      <c r="G438" s="191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</row>
    <row r="439" ht="17.25" customHeight="1">
      <c r="A439" s="112"/>
      <c r="B439" s="189"/>
      <c r="C439" s="190"/>
      <c r="D439" s="190"/>
      <c r="E439" s="190"/>
      <c r="F439" s="190"/>
      <c r="G439" s="191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</row>
    <row r="440" ht="17.25" customHeight="1">
      <c r="A440" s="112"/>
      <c r="B440" s="189"/>
      <c r="C440" s="190"/>
      <c r="D440" s="190"/>
      <c r="E440" s="190"/>
      <c r="F440" s="190"/>
      <c r="G440" s="191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</row>
    <row r="441" ht="17.25" customHeight="1">
      <c r="A441" s="112"/>
      <c r="B441" s="189"/>
      <c r="C441" s="190"/>
      <c r="D441" s="190"/>
      <c r="E441" s="190"/>
      <c r="F441" s="190"/>
      <c r="G441" s="191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</row>
    <row r="442" ht="17.25" customHeight="1">
      <c r="A442" s="112"/>
      <c r="B442" s="189"/>
      <c r="C442" s="190"/>
      <c r="D442" s="190"/>
      <c r="E442" s="190"/>
      <c r="F442" s="190"/>
      <c r="G442" s="191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</row>
    <row r="443" ht="17.25" customHeight="1">
      <c r="A443" s="112"/>
      <c r="B443" s="189"/>
      <c r="C443" s="190"/>
      <c r="D443" s="190"/>
      <c r="E443" s="190"/>
      <c r="F443" s="190"/>
      <c r="G443" s="191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</row>
    <row r="444" ht="17.25" customHeight="1">
      <c r="A444" s="112"/>
      <c r="B444" s="189"/>
      <c r="C444" s="190"/>
      <c r="D444" s="190"/>
      <c r="E444" s="190"/>
      <c r="F444" s="190"/>
      <c r="G444" s="191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</row>
    <row r="445" ht="17.25" customHeight="1">
      <c r="A445" s="112"/>
      <c r="B445" s="189"/>
      <c r="C445" s="190"/>
      <c r="D445" s="190"/>
      <c r="E445" s="190"/>
      <c r="F445" s="190"/>
      <c r="G445" s="191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</row>
    <row r="446" ht="17.25" customHeight="1">
      <c r="A446" s="112"/>
      <c r="B446" s="189"/>
      <c r="C446" s="190"/>
      <c r="D446" s="190"/>
      <c r="E446" s="190"/>
      <c r="F446" s="190"/>
      <c r="G446" s="191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</row>
    <row r="447" ht="17.25" customHeight="1">
      <c r="A447" s="112"/>
      <c r="B447" s="189"/>
      <c r="C447" s="190"/>
      <c r="D447" s="190"/>
      <c r="E447" s="190"/>
      <c r="F447" s="190"/>
      <c r="G447" s="191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</row>
    <row r="448" ht="17.25" customHeight="1">
      <c r="A448" s="112"/>
      <c r="B448" s="189"/>
      <c r="C448" s="190"/>
      <c r="D448" s="190"/>
      <c r="E448" s="190"/>
      <c r="F448" s="190"/>
      <c r="G448" s="191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</row>
    <row r="449" ht="17.25" customHeight="1">
      <c r="A449" s="112"/>
      <c r="B449" s="189"/>
      <c r="C449" s="190"/>
      <c r="D449" s="190"/>
      <c r="E449" s="190"/>
      <c r="F449" s="190"/>
      <c r="G449" s="191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</row>
    <row r="450" ht="17.25" customHeight="1">
      <c r="A450" s="112"/>
      <c r="B450" s="189"/>
      <c r="C450" s="190"/>
      <c r="D450" s="190"/>
      <c r="E450" s="190"/>
      <c r="F450" s="190"/>
      <c r="G450" s="191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</row>
    <row r="451" ht="17.25" customHeight="1">
      <c r="A451" s="112"/>
      <c r="B451" s="189"/>
      <c r="C451" s="190"/>
      <c r="D451" s="190"/>
      <c r="E451" s="190"/>
      <c r="F451" s="190"/>
      <c r="G451" s="191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</row>
    <row r="452" ht="17.25" customHeight="1">
      <c r="A452" s="112"/>
      <c r="B452" s="189"/>
      <c r="C452" s="190"/>
      <c r="D452" s="190"/>
      <c r="E452" s="190"/>
      <c r="F452" s="190"/>
      <c r="G452" s="191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</row>
    <row r="453" ht="17.25" customHeight="1">
      <c r="A453" s="112"/>
      <c r="B453" s="189"/>
      <c r="C453" s="190"/>
      <c r="D453" s="190"/>
      <c r="E453" s="190"/>
      <c r="F453" s="190"/>
      <c r="G453" s="191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</row>
    <row r="454" ht="17.25" customHeight="1">
      <c r="A454" s="112"/>
      <c r="B454" s="189"/>
      <c r="C454" s="190"/>
      <c r="D454" s="190"/>
      <c r="E454" s="190"/>
      <c r="F454" s="190"/>
      <c r="G454" s="191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</row>
    <row r="455" ht="17.25" customHeight="1">
      <c r="A455" s="112"/>
      <c r="B455" s="189"/>
      <c r="C455" s="190"/>
      <c r="D455" s="190"/>
      <c r="E455" s="190"/>
      <c r="F455" s="190"/>
      <c r="G455" s="191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</row>
    <row r="456" ht="17.25" customHeight="1">
      <c r="A456" s="112"/>
      <c r="B456" s="189"/>
      <c r="C456" s="190"/>
      <c r="D456" s="190"/>
      <c r="E456" s="190"/>
      <c r="F456" s="190"/>
      <c r="G456" s="191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</row>
    <row r="457" ht="17.25" customHeight="1">
      <c r="A457" s="112"/>
      <c r="B457" s="189"/>
      <c r="C457" s="190"/>
      <c r="D457" s="190"/>
      <c r="E457" s="190"/>
      <c r="F457" s="190"/>
      <c r="G457" s="191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</row>
    <row r="458" ht="17.25" customHeight="1">
      <c r="A458" s="112"/>
      <c r="B458" s="189"/>
      <c r="C458" s="190"/>
      <c r="D458" s="190"/>
      <c r="E458" s="190"/>
      <c r="F458" s="190"/>
      <c r="G458" s="191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</row>
    <row r="459" ht="17.25" customHeight="1">
      <c r="A459" s="112"/>
      <c r="B459" s="189"/>
      <c r="C459" s="190"/>
      <c r="D459" s="190"/>
      <c r="E459" s="190"/>
      <c r="F459" s="190"/>
      <c r="G459" s="191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</row>
    <row r="460" ht="17.25" customHeight="1">
      <c r="A460" s="112"/>
      <c r="B460" s="189"/>
      <c r="C460" s="190"/>
      <c r="D460" s="190"/>
      <c r="E460" s="190"/>
      <c r="F460" s="190"/>
      <c r="G460" s="191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</row>
    <row r="461" ht="17.25" customHeight="1">
      <c r="A461" s="112"/>
      <c r="B461" s="189"/>
      <c r="C461" s="190"/>
      <c r="D461" s="190"/>
      <c r="E461" s="190"/>
      <c r="F461" s="190"/>
      <c r="G461" s="191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</row>
    <row r="462" ht="17.25" customHeight="1">
      <c r="A462" s="112"/>
      <c r="B462" s="189"/>
      <c r="C462" s="190"/>
      <c r="D462" s="190"/>
      <c r="E462" s="190"/>
      <c r="F462" s="190"/>
      <c r="G462" s="191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</row>
    <row r="463" ht="17.25" customHeight="1">
      <c r="A463" s="112"/>
      <c r="B463" s="189"/>
      <c r="C463" s="190"/>
      <c r="D463" s="190"/>
      <c r="E463" s="190"/>
      <c r="F463" s="190"/>
      <c r="G463" s="191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</row>
    <row r="464" ht="17.25" customHeight="1">
      <c r="A464" s="112"/>
      <c r="B464" s="189"/>
      <c r="C464" s="190"/>
      <c r="D464" s="190"/>
      <c r="E464" s="190"/>
      <c r="F464" s="190"/>
      <c r="G464" s="191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</row>
    <row r="465" ht="17.25" customHeight="1">
      <c r="A465" s="112"/>
      <c r="B465" s="189"/>
      <c r="C465" s="190"/>
      <c r="D465" s="190"/>
      <c r="E465" s="190"/>
      <c r="F465" s="190"/>
      <c r="G465" s="191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</row>
    <row r="466" ht="17.25" customHeight="1">
      <c r="A466" s="112"/>
      <c r="B466" s="189"/>
      <c r="C466" s="190"/>
      <c r="D466" s="190"/>
      <c r="E466" s="190"/>
      <c r="F466" s="190"/>
      <c r="G466" s="191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</row>
    <row r="467" ht="17.25" customHeight="1">
      <c r="A467" s="112"/>
      <c r="B467" s="189"/>
      <c r="C467" s="190"/>
      <c r="D467" s="190"/>
      <c r="E467" s="190"/>
      <c r="F467" s="190"/>
      <c r="G467" s="191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</row>
    <row r="468" ht="17.25" customHeight="1">
      <c r="A468" s="112"/>
      <c r="B468" s="189"/>
      <c r="C468" s="190"/>
      <c r="D468" s="190"/>
      <c r="E468" s="190"/>
      <c r="F468" s="190"/>
      <c r="G468" s="191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</row>
    <row r="469" ht="17.25" customHeight="1">
      <c r="A469" s="112"/>
      <c r="B469" s="189"/>
      <c r="C469" s="190"/>
      <c r="D469" s="190"/>
      <c r="E469" s="190"/>
      <c r="F469" s="190"/>
      <c r="G469" s="191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</row>
    <row r="470" ht="17.25" customHeight="1">
      <c r="A470" s="112"/>
      <c r="B470" s="189"/>
      <c r="C470" s="190"/>
      <c r="D470" s="190"/>
      <c r="E470" s="190"/>
      <c r="F470" s="190"/>
      <c r="G470" s="191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</row>
    <row r="471" ht="17.25" customHeight="1">
      <c r="A471" s="112"/>
      <c r="B471" s="189"/>
      <c r="C471" s="190"/>
      <c r="D471" s="190"/>
      <c r="E471" s="190"/>
      <c r="F471" s="190"/>
      <c r="G471" s="191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</row>
    <row r="472" ht="17.25" customHeight="1">
      <c r="A472" s="112"/>
      <c r="B472" s="189"/>
      <c r="C472" s="190"/>
      <c r="D472" s="190"/>
      <c r="E472" s="190"/>
      <c r="F472" s="190"/>
      <c r="G472" s="191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</row>
    <row r="473" ht="17.25" customHeight="1">
      <c r="A473" s="112"/>
      <c r="B473" s="189"/>
      <c r="C473" s="190"/>
      <c r="D473" s="190"/>
      <c r="E473" s="190"/>
      <c r="F473" s="190"/>
      <c r="G473" s="191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</row>
    <row r="474" ht="17.25" customHeight="1">
      <c r="A474" s="112"/>
      <c r="B474" s="189"/>
      <c r="C474" s="190"/>
      <c r="D474" s="190"/>
      <c r="E474" s="190"/>
      <c r="F474" s="190"/>
      <c r="G474" s="191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</row>
    <row r="475" ht="17.25" customHeight="1">
      <c r="A475" s="112"/>
      <c r="B475" s="189"/>
      <c r="C475" s="190"/>
      <c r="D475" s="190"/>
      <c r="E475" s="190"/>
      <c r="F475" s="190"/>
      <c r="G475" s="191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</row>
    <row r="476" ht="17.25" customHeight="1">
      <c r="A476" s="112"/>
      <c r="B476" s="189"/>
      <c r="C476" s="190"/>
      <c r="D476" s="190"/>
      <c r="E476" s="190"/>
      <c r="F476" s="190"/>
      <c r="G476" s="191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</row>
    <row r="477" ht="17.25" customHeight="1">
      <c r="A477" s="112"/>
      <c r="B477" s="189"/>
      <c r="C477" s="190"/>
      <c r="D477" s="190"/>
      <c r="E477" s="190"/>
      <c r="F477" s="190"/>
      <c r="G477" s="191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</row>
    <row r="478" ht="17.25" customHeight="1">
      <c r="A478" s="112"/>
      <c r="B478" s="189"/>
      <c r="C478" s="190"/>
      <c r="D478" s="190"/>
      <c r="E478" s="190"/>
      <c r="F478" s="190"/>
      <c r="G478" s="191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</row>
    <row r="479" ht="17.25" customHeight="1">
      <c r="A479" s="112"/>
      <c r="B479" s="189"/>
      <c r="C479" s="190"/>
      <c r="D479" s="190"/>
      <c r="E479" s="190"/>
      <c r="F479" s="190"/>
      <c r="G479" s="191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</row>
    <row r="480" ht="17.25" customHeight="1">
      <c r="A480" s="112"/>
      <c r="B480" s="189"/>
      <c r="C480" s="190"/>
      <c r="D480" s="190"/>
      <c r="E480" s="190"/>
      <c r="F480" s="190"/>
      <c r="G480" s="191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</row>
    <row r="481" ht="17.25" customHeight="1">
      <c r="A481" s="112"/>
      <c r="B481" s="189"/>
      <c r="C481" s="190"/>
      <c r="D481" s="190"/>
      <c r="E481" s="190"/>
      <c r="F481" s="190"/>
      <c r="G481" s="191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</row>
    <row r="482" ht="17.25" customHeight="1">
      <c r="A482" s="112"/>
      <c r="B482" s="189"/>
      <c r="C482" s="190"/>
      <c r="D482" s="190"/>
      <c r="E482" s="190"/>
      <c r="F482" s="190"/>
      <c r="G482" s="191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</row>
    <row r="483" ht="17.25" customHeight="1">
      <c r="A483" s="112"/>
      <c r="B483" s="189"/>
      <c r="C483" s="190"/>
      <c r="D483" s="190"/>
      <c r="E483" s="190"/>
      <c r="F483" s="190"/>
      <c r="G483" s="191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</row>
    <row r="484" ht="17.25" customHeight="1">
      <c r="A484" s="112"/>
      <c r="B484" s="189"/>
      <c r="C484" s="190"/>
      <c r="D484" s="190"/>
      <c r="E484" s="190"/>
      <c r="F484" s="190"/>
      <c r="G484" s="191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</row>
    <row r="485" ht="17.25" customHeight="1">
      <c r="A485" s="112"/>
      <c r="B485" s="189"/>
      <c r="C485" s="190"/>
      <c r="D485" s="190"/>
      <c r="E485" s="190"/>
      <c r="F485" s="190"/>
      <c r="G485" s="191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</row>
    <row r="486" ht="17.25" customHeight="1">
      <c r="A486" s="112"/>
      <c r="B486" s="189"/>
      <c r="C486" s="190"/>
      <c r="D486" s="190"/>
      <c r="E486" s="190"/>
      <c r="F486" s="190"/>
      <c r="G486" s="191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</row>
    <row r="487" ht="17.25" customHeight="1">
      <c r="A487" s="112"/>
      <c r="B487" s="189"/>
      <c r="C487" s="190"/>
      <c r="D487" s="190"/>
      <c r="E487" s="190"/>
      <c r="F487" s="190"/>
      <c r="G487" s="191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</row>
    <row r="488" ht="17.25" customHeight="1">
      <c r="A488" s="112"/>
      <c r="B488" s="189"/>
      <c r="C488" s="190"/>
      <c r="D488" s="190"/>
      <c r="E488" s="190"/>
      <c r="F488" s="190"/>
      <c r="G488" s="191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</row>
    <row r="489" ht="17.25" customHeight="1">
      <c r="A489" s="112"/>
      <c r="B489" s="189"/>
      <c r="C489" s="190"/>
      <c r="D489" s="190"/>
      <c r="E489" s="190"/>
      <c r="F489" s="190"/>
      <c r="G489" s="191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</row>
    <row r="490" ht="17.25" customHeight="1">
      <c r="A490" s="112"/>
      <c r="B490" s="189"/>
      <c r="C490" s="190"/>
      <c r="D490" s="190"/>
      <c r="E490" s="190"/>
      <c r="F490" s="190"/>
      <c r="G490" s="191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</row>
    <row r="491" ht="17.25" customHeight="1">
      <c r="A491" s="112"/>
      <c r="B491" s="189"/>
      <c r="C491" s="190"/>
      <c r="D491" s="190"/>
      <c r="E491" s="190"/>
      <c r="F491" s="190"/>
      <c r="G491" s="191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</row>
    <row r="492" ht="17.25" customHeight="1">
      <c r="A492" s="112"/>
      <c r="B492" s="189"/>
      <c r="C492" s="190"/>
      <c r="D492" s="190"/>
      <c r="E492" s="190"/>
      <c r="F492" s="190"/>
      <c r="G492" s="191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</row>
    <row r="493" ht="17.25" customHeight="1">
      <c r="A493" s="112"/>
      <c r="B493" s="189"/>
      <c r="C493" s="190"/>
      <c r="D493" s="190"/>
      <c r="E493" s="190"/>
      <c r="F493" s="190"/>
      <c r="G493" s="191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</row>
    <row r="494" ht="17.25" customHeight="1">
      <c r="A494" s="112"/>
      <c r="B494" s="189"/>
      <c r="C494" s="190"/>
      <c r="D494" s="190"/>
      <c r="E494" s="190"/>
      <c r="F494" s="190"/>
      <c r="G494" s="191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</row>
    <row r="495" ht="17.25" customHeight="1">
      <c r="A495" s="112"/>
      <c r="B495" s="189"/>
      <c r="C495" s="190"/>
      <c r="D495" s="190"/>
      <c r="E495" s="190"/>
      <c r="F495" s="190"/>
      <c r="G495" s="191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</row>
    <row r="496" ht="17.25" customHeight="1">
      <c r="A496" s="112"/>
      <c r="B496" s="189"/>
      <c r="C496" s="190"/>
      <c r="D496" s="190"/>
      <c r="E496" s="190"/>
      <c r="F496" s="190"/>
      <c r="G496" s="191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</row>
    <row r="497" ht="17.25" customHeight="1">
      <c r="A497" s="112"/>
      <c r="B497" s="189"/>
      <c r="C497" s="190"/>
      <c r="D497" s="190"/>
      <c r="E497" s="190"/>
      <c r="F497" s="190"/>
      <c r="G497" s="191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</row>
    <row r="498" ht="17.25" customHeight="1">
      <c r="A498" s="112"/>
      <c r="B498" s="189"/>
      <c r="C498" s="190"/>
      <c r="D498" s="190"/>
      <c r="E498" s="190"/>
      <c r="F498" s="190"/>
      <c r="G498" s="191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</row>
    <row r="499" ht="17.25" customHeight="1">
      <c r="A499" s="112"/>
      <c r="B499" s="189"/>
      <c r="C499" s="190"/>
      <c r="D499" s="190"/>
      <c r="E499" s="190"/>
      <c r="F499" s="190"/>
      <c r="G499" s="191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</row>
    <row r="500" ht="17.25" customHeight="1">
      <c r="A500" s="112"/>
      <c r="B500" s="189"/>
      <c r="C500" s="190"/>
      <c r="D500" s="190"/>
      <c r="E500" s="190"/>
      <c r="F500" s="190"/>
      <c r="G500" s="191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</row>
    <row r="501" ht="17.25" customHeight="1">
      <c r="A501" s="112"/>
      <c r="B501" s="189"/>
      <c r="C501" s="190"/>
      <c r="D501" s="190"/>
      <c r="E501" s="190"/>
      <c r="F501" s="190"/>
      <c r="G501" s="191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</row>
    <row r="502" ht="17.25" customHeight="1">
      <c r="A502" s="112"/>
      <c r="B502" s="189"/>
      <c r="C502" s="190"/>
      <c r="D502" s="190"/>
      <c r="E502" s="190"/>
      <c r="F502" s="190"/>
      <c r="G502" s="191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</row>
    <row r="503" ht="17.25" customHeight="1">
      <c r="A503" s="112"/>
      <c r="B503" s="189"/>
      <c r="C503" s="190"/>
      <c r="D503" s="190"/>
      <c r="E503" s="190"/>
      <c r="F503" s="190"/>
      <c r="G503" s="191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</row>
    <row r="504" ht="17.25" customHeight="1">
      <c r="A504" s="112"/>
      <c r="B504" s="189"/>
      <c r="C504" s="190"/>
      <c r="D504" s="190"/>
      <c r="E504" s="190"/>
      <c r="F504" s="190"/>
      <c r="G504" s="191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</row>
    <row r="505" ht="17.25" customHeight="1">
      <c r="A505" s="112"/>
      <c r="B505" s="189"/>
      <c r="C505" s="190"/>
      <c r="D505" s="190"/>
      <c r="E505" s="190"/>
      <c r="F505" s="190"/>
      <c r="G505" s="191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</row>
    <row r="506" ht="17.25" customHeight="1">
      <c r="A506" s="112"/>
      <c r="B506" s="189"/>
      <c r="C506" s="190"/>
      <c r="D506" s="190"/>
      <c r="E506" s="190"/>
      <c r="F506" s="190"/>
      <c r="G506" s="191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</row>
    <row r="507" ht="17.25" customHeight="1">
      <c r="A507" s="112"/>
      <c r="B507" s="189"/>
      <c r="C507" s="190"/>
      <c r="D507" s="190"/>
      <c r="E507" s="190"/>
      <c r="F507" s="190"/>
      <c r="G507" s="191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</row>
    <row r="508" ht="17.25" customHeight="1">
      <c r="A508" s="112"/>
      <c r="B508" s="189"/>
      <c r="C508" s="190"/>
      <c r="D508" s="190"/>
      <c r="E508" s="190"/>
      <c r="F508" s="190"/>
      <c r="G508" s="191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</row>
    <row r="509" ht="17.25" customHeight="1">
      <c r="A509" s="112"/>
      <c r="B509" s="189"/>
      <c r="C509" s="190"/>
      <c r="D509" s="190"/>
      <c r="E509" s="190"/>
      <c r="F509" s="190"/>
      <c r="G509" s="191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</row>
    <row r="510" ht="17.25" customHeight="1">
      <c r="A510" s="112"/>
      <c r="B510" s="189"/>
      <c r="C510" s="190"/>
      <c r="D510" s="190"/>
      <c r="E510" s="190"/>
      <c r="F510" s="190"/>
      <c r="G510" s="191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</row>
    <row r="511" ht="17.25" customHeight="1">
      <c r="A511" s="112"/>
      <c r="B511" s="189"/>
      <c r="C511" s="190"/>
      <c r="D511" s="190"/>
      <c r="E511" s="190"/>
      <c r="F511" s="190"/>
      <c r="G511" s="191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</row>
    <row r="512" ht="17.25" customHeight="1">
      <c r="A512" s="112"/>
      <c r="B512" s="189"/>
      <c r="C512" s="190"/>
      <c r="D512" s="190"/>
      <c r="E512" s="190"/>
      <c r="F512" s="190"/>
      <c r="G512" s="191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</row>
    <row r="513" ht="17.25" customHeight="1">
      <c r="A513" s="112"/>
      <c r="B513" s="189"/>
      <c r="C513" s="190"/>
      <c r="D513" s="190"/>
      <c r="E513" s="190"/>
      <c r="F513" s="190"/>
      <c r="G513" s="191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</row>
    <row r="514" ht="17.25" customHeight="1">
      <c r="A514" s="112"/>
      <c r="B514" s="189"/>
      <c r="C514" s="190"/>
      <c r="D514" s="190"/>
      <c r="E514" s="190"/>
      <c r="F514" s="190"/>
      <c r="G514" s="191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</row>
    <row r="515" ht="17.25" customHeight="1">
      <c r="A515" s="112"/>
      <c r="B515" s="189"/>
      <c r="C515" s="190"/>
      <c r="D515" s="190"/>
      <c r="E515" s="190"/>
      <c r="F515" s="190"/>
      <c r="G515" s="191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</row>
    <row r="516" ht="17.25" customHeight="1">
      <c r="A516" s="112"/>
      <c r="B516" s="189"/>
      <c r="C516" s="190"/>
      <c r="D516" s="190"/>
      <c r="E516" s="190"/>
      <c r="F516" s="190"/>
      <c r="G516" s="191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</row>
    <row r="517" ht="17.25" customHeight="1">
      <c r="A517" s="112"/>
      <c r="B517" s="189"/>
      <c r="C517" s="190"/>
      <c r="D517" s="190"/>
      <c r="E517" s="190"/>
      <c r="F517" s="190"/>
      <c r="G517" s="191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</row>
    <row r="518" ht="17.25" customHeight="1">
      <c r="A518" s="112"/>
      <c r="B518" s="189"/>
      <c r="C518" s="190"/>
      <c r="D518" s="190"/>
      <c r="E518" s="190"/>
      <c r="F518" s="190"/>
      <c r="G518" s="191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</row>
    <row r="519" ht="17.25" customHeight="1">
      <c r="A519" s="112"/>
      <c r="B519" s="189"/>
      <c r="C519" s="190"/>
      <c r="D519" s="190"/>
      <c r="E519" s="190"/>
      <c r="F519" s="190"/>
      <c r="G519" s="191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</row>
    <row r="520" ht="17.25" customHeight="1">
      <c r="A520" s="112"/>
      <c r="B520" s="189"/>
      <c r="C520" s="190"/>
      <c r="D520" s="190"/>
      <c r="E520" s="190"/>
      <c r="F520" s="190"/>
      <c r="G520" s="191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</row>
    <row r="521" ht="17.25" customHeight="1">
      <c r="A521" s="112"/>
      <c r="B521" s="189"/>
      <c r="C521" s="190"/>
      <c r="D521" s="190"/>
      <c r="E521" s="190"/>
      <c r="F521" s="190"/>
      <c r="G521" s="191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</row>
    <row r="522" ht="17.25" customHeight="1">
      <c r="A522" s="112"/>
      <c r="B522" s="189"/>
      <c r="C522" s="190"/>
      <c r="D522" s="190"/>
      <c r="E522" s="190"/>
      <c r="F522" s="190"/>
      <c r="G522" s="191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</row>
    <row r="523" ht="17.25" customHeight="1">
      <c r="A523" s="112"/>
      <c r="B523" s="189"/>
      <c r="C523" s="190"/>
      <c r="D523" s="190"/>
      <c r="E523" s="190"/>
      <c r="F523" s="190"/>
      <c r="G523" s="191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</row>
    <row r="524" ht="17.25" customHeight="1">
      <c r="A524" s="112"/>
      <c r="B524" s="189"/>
      <c r="C524" s="190"/>
      <c r="D524" s="190"/>
      <c r="E524" s="190"/>
      <c r="F524" s="190"/>
      <c r="G524" s="191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</row>
    <row r="525" ht="17.25" customHeight="1">
      <c r="A525" s="112"/>
      <c r="B525" s="189"/>
      <c r="C525" s="190"/>
      <c r="D525" s="190"/>
      <c r="E525" s="190"/>
      <c r="F525" s="190"/>
      <c r="G525" s="191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</row>
    <row r="526" ht="17.25" customHeight="1">
      <c r="A526" s="112"/>
      <c r="B526" s="189"/>
      <c r="C526" s="190"/>
      <c r="D526" s="190"/>
      <c r="E526" s="190"/>
      <c r="F526" s="190"/>
      <c r="G526" s="191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</row>
    <row r="527" ht="17.25" customHeight="1">
      <c r="A527" s="112"/>
      <c r="B527" s="189"/>
      <c r="C527" s="190"/>
      <c r="D527" s="190"/>
      <c r="E527" s="190"/>
      <c r="F527" s="190"/>
      <c r="G527" s="191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</row>
    <row r="528" ht="17.25" customHeight="1">
      <c r="A528" s="112"/>
      <c r="B528" s="189"/>
      <c r="C528" s="190"/>
      <c r="D528" s="190"/>
      <c r="E528" s="190"/>
      <c r="F528" s="190"/>
      <c r="G528" s="191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</row>
    <row r="529" ht="17.25" customHeight="1">
      <c r="A529" s="112"/>
      <c r="B529" s="189"/>
      <c r="C529" s="190"/>
      <c r="D529" s="190"/>
      <c r="E529" s="190"/>
      <c r="F529" s="190"/>
      <c r="G529" s="191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</row>
    <row r="530" ht="17.25" customHeight="1">
      <c r="A530" s="112"/>
      <c r="B530" s="189"/>
      <c r="C530" s="190"/>
      <c r="D530" s="190"/>
      <c r="E530" s="190"/>
      <c r="F530" s="190"/>
      <c r="G530" s="191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</row>
    <row r="531" ht="17.25" customHeight="1">
      <c r="A531" s="112"/>
      <c r="B531" s="189"/>
      <c r="C531" s="190"/>
      <c r="D531" s="190"/>
      <c r="E531" s="190"/>
      <c r="F531" s="190"/>
      <c r="G531" s="191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</row>
    <row r="532" ht="17.25" customHeight="1">
      <c r="A532" s="112"/>
      <c r="B532" s="189"/>
      <c r="C532" s="190"/>
      <c r="D532" s="190"/>
      <c r="E532" s="190"/>
      <c r="F532" s="190"/>
      <c r="G532" s="191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</row>
    <row r="533" ht="17.25" customHeight="1">
      <c r="A533" s="112"/>
      <c r="B533" s="189"/>
      <c r="C533" s="190"/>
      <c r="D533" s="190"/>
      <c r="E533" s="190"/>
      <c r="F533" s="190"/>
      <c r="G533" s="191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</row>
    <row r="534" ht="17.25" customHeight="1">
      <c r="A534" s="112"/>
      <c r="B534" s="189"/>
      <c r="C534" s="190"/>
      <c r="D534" s="190"/>
      <c r="E534" s="190"/>
      <c r="F534" s="190"/>
      <c r="G534" s="191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</row>
    <row r="535" ht="17.25" customHeight="1">
      <c r="A535" s="112"/>
      <c r="B535" s="189"/>
      <c r="C535" s="190"/>
      <c r="D535" s="190"/>
      <c r="E535" s="190"/>
      <c r="F535" s="190"/>
      <c r="G535" s="191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</row>
    <row r="536" ht="17.25" customHeight="1">
      <c r="A536" s="112"/>
      <c r="B536" s="189"/>
      <c r="C536" s="190"/>
      <c r="D536" s="190"/>
      <c r="E536" s="190"/>
      <c r="F536" s="190"/>
      <c r="G536" s="191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</row>
    <row r="537" ht="17.25" customHeight="1">
      <c r="A537" s="112"/>
      <c r="B537" s="189"/>
      <c r="C537" s="190"/>
      <c r="D537" s="190"/>
      <c r="E537" s="190"/>
      <c r="F537" s="190"/>
      <c r="G537" s="191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</row>
    <row r="538" ht="17.25" customHeight="1">
      <c r="A538" s="112"/>
      <c r="B538" s="189"/>
      <c r="C538" s="190"/>
      <c r="D538" s="190"/>
      <c r="E538" s="190"/>
      <c r="F538" s="190"/>
      <c r="G538" s="191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</row>
    <row r="539" ht="17.25" customHeight="1">
      <c r="A539" s="112"/>
      <c r="B539" s="189"/>
      <c r="C539" s="190"/>
      <c r="D539" s="190"/>
      <c r="E539" s="190"/>
      <c r="F539" s="190"/>
      <c r="G539" s="191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</row>
    <row r="540" ht="17.25" customHeight="1">
      <c r="A540" s="112"/>
      <c r="B540" s="189"/>
      <c r="C540" s="190"/>
      <c r="D540" s="190"/>
      <c r="E540" s="190"/>
      <c r="F540" s="190"/>
      <c r="G540" s="191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</row>
    <row r="541" ht="17.25" customHeight="1">
      <c r="A541" s="112"/>
      <c r="B541" s="189"/>
      <c r="C541" s="190"/>
      <c r="D541" s="190"/>
      <c r="E541" s="190"/>
      <c r="F541" s="190"/>
      <c r="G541" s="191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</row>
    <row r="542" ht="17.25" customHeight="1">
      <c r="A542" s="112"/>
      <c r="B542" s="189"/>
      <c r="C542" s="190"/>
      <c r="D542" s="190"/>
      <c r="E542" s="190"/>
      <c r="F542" s="190"/>
      <c r="G542" s="191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</row>
    <row r="543" ht="17.25" customHeight="1">
      <c r="A543" s="112"/>
      <c r="B543" s="189"/>
      <c r="C543" s="190"/>
      <c r="D543" s="190"/>
      <c r="E543" s="190"/>
      <c r="F543" s="190"/>
      <c r="G543" s="191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</row>
    <row r="544" ht="17.25" customHeight="1">
      <c r="A544" s="112"/>
      <c r="B544" s="189"/>
      <c r="C544" s="190"/>
      <c r="D544" s="190"/>
      <c r="E544" s="190"/>
      <c r="F544" s="190"/>
      <c r="G544" s="191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</row>
    <row r="545" ht="17.25" customHeight="1">
      <c r="A545" s="112"/>
      <c r="B545" s="189"/>
      <c r="C545" s="190"/>
      <c r="D545" s="190"/>
      <c r="E545" s="190"/>
      <c r="F545" s="190"/>
      <c r="G545" s="191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</row>
    <row r="546" ht="17.25" customHeight="1">
      <c r="A546" s="112"/>
      <c r="B546" s="189"/>
      <c r="C546" s="190"/>
      <c r="D546" s="190"/>
      <c r="E546" s="190"/>
      <c r="F546" s="190"/>
      <c r="G546" s="191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</row>
    <row r="547" ht="17.25" customHeight="1">
      <c r="A547" s="112"/>
      <c r="B547" s="189"/>
      <c r="C547" s="190"/>
      <c r="D547" s="190"/>
      <c r="E547" s="190"/>
      <c r="F547" s="190"/>
      <c r="G547" s="191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</row>
    <row r="548" ht="17.25" customHeight="1">
      <c r="A548" s="112"/>
      <c r="B548" s="189"/>
      <c r="C548" s="190"/>
      <c r="D548" s="190"/>
      <c r="E548" s="190"/>
      <c r="F548" s="190"/>
      <c r="G548" s="191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</row>
    <row r="549" ht="17.25" customHeight="1">
      <c r="A549" s="112"/>
      <c r="B549" s="189"/>
      <c r="C549" s="190"/>
      <c r="D549" s="190"/>
      <c r="E549" s="190"/>
      <c r="F549" s="190"/>
      <c r="G549" s="191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</row>
    <row r="550" ht="17.25" customHeight="1">
      <c r="A550" s="112"/>
      <c r="B550" s="189"/>
      <c r="C550" s="190"/>
      <c r="D550" s="190"/>
      <c r="E550" s="190"/>
      <c r="F550" s="190"/>
      <c r="G550" s="191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</row>
    <row r="551" ht="17.25" customHeight="1">
      <c r="A551" s="112"/>
      <c r="B551" s="189"/>
      <c r="C551" s="190"/>
      <c r="D551" s="190"/>
      <c r="E551" s="190"/>
      <c r="F551" s="190"/>
      <c r="G551" s="191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</row>
    <row r="552" ht="17.25" customHeight="1">
      <c r="A552" s="112"/>
      <c r="B552" s="189"/>
      <c r="C552" s="190"/>
      <c r="D552" s="190"/>
      <c r="E552" s="190"/>
      <c r="F552" s="190"/>
      <c r="G552" s="191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</row>
    <row r="553" ht="17.25" customHeight="1">
      <c r="A553" s="112"/>
      <c r="B553" s="189"/>
      <c r="C553" s="190"/>
      <c r="D553" s="190"/>
      <c r="E553" s="190"/>
      <c r="F553" s="190"/>
      <c r="G553" s="191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</row>
    <row r="554" ht="17.25" customHeight="1">
      <c r="A554" s="112"/>
      <c r="B554" s="189"/>
      <c r="C554" s="190"/>
      <c r="D554" s="190"/>
      <c r="E554" s="190"/>
      <c r="F554" s="190"/>
      <c r="G554" s="191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</row>
    <row r="555" ht="17.25" customHeight="1">
      <c r="A555" s="112"/>
      <c r="B555" s="189"/>
      <c r="C555" s="190"/>
      <c r="D555" s="190"/>
      <c r="E555" s="190"/>
      <c r="F555" s="190"/>
      <c r="G555" s="191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</row>
    <row r="556" ht="17.25" customHeight="1">
      <c r="A556" s="112"/>
      <c r="B556" s="189"/>
      <c r="C556" s="190"/>
      <c r="D556" s="190"/>
      <c r="E556" s="190"/>
      <c r="F556" s="190"/>
      <c r="G556" s="191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</row>
    <row r="557" ht="17.25" customHeight="1">
      <c r="A557" s="112"/>
      <c r="B557" s="189"/>
      <c r="C557" s="190"/>
      <c r="D557" s="190"/>
      <c r="E557" s="190"/>
      <c r="F557" s="190"/>
      <c r="G557" s="191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</row>
    <row r="558" ht="17.25" customHeight="1">
      <c r="A558" s="112"/>
      <c r="B558" s="189"/>
      <c r="C558" s="190"/>
      <c r="D558" s="190"/>
      <c r="E558" s="190"/>
      <c r="F558" s="190"/>
      <c r="G558" s="191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</row>
    <row r="559" ht="17.25" customHeight="1">
      <c r="A559" s="112"/>
      <c r="B559" s="189"/>
      <c r="C559" s="190"/>
      <c r="D559" s="190"/>
      <c r="E559" s="190"/>
      <c r="F559" s="190"/>
      <c r="G559" s="191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</row>
    <row r="560" ht="17.25" customHeight="1">
      <c r="A560" s="112"/>
      <c r="B560" s="189"/>
      <c r="C560" s="190"/>
      <c r="D560" s="190"/>
      <c r="E560" s="190"/>
      <c r="F560" s="190"/>
      <c r="G560" s="191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</row>
    <row r="561" ht="17.25" customHeight="1">
      <c r="A561" s="112"/>
      <c r="B561" s="189"/>
      <c r="C561" s="190"/>
      <c r="D561" s="190"/>
      <c r="E561" s="190"/>
      <c r="F561" s="190"/>
      <c r="G561" s="191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</row>
    <row r="562" ht="17.25" customHeight="1">
      <c r="A562" s="112"/>
      <c r="B562" s="189"/>
      <c r="C562" s="190"/>
      <c r="D562" s="190"/>
      <c r="E562" s="190"/>
      <c r="F562" s="190"/>
      <c r="G562" s="191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</row>
    <row r="563" ht="17.25" customHeight="1">
      <c r="A563" s="112"/>
      <c r="B563" s="189"/>
      <c r="C563" s="190"/>
      <c r="D563" s="190"/>
      <c r="E563" s="190"/>
      <c r="F563" s="190"/>
      <c r="G563" s="191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</row>
    <row r="564" ht="17.25" customHeight="1">
      <c r="A564" s="112"/>
      <c r="B564" s="189"/>
      <c r="C564" s="190"/>
      <c r="D564" s="190"/>
      <c r="E564" s="190"/>
      <c r="F564" s="190"/>
      <c r="G564" s="191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</row>
    <row r="565" ht="17.25" customHeight="1">
      <c r="A565" s="112"/>
      <c r="B565" s="189"/>
      <c r="C565" s="190"/>
      <c r="D565" s="190"/>
      <c r="E565" s="190"/>
      <c r="F565" s="190"/>
      <c r="G565" s="191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</row>
    <row r="566" ht="17.25" customHeight="1">
      <c r="A566" s="112"/>
      <c r="B566" s="189"/>
      <c r="C566" s="190"/>
      <c r="D566" s="190"/>
      <c r="E566" s="190"/>
      <c r="F566" s="190"/>
      <c r="G566" s="191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</row>
    <row r="567" ht="17.25" customHeight="1">
      <c r="A567" s="112"/>
      <c r="B567" s="189"/>
      <c r="C567" s="190"/>
      <c r="D567" s="190"/>
      <c r="E567" s="190"/>
      <c r="F567" s="190"/>
      <c r="G567" s="191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</row>
    <row r="568" ht="17.25" customHeight="1">
      <c r="A568" s="112"/>
      <c r="B568" s="189"/>
      <c r="C568" s="190"/>
      <c r="D568" s="190"/>
      <c r="E568" s="190"/>
      <c r="F568" s="190"/>
      <c r="G568" s="191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</row>
    <row r="569" ht="17.25" customHeight="1">
      <c r="A569" s="112"/>
      <c r="B569" s="189"/>
      <c r="C569" s="190"/>
      <c r="D569" s="190"/>
      <c r="E569" s="190"/>
      <c r="F569" s="190"/>
      <c r="G569" s="191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</row>
    <row r="570" ht="17.25" customHeight="1">
      <c r="A570" s="112"/>
      <c r="B570" s="189"/>
      <c r="C570" s="190"/>
      <c r="D570" s="190"/>
      <c r="E570" s="190"/>
      <c r="F570" s="190"/>
      <c r="G570" s="191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</row>
    <row r="571" ht="17.25" customHeight="1">
      <c r="A571" s="112"/>
      <c r="B571" s="189"/>
      <c r="C571" s="190"/>
      <c r="D571" s="190"/>
      <c r="E571" s="190"/>
      <c r="F571" s="190"/>
      <c r="G571" s="191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</row>
    <row r="572" ht="17.25" customHeight="1">
      <c r="A572" s="112"/>
      <c r="B572" s="189"/>
      <c r="C572" s="190"/>
      <c r="D572" s="190"/>
      <c r="E572" s="190"/>
      <c r="F572" s="190"/>
      <c r="G572" s="191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</row>
    <row r="573" ht="17.25" customHeight="1">
      <c r="A573" s="112"/>
      <c r="B573" s="189"/>
      <c r="C573" s="190"/>
      <c r="D573" s="190"/>
      <c r="E573" s="190"/>
      <c r="F573" s="190"/>
      <c r="G573" s="191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</row>
    <row r="574" ht="17.25" customHeight="1">
      <c r="A574" s="112"/>
      <c r="B574" s="189"/>
      <c r="C574" s="190"/>
      <c r="D574" s="190"/>
      <c r="E574" s="190"/>
      <c r="F574" s="190"/>
      <c r="G574" s="191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</row>
    <row r="575" ht="17.25" customHeight="1">
      <c r="A575" s="112"/>
      <c r="B575" s="189"/>
      <c r="C575" s="190"/>
      <c r="D575" s="190"/>
      <c r="E575" s="190"/>
      <c r="F575" s="190"/>
      <c r="G575" s="191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</row>
    <row r="576" ht="17.25" customHeight="1">
      <c r="A576" s="112"/>
      <c r="B576" s="189"/>
      <c r="C576" s="190"/>
      <c r="D576" s="190"/>
      <c r="E576" s="190"/>
      <c r="F576" s="190"/>
      <c r="G576" s="191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</row>
    <row r="577" ht="17.25" customHeight="1">
      <c r="A577" s="112"/>
      <c r="B577" s="189"/>
      <c r="C577" s="190"/>
      <c r="D577" s="190"/>
      <c r="E577" s="190"/>
      <c r="F577" s="190"/>
      <c r="G577" s="191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</row>
    <row r="578" ht="17.25" customHeight="1">
      <c r="A578" s="112"/>
      <c r="B578" s="189"/>
      <c r="C578" s="190"/>
      <c r="D578" s="190"/>
      <c r="E578" s="190"/>
      <c r="F578" s="190"/>
      <c r="G578" s="191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</row>
    <row r="579" ht="17.25" customHeight="1">
      <c r="A579" s="112"/>
      <c r="B579" s="189"/>
      <c r="C579" s="190"/>
      <c r="D579" s="190"/>
      <c r="E579" s="190"/>
      <c r="F579" s="190"/>
      <c r="G579" s="191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</row>
    <row r="580" ht="17.25" customHeight="1">
      <c r="A580" s="112"/>
      <c r="B580" s="189"/>
      <c r="C580" s="190"/>
      <c r="D580" s="190"/>
      <c r="E580" s="190"/>
      <c r="F580" s="190"/>
      <c r="G580" s="191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</row>
    <row r="581" ht="17.25" customHeight="1">
      <c r="A581" s="112"/>
      <c r="B581" s="189"/>
      <c r="C581" s="190"/>
      <c r="D581" s="190"/>
      <c r="E581" s="190"/>
      <c r="F581" s="190"/>
      <c r="G581" s="191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</row>
    <row r="582" ht="17.25" customHeight="1">
      <c r="A582" s="112"/>
      <c r="B582" s="189"/>
      <c r="C582" s="190"/>
      <c r="D582" s="190"/>
      <c r="E582" s="190"/>
      <c r="F582" s="190"/>
      <c r="G582" s="191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</row>
    <row r="583" ht="17.25" customHeight="1">
      <c r="A583" s="112"/>
      <c r="B583" s="189"/>
      <c r="C583" s="190"/>
      <c r="D583" s="190"/>
      <c r="E583" s="190"/>
      <c r="F583" s="190"/>
      <c r="G583" s="191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</row>
    <row r="584" ht="17.25" customHeight="1">
      <c r="A584" s="112"/>
      <c r="B584" s="189"/>
      <c r="C584" s="190"/>
      <c r="D584" s="190"/>
      <c r="E584" s="190"/>
      <c r="F584" s="190"/>
      <c r="G584" s="191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</row>
    <row r="585" ht="17.25" customHeight="1">
      <c r="A585" s="112"/>
      <c r="B585" s="189"/>
      <c r="C585" s="190"/>
      <c r="D585" s="190"/>
      <c r="E585" s="190"/>
      <c r="F585" s="190"/>
      <c r="G585" s="191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</row>
    <row r="586" ht="17.25" customHeight="1">
      <c r="A586" s="112"/>
      <c r="B586" s="189"/>
      <c r="C586" s="190"/>
      <c r="D586" s="190"/>
      <c r="E586" s="190"/>
      <c r="F586" s="190"/>
      <c r="G586" s="191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</row>
    <row r="587" ht="17.25" customHeight="1">
      <c r="A587" s="112"/>
      <c r="B587" s="189"/>
      <c r="C587" s="190"/>
      <c r="D587" s="190"/>
      <c r="E587" s="190"/>
      <c r="F587" s="190"/>
      <c r="G587" s="191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</row>
    <row r="588" ht="17.25" customHeight="1">
      <c r="A588" s="112"/>
      <c r="B588" s="189"/>
      <c r="C588" s="190"/>
      <c r="D588" s="190"/>
      <c r="E588" s="190"/>
      <c r="F588" s="190"/>
      <c r="G588" s="191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</row>
    <row r="589" ht="17.25" customHeight="1">
      <c r="A589" s="112"/>
      <c r="B589" s="189"/>
      <c r="C589" s="190"/>
      <c r="D589" s="190"/>
      <c r="E589" s="190"/>
      <c r="F589" s="190"/>
      <c r="G589" s="191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</row>
    <row r="590" ht="17.25" customHeight="1">
      <c r="A590" s="112"/>
      <c r="B590" s="189"/>
      <c r="C590" s="190"/>
      <c r="D590" s="190"/>
      <c r="E590" s="190"/>
      <c r="F590" s="190"/>
      <c r="G590" s="191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</row>
    <row r="591" ht="17.25" customHeight="1">
      <c r="A591" s="112"/>
      <c r="B591" s="189"/>
      <c r="C591" s="190"/>
      <c r="D591" s="190"/>
      <c r="E591" s="190"/>
      <c r="F591" s="190"/>
      <c r="G591" s="191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</row>
    <row r="592" ht="17.25" customHeight="1">
      <c r="A592" s="112"/>
      <c r="B592" s="189"/>
      <c r="C592" s="190"/>
      <c r="D592" s="190"/>
      <c r="E592" s="190"/>
      <c r="F592" s="190"/>
      <c r="G592" s="191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</row>
    <row r="593" ht="17.25" customHeight="1">
      <c r="A593" s="112"/>
      <c r="B593" s="189"/>
      <c r="C593" s="190"/>
      <c r="D593" s="190"/>
      <c r="E593" s="190"/>
      <c r="F593" s="190"/>
      <c r="G593" s="191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</row>
    <row r="594" ht="17.25" customHeight="1">
      <c r="A594" s="112"/>
      <c r="B594" s="189"/>
      <c r="C594" s="190"/>
      <c r="D594" s="190"/>
      <c r="E594" s="190"/>
      <c r="F594" s="190"/>
      <c r="G594" s="191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</row>
    <row r="595" ht="17.25" customHeight="1">
      <c r="A595" s="112"/>
      <c r="B595" s="189"/>
      <c r="C595" s="190"/>
      <c r="D595" s="190"/>
      <c r="E595" s="190"/>
      <c r="F595" s="190"/>
      <c r="G595" s="191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</row>
    <row r="596" ht="17.25" customHeight="1">
      <c r="A596" s="112"/>
      <c r="B596" s="189"/>
      <c r="C596" s="190"/>
      <c r="D596" s="190"/>
      <c r="E596" s="190"/>
      <c r="F596" s="190"/>
      <c r="G596" s="191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</row>
    <row r="597" ht="17.25" customHeight="1">
      <c r="A597" s="112"/>
      <c r="B597" s="189"/>
      <c r="C597" s="190"/>
      <c r="D597" s="190"/>
      <c r="E597" s="190"/>
      <c r="F597" s="190"/>
      <c r="G597" s="191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</row>
    <row r="598" ht="17.25" customHeight="1">
      <c r="A598" s="112"/>
      <c r="B598" s="189"/>
      <c r="C598" s="190"/>
      <c r="D598" s="190"/>
      <c r="E598" s="190"/>
      <c r="F598" s="190"/>
      <c r="G598" s="191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</row>
    <row r="599" ht="17.25" customHeight="1">
      <c r="A599" s="112"/>
      <c r="B599" s="189"/>
      <c r="C599" s="190"/>
      <c r="D599" s="190"/>
      <c r="E599" s="190"/>
      <c r="F599" s="190"/>
      <c r="G599" s="191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</row>
    <row r="600" ht="17.25" customHeight="1">
      <c r="A600" s="112"/>
      <c r="B600" s="189"/>
      <c r="C600" s="190"/>
      <c r="D600" s="190"/>
      <c r="E600" s="190"/>
      <c r="F600" s="190"/>
      <c r="G600" s="191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</row>
    <row r="601" ht="17.25" customHeight="1">
      <c r="A601" s="112"/>
      <c r="B601" s="189"/>
      <c r="C601" s="190"/>
      <c r="D601" s="190"/>
      <c r="E601" s="190"/>
      <c r="F601" s="190"/>
      <c r="G601" s="191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</row>
    <row r="602" ht="17.25" customHeight="1">
      <c r="A602" s="112"/>
      <c r="B602" s="189"/>
      <c r="C602" s="190"/>
      <c r="D602" s="190"/>
      <c r="E602" s="190"/>
      <c r="F602" s="190"/>
      <c r="G602" s="191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</row>
    <row r="603" ht="17.25" customHeight="1">
      <c r="A603" s="112"/>
      <c r="B603" s="189"/>
      <c r="C603" s="190"/>
      <c r="D603" s="190"/>
      <c r="E603" s="190"/>
      <c r="F603" s="190"/>
      <c r="G603" s="191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</row>
    <row r="604" ht="17.25" customHeight="1">
      <c r="A604" s="112"/>
      <c r="B604" s="189"/>
      <c r="C604" s="190"/>
      <c r="D604" s="190"/>
      <c r="E604" s="190"/>
      <c r="F604" s="190"/>
      <c r="G604" s="191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</row>
    <row r="605" ht="17.25" customHeight="1">
      <c r="A605" s="112"/>
      <c r="B605" s="189"/>
      <c r="C605" s="190"/>
      <c r="D605" s="190"/>
      <c r="E605" s="190"/>
      <c r="F605" s="190"/>
      <c r="G605" s="191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</row>
    <row r="606" ht="17.25" customHeight="1">
      <c r="A606" s="112"/>
      <c r="B606" s="189"/>
      <c r="C606" s="190"/>
      <c r="D606" s="190"/>
      <c r="E606" s="190"/>
      <c r="F606" s="190"/>
      <c r="G606" s="191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</row>
    <row r="607" ht="17.25" customHeight="1">
      <c r="A607" s="112"/>
      <c r="B607" s="189"/>
      <c r="C607" s="190"/>
      <c r="D607" s="190"/>
      <c r="E607" s="190"/>
      <c r="F607" s="190"/>
      <c r="G607" s="191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</row>
    <row r="608" ht="17.25" customHeight="1">
      <c r="A608" s="112"/>
      <c r="B608" s="189"/>
      <c r="C608" s="190"/>
      <c r="D608" s="190"/>
      <c r="E608" s="190"/>
      <c r="F608" s="190"/>
      <c r="G608" s="191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</row>
    <row r="609" ht="17.25" customHeight="1">
      <c r="A609" s="112"/>
      <c r="B609" s="189"/>
      <c r="C609" s="190"/>
      <c r="D609" s="190"/>
      <c r="E609" s="190"/>
      <c r="F609" s="190"/>
      <c r="G609" s="191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</row>
    <row r="610" ht="17.25" customHeight="1">
      <c r="A610" s="112"/>
      <c r="B610" s="189"/>
      <c r="C610" s="190"/>
      <c r="D610" s="190"/>
      <c r="E610" s="190"/>
      <c r="F610" s="190"/>
      <c r="G610" s="191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</row>
    <row r="611" ht="17.25" customHeight="1">
      <c r="A611" s="112"/>
      <c r="B611" s="189"/>
      <c r="C611" s="190"/>
      <c r="D611" s="190"/>
      <c r="E611" s="190"/>
      <c r="F611" s="190"/>
      <c r="G611" s="191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</row>
    <row r="612" ht="17.25" customHeight="1">
      <c r="A612" s="112"/>
      <c r="B612" s="189"/>
      <c r="C612" s="190"/>
      <c r="D612" s="190"/>
      <c r="E612" s="190"/>
      <c r="F612" s="190"/>
      <c r="G612" s="191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</row>
    <row r="613" ht="17.25" customHeight="1">
      <c r="A613" s="112"/>
      <c r="B613" s="189"/>
      <c r="C613" s="190"/>
      <c r="D613" s="190"/>
      <c r="E613" s="190"/>
      <c r="F613" s="190"/>
      <c r="G613" s="191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</row>
    <row r="614" ht="17.25" customHeight="1">
      <c r="A614" s="112"/>
      <c r="B614" s="189"/>
      <c r="C614" s="190"/>
      <c r="D614" s="190"/>
      <c r="E614" s="190"/>
      <c r="F614" s="190"/>
      <c r="G614" s="191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</row>
    <row r="615" ht="17.25" customHeight="1">
      <c r="A615" s="112"/>
      <c r="B615" s="189"/>
      <c r="C615" s="190"/>
      <c r="D615" s="190"/>
      <c r="E615" s="190"/>
      <c r="F615" s="190"/>
      <c r="G615" s="191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</row>
    <row r="616" ht="17.25" customHeight="1">
      <c r="A616" s="112"/>
      <c r="B616" s="189"/>
      <c r="C616" s="190"/>
      <c r="D616" s="190"/>
      <c r="E616" s="190"/>
      <c r="F616" s="190"/>
      <c r="G616" s="191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</row>
    <row r="617" ht="17.25" customHeight="1">
      <c r="A617" s="112"/>
      <c r="B617" s="189"/>
      <c r="C617" s="190"/>
      <c r="D617" s="190"/>
      <c r="E617" s="190"/>
      <c r="F617" s="190"/>
      <c r="G617" s="191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</row>
    <row r="618" ht="17.25" customHeight="1">
      <c r="A618" s="112"/>
      <c r="B618" s="189"/>
      <c r="C618" s="190"/>
      <c r="D618" s="190"/>
      <c r="E618" s="190"/>
      <c r="F618" s="190"/>
      <c r="G618" s="191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</row>
    <row r="619" ht="17.25" customHeight="1">
      <c r="A619" s="112"/>
      <c r="B619" s="189"/>
      <c r="C619" s="190"/>
      <c r="D619" s="190"/>
      <c r="E619" s="190"/>
      <c r="F619" s="190"/>
      <c r="G619" s="191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</row>
    <row r="620" ht="17.25" customHeight="1">
      <c r="A620" s="112"/>
      <c r="B620" s="189"/>
      <c r="C620" s="190"/>
      <c r="D620" s="190"/>
      <c r="E620" s="190"/>
      <c r="F620" s="190"/>
      <c r="G620" s="191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</row>
    <row r="621" ht="17.25" customHeight="1">
      <c r="A621" s="112"/>
      <c r="B621" s="189"/>
      <c r="C621" s="190"/>
      <c r="D621" s="190"/>
      <c r="E621" s="190"/>
      <c r="F621" s="190"/>
      <c r="G621" s="191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</row>
    <row r="622" ht="17.25" customHeight="1">
      <c r="A622" s="112"/>
      <c r="B622" s="189"/>
      <c r="C622" s="190"/>
      <c r="D622" s="190"/>
      <c r="E622" s="190"/>
      <c r="F622" s="190"/>
      <c r="G622" s="191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</row>
    <row r="623" ht="17.25" customHeight="1">
      <c r="A623" s="112"/>
      <c r="B623" s="189"/>
      <c r="C623" s="190"/>
      <c r="D623" s="190"/>
      <c r="E623" s="190"/>
      <c r="F623" s="190"/>
      <c r="G623" s="191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</row>
    <row r="624" ht="17.25" customHeight="1">
      <c r="A624" s="112"/>
      <c r="B624" s="189"/>
      <c r="C624" s="190"/>
      <c r="D624" s="190"/>
      <c r="E624" s="190"/>
      <c r="F624" s="190"/>
      <c r="G624" s="191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</row>
    <row r="625" ht="17.25" customHeight="1">
      <c r="A625" s="112"/>
      <c r="B625" s="189"/>
      <c r="C625" s="190"/>
      <c r="D625" s="190"/>
      <c r="E625" s="190"/>
      <c r="F625" s="190"/>
      <c r="G625" s="191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</row>
    <row r="626" ht="17.25" customHeight="1">
      <c r="A626" s="112"/>
      <c r="B626" s="189"/>
      <c r="C626" s="190"/>
      <c r="D626" s="190"/>
      <c r="E626" s="190"/>
      <c r="F626" s="190"/>
      <c r="G626" s="191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</row>
    <row r="627" ht="17.25" customHeight="1">
      <c r="A627" s="112"/>
      <c r="B627" s="189"/>
      <c r="C627" s="190"/>
      <c r="D627" s="190"/>
      <c r="E627" s="190"/>
      <c r="F627" s="190"/>
      <c r="G627" s="191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</row>
    <row r="628" ht="17.25" customHeight="1">
      <c r="A628" s="112"/>
      <c r="B628" s="189"/>
      <c r="C628" s="190"/>
      <c r="D628" s="190"/>
      <c r="E628" s="190"/>
      <c r="F628" s="190"/>
      <c r="G628" s="191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</row>
    <row r="629" ht="17.25" customHeight="1">
      <c r="A629" s="112"/>
      <c r="B629" s="189"/>
      <c r="C629" s="190"/>
      <c r="D629" s="190"/>
      <c r="E629" s="190"/>
      <c r="F629" s="190"/>
      <c r="G629" s="191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</row>
    <row r="630" ht="17.25" customHeight="1">
      <c r="A630" s="112"/>
      <c r="B630" s="189"/>
      <c r="C630" s="190"/>
      <c r="D630" s="190"/>
      <c r="E630" s="190"/>
      <c r="F630" s="190"/>
      <c r="G630" s="191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</row>
    <row r="631" ht="17.25" customHeight="1">
      <c r="A631" s="112"/>
      <c r="B631" s="189"/>
      <c r="C631" s="190"/>
      <c r="D631" s="190"/>
      <c r="E631" s="190"/>
      <c r="F631" s="190"/>
      <c r="G631" s="191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</row>
    <row r="632" ht="17.25" customHeight="1">
      <c r="A632" s="112"/>
      <c r="B632" s="189"/>
      <c r="C632" s="190"/>
      <c r="D632" s="190"/>
      <c r="E632" s="190"/>
      <c r="F632" s="190"/>
      <c r="G632" s="191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</row>
    <row r="633" ht="17.25" customHeight="1">
      <c r="A633" s="112"/>
      <c r="B633" s="189"/>
      <c r="C633" s="190"/>
      <c r="D633" s="190"/>
      <c r="E633" s="190"/>
      <c r="F633" s="190"/>
      <c r="G633" s="191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</row>
    <row r="634" ht="17.25" customHeight="1">
      <c r="A634" s="112"/>
      <c r="B634" s="189"/>
      <c r="C634" s="190"/>
      <c r="D634" s="190"/>
      <c r="E634" s="190"/>
      <c r="F634" s="190"/>
      <c r="G634" s="191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</row>
    <row r="635" ht="17.25" customHeight="1">
      <c r="A635" s="112"/>
      <c r="B635" s="189"/>
      <c r="C635" s="190"/>
      <c r="D635" s="190"/>
      <c r="E635" s="190"/>
      <c r="F635" s="190"/>
      <c r="G635" s="191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</row>
    <row r="636" ht="17.25" customHeight="1">
      <c r="A636" s="112"/>
      <c r="B636" s="189"/>
      <c r="C636" s="190"/>
      <c r="D636" s="190"/>
      <c r="E636" s="190"/>
      <c r="F636" s="190"/>
      <c r="G636" s="191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</row>
    <row r="637" ht="17.25" customHeight="1">
      <c r="A637" s="112"/>
      <c r="B637" s="189"/>
      <c r="C637" s="190"/>
      <c r="D637" s="190"/>
      <c r="E637" s="190"/>
      <c r="F637" s="190"/>
      <c r="G637" s="191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</row>
    <row r="638" ht="17.25" customHeight="1">
      <c r="A638" s="112"/>
      <c r="B638" s="189"/>
      <c r="C638" s="190"/>
      <c r="D638" s="190"/>
      <c r="E638" s="190"/>
      <c r="F638" s="190"/>
      <c r="G638" s="191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</row>
    <row r="639" ht="17.25" customHeight="1">
      <c r="A639" s="112"/>
      <c r="B639" s="189"/>
      <c r="C639" s="190"/>
      <c r="D639" s="190"/>
      <c r="E639" s="190"/>
      <c r="F639" s="190"/>
      <c r="G639" s="191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</row>
    <row r="640" ht="17.25" customHeight="1">
      <c r="A640" s="112"/>
      <c r="B640" s="189"/>
      <c r="C640" s="190"/>
      <c r="D640" s="190"/>
      <c r="E640" s="190"/>
      <c r="F640" s="190"/>
      <c r="G640" s="191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</row>
    <row r="641" ht="17.25" customHeight="1">
      <c r="A641" s="112"/>
      <c r="B641" s="189"/>
      <c r="C641" s="190"/>
      <c r="D641" s="190"/>
      <c r="E641" s="190"/>
      <c r="F641" s="190"/>
      <c r="G641" s="191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</row>
    <row r="642" ht="17.25" customHeight="1">
      <c r="A642" s="112"/>
      <c r="B642" s="189"/>
      <c r="C642" s="190"/>
      <c r="D642" s="190"/>
      <c r="E642" s="190"/>
      <c r="F642" s="190"/>
      <c r="G642" s="191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</row>
    <row r="643" ht="17.25" customHeight="1">
      <c r="A643" s="112"/>
      <c r="B643" s="189"/>
      <c r="C643" s="190"/>
      <c r="D643" s="190"/>
      <c r="E643" s="190"/>
      <c r="F643" s="190"/>
      <c r="G643" s="191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</row>
    <row r="644" ht="17.25" customHeight="1">
      <c r="A644" s="112"/>
      <c r="B644" s="189"/>
      <c r="C644" s="190"/>
      <c r="D644" s="190"/>
      <c r="E644" s="190"/>
      <c r="F644" s="190"/>
      <c r="G644" s="191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</row>
    <row r="645" ht="17.25" customHeight="1">
      <c r="A645" s="112"/>
      <c r="B645" s="189"/>
      <c r="C645" s="190"/>
      <c r="D645" s="190"/>
      <c r="E645" s="190"/>
      <c r="F645" s="190"/>
      <c r="G645" s="191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</row>
    <row r="646" ht="17.25" customHeight="1">
      <c r="A646" s="112"/>
      <c r="B646" s="189"/>
      <c r="C646" s="190"/>
      <c r="D646" s="190"/>
      <c r="E646" s="190"/>
      <c r="F646" s="190"/>
      <c r="G646" s="191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</row>
    <row r="647" ht="17.25" customHeight="1">
      <c r="A647" s="112"/>
      <c r="B647" s="189"/>
      <c r="C647" s="190"/>
      <c r="D647" s="190"/>
      <c r="E647" s="190"/>
      <c r="F647" s="190"/>
      <c r="G647" s="191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</row>
    <row r="648" ht="17.25" customHeight="1">
      <c r="A648" s="112"/>
      <c r="B648" s="189"/>
      <c r="C648" s="190"/>
      <c r="D648" s="190"/>
      <c r="E648" s="190"/>
      <c r="F648" s="190"/>
      <c r="G648" s="191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</row>
    <row r="649" ht="17.25" customHeight="1">
      <c r="A649" s="112"/>
      <c r="B649" s="189"/>
      <c r="C649" s="190"/>
      <c r="D649" s="190"/>
      <c r="E649" s="190"/>
      <c r="F649" s="190"/>
      <c r="G649" s="191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</row>
    <row r="650" ht="17.25" customHeight="1">
      <c r="A650" s="112"/>
      <c r="B650" s="189"/>
      <c r="C650" s="190"/>
      <c r="D650" s="190"/>
      <c r="E650" s="190"/>
      <c r="F650" s="190"/>
      <c r="G650" s="191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</row>
    <row r="651" ht="17.25" customHeight="1">
      <c r="A651" s="112"/>
      <c r="B651" s="189"/>
      <c r="C651" s="190"/>
      <c r="D651" s="190"/>
      <c r="E651" s="190"/>
      <c r="F651" s="190"/>
      <c r="G651" s="191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</row>
    <row r="652" ht="17.25" customHeight="1">
      <c r="A652" s="112"/>
      <c r="B652" s="189"/>
      <c r="C652" s="190"/>
      <c r="D652" s="190"/>
      <c r="E652" s="190"/>
      <c r="F652" s="190"/>
      <c r="G652" s="191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</row>
    <row r="653" ht="17.25" customHeight="1">
      <c r="A653" s="112"/>
      <c r="B653" s="189"/>
      <c r="C653" s="190"/>
      <c r="D653" s="190"/>
      <c r="E653" s="190"/>
      <c r="F653" s="190"/>
      <c r="G653" s="191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</row>
    <row r="654" ht="17.25" customHeight="1">
      <c r="A654" s="112"/>
      <c r="B654" s="189"/>
      <c r="C654" s="190"/>
      <c r="D654" s="190"/>
      <c r="E654" s="190"/>
      <c r="F654" s="190"/>
      <c r="G654" s="191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</row>
    <row r="655" ht="17.25" customHeight="1">
      <c r="A655" s="112"/>
      <c r="B655" s="189"/>
      <c r="C655" s="190"/>
      <c r="D655" s="190"/>
      <c r="E655" s="190"/>
      <c r="F655" s="190"/>
      <c r="G655" s="191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</row>
    <row r="656" ht="17.25" customHeight="1">
      <c r="A656" s="112"/>
      <c r="B656" s="189"/>
      <c r="C656" s="190"/>
      <c r="D656" s="190"/>
      <c r="E656" s="190"/>
      <c r="F656" s="190"/>
      <c r="G656" s="191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</row>
    <row r="657" ht="17.25" customHeight="1">
      <c r="A657" s="112"/>
      <c r="B657" s="189"/>
      <c r="C657" s="190"/>
      <c r="D657" s="190"/>
      <c r="E657" s="190"/>
      <c r="F657" s="190"/>
      <c r="G657" s="191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</row>
    <row r="658" ht="17.25" customHeight="1">
      <c r="A658" s="112"/>
      <c r="B658" s="189"/>
      <c r="C658" s="190"/>
      <c r="D658" s="190"/>
      <c r="E658" s="190"/>
      <c r="F658" s="190"/>
      <c r="G658" s="191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</row>
    <row r="659" ht="17.25" customHeight="1">
      <c r="A659" s="112"/>
      <c r="B659" s="189"/>
      <c r="C659" s="190"/>
      <c r="D659" s="190"/>
      <c r="E659" s="190"/>
      <c r="F659" s="190"/>
      <c r="G659" s="191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</row>
    <row r="660" ht="17.25" customHeight="1">
      <c r="A660" s="112"/>
      <c r="B660" s="189"/>
      <c r="C660" s="190"/>
      <c r="D660" s="190"/>
      <c r="E660" s="190"/>
      <c r="F660" s="190"/>
      <c r="G660" s="191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</row>
    <row r="661" ht="17.25" customHeight="1">
      <c r="A661" s="112"/>
      <c r="B661" s="189"/>
      <c r="C661" s="190"/>
      <c r="D661" s="190"/>
      <c r="E661" s="190"/>
      <c r="F661" s="190"/>
      <c r="G661" s="191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</row>
    <row r="662" ht="17.25" customHeight="1">
      <c r="A662" s="112"/>
      <c r="B662" s="189"/>
      <c r="C662" s="190"/>
      <c r="D662" s="190"/>
      <c r="E662" s="190"/>
      <c r="F662" s="190"/>
      <c r="G662" s="191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</row>
    <row r="663" ht="17.25" customHeight="1">
      <c r="A663" s="112"/>
      <c r="B663" s="189"/>
      <c r="C663" s="190"/>
      <c r="D663" s="190"/>
      <c r="E663" s="190"/>
      <c r="F663" s="190"/>
      <c r="G663" s="191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</row>
    <row r="664" ht="17.25" customHeight="1">
      <c r="A664" s="112"/>
      <c r="B664" s="189"/>
      <c r="C664" s="190"/>
      <c r="D664" s="190"/>
      <c r="E664" s="190"/>
      <c r="F664" s="190"/>
      <c r="G664" s="191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</row>
    <row r="665" ht="17.25" customHeight="1">
      <c r="A665" s="112"/>
      <c r="B665" s="189"/>
      <c r="C665" s="190"/>
      <c r="D665" s="190"/>
      <c r="E665" s="190"/>
      <c r="F665" s="190"/>
      <c r="G665" s="191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</row>
    <row r="666" ht="17.25" customHeight="1">
      <c r="A666" s="112"/>
      <c r="B666" s="189"/>
      <c r="C666" s="190"/>
      <c r="D666" s="190"/>
      <c r="E666" s="190"/>
      <c r="F666" s="190"/>
      <c r="G666" s="191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</row>
    <row r="667" ht="17.25" customHeight="1">
      <c r="A667" s="112"/>
      <c r="B667" s="189"/>
      <c r="C667" s="190"/>
      <c r="D667" s="190"/>
      <c r="E667" s="190"/>
      <c r="F667" s="190"/>
      <c r="G667" s="191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</row>
    <row r="668" ht="17.25" customHeight="1">
      <c r="A668" s="112"/>
      <c r="B668" s="189"/>
      <c r="C668" s="190"/>
      <c r="D668" s="190"/>
      <c r="E668" s="190"/>
      <c r="F668" s="190"/>
      <c r="G668" s="191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</row>
    <row r="669" ht="17.25" customHeight="1">
      <c r="A669" s="112"/>
      <c r="B669" s="189"/>
      <c r="C669" s="190"/>
      <c r="D669" s="190"/>
      <c r="E669" s="190"/>
      <c r="F669" s="190"/>
      <c r="G669" s="191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</row>
    <row r="670" ht="17.25" customHeight="1">
      <c r="A670" s="112"/>
      <c r="B670" s="189"/>
      <c r="C670" s="190"/>
      <c r="D670" s="190"/>
      <c r="E670" s="190"/>
      <c r="F670" s="190"/>
      <c r="G670" s="191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</row>
    <row r="671" ht="17.25" customHeight="1">
      <c r="A671" s="112"/>
      <c r="B671" s="189"/>
      <c r="C671" s="190"/>
      <c r="D671" s="190"/>
      <c r="E671" s="190"/>
      <c r="F671" s="190"/>
      <c r="G671" s="191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</row>
    <row r="672" ht="17.25" customHeight="1">
      <c r="A672" s="112"/>
      <c r="B672" s="189"/>
      <c r="C672" s="190"/>
      <c r="D672" s="190"/>
      <c r="E672" s="190"/>
      <c r="F672" s="190"/>
      <c r="G672" s="191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</row>
    <row r="673" ht="17.25" customHeight="1">
      <c r="A673" s="112"/>
      <c r="B673" s="189"/>
      <c r="C673" s="190"/>
      <c r="D673" s="190"/>
      <c r="E673" s="190"/>
      <c r="F673" s="190"/>
      <c r="G673" s="191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</row>
    <row r="674" ht="17.25" customHeight="1">
      <c r="A674" s="112"/>
      <c r="B674" s="189"/>
      <c r="C674" s="190"/>
      <c r="D674" s="190"/>
      <c r="E674" s="190"/>
      <c r="F674" s="190"/>
      <c r="G674" s="191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</row>
    <row r="675" ht="17.25" customHeight="1">
      <c r="A675" s="112"/>
      <c r="B675" s="189"/>
      <c r="C675" s="190"/>
      <c r="D675" s="190"/>
      <c r="E675" s="190"/>
      <c r="F675" s="190"/>
      <c r="G675" s="191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</row>
    <row r="676" ht="17.25" customHeight="1">
      <c r="A676" s="112"/>
      <c r="B676" s="189"/>
      <c r="C676" s="190"/>
      <c r="D676" s="190"/>
      <c r="E676" s="190"/>
      <c r="F676" s="190"/>
      <c r="G676" s="191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</row>
    <row r="677" ht="17.25" customHeight="1">
      <c r="A677" s="112"/>
      <c r="B677" s="189"/>
      <c r="C677" s="190"/>
      <c r="D677" s="190"/>
      <c r="E677" s="190"/>
      <c r="F677" s="190"/>
      <c r="G677" s="191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</row>
    <row r="678" ht="17.25" customHeight="1">
      <c r="A678" s="112"/>
      <c r="B678" s="189"/>
      <c r="C678" s="190"/>
      <c r="D678" s="190"/>
      <c r="E678" s="190"/>
      <c r="F678" s="190"/>
      <c r="G678" s="191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</row>
    <row r="679" ht="17.25" customHeight="1">
      <c r="A679" s="112"/>
      <c r="B679" s="189"/>
      <c r="C679" s="190"/>
      <c r="D679" s="190"/>
      <c r="E679" s="190"/>
      <c r="F679" s="190"/>
      <c r="G679" s="191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</row>
    <row r="680" ht="17.25" customHeight="1">
      <c r="A680" s="112"/>
      <c r="B680" s="189"/>
      <c r="C680" s="190"/>
      <c r="D680" s="190"/>
      <c r="E680" s="190"/>
      <c r="F680" s="190"/>
      <c r="G680" s="191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</row>
    <row r="681" ht="17.25" customHeight="1">
      <c r="A681" s="112"/>
      <c r="B681" s="189"/>
      <c r="C681" s="190"/>
      <c r="D681" s="190"/>
      <c r="E681" s="190"/>
      <c r="F681" s="190"/>
      <c r="G681" s="191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</row>
    <row r="682" ht="17.25" customHeight="1">
      <c r="A682" s="112"/>
      <c r="B682" s="189"/>
      <c r="C682" s="190"/>
      <c r="D682" s="190"/>
      <c r="E682" s="190"/>
      <c r="F682" s="190"/>
      <c r="G682" s="191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</row>
    <row r="683" ht="17.25" customHeight="1">
      <c r="A683" s="112"/>
      <c r="B683" s="189"/>
      <c r="C683" s="190"/>
      <c r="D683" s="190"/>
      <c r="E683" s="190"/>
      <c r="F683" s="190"/>
      <c r="G683" s="191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</row>
    <row r="684" ht="17.25" customHeight="1">
      <c r="A684" s="112"/>
      <c r="B684" s="189"/>
      <c r="C684" s="190"/>
      <c r="D684" s="190"/>
      <c r="E684" s="190"/>
      <c r="F684" s="190"/>
      <c r="G684" s="191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</row>
    <row r="685" ht="17.25" customHeight="1">
      <c r="A685" s="112"/>
      <c r="B685" s="189"/>
      <c r="C685" s="190"/>
      <c r="D685" s="190"/>
      <c r="E685" s="190"/>
      <c r="F685" s="190"/>
      <c r="G685" s="191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</row>
    <row r="686" ht="17.25" customHeight="1">
      <c r="A686" s="112"/>
      <c r="B686" s="189"/>
      <c r="C686" s="190"/>
      <c r="D686" s="190"/>
      <c r="E686" s="190"/>
      <c r="F686" s="190"/>
      <c r="G686" s="191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</row>
    <row r="687" ht="17.25" customHeight="1">
      <c r="A687" s="112"/>
      <c r="B687" s="189"/>
      <c r="C687" s="190"/>
      <c r="D687" s="190"/>
      <c r="E687" s="190"/>
      <c r="F687" s="190"/>
      <c r="G687" s="191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</row>
    <row r="688" ht="17.25" customHeight="1">
      <c r="A688" s="112"/>
      <c r="B688" s="189"/>
      <c r="C688" s="190"/>
      <c r="D688" s="190"/>
      <c r="E688" s="190"/>
      <c r="F688" s="190"/>
      <c r="G688" s="191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</row>
    <row r="689" ht="17.25" customHeight="1">
      <c r="A689" s="112"/>
      <c r="B689" s="189"/>
      <c r="C689" s="190"/>
      <c r="D689" s="190"/>
      <c r="E689" s="190"/>
      <c r="F689" s="190"/>
      <c r="G689" s="191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</row>
    <row r="690" ht="17.25" customHeight="1">
      <c r="A690" s="112"/>
      <c r="B690" s="189"/>
      <c r="C690" s="190"/>
      <c r="D690" s="190"/>
      <c r="E690" s="190"/>
      <c r="F690" s="190"/>
      <c r="G690" s="191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</row>
    <row r="691" ht="17.25" customHeight="1">
      <c r="A691" s="112"/>
      <c r="B691" s="189"/>
      <c r="C691" s="190"/>
      <c r="D691" s="190"/>
      <c r="E691" s="190"/>
      <c r="F691" s="190"/>
      <c r="G691" s="191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</row>
    <row r="692" ht="17.25" customHeight="1">
      <c r="A692" s="112"/>
      <c r="B692" s="189"/>
      <c r="C692" s="190"/>
      <c r="D692" s="190"/>
      <c r="E692" s="190"/>
      <c r="F692" s="190"/>
      <c r="G692" s="191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</row>
    <row r="693" ht="17.25" customHeight="1">
      <c r="A693" s="112"/>
      <c r="B693" s="189"/>
      <c r="C693" s="190"/>
      <c r="D693" s="190"/>
      <c r="E693" s="190"/>
      <c r="F693" s="190"/>
      <c r="G693" s="191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</row>
    <row r="694" ht="17.25" customHeight="1">
      <c r="A694" s="112"/>
      <c r="B694" s="189"/>
      <c r="C694" s="190"/>
      <c r="D694" s="190"/>
      <c r="E694" s="190"/>
      <c r="F694" s="190"/>
      <c r="G694" s="191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</row>
    <row r="695" ht="17.25" customHeight="1">
      <c r="A695" s="112"/>
      <c r="B695" s="189"/>
      <c r="C695" s="190"/>
      <c r="D695" s="190"/>
      <c r="E695" s="190"/>
      <c r="F695" s="190"/>
      <c r="G695" s="191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</row>
    <row r="696" ht="17.25" customHeight="1">
      <c r="A696" s="112"/>
      <c r="B696" s="189"/>
      <c r="C696" s="190"/>
      <c r="D696" s="190"/>
      <c r="E696" s="190"/>
      <c r="F696" s="190"/>
      <c r="G696" s="191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</row>
    <row r="697" ht="17.25" customHeight="1">
      <c r="A697" s="112"/>
      <c r="B697" s="189"/>
      <c r="C697" s="190"/>
      <c r="D697" s="190"/>
      <c r="E697" s="190"/>
      <c r="F697" s="190"/>
      <c r="G697" s="191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</row>
    <row r="698" ht="17.25" customHeight="1">
      <c r="A698" s="112"/>
      <c r="B698" s="189"/>
      <c r="C698" s="190"/>
      <c r="D698" s="190"/>
      <c r="E698" s="190"/>
      <c r="F698" s="190"/>
      <c r="G698" s="191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</row>
    <row r="699" ht="17.25" customHeight="1">
      <c r="A699" s="112"/>
      <c r="B699" s="189"/>
      <c r="C699" s="190"/>
      <c r="D699" s="190"/>
      <c r="E699" s="190"/>
      <c r="F699" s="190"/>
      <c r="G699" s="191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</row>
    <row r="700" ht="17.25" customHeight="1">
      <c r="A700" s="112"/>
      <c r="B700" s="189"/>
      <c r="C700" s="190"/>
      <c r="D700" s="190"/>
      <c r="E700" s="190"/>
      <c r="F700" s="190"/>
      <c r="G700" s="191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</row>
    <row r="701" ht="17.25" customHeight="1">
      <c r="A701" s="112"/>
      <c r="B701" s="189"/>
      <c r="C701" s="190"/>
      <c r="D701" s="190"/>
      <c r="E701" s="190"/>
      <c r="F701" s="190"/>
      <c r="G701" s="191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</row>
    <row r="702" ht="17.25" customHeight="1">
      <c r="A702" s="112"/>
      <c r="B702" s="189"/>
      <c r="C702" s="190"/>
      <c r="D702" s="190"/>
      <c r="E702" s="190"/>
      <c r="F702" s="190"/>
      <c r="G702" s="191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</row>
    <row r="703" ht="17.25" customHeight="1">
      <c r="A703" s="112"/>
      <c r="B703" s="189"/>
      <c r="C703" s="190"/>
      <c r="D703" s="190"/>
      <c r="E703" s="190"/>
      <c r="F703" s="190"/>
      <c r="G703" s="191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</row>
    <row r="704" ht="17.25" customHeight="1">
      <c r="A704" s="112"/>
      <c r="B704" s="189"/>
      <c r="C704" s="190"/>
      <c r="D704" s="190"/>
      <c r="E704" s="190"/>
      <c r="F704" s="190"/>
      <c r="G704" s="191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</row>
    <row r="705" ht="17.25" customHeight="1">
      <c r="A705" s="112"/>
      <c r="B705" s="189"/>
      <c r="C705" s="190"/>
      <c r="D705" s="190"/>
      <c r="E705" s="190"/>
      <c r="F705" s="190"/>
      <c r="G705" s="191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</row>
    <row r="706" ht="17.25" customHeight="1">
      <c r="A706" s="112"/>
      <c r="B706" s="189"/>
      <c r="C706" s="190"/>
      <c r="D706" s="190"/>
      <c r="E706" s="190"/>
      <c r="F706" s="190"/>
      <c r="G706" s="191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</row>
    <row r="707" ht="17.25" customHeight="1">
      <c r="A707" s="112"/>
      <c r="B707" s="189"/>
      <c r="C707" s="190"/>
      <c r="D707" s="190"/>
      <c r="E707" s="190"/>
      <c r="F707" s="190"/>
      <c r="G707" s="191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</row>
    <row r="708" ht="17.25" customHeight="1">
      <c r="A708" s="112"/>
      <c r="B708" s="189"/>
      <c r="C708" s="190"/>
      <c r="D708" s="190"/>
      <c r="E708" s="190"/>
      <c r="F708" s="190"/>
      <c r="G708" s="191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</row>
    <row r="709" ht="17.25" customHeight="1">
      <c r="A709" s="112"/>
      <c r="B709" s="189"/>
      <c r="C709" s="190"/>
      <c r="D709" s="190"/>
      <c r="E709" s="190"/>
      <c r="F709" s="190"/>
      <c r="G709" s="191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</row>
    <row r="710" ht="17.25" customHeight="1">
      <c r="A710" s="112"/>
      <c r="B710" s="189"/>
      <c r="C710" s="190"/>
      <c r="D710" s="190"/>
      <c r="E710" s="190"/>
      <c r="F710" s="190"/>
      <c r="G710" s="191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</row>
    <row r="711" ht="17.25" customHeight="1">
      <c r="A711" s="112"/>
      <c r="B711" s="189"/>
      <c r="C711" s="190"/>
      <c r="D711" s="190"/>
      <c r="E711" s="190"/>
      <c r="F711" s="190"/>
      <c r="G711" s="191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</row>
    <row r="712" ht="17.25" customHeight="1">
      <c r="A712" s="112"/>
      <c r="B712" s="189"/>
      <c r="C712" s="190"/>
      <c r="D712" s="190"/>
      <c r="E712" s="190"/>
      <c r="F712" s="190"/>
      <c r="G712" s="191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</row>
    <row r="713" ht="17.25" customHeight="1">
      <c r="A713" s="112"/>
      <c r="B713" s="189"/>
      <c r="C713" s="190"/>
      <c r="D713" s="190"/>
      <c r="E713" s="190"/>
      <c r="F713" s="190"/>
      <c r="G713" s="191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</row>
    <row r="714" ht="17.25" customHeight="1">
      <c r="A714" s="112"/>
      <c r="B714" s="189"/>
      <c r="C714" s="190"/>
      <c r="D714" s="190"/>
      <c r="E714" s="190"/>
      <c r="F714" s="190"/>
      <c r="G714" s="191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</row>
    <row r="715" ht="17.25" customHeight="1">
      <c r="A715" s="112"/>
      <c r="B715" s="189"/>
      <c r="C715" s="190"/>
      <c r="D715" s="190"/>
      <c r="E715" s="190"/>
      <c r="F715" s="190"/>
      <c r="G715" s="191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</row>
    <row r="716" ht="17.25" customHeight="1">
      <c r="A716" s="112"/>
      <c r="B716" s="189"/>
      <c r="C716" s="190"/>
      <c r="D716" s="190"/>
      <c r="E716" s="190"/>
      <c r="F716" s="190"/>
      <c r="G716" s="191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</row>
    <row r="717" ht="17.25" customHeight="1">
      <c r="A717" s="112"/>
      <c r="B717" s="189"/>
      <c r="C717" s="190"/>
      <c r="D717" s="190"/>
      <c r="E717" s="190"/>
      <c r="F717" s="190"/>
      <c r="G717" s="191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</row>
    <row r="718" ht="17.25" customHeight="1">
      <c r="A718" s="112"/>
      <c r="B718" s="189"/>
      <c r="C718" s="190"/>
      <c r="D718" s="190"/>
      <c r="E718" s="190"/>
      <c r="F718" s="190"/>
      <c r="G718" s="191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</row>
    <row r="719" ht="17.25" customHeight="1">
      <c r="A719" s="112"/>
      <c r="B719" s="189"/>
      <c r="C719" s="190"/>
      <c r="D719" s="190"/>
      <c r="E719" s="190"/>
      <c r="F719" s="190"/>
      <c r="G719" s="191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</row>
    <row r="720" ht="17.25" customHeight="1">
      <c r="A720" s="112"/>
      <c r="B720" s="189"/>
      <c r="C720" s="190"/>
      <c r="D720" s="190"/>
      <c r="E720" s="190"/>
      <c r="F720" s="190"/>
      <c r="G720" s="191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</row>
    <row r="721" ht="17.25" customHeight="1">
      <c r="A721" s="112"/>
      <c r="B721" s="189"/>
      <c r="C721" s="190"/>
      <c r="D721" s="190"/>
      <c r="E721" s="190"/>
      <c r="F721" s="190"/>
      <c r="G721" s="191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</row>
    <row r="722" ht="17.25" customHeight="1">
      <c r="A722" s="112"/>
      <c r="B722" s="189"/>
      <c r="C722" s="190"/>
      <c r="D722" s="190"/>
      <c r="E722" s="190"/>
      <c r="F722" s="190"/>
      <c r="G722" s="191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</row>
    <row r="723" ht="17.25" customHeight="1">
      <c r="A723" s="112"/>
      <c r="B723" s="189"/>
      <c r="C723" s="190"/>
      <c r="D723" s="190"/>
      <c r="E723" s="190"/>
      <c r="F723" s="190"/>
      <c r="G723" s="191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</row>
    <row r="724" ht="17.25" customHeight="1">
      <c r="A724" s="112"/>
      <c r="B724" s="189"/>
      <c r="C724" s="190"/>
      <c r="D724" s="190"/>
      <c r="E724" s="190"/>
      <c r="F724" s="190"/>
      <c r="G724" s="191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</row>
    <row r="725" ht="17.25" customHeight="1">
      <c r="A725" s="112"/>
      <c r="B725" s="189"/>
      <c r="C725" s="190"/>
      <c r="D725" s="190"/>
      <c r="E725" s="190"/>
      <c r="F725" s="190"/>
      <c r="G725" s="191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</row>
    <row r="726" ht="17.25" customHeight="1">
      <c r="A726" s="112"/>
      <c r="B726" s="189"/>
      <c r="C726" s="190"/>
      <c r="D726" s="190"/>
      <c r="E726" s="190"/>
      <c r="F726" s="190"/>
      <c r="G726" s="191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</row>
    <row r="727" ht="17.25" customHeight="1">
      <c r="A727" s="112"/>
      <c r="B727" s="189"/>
      <c r="C727" s="190"/>
      <c r="D727" s="190"/>
      <c r="E727" s="190"/>
      <c r="F727" s="190"/>
      <c r="G727" s="191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</row>
    <row r="728" ht="17.25" customHeight="1">
      <c r="A728" s="112"/>
      <c r="B728" s="189"/>
      <c r="C728" s="190"/>
      <c r="D728" s="190"/>
      <c r="E728" s="190"/>
      <c r="F728" s="190"/>
      <c r="G728" s="191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</row>
    <row r="729" ht="17.25" customHeight="1">
      <c r="A729" s="112"/>
      <c r="B729" s="189"/>
      <c r="C729" s="190"/>
      <c r="D729" s="190"/>
      <c r="E729" s="190"/>
      <c r="F729" s="190"/>
      <c r="G729" s="191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</row>
    <row r="730" ht="17.25" customHeight="1">
      <c r="A730" s="112"/>
      <c r="B730" s="189"/>
      <c r="C730" s="190"/>
      <c r="D730" s="190"/>
      <c r="E730" s="190"/>
      <c r="F730" s="190"/>
      <c r="G730" s="191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</row>
    <row r="731" ht="17.25" customHeight="1">
      <c r="A731" s="112"/>
      <c r="B731" s="189"/>
      <c r="C731" s="190"/>
      <c r="D731" s="190"/>
      <c r="E731" s="190"/>
      <c r="F731" s="190"/>
      <c r="G731" s="191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</row>
    <row r="732" ht="17.25" customHeight="1">
      <c r="A732" s="112"/>
      <c r="B732" s="189"/>
      <c r="C732" s="190"/>
      <c r="D732" s="190"/>
      <c r="E732" s="190"/>
      <c r="F732" s="190"/>
      <c r="G732" s="191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</row>
    <row r="733" ht="17.25" customHeight="1">
      <c r="A733" s="112"/>
      <c r="B733" s="189"/>
      <c r="C733" s="190"/>
      <c r="D733" s="190"/>
      <c r="E733" s="190"/>
      <c r="F733" s="190"/>
      <c r="G733" s="191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</row>
    <row r="734" ht="17.25" customHeight="1">
      <c r="A734" s="112"/>
      <c r="B734" s="189"/>
      <c r="C734" s="190"/>
      <c r="D734" s="190"/>
      <c r="E734" s="190"/>
      <c r="F734" s="190"/>
      <c r="G734" s="191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</row>
    <row r="735" ht="17.25" customHeight="1">
      <c r="A735" s="112"/>
      <c r="B735" s="189"/>
      <c r="C735" s="190"/>
      <c r="D735" s="190"/>
      <c r="E735" s="190"/>
      <c r="F735" s="190"/>
      <c r="G735" s="191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</row>
    <row r="736" ht="17.25" customHeight="1">
      <c r="A736" s="112"/>
      <c r="B736" s="189"/>
      <c r="C736" s="190"/>
      <c r="D736" s="190"/>
      <c r="E736" s="190"/>
      <c r="F736" s="190"/>
      <c r="G736" s="191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</row>
    <row r="737" ht="17.25" customHeight="1">
      <c r="A737" s="112"/>
      <c r="B737" s="189"/>
      <c r="C737" s="190"/>
      <c r="D737" s="190"/>
      <c r="E737" s="190"/>
      <c r="F737" s="190"/>
      <c r="G737" s="191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</row>
    <row r="738" ht="17.25" customHeight="1">
      <c r="A738" s="112"/>
      <c r="B738" s="189"/>
      <c r="C738" s="190"/>
      <c r="D738" s="190"/>
      <c r="E738" s="190"/>
      <c r="F738" s="190"/>
      <c r="G738" s="191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</row>
    <row r="739" ht="17.25" customHeight="1">
      <c r="A739" s="112"/>
      <c r="B739" s="189"/>
      <c r="C739" s="190"/>
      <c r="D739" s="190"/>
      <c r="E739" s="190"/>
      <c r="F739" s="190"/>
      <c r="G739" s="191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</row>
    <row r="740" ht="17.25" customHeight="1">
      <c r="A740" s="112"/>
      <c r="B740" s="189"/>
      <c r="C740" s="190"/>
      <c r="D740" s="190"/>
      <c r="E740" s="190"/>
      <c r="F740" s="190"/>
      <c r="G740" s="191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</row>
    <row r="741" ht="17.25" customHeight="1">
      <c r="A741" s="112"/>
      <c r="B741" s="189"/>
      <c r="C741" s="190"/>
      <c r="D741" s="190"/>
      <c r="E741" s="190"/>
      <c r="F741" s="190"/>
      <c r="G741" s="191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</row>
    <row r="742" ht="17.25" customHeight="1">
      <c r="A742" s="112"/>
      <c r="B742" s="189"/>
      <c r="C742" s="190"/>
      <c r="D742" s="190"/>
      <c r="E742" s="190"/>
      <c r="F742" s="190"/>
      <c r="G742" s="191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</row>
    <row r="743" ht="17.25" customHeight="1">
      <c r="A743" s="112"/>
      <c r="B743" s="189"/>
      <c r="C743" s="190"/>
      <c r="D743" s="190"/>
      <c r="E743" s="190"/>
      <c r="F743" s="190"/>
      <c r="G743" s="191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</row>
    <row r="744" ht="17.25" customHeight="1">
      <c r="A744" s="112"/>
      <c r="B744" s="189"/>
      <c r="C744" s="190"/>
      <c r="D744" s="190"/>
      <c r="E744" s="190"/>
      <c r="F744" s="190"/>
      <c r="G744" s="191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</row>
    <row r="745" ht="17.25" customHeight="1">
      <c r="A745" s="112"/>
      <c r="B745" s="189"/>
      <c r="C745" s="190"/>
      <c r="D745" s="190"/>
      <c r="E745" s="190"/>
      <c r="F745" s="190"/>
      <c r="G745" s="191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</row>
    <row r="746" ht="17.25" customHeight="1">
      <c r="A746" s="112"/>
      <c r="B746" s="189"/>
      <c r="C746" s="190"/>
      <c r="D746" s="190"/>
      <c r="E746" s="190"/>
      <c r="F746" s="190"/>
      <c r="G746" s="191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</row>
    <row r="747" ht="17.25" customHeight="1">
      <c r="A747" s="112"/>
      <c r="B747" s="189"/>
      <c r="C747" s="190"/>
      <c r="D747" s="190"/>
      <c r="E747" s="190"/>
      <c r="F747" s="190"/>
      <c r="G747" s="191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</row>
    <row r="748" ht="17.25" customHeight="1">
      <c r="A748" s="112"/>
      <c r="B748" s="189"/>
      <c r="C748" s="190"/>
      <c r="D748" s="190"/>
      <c r="E748" s="190"/>
      <c r="F748" s="190"/>
      <c r="G748" s="191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</row>
    <row r="749" ht="17.25" customHeight="1">
      <c r="A749" s="112"/>
      <c r="B749" s="189"/>
      <c r="C749" s="190"/>
      <c r="D749" s="190"/>
      <c r="E749" s="190"/>
      <c r="F749" s="190"/>
      <c r="G749" s="191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</row>
    <row r="750" ht="17.25" customHeight="1">
      <c r="A750" s="112"/>
      <c r="B750" s="189"/>
      <c r="C750" s="190"/>
      <c r="D750" s="190"/>
      <c r="E750" s="190"/>
      <c r="F750" s="190"/>
      <c r="G750" s="191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</row>
    <row r="751" ht="17.25" customHeight="1">
      <c r="A751" s="112"/>
      <c r="B751" s="189"/>
      <c r="C751" s="190"/>
      <c r="D751" s="190"/>
      <c r="E751" s="190"/>
      <c r="F751" s="190"/>
      <c r="G751" s="191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</row>
    <row r="752" ht="17.25" customHeight="1">
      <c r="A752" s="112"/>
      <c r="B752" s="189"/>
      <c r="C752" s="190"/>
      <c r="D752" s="190"/>
      <c r="E752" s="190"/>
      <c r="F752" s="190"/>
      <c r="G752" s="191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</row>
    <row r="753" ht="17.25" customHeight="1">
      <c r="A753" s="112"/>
      <c r="B753" s="189"/>
      <c r="C753" s="190"/>
      <c r="D753" s="190"/>
      <c r="E753" s="190"/>
      <c r="F753" s="190"/>
      <c r="G753" s="191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</row>
    <row r="754" ht="17.25" customHeight="1">
      <c r="A754" s="112"/>
      <c r="B754" s="189"/>
      <c r="C754" s="190"/>
      <c r="D754" s="190"/>
      <c r="E754" s="190"/>
      <c r="F754" s="190"/>
      <c r="G754" s="191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</row>
    <row r="755" ht="17.25" customHeight="1">
      <c r="A755" s="112"/>
      <c r="B755" s="189"/>
      <c r="C755" s="190"/>
      <c r="D755" s="190"/>
      <c r="E755" s="190"/>
      <c r="F755" s="190"/>
      <c r="G755" s="191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</row>
    <row r="756" ht="17.25" customHeight="1">
      <c r="A756" s="112"/>
      <c r="B756" s="189"/>
      <c r="C756" s="190"/>
      <c r="D756" s="190"/>
      <c r="E756" s="190"/>
      <c r="F756" s="190"/>
      <c r="G756" s="191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</row>
    <row r="757" ht="17.25" customHeight="1">
      <c r="A757" s="112"/>
      <c r="B757" s="189"/>
      <c r="C757" s="190"/>
      <c r="D757" s="190"/>
      <c r="E757" s="190"/>
      <c r="F757" s="190"/>
      <c r="G757" s="191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</row>
    <row r="758" ht="17.25" customHeight="1">
      <c r="A758" s="112"/>
      <c r="B758" s="189"/>
      <c r="C758" s="190"/>
      <c r="D758" s="190"/>
      <c r="E758" s="190"/>
      <c r="F758" s="190"/>
      <c r="G758" s="191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</row>
    <row r="759" ht="17.25" customHeight="1">
      <c r="A759" s="112"/>
      <c r="B759" s="189"/>
      <c r="C759" s="190"/>
      <c r="D759" s="190"/>
      <c r="E759" s="190"/>
      <c r="F759" s="190"/>
      <c r="G759" s="191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</row>
    <row r="760" ht="17.25" customHeight="1">
      <c r="A760" s="112"/>
      <c r="B760" s="189"/>
      <c r="C760" s="190"/>
      <c r="D760" s="190"/>
      <c r="E760" s="190"/>
      <c r="F760" s="190"/>
      <c r="G760" s="191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</row>
    <row r="761" ht="17.25" customHeight="1">
      <c r="A761" s="112"/>
      <c r="B761" s="189"/>
      <c r="C761" s="190"/>
      <c r="D761" s="190"/>
      <c r="E761" s="190"/>
      <c r="F761" s="190"/>
      <c r="G761" s="191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</row>
    <row r="762" ht="17.25" customHeight="1">
      <c r="A762" s="112"/>
      <c r="B762" s="189"/>
      <c r="C762" s="190"/>
      <c r="D762" s="190"/>
      <c r="E762" s="190"/>
      <c r="F762" s="190"/>
      <c r="G762" s="191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</row>
    <row r="763" ht="17.25" customHeight="1">
      <c r="A763" s="112"/>
      <c r="B763" s="189"/>
      <c r="C763" s="190"/>
      <c r="D763" s="190"/>
      <c r="E763" s="190"/>
      <c r="F763" s="190"/>
      <c r="G763" s="191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</row>
    <row r="764" ht="17.25" customHeight="1">
      <c r="A764" s="112"/>
      <c r="B764" s="189"/>
      <c r="C764" s="190"/>
      <c r="D764" s="190"/>
      <c r="E764" s="190"/>
      <c r="F764" s="190"/>
      <c r="G764" s="191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</row>
    <row r="765" ht="17.25" customHeight="1">
      <c r="A765" s="112"/>
      <c r="B765" s="189"/>
      <c r="C765" s="190"/>
      <c r="D765" s="190"/>
      <c r="E765" s="190"/>
      <c r="F765" s="190"/>
      <c r="G765" s="191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</row>
    <row r="766" ht="17.25" customHeight="1">
      <c r="A766" s="112"/>
      <c r="B766" s="189"/>
      <c r="C766" s="190"/>
      <c r="D766" s="190"/>
      <c r="E766" s="190"/>
      <c r="F766" s="190"/>
      <c r="G766" s="191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</row>
    <row r="767" ht="17.25" customHeight="1">
      <c r="A767" s="112"/>
      <c r="B767" s="189"/>
      <c r="C767" s="190"/>
      <c r="D767" s="190"/>
      <c r="E767" s="190"/>
      <c r="F767" s="190"/>
      <c r="G767" s="191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</row>
    <row r="768" ht="17.25" customHeight="1">
      <c r="A768" s="112"/>
      <c r="B768" s="189"/>
      <c r="C768" s="190"/>
      <c r="D768" s="190"/>
      <c r="E768" s="190"/>
      <c r="F768" s="190"/>
      <c r="G768" s="191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</row>
    <row r="769" ht="17.25" customHeight="1">
      <c r="A769" s="112"/>
      <c r="B769" s="189"/>
      <c r="C769" s="190"/>
      <c r="D769" s="190"/>
      <c r="E769" s="190"/>
      <c r="F769" s="190"/>
      <c r="G769" s="191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</row>
    <row r="770" ht="17.25" customHeight="1">
      <c r="A770" s="112"/>
      <c r="B770" s="189"/>
      <c r="C770" s="190"/>
      <c r="D770" s="190"/>
      <c r="E770" s="190"/>
      <c r="F770" s="190"/>
      <c r="G770" s="191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</row>
    <row r="771" ht="17.25" customHeight="1">
      <c r="A771" s="112"/>
      <c r="B771" s="189"/>
      <c r="C771" s="190"/>
      <c r="D771" s="190"/>
      <c r="E771" s="190"/>
      <c r="F771" s="190"/>
      <c r="G771" s="191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</row>
    <row r="772" ht="17.25" customHeight="1">
      <c r="A772" s="112"/>
      <c r="B772" s="189"/>
      <c r="C772" s="190"/>
      <c r="D772" s="190"/>
      <c r="E772" s="190"/>
      <c r="F772" s="190"/>
      <c r="G772" s="191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</row>
    <row r="773" ht="17.25" customHeight="1">
      <c r="A773" s="112"/>
      <c r="B773" s="189"/>
      <c r="C773" s="190"/>
      <c r="D773" s="190"/>
      <c r="E773" s="190"/>
      <c r="F773" s="190"/>
      <c r="G773" s="191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</row>
    <row r="774" ht="17.25" customHeight="1">
      <c r="A774" s="112"/>
      <c r="B774" s="189"/>
      <c r="C774" s="190"/>
      <c r="D774" s="190"/>
      <c r="E774" s="190"/>
      <c r="F774" s="190"/>
      <c r="G774" s="191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</row>
    <row r="775" ht="17.25" customHeight="1">
      <c r="A775" s="112"/>
      <c r="B775" s="189"/>
      <c r="C775" s="190"/>
      <c r="D775" s="190"/>
      <c r="E775" s="190"/>
      <c r="F775" s="190"/>
      <c r="G775" s="191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</row>
    <row r="776" ht="17.25" customHeight="1">
      <c r="A776" s="112"/>
      <c r="B776" s="189"/>
      <c r="C776" s="190"/>
      <c r="D776" s="190"/>
      <c r="E776" s="190"/>
      <c r="F776" s="190"/>
      <c r="G776" s="191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</row>
    <row r="777" ht="17.25" customHeight="1">
      <c r="A777" s="112"/>
      <c r="B777" s="189"/>
      <c r="C777" s="190"/>
      <c r="D777" s="190"/>
      <c r="E777" s="190"/>
      <c r="F777" s="190"/>
      <c r="G777" s="191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</row>
    <row r="778" ht="17.25" customHeight="1">
      <c r="A778" s="112"/>
      <c r="B778" s="189"/>
      <c r="C778" s="190"/>
      <c r="D778" s="190"/>
      <c r="E778" s="190"/>
      <c r="F778" s="190"/>
      <c r="G778" s="191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</row>
    <row r="779" ht="17.25" customHeight="1">
      <c r="A779" s="112"/>
      <c r="B779" s="189"/>
      <c r="C779" s="190"/>
      <c r="D779" s="190"/>
      <c r="E779" s="190"/>
      <c r="F779" s="190"/>
      <c r="G779" s="191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</row>
    <row r="780" ht="17.25" customHeight="1">
      <c r="A780" s="112"/>
      <c r="B780" s="189"/>
      <c r="C780" s="190"/>
      <c r="D780" s="190"/>
      <c r="E780" s="190"/>
      <c r="F780" s="190"/>
      <c r="G780" s="191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</row>
    <row r="781" ht="17.25" customHeight="1">
      <c r="A781" s="112"/>
      <c r="B781" s="189"/>
      <c r="C781" s="190"/>
      <c r="D781" s="190"/>
      <c r="E781" s="190"/>
      <c r="F781" s="190"/>
      <c r="G781" s="191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</row>
    <row r="782" ht="17.25" customHeight="1">
      <c r="A782" s="112"/>
      <c r="B782" s="189"/>
      <c r="C782" s="190"/>
      <c r="D782" s="190"/>
      <c r="E782" s="190"/>
      <c r="F782" s="190"/>
      <c r="G782" s="191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</row>
    <row r="783" ht="17.25" customHeight="1">
      <c r="A783" s="112"/>
      <c r="B783" s="189"/>
      <c r="C783" s="190"/>
      <c r="D783" s="190"/>
      <c r="E783" s="190"/>
      <c r="F783" s="190"/>
      <c r="G783" s="191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</row>
    <row r="784" ht="17.25" customHeight="1">
      <c r="A784" s="112"/>
      <c r="B784" s="189"/>
      <c r="C784" s="190"/>
      <c r="D784" s="190"/>
      <c r="E784" s="190"/>
      <c r="F784" s="190"/>
      <c r="G784" s="191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</row>
    <row r="785" ht="17.25" customHeight="1">
      <c r="A785" s="112"/>
      <c r="B785" s="189"/>
      <c r="C785" s="190"/>
      <c r="D785" s="190"/>
      <c r="E785" s="190"/>
      <c r="F785" s="190"/>
      <c r="G785" s="191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</row>
    <row r="786" ht="17.25" customHeight="1">
      <c r="A786" s="112"/>
      <c r="B786" s="189"/>
      <c r="C786" s="190"/>
      <c r="D786" s="190"/>
      <c r="E786" s="190"/>
      <c r="F786" s="190"/>
      <c r="G786" s="191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</row>
    <row r="787" ht="17.25" customHeight="1">
      <c r="A787" s="112"/>
      <c r="B787" s="189"/>
      <c r="C787" s="190"/>
      <c r="D787" s="190"/>
      <c r="E787" s="190"/>
      <c r="F787" s="190"/>
      <c r="G787" s="191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</row>
    <row r="788" ht="17.25" customHeight="1">
      <c r="A788" s="112"/>
      <c r="B788" s="189"/>
      <c r="C788" s="190"/>
      <c r="D788" s="190"/>
      <c r="E788" s="190"/>
      <c r="F788" s="190"/>
      <c r="G788" s="191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</row>
    <row r="789" ht="17.25" customHeight="1">
      <c r="A789" s="112"/>
      <c r="B789" s="189"/>
      <c r="C789" s="190"/>
      <c r="D789" s="190"/>
      <c r="E789" s="190"/>
      <c r="F789" s="190"/>
      <c r="G789" s="191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</row>
    <row r="790" ht="17.25" customHeight="1">
      <c r="A790" s="112"/>
      <c r="B790" s="189"/>
      <c r="C790" s="190"/>
      <c r="D790" s="190"/>
      <c r="E790" s="190"/>
      <c r="F790" s="190"/>
      <c r="G790" s="191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</row>
    <row r="791" ht="17.25" customHeight="1">
      <c r="A791" s="112"/>
      <c r="B791" s="189"/>
      <c r="C791" s="190"/>
      <c r="D791" s="190"/>
      <c r="E791" s="190"/>
      <c r="F791" s="190"/>
      <c r="G791" s="191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</row>
    <row r="792" ht="17.25" customHeight="1">
      <c r="A792" s="112"/>
      <c r="B792" s="189"/>
      <c r="C792" s="190"/>
      <c r="D792" s="190"/>
      <c r="E792" s="190"/>
      <c r="F792" s="190"/>
      <c r="G792" s="191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</row>
    <row r="793" ht="17.25" customHeight="1">
      <c r="A793" s="112"/>
      <c r="B793" s="189"/>
      <c r="C793" s="190"/>
      <c r="D793" s="190"/>
      <c r="E793" s="190"/>
      <c r="F793" s="190"/>
      <c r="G793" s="191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</row>
    <row r="794" ht="17.25" customHeight="1">
      <c r="A794" s="112"/>
      <c r="B794" s="189"/>
      <c r="C794" s="190"/>
      <c r="D794" s="190"/>
      <c r="E794" s="190"/>
      <c r="F794" s="190"/>
      <c r="G794" s="191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</row>
    <row r="795" ht="17.25" customHeight="1">
      <c r="A795" s="112"/>
      <c r="B795" s="189"/>
      <c r="C795" s="190"/>
      <c r="D795" s="190"/>
      <c r="E795" s="190"/>
      <c r="F795" s="190"/>
      <c r="G795" s="191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</row>
    <row r="796" ht="17.25" customHeight="1">
      <c r="A796" s="112"/>
      <c r="B796" s="189"/>
      <c r="C796" s="190"/>
      <c r="D796" s="190"/>
      <c r="E796" s="190"/>
      <c r="F796" s="190"/>
      <c r="G796" s="191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</row>
    <row r="797" ht="17.25" customHeight="1">
      <c r="A797" s="112"/>
      <c r="B797" s="189"/>
      <c r="C797" s="190"/>
      <c r="D797" s="190"/>
      <c r="E797" s="190"/>
      <c r="F797" s="190"/>
      <c r="G797" s="191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</row>
    <row r="798" ht="17.25" customHeight="1">
      <c r="A798" s="112"/>
      <c r="B798" s="189"/>
      <c r="C798" s="190"/>
      <c r="D798" s="190"/>
      <c r="E798" s="190"/>
      <c r="F798" s="190"/>
      <c r="G798" s="191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</row>
    <row r="799" ht="17.25" customHeight="1">
      <c r="A799" s="112"/>
      <c r="B799" s="189"/>
      <c r="C799" s="190"/>
      <c r="D799" s="190"/>
      <c r="E799" s="190"/>
      <c r="F799" s="190"/>
      <c r="G799" s="191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</row>
    <row r="800" ht="17.25" customHeight="1">
      <c r="A800" s="112"/>
      <c r="B800" s="189"/>
      <c r="C800" s="190"/>
      <c r="D800" s="190"/>
      <c r="E800" s="190"/>
      <c r="F800" s="190"/>
      <c r="G800" s="191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</row>
    <row r="801" ht="17.25" customHeight="1">
      <c r="A801" s="112"/>
      <c r="B801" s="189"/>
      <c r="C801" s="190"/>
      <c r="D801" s="190"/>
      <c r="E801" s="190"/>
      <c r="F801" s="190"/>
      <c r="G801" s="191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</row>
    <row r="802" ht="17.25" customHeight="1">
      <c r="A802" s="112"/>
      <c r="B802" s="189"/>
      <c r="C802" s="190"/>
      <c r="D802" s="190"/>
      <c r="E802" s="190"/>
      <c r="F802" s="190"/>
      <c r="G802" s="191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</row>
    <row r="803" ht="17.25" customHeight="1">
      <c r="A803" s="112"/>
      <c r="B803" s="189"/>
      <c r="C803" s="190"/>
      <c r="D803" s="190"/>
      <c r="E803" s="190"/>
      <c r="F803" s="190"/>
      <c r="G803" s="191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</row>
    <row r="804" ht="17.25" customHeight="1">
      <c r="A804" s="112"/>
      <c r="B804" s="189"/>
      <c r="C804" s="190"/>
      <c r="D804" s="190"/>
      <c r="E804" s="190"/>
      <c r="F804" s="190"/>
      <c r="G804" s="191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</row>
    <row r="805" ht="17.25" customHeight="1">
      <c r="A805" s="112"/>
      <c r="B805" s="189"/>
      <c r="C805" s="190"/>
      <c r="D805" s="190"/>
      <c r="E805" s="190"/>
      <c r="F805" s="190"/>
      <c r="G805" s="191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</row>
    <row r="806" ht="17.25" customHeight="1">
      <c r="A806" s="112"/>
      <c r="B806" s="189"/>
      <c r="C806" s="190"/>
      <c r="D806" s="190"/>
      <c r="E806" s="190"/>
      <c r="F806" s="190"/>
      <c r="G806" s="191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</row>
    <row r="807" ht="17.25" customHeight="1">
      <c r="A807" s="112"/>
      <c r="B807" s="189"/>
      <c r="C807" s="190"/>
      <c r="D807" s="190"/>
      <c r="E807" s="190"/>
      <c r="F807" s="190"/>
      <c r="G807" s="191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</row>
    <row r="808" ht="17.25" customHeight="1">
      <c r="A808" s="112"/>
      <c r="B808" s="189"/>
      <c r="C808" s="190"/>
      <c r="D808" s="190"/>
      <c r="E808" s="190"/>
      <c r="F808" s="190"/>
      <c r="G808" s="191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</row>
    <row r="809" ht="17.25" customHeight="1">
      <c r="A809" s="112"/>
      <c r="B809" s="189"/>
      <c r="C809" s="190"/>
      <c r="D809" s="190"/>
      <c r="E809" s="190"/>
      <c r="F809" s="190"/>
      <c r="G809" s="191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</row>
    <row r="810" ht="17.25" customHeight="1">
      <c r="A810" s="112"/>
      <c r="B810" s="189"/>
      <c r="C810" s="190"/>
      <c r="D810" s="190"/>
      <c r="E810" s="190"/>
      <c r="F810" s="190"/>
      <c r="G810" s="191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</row>
    <row r="811" ht="17.25" customHeight="1">
      <c r="A811" s="112"/>
      <c r="B811" s="189"/>
      <c r="C811" s="190"/>
      <c r="D811" s="190"/>
      <c r="E811" s="190"/>
      <c r="F811" s="190"/>
      <c r="G811" s="191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</row>
    <row r="812" ht="17.25" customHeight="1">
      <c r="A812" s="112"/>
      <c r="B812" s="189"/>
      <c r="C812" s="190"/>
      <c r="D812" s="190"/>
      <c r="E812" s="190"/>
      <c r="F812" s="190"/>
      <c r="G812" s="191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</row>
    <row r="813" ht="17.25" customHeight="1">
      <c r="A813" s="112"/>
      <c r="B813" s="189"/>
      <c r="C813" s="190"/>
      <c r="D813" s="190"/>
      <c r="E813" s="190"/>
      <c r="F813" s="190"/>
      <c r="G813" s="191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</row>
    <row r="814" ht="17.25" customHeight="1">
      <c r="A814" s="112"/>
      <c r="B814" s="189"/>
      <c r="C814" s="190"/>
      <c r="D814" s="190"/>
      <c r="E814" s="190"/>
      <c r="F814" s="190"/>
      <c r="G814" s="191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</row>
    <row r="815" ht="17.25" customHeight="1">
      <c r="A815" s="112"/>
      <c r="B815" s="189"/>
      <c r="C815" s="190"/>
      <c r="D815" s="190"/>
      <c r="E815" s="190"/>
      <c r="F815" s="190"/>
      <c r="G815" s="191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</row>
    <row r="816" ht="17.25" customHeight="1">
      <c r="A816" s="112"/>
      <c r="B816" s="189"/>
      <c r="C816" s="190"/>
      <c r="D816" s="190"/>
      <c r="E816" s="190"/>
      <c r="F816" s="190"/>
      <c r="G816" s="191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</row>
    <row r="817" ht="17.25" customHeight="1">
      <c r="A817" s="112"/>
      <c r="B817" s="189"/>
      <c r="C817" s="190"/>
      <c r="D817" s="190"/>
      <c r="E817" s="190"/>
      <c r="F817" s="190"/>
      <c r="G817" s="191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</row>
    <row r="818" ht="17.25" customHeight="1">
      <c r="A818" s="112"/>
      <c r="B818" s="189"/>
      <c r="C818" s="190"/>
      <c r="D818" s="190"/>
      <c r="E818" s="190"/>
      <c r="F818" s="190"/>
      <c r="G818" s="191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</row>
    <row r="819" ht="17.25" customHeight="1">
      <c r="A819" s="112"/>
      <c r="B819" s="189"/>
      <c r="C819" s="190"/>
      <c r="D819" s="190"/>
      <c r="E819" s="190"/>
      <c r="F819" s="190"/>
      <c r="G819" s="191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</row>
    <row r="820" ht="17.25" customHeight="1">
      <c r="A820" s="112"/>
      <c r="B820" s="189"/>
      <c r="C820" s="190"/>
      <c r="D820" s="190"/>
      <c r="E820" s="190"/>
      <c r="F820" s="190"/>
      <c r="G820" s="191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</row>
    <row r="821" ht="17.25" customHeight="1">
      <c r="A821" s="112"/>
      <c r="B821" s="189"/>
      <c r="C821" s="190"/>
      <c r="D821" s="190"/>
      <c r="E821" s="190"/>
      <c r="F821" s="190"/>
      <c r="G821" s="191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</row>
    <row r="822" ht="17.25" customHeight="1">
      <c r="A822" s="112"/>
      <c r="B822" s="189"/>
      <c r="C822" s="190"/>
      <c r="D822" s="190"/>
      <c r="E822" s="190"/>
      <c r="F822" s="190"/>
      <c r="G822" s="191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</row>
    <row r="823" ht="17.25" customHeight="1">
      <c r="A823" s="112"/>
      <c r="B823" s="189"/>
      <c r="C823" s="190"/>
      <c r="D823" s="190"/>
      <c r="E823" s="190"/>
      <c r="F823" s="190"/>
      <c r="G823" s="191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</row>
    <row r="824" ht="17.25" customHeight="1">
      <c r="A824" s="112"/>
      <c r="B824" s="189"/>
      <c r="C824" s="190"/>
      <c r="D824" s="190"/>
      <c r="E824" s="190"/>
      <c r="F824" s="190"/>
      <c r="G824" s="191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</row>
    <row r="825" ht="17.25" customHeight="1">
      <c r="A825" s="112"/>
      <c r="B825" s="189"/>
      <c r="C825" s="190"/>
      <c r="D825" s="190"/>
      <c r="E825" s="190"/>
      <c r="F825" s="190"/>
      <c r="G825" s="191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</row>
    <row r="826" ht="17.25" customHeight="1">
      <c r="A826" s="112"/>
      <c r="B826" s="189"/>
      <c r="C826" s="190"/>
      <c r="D826" s="190"/>
      <c r="E826" s="190"/>
      <c r="F826" s="190"/>
      <c r="G826" s="191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</row>
    <row r="827" ht="17.25" customHeight="1">
      <c r="A827" s="112"/>
      <c r="B827" s="189"/>
      <c r="C827" s="190"/>
      <c r="D827" s="190"/>
      <c r="E827" s="190"/>
      <c r="F827" s="190"/>
      <c r="G827" s="191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</row>
    <row r="828" ht="17.25" customHeight="1">
      <c r="A828" s="112"/>
      <c r="B828" s="189"/>
      <c r="C828" s="190"/>
      <c r="D828" s="190"/>
      <c r="E828" s="190"/>
      <c r="F828" s="190"/>
      <c r="G828" s="191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</row>
    <row r="829" ht="17.25" customHeight="1">
      <c r="A829" s="112"/>
      <c r="B829" s="189"/>
      <c r="C829" s="190"/>
      <c r="D829" s="190"/>
      <c r="E829" s="190"/>
      <c r="F829" s="190"/>
      <c r="G829" s="191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</row>
    <row r="830" ht="17.25" customHeight="1">
      <c r="A830" s="112"/>
      <c r="B830" s="189"/>
      <c r="C830" s="190"/>
      <c r="D830" s="190"/>
      <c r="E830" s="190"/>
      <c r="F830" s="190"/>
      <c r="G830" s="191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</row>
    <row r="831" ht="17.25" customHeight="1">
      <c r="A831" s="112"/>
      <c r="B831" s="189"/>
      <c r="C831" s="190"/>
      <c r="D831" s="190"/>
      <c r="E831" s="190"/>
      <c r="F831" s="190"/>
      <c r="G831" s="191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</row>
    <row r="832" ht="17.25" customHeight="1">
      <c r="A832" s="112"/>
      <c r="B832" s="189"/>
      <c r="C832" s="190"/>
      <c r="D832" s="190"/>
      <c r="E832" s="190"/>
      <c r="F832" s="190"/>
      <c r="G832" s="191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</row>
    <row r="833" ht="17.25" customHeight="1">
      <c r="A833" s="112"/>
      <c r="B833" s="189"/>
      <c r="C833" s="190"/>
      <c r="D833" s="190"/>
      <c r="E833" s="190"/>
      <c r="F833" s="190"/>
      <c r="G833" s="191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</row>
    <row r="834" ht="17.25" customHeight="1">
      <c r="A834" s="112"/>
      <c r="B834" s="189"/>
      <c r="C834" s="190"/>
      <c r="D834" s="190"/>
      <c r="E834" s="190"/>
      <c r="F834" s="190"/>
      <c r="G834" s="191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</row>
    <row r="835" ht="17.25" customHeight="1">
      <c r="A835" s="112"/>
      <c r="B835" s="189"/>
      <c r="C835" s="190"/>
      <c r="D835" s="190"/>
      <c r="E835" s="190"/>
      <c r="F835" s="190"/>
      <c r="G835" s="191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</row>
    <row r="836" ht="17.25" customHeight="1">
      <c r="A836" s="112"/>
      <c r="B836" s="189"/>
      <c r="C836" s="190"/>
      <c r="D836" s="190"/>
      <c r="E836" s="190"/>
      <c r="F836" s="190"/>
      <c r="G836" s="191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</row>
    <row r="837" ht="17.25" customHeight="1">
      <c r="A837" s="112"/>
      <c r="B837" s="189"/>
      <c r="C837" s="190"/>
      <c r="D837" s="190"/>
      <c r="E837" s="190"/>
      <c r="F837" s="190"/>
      <c r="G837" s="191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</row>
    <row r="838" ht="17.25" customHeight="1">
      <c r="A838" s="112"/>
      <c r="B838" s="189"/>
      <c r="C838" s="190"/>
      <c r="D838" s="190"/>
      <c r="E838" s="190"/>
      <c r="F838" s="190"/>
      <c r="G838" s="191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</row>
    <row r="839" ht="17.25" customHeight="1">
      <c r="A839" s="112"/>
      <c r="B839" s="189"/>
      <c r="C839" s="190"/>
      <c r="D839" s="190"/>
      <c r="E839" s="190"/>
      <c r="F839" s="190"/>
      <c r="G839" s="191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</row>
    <row r="840" ht="17.25" customHeight="1">
      <c r="A840" s="112"/>
      <c r="B840" s="189"/>
      <c r="C840" s="190"/>
      <c r="D840" s="190"/>
      <c r="E840" s="190"/>
      <c r="F840" s="190"/>
      <c r="G840" s="191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</row>
    <row r="841" ht="17.25" customHeight="1">
      <c r="A841" s="112"/>
      <c r="B841" s="189"/>
      <c r="C841" s="190"/>
      <c r="D841" s="190"/>
      <c r="E841" s="190"/>
      <c r="F841" s="190"/>
      <c r="G841" s="191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</row>
    <row r="842" ht="17.25" customHeight="1">
      <c r="A842" s="112"/>
      <c r="B842" s="189"/>
      <c r="C842" s="190"/>
      <c r="D842" s="190"/>
      <c r="E842" s="190"/>
      <c r="F842" s="190"/>
      <c r="G842" s="191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</row>
    <row r="843" ht="17.25" customHeight="1">
      <c r="A843" s="112"/>
      <c r="B843" s="189"/>
      <c r="C843" s="190"/>
      <c r="D843" s="190"/>
      <c r="E843" s="190"/>
      <c r="F843" s="190"/>
      <c r="G843" s="191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</row>
    <row r="844" ht="17.25" customHeight="1">
      <c r="A844" s="112"/>
      <c r="B844" s="189"/>
      <c r="C844" s="190"/>
      <c r="D844" s="190"/>
      <c r="E844" s="190"/>
      <c r="F844" s="190"/>
      <c r="G844" s="191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</row>
    <row r="845" ht="17.25" customHeight="1">
      <c r="A845" s="112"/>
      <c r="B845" s="189"/>
      <c r="C845" s="190"/>
      <c r="D845" s="190"/>
      <c r="E845" s="190"/>
      <c r="F845" s="190"/>
      <c r="G845" s="191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</row>
    <row r="846" ht="17.25" customHeight="1">
      <c r="A846" s="112"/>
      <c r="B846" s="189"/>
      <c r="C846" s="190"/>
      <c r="D846" s="190"/>
      <c r="E846" s="190"/>
      <c r="F846" s="190"/>
      <c r="G846" s="191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</row>
    <row r="847" ht="17.25" customHeight="1">
      <c r="A847" s="112"/>
      <c r="B847" s="189"/>
      <c r="C847" s="190"/>
      <c r="D847" s="190"/>
      <c r="E847" s="190"/>
      <c r="F847" s="190"/>
      <c r="G847" s="191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</row>
    <row r="848" ht="17.25" customHeight="1">
      <c r="A848" s="112"/>
      <c r="B848" s="189"/>
      <c r="C848" s="190"/>
      <c r="D848" s="190"/>
      <c r="E848" s="190"/>
      <c r="F848" s="190"/>
      <c r="G848" s="191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</row>
    <row r="849" ht="17.25" customHeight="1">
      <c r="A849" s="112"/>
      <c r="B849" s="189"/>
      <c r="C849" s="190"/>
      <c r="D849" s="190"/>
      <c r="E849" s="190"/>
      <c r="F849" s="190"/>
      <c r="G849" s="191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</row>
    <row r="850" ht="17.25" customHeight="1">
      <c r="A850" s="112"/>
      <c r="B850" s="189"/>
      <c r="C850" s="190"/>
      <c r="D850" s="190"/>
      <c r="E850" s="190"/>
      <c r="F850" s="190"/>
      <c r="G850" s="191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</row>
    <row r="851" ht="17.25" customHeight="1">
      <c r="A851" s="112"/>
      <c r="B851" s="189"/>
      <c r="C851" s="190"/>
      <c r="D851" s="190"/>
      <c r="E851" s="190"/>
      <c r="F851" s="190"/>
      <c r="G851" s="191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</row>
    <row r="852" ht="17.25" customHeight="1">
      <c r="A852" s="112"/>
      <c r="B852" s="189"/>
      <c r="C852" s="190"/>
      <c r="D852" s="190"/>
      <c r="E852" s="190"/>
      <c r="F852" s="190"/>
      <c r="G852" s="191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</row>
    <row r="853" ht="17.25" customHeight="1">
      <c r="A853" s="112"/>
      <c r="B853" s="189"/>
      <c r="C853" s="190"/>
      <c r="D853" s="190"/>
      <c r="E853" s="190"/>
      <c r="F853" s="190"/>
      <c r="G853" s="191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</row>
    <row r="854" ht="17.25" customHeight="1">
      <c r="A854" s="112"/>
      <c r="B854" s="189"/>
      <c r="C854" s="190"/>
      <c r="D854" s="190"/>
      <c r="E854" s="190"/>
      <c r="F854" s="190"/>
      <c r="G854" s="191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</row>
    <row r="855" ht="17.25" customHeight="1">
      <c r="A855" s="112"/>
      <c r="B855" s="189"/>
      <c r="C855" s="190"/>
      <c r="D855" s="190"/>
      <c r="E855" s="190"/>
      <c r="F855" s="190"/>
      <c r="G855" s="191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</row>
    <row r="856" ht="17.25" customHeight="1">
      <c r="A856" s="112"/>
      <c r="B856" s="189"/>
      <c r="C856" s="190"/>
      <c r="D856" s="190"/>
      <c r="E856" s="190"/>
      <c r="F856" s="190"/>
      <c r="G856" s="191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</row>
    <row r="857" ht="17.25" customHeight="1">
      <c r="A857" s="112"/>
      <c r="B857" s="189"/>
      <c r="C857" s="190"/>
      <c r="D857" s="190"/>
      <c r="E857" s="190"/>
      <c r="F857" s="190"/>
      <c r="G857" s="191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</row>
    <row r="858" ht="17.25" customHeight="1">
      <c r="A858" s="112"/>
      <c r="B858" s="189"/>
      <c r="C858" s="190"/>
      <c r="D858" s="190"/>
      <c r="E858" s="190"/>
      <c r="F858" s="190"/>
      <c r="G858" s="191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</row>
    <row r="859" ht="17.25" customHeight="1">
      <c r="A859" s="112"/>
      <c r="B859" s="189"/>
      <c r="C859" s="190"/>
      <c r="D859" s="190"/>
      <c r="E859" s="190"/>
      <c r="F859" s="190"/>
      <c r="G859" s="191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</row>
    <row r="860" ht="17.25" customHeight="1">
      <c r="A860" s="112"/>
      <c r="B860" s="189"/>
      <c r="C860" s="190"/>
      <c r="D860" s="190"/>
      <c r="E860" s="190"/>
      <c r="F860" s="190"/>
      <c r="G860" s="191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</row>
    <row r="861" ht="17.25" customHeight="1">
      <c r="A861" s="112"/>
      <c r="B861" s="189"/>
      <c r="C861" s="190"/>
      <c r="D861" s="190"/>
      <c r="E861" s="190"/>
      <c r="F861" s="190"/>
      <c r="G861" s="191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</row>
    <row r="862" ht="17.25" customHeight="1">
      <c r="A862" s="112"/>
      <c r="B862" s="189"/>
      <c r="C862" s="190"/>
      <c r="D862" s="190"/>
      <c r="E862" s="190"/>
      <c r="F862" s="190"/>
      <c r="G862" s="191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</row>
    <row r="863" ht="17.25" customHeight="1">
      <c r="A863" s="112"/>
      <c r="B863" s="189"/>
      <c r="C863" s="190"/>
      <c r="D863" s="190"/>
      <c r="E863" s="190"/>
      <c r="F863" s="190"/>
      <c r="G863" s="191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</row>
    <row r="864" ht="17.25" customHeight="1">
      <c r="A864" s="112"/>
      <c r="B864" s="189"/>
      <c r="C864" s="190"/>
      <c r="D864" s="190"/>
      <c r="E864" s="190"/>
      <c r="F864" s="190"/>
      <c r="G864" s="191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</row>
    <row r="865" ht="17.25" customHeight="1">
      <c r="A865" s="112"/>
      <c r="B865" s="189"/>
      <c r="C865" s="190"/>
      <c r="D865" s="190"/>
      <c r="E865" s="190"/>
      <c r="F865" s="190"/>
      <c r="G865" s="191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</row>
    <row r="866" ht="17.25" customHeight="1">
      <c r="A866" s="112"/>
      <c r="B866" s="189"/>
      <c r="C866" s="190"/>
      <c r="D866" s="190"/>
      <c r="E866" s="190"/>
      <c r="F866" s="190"/>
      <c r="G866" s="191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</row>
    <row r="867" ht="17.25" customHeight="1">
      <c r="A867" s="112"/>
      <c r="B867" s="189"/>
      <c r="C867" s="190"/>
      <c r="D867" s="190"/>
      <c r="E867" s="190"/>
      <c r="F867" s="190"/>
      <c r="G867" s="191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</row>
    <row r="868" ht="17.25" customHeight="1">
      <c r="A868" s="112"/>
      <c r="B868" s="189"/>
      <c r="C868" s="190"/>
      <c r="D868" s="190"/>
      <c r="E868" s="190"/>
      <c r="F868" s="190"/>
      <c r="G868" s="191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</row>
    <row r="869" ht="17.25" customHeight="1">
      <c r="A869" s="112"/>
      <c r="B869" s="189"/>
      <c r="C869" s="190"/>
      <c r="D869" s="190"/>
      <c r="E869" s="190"/>
      <c r="F869" s="190"/>
      <c r="G869" s="191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</row>
    <row r="870" ht="17.25" customHeight="1">
      <c r="A870" s="112"/>
      <c r="B870" s="189"/>
      <c r="C870" s="190"/>
      <c r="D870" s="190"/>
      <c r="E870" s="190"/>
      <c r="F870" s="190"/>
      <c r="G870" s="191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</row>
    <row r="871" ht="17.25" customHeight="1">
      <c r="A871" s="112"/>
      <c r="B871" s="189"/>
      <c r="C871" s="190"/>
      <c r="D871" s="190"/>
      <c r="E871" s="190"/>
      <c r="F871" s="190"/>
      <c r="G871" s="191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</row>
    <row r="872" ht="17.25" customHeight="1">
      <c r="A872" s="112"/>
      <c r="B872" s="189"/>
      <c r="C872" s="190"/>
      <c r="D872" s="190"/>
      <c r="E872" s="190"/>
      <c r="F872" s="190"/>
      <c r="G872" s="191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</row>
    <row r="873" ht="17.25" customHeight="1">
      <c r="A873" s="112"/>
      <c r="B873" s="189"/>
      <c r="C873" s="190"/>
      <c r="D873" s="190"/>
      <c r="E873" s="190"/>
      <c r="F873" s="190"/>
      <c r="G873" s="191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</row>
    <row r="874" ht="17.25" customHeight="1">
      <c r="A874" s="112"/>
      <c r="B874" s="189"/>
      <c r="C874" s="190"/>
      <c r="D874" s="190"/>
      <c r="E874" s="190"/>
      <c r="F874" s="190"/>
      <c r="G874" s="191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</row>
    <row r="875" ht="17.25" customHeight="1">
      <c r="A875" s="112"/>
      <c r="B875" s="189"/>
      <c r="C875" s="190"/>
      <c r="D875" s="190"/>
      <c r="E875" s="190"/>
      <c r="F875" s="190"/>
      <c r="G875" s="191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</row>
    <row r="876" ht="17.25" customHeight="1">
      <c r="A876" s="112"/>
      <c r="B876" s="189"/>
      <c r="C876" s="190"/>
      <c r="D876" s="190"/>
      <c r="E876" s="190"/>
      <c r="F876" s="190"/>
      <c r="G876" s="191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</row>
    <row r="877" ht="17.25" customHeight="1">
      <c r="A877" s="112"/>
      <c r="B877" s="189"/>
      <c r="C877" s="190"/>
      <c r="D877" s="190"/>
      <c r="E877" s="190"/>
      <c r="F877" s="190"/>
      <c r="G877" s="191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</row>
    <row r="878" ht="17.25" customHeight="1">
      <c r="A878" s="112"/>
      <c r="B878" s="189"/>
      <c r="C878" s="190"/>
      <c r="D878" s="190"/>
      <c r="E878" s="190"/>
      <c r="F878" s="190"/>
      <c r="G878" s="191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</row>
    <row r="879" ht="17.25" customHeight="1">
      <c r="A879" s="112"/>
      <c r="B879" s="189"/>
      <c r="C879" s="190"/>
      <c r="D879" s="190"/>
      <c r="E879" s="190"/>
      <c r="F879" s="190"/>
      <c r="G879" s="191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</row>
    <row r="880" ht="17.25" customHeight="1">
      <c r="A880" s="112"/>
      <c r="B880" s="189"/>
      <c r="C880" s="190"/>
      <c r="D880" s="190"/>
      <c r="E880" s="190"/>
      <c r="F880" s="190"/>
      <c r="G880" s="191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</row>
    <row r="881" ht="17.25" customHeight="1">
      <c r="A881" s="112"/>
      <c r="B881" s="189"/>
      <c r="C881" s="190"/>
      <c r="D881" s="190"/>
      <c r="E881" s="190"/>
      <c r="F881" s="190"/>
      <c r="G881" s="191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</row>
    <row r="882" ht="17.25" customHeight="1">
      <c r="A882" s="112"/>
      <c r="B882" s="189"/>
      <c r="C882" s="190"/>
      <c r="D882" s="190"/>
      <c r="E882" s="190"/>
      <c r="F882" s="190"/>
      <c r="G882" s="191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</row>
    <row r="883" ht="17.25" customHeight="1">
      <c r="A883" s="112"/>
      <c r="B883" s="189"/>
      <c r="C883" s="190"/>
      <c r="D883" s="190"/>
      <c r="E883" s="190"/>
      <c r="F883" s="190"/>
      <c r="G883" s="191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</row>
    <row r="884" ht="17.25" customHeight="1">
      <c r="A884" s="112"/>
      <c r="B884" s="189"/>
      <c r="C884" s="190"/>
      <c r="D884" s="190"/>
      <c r="E884" s="190"/>
      <c r="F884" s="190"/>
      <c r="G884" s="191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</row>
    <row r="885" ht="17.25" customHeight="1">
      <c r="A885" s="112"/>
      <c r="B885" s="189"/>
      <c r="C885" s="190"/>
      <c r="D885" s="190"/>
      <c r="E885" s="190"/>
      <c r="F885" s="190"/>
      <c r="G885" s="191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</row>
    <row r="886" ht="17.25" customHeight="1">
      <c r="A886" s="112"/>
      <c r="B886" s="189"/>
      <c r="C886" s="190"/>
      <c r="D886" s="190"/>
      <c r="E886" s="190"/>
      <c r="F886" s="190"/>
      <c r="G886" s="191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</row>
    <row r="887" ht="17.25" customHeight="1">
      <c r="A887" s="112"/>
      <c r="B887" s="189"/>
      <c r="C887" s="190"/>
      <c r="D887" s="190"/>
      <c r="E887" s="190"/>
      <c r="F887" s="190"/>
      <c r="G887" s="191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</row>
    <row r="888" ht="17.25" customHeight="1">
      <c r="A888" s="112"/>
      <c r="B888" s="189"/>
      <c r="C888" s="190"/>
      <c r="D888" s="190"/>
      <c r="E888" s="190"/>
      <c r="F888" s="190"/>
      <c r="G888" s="191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</row>
    <row r="889" ht="17.25" customHeight="1">
      <c r="A889" s="112"/>
      <c r="B889" s="189"/>
      <c r="C889" s="190"/>
      <c r="D889" s="190"/>
      <c r="E889" s="190"/>
      <c r="F889" s="190"/>
      <c r="G889" s="191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</row>
    <row r="890" ht="17.25" customHeight="1">
      <c r="A890" s="112"/>
      <c r="B890" s="189"/>
      <c r="C890" s="190"/>
      <c r="D890" s="190"/>
      <c r="E890" s="190"/>
      <c r="F890" s="190"/>
      <c r="G890" s="191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</row>
    <row r="891" ht="17.25" customHeight="1">
      <c r="A891" s="112"/>
      <c r="B891" s="189"/>
      <c r="C891" s="190"/>
      <c r="D891" s="190"/>
      <c r="E891" s="190"/>
      <c r="F891" s="190"/>
      <c r="G891" s="191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</row>
    <row r="892" ht="17.25" customHeight="1">
      <c r="A892" s="112"/>
      <c r="B892" s="189"/>
      <c r="C892" s="190"/>
      <c r="D892" s="190"/>
      <c r="E892" s="190"/>
      <c r="F892" s="190"/>
      <c r="G892" s="191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</row>
    <row r="893" ht="17.25" customHeight="1">
      <c r="A893" s="112"/>
      <c r="B893" s="189"/>
      <c r="C893" s="190"/>
      <c r="D893" s="190"/>
      <c r="E893" s="190"/>
      <c r="F893" s="190"/>
      <c r="G893" s="191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</row>
    <row r="894" ht="17.25" customHeight="1">
      <c r="A894" s="112"/>
      <c r="B894" s="189"/>
      <c r="C894" s="190"/>
      <c r="D894" s="190"/>
      <c r="E894" s="190"/>
      <c r="F894" s="190"/>
      <c r="G894" s="191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</row>
    <row r="895" ht="17.25" customHeight="1">
      <c r="A895" s="112"/>
      <c r="B895" s="189"/>
      <c r="C895" s="190"/>
      <c r="D895" s="190"/>
      <c r="E895" s="190"/>
      <c r="F895" s="190"/>
      <c r="G895" s="191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</row>
    <row r="896" ht="17.25" customHeight="1">
      <c r="A896" s="112"/>
      <c r="B896" s="189"/>
      <c r="C896" s="190"/>
      <c r="D896" s="190"/>
      <c r="E896" s="190"/>
      <c r="F896" s="190"/>
      <c r="G896" s="191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</row>
    <row r="897" ht="17.25" customHeight="1">
      <c r="A897" s="112"/>
      <c r="B897" s="189"/>
      <c r="C897" s="190"/>
      <c r="D897" s="190"/>
      <c r="E897" s="190"/>
      <c r="F897" s="190"/>
      <c r="G897" s="191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</row>
    <row r="898" ht="17.25" customHeight="1">
      <c r="A898" s="112"/>
      <c r="B898" s="189"/>
      <c r="C898" s="190"/>
      <c r="D898" s="190"/>
      <c r="E898" s="190"/>
      <c r="F898" s="190"/>
      <c r="G898" s="191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</row>
    <row r="899" ht="17.25" customHeight="1">
      <c r="A899" s="112"/>
      <c r="B899" s="189"/>
      <c r="C899" s="190"/>
      <c r="D899" s="190"/>
      <c r="E899" s="190"/>
      <c r="F899" s="190"/>
      <c r="G899" s="191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</row>
    <row r="900" ht="17.25" customHeight="1">
      <c r="A900" s="112"/>
      <c r="B900" s="189"/>
      <c r="C900" s="190"/>
      <c r="D900" s="190"/>
      <c r="E900" s="190"/>
      <c r="F900" s="190"/>
      <c r="G900" s="191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</row>
    <row r="901" ht="17.25" customHeight="1">
      <c r="A901" s="112"/>
      <c r="B901" s="189"/>
      <c r="C901" s="190"/>
      <c r="D901" s="190"/>
      <c r="E901" s="190"/>
      <c r="F901" s="190"/>
      <c r="G901" s="191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</row>
    <row r="902" ht="17.25" customHeight="1">
      <c r="A902" s="112"/>
      <c r="B902" s="189"/>
      <c r="C902" s="190"/>
      <c r="D902" s="190"/>
      <c r="E902" s="190"/>
      <c r="F902" s="190"/>
      <c r="G902" s="191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</row>
    <row r="903" ht="17.25" customHeight="1">
      <c r="A903" s="112"/>
      <c r="B903" s="189"/>
      <c r="C903" s="190"/>
      <c r="D903" s="190"/>
      <c r="E903" s="190"/>
      <c r="F903" s="190"/>
      <c r="G903" s="191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</row>
    <row r="904" ht="17.25" customHeight="1">
      <c r="A904" s="112"/>
      <c r="B904" s="189"/>
      <c r="C904" s="190"/>
      <c r="D904" s="190"/>
      <c r="E904" s="190"/>
      <c r="F904" s="190"/>
      <c r="G904" s="191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</row>
    <row r="905" ht="17.25" customHeight="1">
      <c r="A905" s="112"/>
      <c r="B905" s="189"/>
      <c r="C905" s="190"/>
      <c r="D905" s="190"/>
      <c r="E905" s="190"/>
      <c r="F905" s="190"/>
      <c r="G905" s="191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</row>
    <row r="906" ht="17.25" customHeight="1">
      <c r="A906" s="112"/>
      <c r="B906" s="189"/>
      <c r="C906" s="190"/>
      <c r="D906" s="190"/>
      <c r="E906" s="190"/>
      <c r="F906" s="190"/>
      <c r="G906" s="191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</row>
    <row r="907" ht="17.25" customHeight="1">
      <c r="A907" s="112"/>
      <c r="B907" s="189"/>
      <c r="C907" s="190"/>
      <c r="D907" s="190"/>
      <c r="E907" s="190"/>
      <c r="F907" s="190"/>
      <c r="G907" s="191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</row>
    <row r="908" ht="17.25" customHeight="1">
      <c r="A908" s="112"/>
      <c r="B908" s="189"/>
      <c r="C908" s="190"/>
      <c r="D908" s="190"/>
      <c r="E908" s="190"/>
      <c r="F908" s="190"/>
      <c r="G908" s="191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</row>
    <row r="909" ht="17.25" customHeight="1">
      <c r="A909" s="112"/>
      <c r="B909" s="189"/>
      <c r="C909" s="190"/>
      <c r="D909" s="190"/>
      <c r="E909" s="190"/>
      <c r="F909" s="190"/>
      <c r="G909" s="191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</row>
    <row r="910" ht="17.25" customHeight="1">
      <c r="A910" s="112"/>
      <c r="B910" s="189"/>
      <c r="C910" s="190"/>
      <c r="D910" s="190"/>
      <c r="E910" s="190"/>
      <c r="F910" s="190"/>
      <c r="G910" s="191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</row>
    <row r="911" ht="17.25" customHeight="1">
      <c r="A911" s="112"/>
      <c r="B911" s="189"/>
      <c r="C911" s="190"/>
      <c r="D911" s="190"/>
      <c r="E911" s="190"/>
      <c r="F911" s="190"/>
      <c r="G911" s="191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</row>
    <row r="912" ht="17.25" customHeight="1">
      <c r="A912" s="112"/>
      <c r="B912" s="189"/>
      <c r="C912" s="190"/>
      <c r="D912" s="190"/>
      <c r="E912" s="190"/>
      <c r="F912" s="190"/>
      <c r="G912" s="191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</row>
    <row r="913" ht="17.25" customHeight="1">
      <c r="A913" s="112"/>
      <c r="B913" s="189"/>
      <c r="C913" s="190"/>
      <c r="D913" s="190"/>
      <c r="E913" s="190"/>
      <c r="F913" s="190"/>
      <c r="G913" s="191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</row>
    <row r="914" ht="17.25" customHeight="1">
      <c r="A914" s="112"/>
      <c r="B914" s="189"/>
      <c r="C914" s="190"/>
      <c r="D914" s="190"/>
      <c r="E914" s="190"/>
      <c r="F914" s="190"/>
      <c r="G914" s="191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</row>
    <row r="915" ht="17.25" customHeight="1">
      <c r="A915" s="112"/>
      <c r="B915" s="189"/>
      <c r="C915" s="190"/>
      <c r="D915" s="190"/>
      <c r="E915" s="190"/>
      <c r="F915" s="190"/>
      <c r="G915" s="191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</row>
    <row r="916" ht="17.25" customHeight="1">
      <c r="A916" s="112"/>
      <c r="B916" s="189"/>
      <c r="C916" s="190"/>
      <c r="D916" s="190"/>
      <c r="E916" s="190"/>
      <c r="F916" s="190"/>
      <c r="G916" s="191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</row>
    <row r="917" ht="17.25" customHeight="1">
      <c r="A917" s="112"/>
      <c r="B917" s="189"/>
      <c r="C917" s="190"/>
      <c r="D917" s="190"/>
      <c r="E917" s="190"/>
      <c r="F917" s="190"/>
      <c r="G917" s="191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</row>
    <row r="918" ht="17.25" customHeight="1">
      <c r="A918" s="112"/>
      <c r="B918" s="189"/>
      <c r="C918" s="190"/>
      <c r="D918" s="190"/>
      <c r="E918" s="190"/>
      <c r="F918" s="190"/>
      <c r="G918" s="191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</row>
    <row r="919" ht="17.25" customHeight="1">
      <c r="A919" s="112"/>
      <c r="B919" s="189"/>
      <c r="C919" s="190"/>
      <c r="D919" s="190"/>
      <c r="E919" s="190"/>
      <c r="F919" s="190"/>
      <c r="G919" s="191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</row>
    <row r="920" ht="17.25" customHeight="1">
      <c r="A920" s="112"/>
      <c r="B920" s="189"/>
      <c r="C920" s="190"/>
      <c r="D920" s="190"/>
      <c r="E920" s="190"/>
      <c r="F920" s="190"/>
      <c r="G920" s="191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</row>
    <row r="921" ht="17.25" customHeight="1">
      <c r="A921" s="112"/>
      <c r="B921" s="189"/>
      <c r="C921" s="190"/>
      <c r="D921" s="190"/>
      <c r="E921" s="190"/>
      <c r="F921" s="190"/>
      <c r="G921" s="191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</row>
    <row r="922" ht="17.25" customHeight="1">
      <c r="A922" s="112"/>
      <c r="B922" s="189"/>
      <c r="C922" s="190"/>
      <c r="D922" s="190"/>
      <c r="E922" s="190"/>
      <c r="F922" s="190"/>
      <c r="G922" s="191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</row>
    <row r="923" ht="17.25" customHeight="1">
      <c r="A923" s="112"/>
      <c r="B923" s="189"/>
      <c r="C923" s="190"/>
      <c r="D923" s="190"/>
      <c r="E923" s="190"/>
      <c r="F923" s="190"/>
      <c r="G923" s="191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</row>
    <row r="924" ht="17.25" customHeight="1">
      <c r="A924" s="112"/>
      <c r="B924" s="189"/>
      <c r="C924" s="190"/>
      <c r="D924" s="190"/>
      <c r="E924" s="190"/>
      <c r="F924" s="190"/>
      <c r="G924" s="191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</row>
    <row r="925" ht="17.25" customHeight="1">
      <c r="A925" s="112"/>
      <c r="B925" s="189"/>
      <c r="C925" s="190"/>
      <c r="D925" s="190"/>
      <c r="E925" s="190"/>
      <c r="F925" s="190"/>
      <c r="G925" s="191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</row>
    <row r="926" ht="17.25" customHeight="1">
      <c r="A926" s="112"/>
      <c r="B926" s="189"/>
      <c r="C926" s="190"/>
      <c r="D926" s="190"/>
      <c r="E926" s="190"/>
      <c r="F926" s="190"/>
      <c r="G926" s="191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</row>
    <row r="927" ht="17.25" customHeight="1">
      <c r="A927" s="112"/>
      <c r="B927" s="189"/>
      <c r="C927" s="190"/>
      <c r="D927" s="190"/>
      <c r="E927" s="190"/>
      <c r="F927" s="190"/>
      <c r="G927" s="191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</row>
    <row r="928" ht="17.25" customHeight="1">
      <c r="A928" s="112"/>
      <c r="B928" s="189"/>
      <c r="C928" s="190"/>
      <c r="D928" s="190"/>
      <c r="E928" s="190"/>
      <c r="F928" s="190"/>
      <c r="G928" s="191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</row>
    <row r="929" ht="17.25" customHeight="1">
      <c r="A929" s="112"/>
      <c r="B929" s="189"/>
      <c r="C929" s="190"/>
      <c r="D929" s="190"/>
      <c r="E929" s="190"/>
      <c r="F929" s="190"/>
      <c r="G929" s="191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</row>
    <row r="930" ht="17.25" customHeight="1">
      <c r="A930" s="112"/>
      <c r="B930" s="189"/>
      <c r="C930" s="190"/>
      <c r="D930" s="190"/>
      <c r="E930" s="190"/>
      <c r="F930" s="190"/>
      <c r="G930" s="191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</row>
    <row r="931" ht="17.25" customHeight="1">
      <c r="A931" s="112"/>
      <c r="B931" s="189"/>
      <c r="C931" s="190"/>
      <c r="D931" s="190"/>
      <c r="E931" s="190"/>
      <c r="F931" s="190"/>
      <c r="G931" s="191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</row>
    <row r="932" ht="17.25" customHeight="1">
      <c r="A932" s="112"/>
      <c r="B932" s="189"/>
      <c r="C932" s="190"/>
      <c r="D932" s="190"/>
      <c r="E932" s="190"/>
      <c r="F932" s="190"/>
      <c r="G932" s="191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</row>
    <row r="933" ht="17.25" customHeight="1">
      <c r="A933" s="112"/>
      <c r="B933" s="189"/>
      <c r="C933" s="190"/>
      <c r="D933" s="190"/>
      <c r="E933" s="190"/>
      <c r="F933" s="190"/>
      <c r="G933" s="191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</row>
    <row r="934" ht="17.25" customHeight="1">
      <c r="A934" s="112"/>
      <c r="B934" s="189"/>
      <c r="C934" s="190"/>
      <c r="D934" s="190"/>
      <c r="E934" s="190"/>
      <c r="F934" s="190"/>
      <c r="G934" s="191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</row>
    <row r="935" ht="17.25" customHeight="1">
      <c r="A935" s="112"/>
      <c r="B935" s="189"/>
      <c r="C935" s="190"/>
      <c r="D935" s="190"/>
      <c r="E935" s="190"/>
      <c r="F935" s="190"/>
      <c r="G935" s="191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</row>
    <row r="936" ht="17.25" customHeight="1">
      <c r="A936" s="112"/>
      <c r="B936" s="189"/>
      <c r="C936" s="190"/>
      <c r="D936" s="190"/>
      <c r="E936" s="190"/>
      <c r="F936" s="190"/>
      <c r="G936" s="191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</row>
    <row r="937" ht="17.25" customHeight="1">
      <c r="A937" s="112"/>
      <c r="B937" s="189"/>
      <c r="C937" s="190"/>
      <c r="D937" s="190"/>
      <c r="E937" s="190"/>
      <c r="F937" s="190"/>
      <c r="G937" s="191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</row>
    <row r="938" ht="17.25" customHeight="1">
      <c r="A938" s="112"/>
      <c r="B938" s="189"/>
      <c r="C938" s="190"/>
      <c r="D938" s="190"/>
      <c r="E938" s="190"/>
      <c r="F938" s="190"/>
      <c r="G938" s="191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</row>
    <row r="939" ht="17.25" customHeight="1">
      <c r="A939" s="112"/>
      <c r="B939" s="189"/>
      <c r="C939" s="190"/>
      <c r="D939" s="190"/>
      <c r="E939" s="190"/>
      <c r="F939" s="190"/>
      <c r="G939" s="191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</row>
    <row r="940" ht="17.25" customHeight="1">
      <c r="A940" s="112"/>
      <c r="B940" s="189"/>
      <c r="C940" s="190"/>
      <c r="D940" s="190"/>
      <c r="E940" s="190"/>
      <c r="F940" s="190"/>
      <c r="G940" s="191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</row>
    <row r="941" ht="17.25" customHeight="1">
      <c r="A941" s="112"/>
      <c r="B941" s="189"/>
      <c r="C941" s="190"/>
      <c r="D941" s="190"/>
      <c r="E941" s="190"/>
      <c r="F941" s="190"/>
      <c r="G941" s="191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</row>
    <row r="942" ht="17.25" customHeight="1">
      <c r="A942" s="112"/>
      <c r="B942" s="189"/>
      <c r="C942" s="190"/>
      <c r="D942" s="190"/>
      <c r="E942" s="190"/>
      <c r="F942" s="190"/>
      <c r="G942" s="191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</row>
    <row r="943" ht="17.25" customHeight="1">
      <c r="A943" s="112"/>
      <c r="B943" s="189"/>
      <c r="C943" s="190"/>
      <c r="D943" s="190"/>
      <c r="E943" s="190"/>
      <c r="F943" s="190"/>
      <c r="G943" s="191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</row>
    <row r="944" ht="17.25" customHeight="1">
      <c r="A944" s="112"/>
      <c r="B944" s="189"/>
      <c r="C944" s="190"/>
      <c r="D944" s="190"/>
      <c r="E944" s="190"/>
      <c r="F944" s="190"/>
      <c r="G944" s="191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</row>
    <row r="945" ht="17.25" customHeight="1">
      <c r="A945" s="112"/>
      <c r="B945" s="189"/>
      <c r="C945" s="190"/>
      <c r="D945" s="190"/>
      <c r="E945" s="190"/>
      <c r="F945" s="190"/>
      <c r="G945" s="191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</row>
    <row r="946" ht="17.25" customHeight="1">
      <c r="A946" s="112"/>
      <c r="B946" s="189"/>
      <c r="C946" s="190"/>
      <c r="D946" s="190"/>
      <c r="E946" s="190"/>
      <c r="F946" s="190"/>
      <c r="G946" s="191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</row>
    <row r="947" ht="17.25" customHeight="1">
      <c r="A947" s="112"/>
      <c r="B947" s="189"/>
      <c r="C947" s="190"/>
      <c r="D947" s="190"/>
      <c r="E947" s="190"/>
      <c r="F947" s="190"/>
      <c r="G947" s="191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</row>
    <row r="948" ht="17.25" customHeight="1">
      <c r="A948" s="112"/>
      <c r="B948" s="189"/>
      <c r="C948" s="190"/>
      <c r="D948" s="190"/>
      <c r="E948" s="190"/>
      <c r="F948" s="190"/>
      <c r="G948" s="191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</row>
    <row r="949" ht="17.25" customHeight="1">
      <c r="A949" s="112"/>
      <c r="B949" s="189"/>
      <c r="C949" s="190"/>
      <c r="D949" s="190"/>
      <c r="E949" s="190"/>
      <c r="F949" s="190"/>
      <c r="G949" s="191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</row>
    <row r="950" ht="17.25" customHeight="1">
      <c r="A950" s="112"/>
      <c r="B950" s="189"/>
      <c r="C950" s="190"/>
      <c r="D950" s="190"/>
      <c r="E950" s="190"/>
      <c r="F950" s="190"/>
      <c r="G950" s="191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</row>
    <row r="951" ht="17.25" customHeight="1">
      <c r="A951" s="112"/>
      <c r="B951" s="189"/>
      <c r="C951" s="190"/>
      <c r="D951" s="190"/>
      <c r="E951" s="190"/>
      <c r="F951" s="190"/>
      <c r="G951" s="191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</row>
    <row r="952" ht="17.25" customHeight="1">
      <c r="A952" s="112"/>
      <c r="B952" s="189"/>
      <c r="C952" s="190"/>
      <c r="D952" s="190"/>
      <c r="E952" s="190"/>
      <c r="F952" s="190"/>
      <c r="G952" s="191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</row>
    <row r="953" ht="17.25" customHeight="1">
      <c r="A953" s="112"/>
      <c r="B953" s="189"/>
      <c r="C953" s="190"/>
      <c r="D953" s="190"/>
      <c r="E953" s="190"/>
      <c r="F953" s="190"/>
      <c r="G953" s="191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</row>
    <row r="954" ht="17.25" customHeight="1">
      <c r="A954" s="112"/>
      <c r="B954" s="189"/>
      <c r="C954" s="190"/>
      <c r="D954" s="190"/>
      <c r="E954" s="190"/>
      <c r="F954" s="190"/>
      <c r="G954" s="191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</row>
    <row r="955" ht="17.25" customHeight="1">
      <c r="A955" s="112"/>
      <c r="B955" s="189"/>
      <c r="C955" s="190"/>
      <c r="D955" s="190"/>
      <c r="E955" s="190"/>
      <c r="F955" s="190"/>
      <c r="G955" s="191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</row>
    <row r="956" ht="17.25" customHeight="1">
      <c r="A956" s="112"/>
      <c r="B956" s="189"/>
      <c r="C956" s="190"/>
      <c r="D956" s="190"/>
      <c r="E956" s="190"/>
      <c r="F956" s="190"/>
      <c r="G956" s="191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</row>
    <row r="957" ht="17.25" customHeight="1">
      <c r="A957" s="112"/>
      <c r="B957" s="189"/>
      <c r="C957" s="190"/>
      <c r="D957" s="190"/>
      <c r="E957" s="190"/>
      <c r="F957" s="190"/>
      <c r="G957" s="191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</row>
    <row r="958" ht="17.25" customHeight="1">
      <c r="A958" s="112"/>
      <c r="B958" s="189"/>
      <c r="C958" s="190"/>
      <c r="D958" s="190"/>
      <c r="E958" s="190"/>
      <c r="F958" s="190"/>
      <c r="G958" s="191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</row>
    <row r="959" ht="17.25" customHeight="1">
      <c r="A959" s="112"/>
      <c r="B959" s="189"/>
      <c r="C959" s="190"/>
      <c r="D959" s="190"/>
      <c r="E959" s="190"/>
      <c r="F959" s="190"/>
      <c r="G959" s="191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</row>
    <row r="960" ht="17.25" customHeight="1">
      <c r="A960" s="112"/>
      <c r="B960" s="189"/>
      <c r="C960" s="190"/>
      <c r="D960" s="190"/>
      <c r="E960" s="190"/>
      <c r="F960" s="190"/>
      <c r="G960" s="191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</row>
    <row r="961" ht="17.25" customHeight="1">
      <c r="A961" s="112"/>
      <c r="B961" s="189"/>
      <c r="C961" s="190"/>
      <c r="D961" s="190"/>
      <c r="E961" s="190"/>
      <c r="F961" s="190"/>
      <c r="G961" s="191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</row>
    <row r="962" ht="17.25" customHeight="1">
      <c r="A962" s="112"/>
      <c r="B962" s="189"/>
      <c r="C962" s="190"/>
      <c r="D962" s="190"/>
      <c r="E962" s="190"/>
      <c r="F962" s="190"/>
      <c r="G962" s="191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</row>
    <row r="963" ht="17.25" customHeight="1">
      <c r="A963" s="112"/>
      <c r="B963" s="189"/>
      <c r="C963" s="190"/>
      <c r="D963" s="190"/>
      <c r="E963" s="190"/>
      <c r="F963" s="190"/>
      <c r="G963" s="191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</row>
    <row r="964" ht="17.25" customHeight="1">
      <c r="A964" s="112"/>
      <c r="B964" s="189"/>
      <c r="C964" s="190"/>
      <c r="D964" s="190"/>
      <c r="E964" s="190"/>
      <c r="F964" s="190"/>
      <c r="G964" s="191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</row>
    <row r="965" ht="17.25" customHeight="1">
      <c r="A965" s="112"/>
      <c r="B965" s="189"/>
      <c r="C965" s="190"/>
      <c r="D965" s="190"/>
      <c r="E965" s="190"/>
      <c r="F965" s="190"/>
      <c r="G965" s="191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</row>
    <row r="966" ht="17.25" customHeight="1">
      <c r="A966" s="112"/>
      <c r="B966" s="189"/>
      <c r="C966" s="190"/>
      <c r="D966" s="190"/>
      <c r="E966" s="190"/>
      <c r="F966" s="190"/>
      <c r="G966" s="191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</row>
    <row r="967" ht="17.25" customHeight="1">
      <c r="A967" s="112"/>
      <c r="B967" s="189"/>
      <c r="C967" s="190"/>
      <c r="D967" s="190"/>
      <c r="E967" s="190"/>
      <c r="F967" s="190"/>
      <c r="G967" s="191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</row>
    <row r="968" ht="17.25" customHeight="1">
      <c r="A968" s="112"/>
      <c r="B968" s="189"/>
      <c r="C968" s="190"/>
      <c r="D968" s="190"/>
      <c r="E968" s="190"/>
      <c r="F968" s="190"/>
      <c r="G968" s="191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</row>
    <row r="969" ht="17.25" customHeight="1">
      <c r="A969" s="112"/>
      <c r="B969" s="189"/>
      <c r="C969" s="190"/>
      <c r="D969" s="190"/>
      <c r="E969" s="190"/>
      <c r="F969" s="190"/>
      <c r="G969" s="191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</row>
    <row r="970" ht="17.25" customHeight="1">
      <c r="A970" s="112"/>
      <c r="B970" s="189"/>
      <c r="C970" s="190"/>
      <c r="D970" s="190"/>
      <c r="E970" s="190"/>
      <c r="F970" s="190"/>
      <c r="G970" s="191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</row>
    <row r="971" ht="17.25" customHeight="1">
      <c r="A971" s="112"/>
      <c r="B971" s="189"/>
      <c r="C971" s="190"/>
      <c r="D971" s="190"/>
      <c r="E971" s="190"/>
      <c r="F971" s="190"/>
      <c r="G971" s="191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</row>
    <row r="972" ht="17.25" customHeight="1">
      <c r="A972" s="112"/>
      <c r="B972" s="189"/>
      <c r="C972" s="190"/>
      <c r="D972" s="190"/>
      <c r="E972" s="190"/>
      <c r="F972" s="190"/>
      <c r="G972" s="191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</row>
    <row r="973" ht="17.25" customHeight="1">
      <c r="A973" s="112"/>
      <c r="B973" s="189"/>
      <c r="C973" s="190"/>
      <c r="D973" s="190"/>
      <c r="E973" s="190"/>
      <c r="F973" s="190"/>
      <c r="G973" s="191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</row>
    <row r="974" ht="17.25" customHeight="1">
      <c r="A974" s="112"/>
      <c r="B974" s="189"/>
      <c r="C974" s="190"/>
      <c r="D974" s="190"/>
      <c r="E974" s="190"/>
      <c r="F974" s="190"/>
      <c r="G974" s="191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</row>
    <row r="975" ht="17.25" customHeight="1">
      <c r="A975" s="112"/>
      <c r="B975" s="189"/>
      <c r="C975" s="190"/>
      <c r="D975" s="190"/>
      <c r="E975" s="190"/>
      <c r="F975" s="190"/>
      <c r="G975" s="191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</row>
    <row r="976" ht="17.25" customHeight="1">
      <c r="A976" s="112"/>
      <c r="B976" s="189"/>
      <c r="C976" s="190"/>
      <c r="D976" s="190"/>
      <c r="E976" s="190"/>
      <c r="F976" s="190"/>
      <c r="G976" s="191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</row>
    <row r="977" ht="17.25" customHeight="1">
      <c r="A977" s="112"/>
      <c r="B977" s="189"/>
      <c r="C977" s="190"/>
      <c r="D977" s="190"/>
      <c r="E977" s="190"/>
      <c r="F977" s="190"/>
      <c r="G977" s="191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</row>
    <row r="978" ht="17.25" customHeight="1">
      <c r="A978" s="112"/>
      <c r="B978" s="189"/>
      <c r="C978" s="190"/>
      <c r="D978" s="190"/>
      <c r="E978" s="190"/>
      <c r="F978" s="190"/>
      <c r="G978" s="191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</row>
    <row r="979" ht="17.25" customHeight="1">
      <c r="A979" s="112"/>
      <c r="B979" s="189"/>
      <c r="C979" s="190"/>
      <c r="D979" s="190"/>
      <c r="E979" s="190"/>
      <c r="F979" s="190"/>
      <c r="G979" s="191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</row>
    <row r="980" ht="17.25" customHeight="1">
      <c r="A980" s="112"/>
      <c r="B980" s="189"/>
      <c r="C980" s="190"/>
      <c r="D980" s="190"/>
      <c r="E980" s="190"/>
      <c r="F980" s="190"/>
      <c r="G980" s="191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</row>
    <row r="981" ht="17.25" customHeight="1">
      <c r="A981" s="112"/>
      <c r="B981" s="189"/>
      <c r="C981" s="190"/>
      <c r="D981" s="190"/>
      <c r="E981" s="190"/>
      <c r="F981" s="190"/>
      <c r="G981" s="191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</row>
    <row r="982" ht="17.25" customHeight="1">
      <c r="A982" s="112"/>
      <c r="B982" s="189"/>
      <c r="C982" s="190"/>
      <c r="D982" s="190"/>
      <c r="E982" s="190"/>
      <c r="F982" s="190"/>
      <c r="G982" s="191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</row>
    <row r="983" ht="17.25" customHeight="1">
      <c r="A983" s="112"/>
      <c r="B983" s="189"/>
      <c r="C983" s="190"/>
      <c r="D983" s="190"/>
      <c r="E983" s="190"/>
      <c r="F983" s="190"/>
      <c r="G983" s="191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</row>
    <row r="984" ht="17.25" customHeight="1">
      <c r="A984" s="112"/>
      <c r="B984" s="189"/>
      <c r="C984" s="190"/>
      <c r="D984" s="190"/>
      <c r="E984" s="190"/>
      <c r="F984" s="190"/>
      <c r="G984" s="191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</row>
    <row r="985" ht="17.25" customHeight="1">
      <c r="A985" s="112"/>
      <c r="B985" s="189"/>
      <c r="C985" s="190"/>
      <c r="D985" s="190"/>
      <c r="E985" s="190"/>
      <c r="F985" s="190"/>
      <c r="G985" s="191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</row>
    <row r="986" ht="17.25" customHeight="1">
      <c r="A986" s="112"/>
      <c r="B986" s="189"/>
      <c r="C986" s="190"/>
      <c r="D986" s="190"/>
      <c r="E986" s="190"/>
      <c r="F986" s="190"/>
      <c r="G986" s="191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</row>
    <row r="987" ht="17.25" customHeight="1">
      <c r="A987" s="112"/>
      <c r="B987" s="189"/>
      <c r="C987" s="190"/>
      <c r="D987" s="190"/>
      <c r="E987" s="190"/>
      <c r="F987" s="190"/>
      <c r="G987" s="191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</row>
    <row r="988" ht="17.25" customHeight="1">
      <c r="A988" s="112"/>
      <c r="B988" s="189"/>
      <c r="C988" s="190"/>
      <c r="D988" s="190"/>
      <c r="E988" s="190"/>
      <c r="F988" s="190"/>
      <c r="G988" s="191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</row>
    <row r="989" ht="17.25" customHeight="1">
      <c r="A989" s="112"/>
      <c r="B989" s="189"/>
      <c r="C989" s="190"/>
      <c r="D989" s="190"/>
      <c r="E989" s="190"/>
      <c r="F989" s="190"/>
      <c r="G989" s="191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</row>
    <row r="990" ht="17.25" customHeight="1">
      <c r="A990" s="112"/>
      <c r="B990" s="189"/>
      <c r="C990" s="190"/>
      <c r="D990" s="190"/>
      <c r="E990" s="190"/>
      <c r="F990" s="190"/>
      <c r="G990" s="191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</row>
    <row r="991" ht="17.25" customHeight="1">
      <c r="A991" s="112"/>
      <c r="B991" s="189"/>
      <c r="C991" s="190"/>
      <c r="D991" s="190"/>
      <c r="E991" s="190"/>
      <c r="F991" s="190"/>
      <c r="G991" s="191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</row>
    <row r="992" ht="17.25" customHeight="1">
      <c r="A992" s="112"/>
      <c r="B992" s="189"/>
      <c r="C992" s="190"/>
      <c r="D992" s="190"/>
      <c r="E992" s="190"/>
      <c r="F992" s="190"/>
      <c r="G992" s="191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</row>
    <row r="993" ht="17.25" customHeight="1">
      <c r="A993" s="112"/>
      <c r="B993" s="189"/>
      <c r="C993" s="190"/>
      <c r="D993" s="190"/>
      <c r="E993" s="190"/>
      <c r="F993" s="190"/>
      <c r="G993" s="191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</row>
    <row r="994" ht="17.25" customHeight="1">
      <c r="A994" s="112"/>
      <c r="B994" s="189"/>
      <c r="C994" s="190"/>
      <c r="D994" s="190"/>
      <c r="E994" s="190"/>
      <c r="F994" s="190"/>
      <c r="G994" s="191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</row>
    <row r="995" ht="17.25" customHeight="1">
      <c r="A995" s="112"/>
      <c r="B995" s="189"/>
      <c r="C995" s="190"/>
      <c r="D995" s="190"/>
      <c r="E995" s="190"/>
      <c r="F995" s="190"/>
      <c r="G995" s="191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</row>
    <row r="996" ht="17.25" customHeight="1">
      <c r="A996" s="112"/>
      <c r="B996" s="189"/>
      <c r="C996" s="190"/>
      <c r="D996" s="190"/>
      <c r="E996" s="190"/>
      <c r="F996" s="190"/>
      <c r="G996" s="191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</row>
    <row r="997" ht="17.25" customHeight="1">
      <c r="A997" s="112"/>
      <c r="B997" s="189"/>
      <c r="C997" s="190"/>
      <c r="D997" s="190"/>
      <c r="E997" s="190"/>
      <c r="F997" s="190"/>
      <c r="G997" s="191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</row>
    <row r="998" ht="17.25" customHeight="1">
      <c r="A998" s="112"/>
      <c r="B998" s="189"/>
      <c r="C998" s="190"/>
      <c r="D998" s="190"/>
      <c r="E998" s="190"/>
      <c r="F998" s="190"/>
      <c r="G998" s="191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</row>
  </sheetData>
  <mergeCells count="2">
    <mergeCell ref="B5:G5"/>
    <mergeCell ref="B8:C8"/>
  </mergeCells>
  <conditionalFormatting sqref="F26:F998">
    <cfRule type="expression" dxfId="7" priority="1">
      <formula>and(F26=max(F$26:F$998),F26&gt;0)</formula>
    </cfRule>
  </conditionalFormatting>
  <conditionalFormatting sqref="F26:F998">
    <cfRule type="expression" dxfId="8" priority="2">
      <formula>and(F26=min(F$26:F$998),F26&gt;0)</formula>
    </cfRule>
  </conditionalFormatting>
  <conditionalFormatting sqref="F27:F998">
    <cfRule type="expression" dxfId="3" priority="3">
      <formula>F27&gt;F25</formula>
    </cfRule>
  </conditionalFormatting>
  <conditionalFormatting sqref="F27:F998">
    <cfRule type="expression" dxfId="9" priority="4">
      <formula>F27&lt;F25</formula>
    </cfRule>
  </conditionalFormatting>
  <conditionalFormatting sqref="D8:E8">
    <cfRule type="cellIs" dxfId="10" priority="5" operator="lessThan">
      <formula>0</formula>
    </cfRule>
  </conditionalFormatting>
  <conditionalFormatting sqref="D8:E8">
    <cfRule type="cellIs" dxfId="11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3">
      <formula1>"1 Month,3 Months,6 Months,12 Months,36 Months"</formula1>
    </dataValidation>
  </dataValidations>
  <drawing r:id="rId1"/>
</worksheet>
</file>